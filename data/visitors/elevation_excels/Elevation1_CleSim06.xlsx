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64A6B7ED-6399-45DC-86F8-43287343A50E}" xr6:coauthVersionLast="47" xr6:coauthVersionMax="47" xr10:uidLastSave="{00000000-0000-0000-0000-000000000000}"/>
  <bookViews>
    <workbookView xWindow="28680" yWindow="-120" windowWidth="29040" windowHeight="15720" xr2:uid="{00000000-000D-0000-FFFF-FFFF00000000}"/>
  </bookViews>
  <sheets>
    <sheet name="CleSim06" sheetId="3" r:id="rId1"/>
    <sheet name="Morphospecies" sheetId="1" r:id="rId2"/>
  </sheets>
  <definedNames>
    <definedName name="_xlnm._FilterDatabase" localSheetId="0" hidden="1">CleSim06!$A$2:$AZ$1443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1" i="3"/>
  <c r="AA22" i="3"/>
  <c r="AA23" i="3"/>
  <c r="AA24" i="3"/>
  <c r="AA25" i="3"/>
  <c r="AA26" i="3"/>
  <c r="AA27" i="3"/>
  <c r="AA28" i="3"/>
  <c r="AA30" i="3"/>
  <c r="AA31" i="3"/>
  <c r="AA32" i="3"/>
  <c r="AA33" i="3"/>
  <c r="AA34" i="3"/>
  <c r="AA35" i="3"/>
  <c r="AA36" i="3"/>
  <c r="AA37" i="3"/>
  <c r="AA38" i="3"/>
  <c r="AA39" i="3"/>
  <c r="AA40" i="3"/>
  <c r="AA41" i="3"/>
  <c r="AA42" i="3"/>
  <c r="AA44" i="3"/>
  <c r="AA45" i="3"/>
  <c r="AA46" i="3"/>
  <c r="AA47" i="3"/>
  <c r="AA48" i="3"/>
  <c r="AA49" i="3"/>
  <c r="AA50" i="3"/>
  <c r="AA51" i="3"/>
  <c r="AA52" i="3"/>
  <c r="AA53" i="3"/>
  <c r="AA54" i="3"/>
  <c r="AA55" i="3"/>
  <c r="AA56" i="3"/>
  <c r="AA57" i="3"/>
  <c r="AA58" i="3"/>
  <c r="AA59" i="3"/>
  <c r="AA60" i="3"/>
  <c r="AA61" i="3"/>
  <c r="AA62" i="3"/>
  <c r="AA63" i="3"/>
  <c r="AA64" i="3"/>
  <c r="AA65"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9" i="3"/>
  <c r="AA100" i="3"/>
  <c r="AA101" i="3"/>
  <c r="AA102" i="3"/>
  <c r="AA103" i="3"/>
  <c r="AA104" i="3"/>
  <c r="AA105" i="3"/>
  <c r="AA106" i="3"/>
  <c r="AA107" i="3"/>
  <c r="AA108" i="3"/>
  <c r="AA109" i="3"/>
  <c r="AA110" i="3"/>
  <c r="AA111" i="3"/>
  <c r="AA113" i="3"/>
  <c r="AA114" i="3"/>
  <c r="AA115" i="3"/>
  <c r="AA116" i="3"/>
  <c r="AA117" i="3"/>
  <c r="AA118" i="3"/>
  <c r="AA119" i="3"/>
  <c r="AA120"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5" i="3"/>
  <c r="AA156" i="3"/>
  <c r="AA157" i="3"/>
  <c r="AA158" i="3"/>
  <c r="AA160" i="3"/>
  <c r="AA161" i="3"/>
  <c r="AA162" i="3"/>
  <c r="AA163" i="3"/>
  <c r="AA164" i="3"/>
  <c r="AA165" i="3"/>
  <c r="AA166" i="3"/>
  <c r="AA167"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3" i="3"/>
  <c r="AA204" i="3"/>
  <c r="AA205" i="3"/>
  <c r="AA206" i="3"/>
  <c r="AA207" i="3"/>
  <c r="AA208" i="3"/>
  <c r="AA209" i="3"/>
  <c r="AA210" i="3"/>
  <c r="AA211" i="3"/>
  <c r="AA212" i="3"/>
  <c r="AA213"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4" i="3"/>
  <c r="AA255" i="3"/>
  <c r="AA256" i="3"/>
  <c r="AA257" i="3"/>
  <c r="AA258" i="3"/>
  <c r="AA259" i="3"/>
  <c r="AA260" i="3"/>
  <c r="AA261" i="3"/>
  <c r="AA262" i="3"/>
  <c r="AA263" i="3"/>
  <c r="AA264" i="3"/>
  <c r="AA265"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70" i="3"/>
  <c r="AA371" i="3"/>
  <c r="AA372" i="3"/>
  <c r="AA373" i="3"/>
  <c r="AA374" i="3"/>
  <c r="AA375" i="3"/>
  <c r="AA376" i="3"/>
  <c r="AA377" i="3"/>
  <c r="AA378" i="3"/>
  <c r="AA379" i="3"/>
  <c r="AA380" i="3"/>
  <c r="AA381" i="3"/>
  <c r="AA383" i="3"/>
  <c r="AA384" i="3"/>
  <c r="AA385" i="3"/>
  <c r="AA386" i="3"/>
  <c r="AA387" i="3"/>
  <c r="AA388" i="3"/>
  <c r="AA389" i="3"/>
  <c r="AA390" i="3"/>
  <c r="AA391" i="3"/>
  <c r="AA392" i="3"/>
  <c r="AA393" i="3"/>
  <c r="AA394" i="3"/>
  <c r="AA395" i="3"/>
  <c r="AA396" i="3"/>
  <c r="AA397" i="3"/>
  <c r="AA398" i="3"/>
  <c r="AA400" i="3"/>
  <c r="AA401" i="3"/>
  <c r="AA403" i="3"/>
  <c r="AA404" i="3"/>
  <c r="AA405" i="3"/>
  <c r="AA406" i="3"/>
  <c r="AA407" i="3"/>
  <c r="AA408" i="3"/>
  <c r="AA410" i="3"/>
  <c r="AA412" i="3"/>
  <c r="AA413" i="3"/>
  <c r="AA415" i="3"/>
  <c r="AA416" i="3"/>
  <c r="AA417" i="3"/>
  <c r="AA418" i="3"/>
  <c r="AA419" i="3"/>
  <c r="AA420" i="3"/>
  <c r="AA421" i="3"/>
  <c r="AA422" i="3"/>
  <c r="AA423" i="3"/>
  <c r="AA424" i="3"/>
  <c r="AA425"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5" i="3"/>
  <c r="AA466" i="3"/>
  <c r="AA467" i="3"/>
  <c r="AA468" i="3"/>
  <c r="AA469" i="3"/>
  <c r="AA470" i="3"/>
  <c r="AA471"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4" i="3"/>
  <c r="AA565" i="3"/>
  <c r="AA566" i="3"/>
  <c r="AA567" i="3"/>
  <c r="AA568" i="3"/>
  <c r="AA569" i="3"/>
  <c r="AA570" i="3"/>
  <c r="AA571" i="3"/>
  <c r="AA572" i="3"/>
  <c r="AA573" i="3"/>
  <c r="AA574"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2" i="3"/>
  <c r="AA603" i="3"/>
  <c r="AA604" i="3"/>
  <c r="AA605" i="3"/>
  <c r="AA606" i="3"/>
  <c r="AA607" i="3"/>
  <c r="AA608" i="3"/>
  <c r="AA609" i="3"/>
  <c r="AA610" i="3"/>
  <c r="AA611" i="3"/>
  <c r="AA612" i="3"/>
  <c r="AA613" i="3"/>
  <c r="AA614" i="3"/>
  <c r="AA615" i="3"/>
  <c r="AA616"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5" i="3"/>
  <c r="AA956" i="3"/>
  <c r="AA957" i="3"/>
  <c r="AA958" i="3"/>
  <c r="AA959" i="3"/>
  <c r="AA960" i="3"/>
  <c r="AA961" i="3"/>
  <c r="AA962" i="3"/>
  <c r="AA963" i="3"/>
  <c r="AA964" i="3"/>
  <c r="AA965" i="3"/>
  <c r="AA967" i="3"/>
  <c r="AA968" i="3"/>
  <c r="AA969" i="3"/>
  <c r="AA970" i="3"/>
  <c r="AA971" i="3"/>
  <c r="AA972" i="3"/>
  <c r="AA973" i="3"/>
  <c r="AA974" i="3"/>
  <c r="AA975" i="3"/>
  <c r="AA976" i="3"/>
  <c r="AA978" i="3"/>
  <c r="AA979" i="3"/>
  <c r="AA980" i="3"/>
  <c r="AA981" i="3"/>
  <c r="AA982" i="3"/>
  <c r="AA983" i="3"/>
  <c r="AA984" i="3"/>
  <c r="AA985" i="3"/>
  <c r="AA986" i="3"/>
  <c r="AA987" i="3"/>
  <c r="AA988" i="3"/>
  <c r="AA991" i="3"/>
  <c r="AA992" i="3"/>
  <c r="AA993" i="3"/>
  <c r="AA994" i="3"/>
  <c r="AA995" i="3"/>
  <c r="AA996" i="3"/>
  <c r="AA997" i="3"/>
  <c r="AA998" i="3"/>
  <c r="AA999" i="3"/>
  <c r="AA1000" i="3"/>
  <c r="AA1001" i="3"/>
  <c r="AA1002" i="3"/>
  <c r="AA1003" i="3"/>
  <c r="AA1004" i="3"/>
  <c r="AA1005" i="3"/>
  <c r="AA1006" i="3"/>
  <c r="AA1007" i="3"/>
  <c r="AA1008" i="3"/>
  <c r="AA1012" i="3"/>
  <c r="AA1013" i="3"/>
  <c r="AA1016" i="3"/>
  <c r="AA1017" i="3"/>
  <c r="AA1018" i="3"/>
  <c r="AA1019" i="3"/>
  <c r="AA1020" i="3"/>
  <c r="AA1021" i="3"/>
  <c r="AA1022" i="3"/>
  <c r="AA1023" i="3"/>
  <c r="AA1024" i="3"/>
  <c r="AA1025" i="3"/>
  <c r="AA1027" i="3"/>
  <c r="AA1028" i="3"/>
  <c r="AA1029" i="3"/>
  <c r="AA1030" i="3"/>
  <c r="AA1032" i="3"/>
  <c r="AA1033" i="3"/>
  <c r="AA1035" i="3"/>
  <c r="AA1036" i="3"/>
  <c r="AA1037" i="3"/>
  <c r="AA1038" i="3"/>
  <c r="AA1039" i="3"/>
  <c r="AA1040" i="3"/>
  <c r="AA1041"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7" i="3"/>
  <c r="AA1088" i="3"/>
  <c r="AA1089" i="3"/>
  <c r="AA1090" i="3"/>
  <c r="AA1091" i="3"/>
  <c r="AA1092" i="3"/>
  <c r="AA1093" i="3"/>
  <c r="AA1094" i="3"/>
  <c r="AA1095" i="3"/>
  <c r="AA1096" i="3"/>
  <c r="AA1097" i="3"/>
  <c r="AA1098" i="3"/>
  <c r="AA1099" i="3"/>
  <c r="AA1100" i="3"/>
  <c r="AA1101" i="3"/>
  <c r="AA1102" i="3"/>
  <c r="AA1103" i="3"/>
  <c r="AA1104" i="3"/>
  <c r="AA1105" i="3"/>
  <c r="AA1106" i="3"/>
  <c r="AA1108"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2" i="3"/>
  <c r="AA1153" i="3"/>
  <c r="AA1154" i="3"/>
  <c r="AA1155" i="3"/>
  <c r="AA1156" i="3"/>
  <c r="AA1157" i="3"/>
  <c r="AA1159" i="3"/>
  <c r="AA1160" i="3"/>
  <c r="AA1161" i="3"/>
  <c r="AA1162" i="3"/>
  <c r="AA1163" i="3"/>
  <c r="AA1164" i="3"/>
  <c r="AA1165" i="3"/>
  <c r="AA1167" i="3"/>
  <c r="AA1168" i="3"/>
  <c r="AA1169" i="3"/>
  <c r="AA1170" i="3"/>
  <c r="AA1171" i="3"/>
  <c r="AA1172" i="3"/>
  <c r="AA1173" i="3"/>
  <c r="AA1174" i="3"/>
  <c r="AA1175" i="3"/>
  <c r="AA1177" i="3"/>
  <c r="AA1178" i="3"/>
  <c r="AA1179" i="3"/>
  <c r="AA1180" i="3"/>
  <c r="AA1181" i="3"/>
  <c r="AA1182" i="3"/>
  <c r="AA1183"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2" i="3"/>
  <c r="AA1213" i="3"/>
  <c r="AA1214" i="3"/>
  <c r="AA1215" i="3"/>
  <c r="AA1216" i="3"/>
  <c r="AA1217" i="3"/>
  <c r="AA1218" i="3"/>
  <c r="AA1219" i="3"/>
  <c r="AA1221" i="3"/>
  <c r="AA1222" i="3"/>
  <c r="AA1223" i="3"/>
  <c r="AA1224" i="3"/>
  <c r="AA1225" i="3"/>
  <c r="AA1226" i="3"/>
  <c r="AA1228" i="3"/>
  <c r="AA1229" i="3"/>
  <c r="AA1230" i="3"/>
  <c r="AA1231" i="3"/>
  <c r="AA1232" i="3"/>
  <c r="AA1233" i="3"/>
  <c r="AA1234" i="3"/>
  <c r="AA1235" i="3"/>
  <c r="AA1236" i="3"/>
  <c r="AA1237" i="3"/>
  <c r="AA1238" i="3"/>
  <c r="AA1239" i="3"/>
  <c r="AA1240" i="3"/>
  <c r="AA1241" i="3"/>
  <c r="AA1242" i="3"/>
  <c r="AA1243" i="3"/>
  <c r="AA1244" i="3"/>
  <c r="AA1246" i="3"/>
  <c r="AA1247" i="3"/>
  <c r="AA1248" i="3"/>
  <c r="AA1249" i="3"/>
  <c r="AA1250" i="3"/>
  <c r="AA1251" i="3"/>
  <c r="AA1252" i="3"/>
  <c r="AA1254" i="3"/>
  <c r="AA1255" i="3"/>
  <c r="AA1256" i="3"/>
  <c r="AA1257" i="3"/>
  <c r="AA1258" i="3"/>
  <c r="AA1259" i="3"/>
  <c r="AA1260" i="3"/>
  <c r="AA1261" i="3"/>
  <c r="AA1263" i="3"/>
  <c r="AA1264" i="3"/>
  <c r="AA1265" i="3"/>
  <c r="AA1266" i="3"/>
  <c r="AA1267" i="3"/>
  <c r="AA1268" i="3"/>
  <c r="AA1269" i="3"/>
  <c r="AA1270" i="3"/>
  <c r="AA1271"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8" i="3"/>
  <c r="AA1439" i="3"/>
  <c r="AA1440" i="3"/>
  <c r="AA1442" i="3"/>
  <c r="AA1443" i="3"/>
  <c r="AA3" i="3"/>
  <c r="AG4" i="3" l="1"/>
  <c r="AG5" i="3"/>
  <c r="AG6" i="3"/>
  <c r="AH6" i="3" s="1"/>
  <c r="AG7" i="3"/>
  <c r="AH7" i="3" s="1"/>
  <c r="AG8" i="3"/>
  <c r="AG9" i="3"/>
  <c r="AH9" i="3" s="1"/>
  <c r="AG10" i="3"/>
  <c r="AH10" i="3" s="1"/>
  <c r="AG11" i="3"/>
  <c r="AH11" i="3" s="1"/>
  <c r="AG12" i="3"/>
  <c r="AG13" i="3"/>
  <c r="AG14" i="3"/>
  <c r="AH14" i="3" s="1"/>
  <c r="AG15" i="3"/>
  <c r="AH15" i="3" s="1"/>
  <c r="AG16" i="3"/>
  <c r="AH16" i="3" s="1"/>
  <c r="AG17" i="3"/>
  <c r="AH17" i="3" s="1"/>
  <c r="AG18" i="3"/>
  <c r="AH18" i="3" s="1"/>
  <c r="AG19" i="3"/>
  <c r="AH19" i="3" s="1"/>
  <c r="AG20" i="3"/>
  <c r="AG21" i="3"/>
  <c r="AG22" i="3"/>
  <c r="AG23" i="3"/>
  <c r="AH23" i="3" s="1"/>
  <c r="AG24" i="3"/>
  <c r="AG25" i="3"/>
  <c r="AH25" i="3" s="1"/>
  <c r="AG26" i="3"/>
  <c r="AH26" i="3" s="1"/>
  <c r="AG27" i="3"/>
  <c r="AH27" i="3" s="1"/>
  <c r="AG28" i="3"/>
  <c r="AG29" i="3"/>
  <c r="AH29" i="3" s="1"/>
  <c r="AG30" i="3"/>
  <c r="AH30" i="3" s="1"/>
  <c r="AG31" i="3"/>
  <c r="AH31" i="3" s="1"/>
  <c r="AG32" i="3"/>
  <c r="AH32" i="3" s="1"/>
  <c r="AG33" i="3"/>
  <c r="AH33" i="3" s="1"/>
  <c r="AG34" i="3"/>
  <c r="AH34" i="3" s="1"/>
  <c r="AG35" i="3"/>
  <c r="AH35" i="3" s="1"/>
  <c r="AG36" i="3"/>
  <c r="AG37" i="3"/>
  <c r="AG38" i="3"/>
  <c r="AH38" i="3" s="1"/>
  <c r="AG39" i="3"/>
  <c r="AH39" i="3" s="1"/>
  <c r="AG40" i="3"/>
  <c r="AG41" i="3"/>
  <c r="AH41" i="3" s="1"/>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G57" i="3"/>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G89" i="3"/>
  <c r="AH89" i="3" s="1"/>
  <c r="AG90" i="3"/>
  <c r="AH90" i="3" s="1"/>
  <c r="AG91" i="3"/>
  <c r="AH91" i="3" s="1"/>
  <c r="AG92" i="3"/>
  <c r="AG93" i="3"/>
  <c r="AG94" i="3"/>
  <c r="AH94" i="3" s="1"/>
  <c r="AG95" i="3"/>
  <c r="AH95" i="3" s="1"/>
  <c r="AG96" i="3"/>
  <c r="AH96" i="3" s="1"/>
  <c r="AG97" i="3"/>
  <c r="AH97" i="3" s="1"/>
  <c r="AG98" i="3"/>
  <c r="AH98" i="3" s="1"/>
  <c r="AG99" i="3"/>
  <c r="AH99" i="3" s="1"/>
  <c r="AG100" i="3"/>
  <c r="AG101" i="3"/>
  <c r="AG102" i="3"/>
  <c r="AH102" i="3" s="1"/>
  <c r="AG103" i="3"/>
  <c r="AH103" i="3" s="1"/>
  <c r="AG104" i="3"/>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G119" i="3"/>
  <c r="AH119" i="3" s="1"/>
  <c r="AG120" i="3"/>
  <c r="AG121" i="3"/>
  <c r="AH121" i="3" s="1"/>
  <c r="AG122" i="3"/>
  <c r="AH122" i="3" s="1"/>
  <c r="AG123" i="3"/>
  <c r="AH123" i="3" s="1"/>
  <c r="AG124" i="3"/>
  <c r="AG125" i="3"/>
  <c r="AG126" i="3"/>
  <c r="AH126" i="3" s="1"/>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H142" i="3" s="1"/>
  <c r="AG143" i="3"/>
  <c r="AH143" i="3" s="1"/>
  <c r="AG144" i="3"/>
  <c r="AH144" i="3" s="1"/>
  <c r="AG145" i="3"/>
  <c r="AH145" i="3" s="1"/>
  <c r="AG146" i="3"/>
  <c r="AH146" i="3" s="1"/>
  <c r="AG147" i="3"/>
  <c r="AH147" i="3" s="1"/>
  <c r="AG148" i="3"/>
  <c r="AG149" i="3"/>
  <c r="AG150" i="3"/>
  <c r="AG151" i="3"/>
  <c r="AH151" i="3" s="1"/>
  <c r="AG152" i="3"/>
  <c r="AG153" i="3"/>
  <c r="AG154" i="3"/>
  <c r="AH154" i="3" s="1"/>
  <c r="AG155" i="3"/>
  <c r="AH155" i="3" s="1"/>
  <c r="AG156" i="3"/>
  <c r="AG157" i="3"/>
  <c r="AG158" i="3"/>
  <c r="AH158" i="3" s="1"/>
  <c r="AG159" i="3"/>
  <c r="AH159" i="3" s="1"/>
  <c r="AG160" i="3"/>
  <c r="AH160" i="3" s="1"/>
  <c r="AG161" i="3"/>
  <c r="AH161" i="3" s="1"/>
  <c r="AG162" i="3"/>
  <c r="AH162" i="3" s="1"/>
  <c r="AG163" i="3"/>
  <c r="AH163" i="3" s="1"/>
  <c r="AG164" i="3"/>
  <c r="AG165" i="3"/>
  <c r="AG166" i="3"/>
  <c r="AH166" i="3" s="1"/>
  <c r="AG167" i="3"/>
  <c r="AH167" i="3" s="1"/>
  <c r="AG168" i="3"/>
  <c r="AG169" i="3"/>
  <c r="AH169" i="3" s="1"/>
  <c r="AG170" i="3"/>
  <c r="AH170" i="3" s="1"/>
  <c r="AG171" i="3"/>
  <c r="AH171" i="3" s="1"/>
  <c r="AG172" i="3"/>
  <c r="AG173" i="3"/>
  <c r="AG174" i="3"/>
  <c r="AH174" i="3" s="1"/>
  <c r="AG175" i="3"/>
  <c r="AH175" i="3" s="1"/>
  <c r="AG176" i="3"/>
  <c r="AH176" i="3" s="1"/>
  <c r="AG177" i="3"/>
  <c r="AH177" i="3" s="1"/>
  <c r="AG178" i="3"/>
  <c r="AH178" i="3" s="1"/>
  <c r="AG179" i="3"/>
  <c r="AH179" i="3" s="1"/>
  <c r="AG180" i="3"/>
  <c r="AG181" i="3"/>
  <c r="AG182" i="3"/>
  <c r="AG183" i="3"/>
  <c r="AH183" i="3" s="1"/>
  <c r="AG184" i="3"/>
  <c r="AG185" i="3"/>
  <c r="AH185" i="3" s="1"/>
  <c r="AG186" i="3"/>
  <c r="AH186" i="3" s="1"/>
  <c r="AG187" i="3"/>
  <c r="AH187" i="3" s="1"/>
  <c r="AG188" i="3"/>
  <c r="AG189" i="3"/>
  <c r="AG190" i="3"/>
  <c r="AH190" i="3" s="1"/>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G222" i="3"/>
  <c r="AH222" i="3" s="1"/>
  <c r="AG223" i="3"/>
  <c r="AH223" i="3" s="1"/>
  <c r="AG224" i="3"/>
  <c r="AH224" i="3" s="1"/>
  <c r="AG225" i="3"/>
  <c r="AH225" i="3" s="1"/>
  <c r="AG226" i="3"/>
  <c r="AH226" i="3" s="1"/>
  <c r="AG227" i="3"/>
  <c r="AH227" i="3" s="1"/>
  <c r="AG228" i="3"/>
  <c r="AG229" i="3"/>
  <c r="AG230" i="3"/>
  <c r="AH230" i="3" s="1"/>
  <c r="AG231" i="3"/>
  <c r="AH231" i="3" s="1"/>
  <c r="AG232" i="3"/>
  <c r="AG233" i="3"/>
  <c r="AH233" i="3" s="1"/>
  <c r="AG234" i="3"/>
  <c r="AH234" i="3" s="1"/>
  <c r="AG235" i="3"/>
  <c r="AH235" i="3" s="1"/>
  <c r="AG236" i="3"/>
  <c r="AG237" i="3"/>
  <c r="AG238" i="3"/>
  <c r="AH238" i="3" s="1"/>
  <c r="AG239" i="3"/>
  <c r="AH239" i="3" s="1"/>
  <c r="AG240" i="3"/>
  <c r="AH240" i="3" s="1"/>
  <c r="AG241" i="3"/>
  <c r="AH241" i="3" s="1"/>
  <c r="AG242" i="3"/>
  <c r="AH242" i="3" s="1"/>
  <c r="AG243" i="3"/>
  <c r="AH243" i="3" s="1"/>
  <c r="AG244" i="3"/>
  <c r="AG245" i="3"/>
  <c r="AG246" i="3"/>
  <c r="AG247" i="3"/>
  <c r="AH247" i="3" s="1"/>
  <c r="AG248" i="3"/>
  <c r="AG249" i="3"/>
  <c r="AH249" i="3" s="1"/>
  <c r="AG250" i="3"/>
  <c r="AH250" i="3" s="1"/>
  <c r="AG251" i="3"/>
  <c r="AH251" i="3" s="1"/>
  <c r="AG252" i="3"/>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G270" i="3"/>
  <c r="AH270" i="3" s="1"/>
  <c r="AG271" i="3"/>
  <c r="AH271" i="3" s="1"/>
  <c r="AG272" i="3"/>
  <c r="AH272" i="3" s="1"/>
  <c r="AG273" i="3"/>
  <c r="AH273" i="3" s="1"/>
  <c r="AG274" i="3"/>
  <c r="AH274" i="3" s="1"/>
  <c r="AG275" i="3"/>
  <c r="AH275" i="3" s="1"/>
  <c r="AG276" i="3"/>
  <c r="AG277" i="3"/>
  <c r="AG278" i="3"/>
  <c r="AG279" i="3"/>
  <c r="AH279" i="3" s="1"/>
  <c r="AG280" i="3"/>
  <c r="AG281" i="3"/>
  <c r="AH281" i="3" s="1"/>
  <c r="AG282" i="3"/>
  <c r="AH282" i="3" s="1"/>
  <c r="AG283" i="3"/>
  <c r="AH283" i="3" s="1"/>
  <c r="AG284" i="3"/>
  <c r="AG285" i="3"/>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H313" i="3" s="1"/>
  <c r="AG314" i="3"/>
  <c r="AH314" i="3" s="1"/>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H334" i="3" s="1"/>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H350" i="3" s="1"/>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H398" i="3" s="1"/>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H414" i="3" s="1"/>
  <c r="AG415" i="3"/>
  <c r="AH415" i="3" s="1"/>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H430" i="3" s="1"/>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H446" i="3" s="1"/>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H462" i="3" s="1"/>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H478" i="3" s="1"/>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H494" i="3" s="1"/>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H510" i="3" s="1"/>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H526" i="3" s="1"/>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H542" i="3" s="1"/>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H558" i="3" s="1"/>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H590" i="3" s="1"/>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H606" i="3" s="1"/>
  <c r="AG607" i="3"/>
  <c r="AH607" i="3" s="1"/>
  <c r="AG608" i="3"/>
  <c r="AH608" i="3" s="1"/>
  <c r="AG609" i="3"/>
  <c r="AH609" i="3" s="1"/>
  <c r="AG610" i="3"/>
  <c r="AH610" i="3" s="1"/>
  <c r="AG611" i="3"/>
  <c r="AH611" i="3" s="1"/>
  <c r="AG612" i="3"/>
  <c r="AG613" i="3"/>
  <c r="AG614" i="3"/>
  <c r="AG615" i="3"/>
  <c r="AH615" i="3" s="1"/>
  <c r="AG616" i="3"/>
  <c r="AG617" i="3"/>
  <c r="AH617" i="3" s="1"/>
  <c r="AG618" i="3"/>
  <c r="AH618" i="3" s="1"/>
  <c r="AG619" i="3"/>
  <c r="AH619" i="3" s="1"/>
  <c r="AG620" i="3"/>
  <c r="AG621" i="3"/>
  <c r="AG622" i="3"/>
  <c r="AH622" i="3" s="1"/>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H654" i="3" s="1"/>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H670" i="3" s="1"/>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H686" i="3" s="1"/>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H718" i="3" s="1"/>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H734" i="3" s="1"/>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G761" i="3"/>
  <c r="AG762" i="3"/>
  <c r="AH762" i="3" s="1"/>
  <c r="AG763" i="3"/>
  <c r="AH763" i="3" s="1"/>
  <c r="AG764" i="3"/>
  <c r="AG765" i="3"/>
  <c r="AG766" i="3"/>
  <c r="AH766" i="3" s="1"/>
  <c r="AG767" i="3"/>
  <c r="AH767" i="3" s="1"/>
  <c r="AG768" i="3"/>
  <c r="AH768" i="3" s="1"/>
  <c r="AG769" i="3"/>
  <c r="AH769" i="3" s="1"/>
  <c r="AG770" i="3"/>
  <c r="AH770" i="3" s="1"/>
  <c r="AG771" i="3"/>
  <c r="AH771" i="3" s="1"/>
  <c r="AG772" i="3"/>
  <c r="AG773" i="3"/>
  <c r="AG774" i="3"/>
  <c r="AG775" i="3"/>
  <c r="AH775" i="3" s="1"/>
  <c r="AG776" i="3"/>
  <c r="AG777" i="3"/>
  <c r="AG778" i="3"/>
  <c r="AH778" i="3" s="1"/>
  <c r="AG779" i="3"/>
  <c r="AH779" i="3" s="1"/>
  <c r="AG780" i="3"/>
  <c r="AG781" i="3"/>
  <c r="AG782" i="3"/>
  <c r="AH782" i="3" s="1"/>
  <c r="AG783" i="3"/>
  <c r="AH783" i="3" s="1"/>
  <c r="AG784" i="3"/>
  <c r="AH784" i="3" s="1"/>
  <c r="AG785" i="3"/>
  <c r="AH785" i="3" s="1"/>
  <c r="AG786" i="3"/>
  <c r="AH786" i="3" s="1"/>
  <c r="AG787" i="3"/>
  <c r="AH787" i="3" s="1"/>
  <c r="AG788" i="3"/>
  <c r="AG789" i="3"/>
  <c r="AG790" i="3"/>
  <c r="AG791" i="3"/>
  <c r="AH791" i="3" s="1"/>
  <c r="AG792" i="3"/>
  <c r="AG793" i="3"/>
  <c r="AG794" i="3"/>
  <c r="AG795" i="3"/>
  <c r="AH795" i="3" s="1"/>
  <c r="AG796" i="3"/>
  <c r="AG797" i="3"/>
  <c r="AG798" i="3"/>
  <c r="AH798" i="3" s="1"/>
  <c r="AG799" i="3"/>
  <c r="AH799" i="3" s="1"/>
  <c r="AG800" i="3"/>
  <c r="AH800" i="3" s="1"/>
  <c r="AG801" i="3"/>
  <c r="AH801" i="3" s="1"/>
  <c r="AG802" i="3"/>
  <c r="AH802" i="3" s="1"/>
  <c r="AG803" i="3"/>
  <c r="AH803" i="3" s="1"/>
  <c r="AG804" i="3"/>
  <c r="AG805" i="3"/>
  <c r="AG806" i="3"/>
  <c r="AG807" i="3"/>
  <c r="AH807" i="3" s="1"/>
  <c r="AG808" i="3"/>
  <c r="AG809" i="3"/>
  <c r="AG810" i="3"/>
  <c r="AH810" i="3" s="1"/>
  <c r="AG811" i="3"/>
  <c r="AH811" i="3" s="1"/>
  <c r="AG812" i="3"/>
  <c r="AG813" i="3"/>
  <c r="AG814" i="3"/>
  <c r="AH814" i="3" s="1"/>
  <c r="AG815" i="3"/>
  <c r="AH815" i="3" s="1"/>
  <c r="AG816" i="3"/>
  <c r="AH816" i="3" s="1"/>
  <c r="AG817" i="3"/>
  <c r="AH817" i="3" s="1"/>
  <c r="AG818" i="3"/>
  <c r="AH818" i="3" s="1"/>
  <c r="AG819" i="3"/>
  <c r="AH819" i="3" s="1"/>
  <c r="AG820" i="3"/>
  <c r="AG821" i="3"/>
  <c r="AG822" i="3"/>
  <c r="AG823" i="3"/>
  <c r="AG824" i="3"/>
  <c r="AG825" i="3"/>
  <c r="AG826" i="3"/>
  <c r="AH826" i="3" s="1"/>
  <c r="AG827" i="3"/>
  <c r="AH827" i="3" s="1"/>
  <c r="AG828" i="3"/>
  <c r="AG829" i="3"/>
  <c r="AG830" i="3"/>
  <c r="AH830" i="3" s="1"/>
  <c r="AG831" i="3"/>
  <c r="AH831" i="3" s="1"/>
  <c r="AG832" i="3"/>
  <c r="AH832" i="3" s="1"/>
  <c r="AG833" i="3"/>
  <c r="AH833" i="3" s="1"/>
  <c r="AG834" i="3"/>
  <c r="AH834" i="3" s="1"/>
  <c r="AG835" i="3"/>
  <c r="AH835" i="3" s="1"/>
  <c r="AG836" i="3"/>
  <c r="AG837" i="3"/>
  <c r="AG838" i="3"/>
  <c r="AG839" i="3"/>
  <c r="AH839" i="3" s="1"/>
  <c r="AG840" i="3"/>
  <c r="AG841" i="3"/>
  <c r="AG842" i="3"/>
  <c r="AH842" i="3" s="1"/>
  <c r="AG843" i="3"/>
  <c r="AH843" i="3" s="1"/>
  <c r="AG844" i="3"/>
  <c r="AG845" i="3"/>
  <c r="AG846" i="3"/>
  <c r="AH846" i="3" s="1"/>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H862" i="3" s="1"/>
  <c r="AG863" i="3"/>
  <c r="AH863" i="3" s="1"/>
  <c r="AG864" i="3"/>
  <c r="AH864" i="3" s="1"/>
  <c r="AG865" i="3"/>
  <c r="AH865" i="3" s="1"/>
  <c r="AG866" i="3"/>
  <c r="AH866" i="3" s="1"/>
  <c r="AG867" i="3"/>
  <c r="AH867" i="3" s="1"/>
  <c r="AG868" i="3"/>
  <c r="AG869" i="3"/>
  <c r="AG870" i="3"/>
  <c r="AG871" i="3"/>
  <c r="AH871" i="3" s="1"/>
  <c r="AG872" i="3"/>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H894" i="3" s="1"/>
  <c r="AG895" i="3"/>
  <c r="AH895" i="3" s="1"/>
  <c r="AG896" i="3"/>
  <c r="AH896" i="3" s="1"/>
  <c r="AG897" i="3"/>
  <c r="AH897" i="3" s="1"/>
  <c r="AG898" i="3"/>
  <c r="AH898" i="3" s="1"/>
  <c r="AG899" i="3"/>
  <c r="AH899" i="3" s="1"/>
  <c r="AG900" i="3"/>
  <c r="AG901" i="3"/>
  <c r="AG902" i="3"/>
  <c r="AG903" i="3"/>
  <c r="AH903" i="3" s="1"/>
  <c r="AG904" i="3"/>
  <c r="AG905" i="3"/>
  <c r="AG906" i="3"/>
  <c r="AH906" i="3" s="1"/>
  <c r="AG907" i="3"/>
  <c r="AH907" i="3" s="1"/>
  <c r="AG908" i="3"/>
  <c r="AG909" i="3"/>
  <c r="AG910" i="3"/>
  <c r="AH910" i="3" s="1"/>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H926" i="3" s="1"/>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H942" i="3" s="1"/>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H958" i="3" s="1"/>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H974" i="3" s="1"/>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G990" i="3"/>
  <c r="AH990" i="3" s="1"/>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G1005" i="3"/>
  <c r="AG1006" i="3"/>
  <c r="AH1006" i="3" s="1"/>
  <c r="AG1007" i="3"/>
  <c r="AH1007" i="3" s="1"/>
  <c r="AG1008" i="3"/>
  <c r="AH1008" i="3" s="1"/>
  <c r="AG1009" i="3"/>
  <c r="AH1009" i="3" s="1"/>
  <c r="AG1011" i="3"/>
  <c r="AH1011" i="3" s="1"/>
  <c r="AG1012" i="3"/>
  <c r="AH1012" i="3" s="1"/>
  <c r="AG1013" i="3"/>
  <c r="AG1014" i="3"/>
  <c r="AH1014" i="3" s="1"/>
  <c r="AG1015" i="3"/>
  <c r="AG1016" i="3"/>
  <c r="AH1016" i="3" s="1"/>
  <c r="AG1017" i="3"/>
  <c r="AG1018" i="3"/>
  <c r="AG1019" i="3"/>
  <c r="AH1019" i="3" s="1"/>
  <c r="AG1020" i="3"/>
  <c r="AH1020" i="3" s="1"/>
  <c r="AG1021" i="3"/>
  <c r="AG1022" i="3"/>
  <c r="AG1023" i="3"/>
  <c r="AH1023" i="3" s="1"/>
  <c r="AG1024" i="3"/>
  <c r="AH1024" i="3" s="1"/>
  <c r="AG1025" i="3"/>
  <c r="AH1025" i="3" s="1"/>
  <c r="AG1026" i="3"/>
  <c r="AH1026" i="3" s="1"/>
  <c r="AG1027" i="3"/>
  <c r="AH1027" i="3" s="1"/>
  <c r="AG1028" i="3"/>
  <c r="AH1028" i="3" s="1"/>
  <c r="AG1029" i="3"/>
  <c r="AG1030" i="3"/>
  <c r="AG1031" i="3"/>
  <c r="AG1032" i="3"/>
  <c r="AH1032" i="3" s="1"/>
  <c r="AG1033" i="3"/>
  <c r="AG1034" i="3"/>
  <c r="AG1035" i="3"/>
  <c r="AH1035" i="3" s="1"/>
  <c r="AG1036" i="3"/>
  <c r="AH1036" i="3" s="1"/>
  <c r="AG1037" i="3"/>
  <c r="AG1038" i="3"/>
  <c r="AG1039" i="3"/>
  <c r="AH1039" i="3" s="1"/>
  <c r="AG1040" i="3"/>
  <c r="AH1040" i="3" s="1"/>
  <c r="AG1041" i="3"/>
  <c r="AH1041" i="3" s="1"/>
  <c r="AG1042" i="3"/>
  <c r="AH1042" i="3" s="1"/>
  <c r="AG1043" i="3"/>
  <c r="AH1043" i="3" s="1"/>
  <c r="AG1044" i="3"/>
  <c r="AH1044" i="3" s="1"/>
  <c r="AG1045" i="3"/>
  <c r="AG1046" i="3"/>
  <c r="AG1047" i="3"/>
  <c r="AG1048" i="3"/>
  <c r="AH1048" i="3" s="1"/>
  <c r="AG1049" i="3"/>
  <c r="AG1050" i="3"/>
  <c r="AG1051" i="3"/>
  <c r="AH1051" i="3" s="1"/>
  <c r="AG1052" i="3"/>
  <c r="AH1052" i="3" s="1"/>
  <c r="AG1053" i="3"/>
  <c r="AG1054" i="3"/>
  <c r="AG1055" i="3"/>
  <c r="AH1055" i="3" s="1"/>
  <c r="AG1056" i="3"/>
  <c r="AH1056" i="3" s="1"/>
  <c r="AG1057" i="3"/>
  <c r="AH1057" i="3" s="1"/>
  <c r="AG1058" i="3"/>
  <c r="AH1058" i="3" s="1"/>
  <c r="AG1059" i="3"/>
  <c r="AH1059" i="3" s="1"/>
  <c r="AG1060" i="3"/>
  <c r="AH1060" i="3" s="1"/>
  <c r="AG1061" i="3"/>
  <c r="AG1062" i="3"/>
  <c r="AG1063" i="3"/>
  <c r="AG1064" i="3"/>
  <c r="AH1064" i="3" s="1"/>
  <c r="AG1065" i="3"/>
  <c r="AG1066" i="3"/>
  <c r="AG1067" i="3"/>
  <c r="AG1068" i="3"/>
  <c r="AH1068" i="3" s="1"/>
  <c r="AG1069" i="3"/>
  <c r="AG1070" i="3"/>
  <c r="AG1071" i="3"/>
  <c r="AH1071" i="3" s="1"/>
  <c r="AG1072" i="3"/>
  <c r="AH1072" i="3" s="1"/>
  <c r="AG1073" i="3"/>
  <c r="AH1073" i="3" s="1"/>
  <c r="AG1074" i="3"/>
  <c r="AH1074" i="3" s="1"/>
  <c r="AG1075" i="3"/>
  <c r="AH1075" i="3" s="1"/>
  <c r="AG1076" i="3"/>
  <c r="AH1076" i="3" s="1"/>
  <c r="AG1077" i="3"/>
  <c r="AG1078" i="3"/>
  <c r="AG1079" i="3"/>
  <c r="AG1080" i="3"/>
  <c r="AG1081" i="3"/>
  <c r="AG1082" i="3"/>
  <c r="AG1083" i="3"/>
  <c r="AH1083" i="3" s="1"/>
  <c r="AG1084" i="3"/>
  <c r="AH1084" i="3" s="1"/>
  <c r="AG1085" i="3"/>
  <c r="AG1086" i="3"/>
  <c r="AG1087" i="3"/>
  <c r="AH1087" i="3" s="1"/>
  <c r="AG1088" i="3"/>
  <c r="AH1088" i="3" s="1"/>
  <c r="AG1089" i="3"/>
  <c r="AH1089" i="3" s="1"/>
  <c r="AG1090" i="3"/>
  <c r="AH1090" i="3" s="1"/>
  <c r="AG1091" i="3"/>
  <c r="AH1091" i="3" s="1"/>
  <c r="AG1092" i="3"/>
  <c r="AH1092" i="3" s="1"/>
  <c r="AG1093" i="3"/>
  <c r="AG1094" i="3"/>
  <c r="AG1095" i="3"/>
  <c r="AG1096" i="3"/>
  <c r="AH1096" i="3" s="1"/>
  <c r="AG1097" i="3"/>
  <c r="AG1098" i="3"/>
  <c r="AG1099" i="3"/>
  <c r="AG1100" i="3"/>
  <c r="AH1100" i="3" s="1"/>
  <c r="AG1101" i="3"/>
  <c r="AG1102" i="3"/>
  <c r="AG1103" i="3"/>
  <c r="AH1103" i="3" s="1"/>
  <c r="AG1104" i="3"/>
  <c r="AH1104" i="3" s="1"/>
  <c r="AG1105" i="3"/>
  <c r="AH1105" i="3" s="1"/>
  <c r="AG1106" i="3"/>
  <c r="AH1106" i="3" s="1"/>
  <c r="AG1107" i="3"/>
  <c r="AH1107" i="3" s="1"/>
  <c r="AG1108" i="3"/>
  <c r="AH1108" i="3" s="1"/>
  <c r="AG1109" i="3"/>
  <c r="AH1109" i="3" s="1"/>
  <c r="AG1110" i="3"/>
  <c r="AG1111" i="3"/>
  <c r="AG1112" i="3"/>
  <c r="AH1112" i="3" s="1"/>
  <c r="AG1113" i="3"/>
  <c r="AG1114" i="3"/>
  <c r="AG1115" i="3"/>
  <c r="AH1115" i="3" s="1"/>
  <c r="AG1116" i="3"/>
  <c r="AH1116" i="3" s="1"/>
  <c r="AG1117" i="3"/>
  <c r="AG1118" i="3"/>
  <c r="AG1119" i="3"/>
  <c r="AH1119" i="3" s="1"/>
  <c r="AG1120" i="3"/>
  <c r="AH1120" i="3" s="1"/>
  <c r="AG1121" i="3"/>
  <c r="AH1121" i="3" s="1"/>
  <c r="AG1122" i="3"/>
  <c r="AH1122" i="3" s="1"/>
  <c r="AG1123" i="3"/>
  <c r="AH1123" i="3" s="1"/>
  <c r="AG1124" i="3"/>
  <c r="AH1124" i="3" s="1"/>
  <c r="AG1125" i="3"/>
  <c r="AG1126" i="3"/>
  <c r="AG1127" i="3"/>
  <c r="AG1128" i="3"/>
  <c r="AH1128" i="3" s="1"/>
  <c r="AG1129" i="3"/>
  <c r="AG1130" i="3"/>
  <c r="AG1131" i="3"/>
  <c r="AH1131" i="3" s="1"/>
  <c r="AG1132" i="3"/>
  <c r="AH1132" i="3" s="1"/>
  <c r="AG1133" i="3"/>
  <c r="AG1134" i="3"/>
  <c r="AG1135" i="3"/>
  <c r="AH1135" i="3" s="1"/>
  <c r="AG1136" i="3"/>
  <c r="AH1136" i="3" s="1"/>
  <c r="AG1137" i="3"/>
  <c r="AH1137" i="3" s="1"/>
  <c r="AG1138" i="3"/>
  <c r="AH1138" i="3" s="1"/>
  <c r="AG1139" i="3"/>
  <c r="AH1139" i="3" s="1"/>
  <c r="AG1140" i="3"/>
  <c r="AH1140" i="3" s="1"/>
  <c r="AG1141" i="3"/>
  <c r="AG1142" i="3"/>
  <c r="AG1143" i="3"/>
  <c r="AG1144" i="3"/>
  <c r="AH1144" i="3" s="1"/>
  <c r="AG1145" i="3"/>
  <c r="AG1146" i="3"/>
  <c r="AG1147" i="3"/>
  <c r="AH1147" i="3" s="1"/>
  <c r="AG1148" i="3"/>
  <c r="AH1148" i="3" s="1"/>
  <c r="AG1149" i="3"/>
  <c r="AG1150" i="3"/>
  <c r="AG1151" i="3"/>
  <c r="AH1151" i="3" s="1"/>
  <c r="AG1152" i="3"/>
  <c r="AH1152" i="3" s="1"/>
  <c r="AG1153" i="3"/>
  <c r="AH1153" i="3" s="1"/>
  <c r="AG1154" i="3"/>
  <c r="AH1154" i="3" s="1"/>
  <c r="AG1155" i="3"/>
  <c r="AH1155" i="3" s="1"/>
  <c r="AG1156" i="3"/>
  <c r="AH1156" i="3" s="1"/>
  <c r="AG1157" i="3"/>
  <c r="AG1158" i="3"/>
  <c r="AH1158" i="3" s="1"/>
  <c r="AG1159" i="3"/>
  <c r="AG1160" i="3"/>
  <c r="AH1160" i="3" s="1"/>
  <c r="AG1161" i="3"/>
  <c r="AG1162" i="3"/>
  <c r="AG1163" i="3"/>
  <c r="AH1163" i="3" s="1"/>
  <c r="AG1164" i="3"/>
  <c r="AH1164" i="3" s="1"/>
  <c r="AG1165" i="3"/>
  <c r="AG1166" i="3"/>
  <c r="AG1167" i="3"/>
  <c r="AG1168" i="3"/>
  <c r="AH1168" i="3" s="1"/>
  <c r="AG1169" i="3"/>
  <c r="AH1169" i="3" s="1"/>
  <c r="AG1170" i="3"/>
  <c r="AH1170" i="3" s="1"/>
  <c r="AG1171" i="3"/>
  <c r="AH1171" i="3" s="1"/>
  <c r="AG1172" i="3"/>
  <c r="AH1172" i="3" s="1"/>
  <c r="AG1173" i="3"/>
  <c r="AG1174" i="3"/>
  <c r="AG1175" i="3"/>
  <c r="AG1176" i="3"/>
  <c r="AH1176" i="3" s="1"/>
  <c r="AG1177" i="3"/>
  <c r="AG1178" i="3"/>
  <c r="AG1179" i="3"/>
  <c r="AH1179" i="3" s="1"/>
  <c r="AG1180" i="3"/>
  <c r="AH1180" i="3" s="1"/>
  <c r="AG1181" i="3"/>
  <c r="AG1182" i="3"/>
  <c r="AG1183" i="3"/>
  <c r="AH1183" i="3" s="1"/>
  <c r="AG1184" i="3"/>
  <c r="AH1184" i="3" s="1"/>
  <c r="AG1185" i="3"/>
  <c r="AH1185" i="3" s="1"/>
  <c r="AG1186" i="3"/>
  <c r="AH1186" i="3" s="1"/>
  <c r="AG1187" i="3"/>
  <c r="AH1187" i="3" s="1"/>
  <c r="AG1188" i="3"/>
  <c r="AH1188" i="3" s="1"/>
  <c r="AG1189" i="3"/>
  <c r="AG1190" i="3"/>
  <c r="AG1191" i="3"/>
  <c r="AG1192" i="3"/>
  <c r="AH1192" i="3" s="1"/>
  <c r="AG1193" i="3"/>
  <c r="AG1194" i="3"/>
  <c r="AG1195" i="3"/>
  <c r="AH1195" i="3" s="1"/>
  <c r="AG1196" i="3"/>
  <c r="AH1196" i="3" s="1"/>
  <c r="AG1197" i="3"/>
  <c r="AG1198" i="3"/>
  <c r="AG1199" i="3"/>
  <c r="AG1200" i="3"/>
  <c r="AH1200" i="3" s="1"/>
  <c r="AG1201" i="3"/>
  <c r="AH1201" i="3" s="1"/>
  <c r="AG1202" i="3"/>
  <c r="AH1202" i="3" s="1"/>
  <c r="AG1203" i="3"/>
  <c r="AH1203" i="3" s="1"/>
  <c r="AG1204" i="3"/>
  <c r="AH1204" i="3" s="1"/>
  <c r="AG1205" i="3"/>
  <c r="AG1206" i="3"/>
  <c r="AG1207" i="3"/>
  <c r="AG1208" i="3"/>
  <c r="AH1208" i="3" s="1"/>
  <c r="AG1209" i="3"/>
  <c r="AG1210" i="3"/>
  <c r="AG1211" i="3"/>
  <c r="AH1211" i="3" s="1"/>
  <c r="AG1212" i="3"/>
  <c r="AH1212" i="3" s="1"/>
  <c r="AG1213" i="3"/>
  <c r="AG1214" i="3"/>
  <c r="AG1215" i="3"/>
  <c r="AH1215" i="3" s="1"/>
  <c r="AG1216" i="3"/>
  <c r="AH1216" i="3" s="1"/>
  <c r="AG1217" i="3"/>
  <c r="AH1217" i="3" s="1"/>
  <c r="AG1218" i="3"/>
  <c r="AH1218" i="3" s="1"/>
  <c r="AG1219" i="3"/>
  <c r="AH1219" i="3" s="1"/>
  <c r="AG1220" i="3"/>
  <c r="AH1220" i="3" s="1"/>
  <c r="AG1221" i="3"/>
  <c r="AG1222" i="3"/>
  <c r="AG1223" i="3"/>
  <c r="AG1224" i="3"/>
  <c r="AH1224" i="3" s="1"/>
  <c r="AG1225" i="3"/>
  <c r="AG1226" i="3"/>
  <c r="AG1227" i="3"/>
  <c r="AH1227" i="3" s="1"/>
  <c r="AG1228" i="3"/>
  <c r="AH1228" i="3" s="1"/>
  <c r="AG1229" i="3"/>
  <c r="AG1230" i="3"/>
  <c r="AG1231" i="3"/>
  <c r="AG1232" i="3"/>
  <c r="AH1232" i="3" s="1"/>
  <c r="AG1233" i="3"/>
  <c r="AH1233" i="3" s="1"/>
  <c r="AG1234" i="3"/>
  <c r="AH1234" i="3" s="1"/>
  <c r="AG1235" i="3"/>
  <c r="AH1235" i="3" s="1"/>
  <c r="AG1236" i="3"/>
  <c r="AH1236" i="3" s="1"/>
  <c r="AG1237" i="3"/>
  <c r="AG1238" i="3"/>
  <c r="AG1239" i="3"/>
  <c r="AG1240" i="3"/>
  <c r="AH1240" i="3" s="1"/>
  <c r="AG1241" i="3"/>
  <c r="AG1242" i="3"/>
  <c r="AG1243" i="3"/>
  <c r="AH1243" i="3" s="1"/>
  <c r="AG1244" i="3"/>
  <c r="AH1244" i="3" s="1"/>
  <c r="AG1245" i="3"/>
  <c r="AG1246" i="3"/>
  <c r="AG1247" i="3"/>
  <c r="AH1247" i="3" s="1"/>
  <c r="AG1248" i="3"/>
  <c r="AH1248" i="3" s="1"/>
  <c r="AG1249" i="3"/>
  <c r="AH1249" i="3" s="1"/>
  <c r="AG1250" i="3"/>
  <c r="AH1250" i="3" s="1"/>
  <c r="AG1251" i="3"/>
  <c r="AH1251" i="3" s="1"/>
  <c r="AG1252" i="3"/>
  <c r="AH1252" i="3" s="1"/>
  <c r="AG1253" i="3"/>
  <c r="AH1253" i="3" s="1"/>
  <c r="AG1254" i="3"/>
  <c r="AG1255" i="3"/>
  <c r="AG1256" i="3"/>
  <c r="AH1256" i="3" s="1"/>
  <c r="AG1257" i="3"/>
  <c r="AG1258" i="3"/>
  <c r="AG1259" i="3"/>
  <c r="AH1259" i="3" s="1"/>
  <c r="AG1260" i="3"/>
  <c r="AH1260" i="3" s="1"/>
  <c r="AG1261" i="3"/>
  <c r="AG1262" i="3"/>
  <c r="AH1262" i="3" s="1"/>
  <c r="AG1263" i="3"/>
  <c r="AG1264" i="3"/>
  <c r="AH1264" i="3" s="1"/>
  <c r="AG1265" i="3"/>
  <c r="AH1265" i="3" s="1"/>
  <c r="AG1266" i="3"/>
  <c r="AH1266" i="3" s="1"/>
  <c r="AG1267" i="3"/>
  <c r="AH1267" i="3" s="1"/>
  <c r="AG1268" i="3"/>
  <c r="AH1268" i="3" s="1"/>
  <c r="AG1269" i="3"/>
  <c r="AG1270" i="3"/>
  <c r="AG1271" i="3"/>
  <c r="AG1272" i="3"/>
  <c r="AH1272" i="3" s="1"/>
  <c r="AG1273" i="3"/>
  <c r="AG1274" i="3"/>
  <c r="AG1275" i="3"/>
  <c r="AG1276" i="3"/>
  <c r="AH1276" i="3" s="1"/>
  <c r="AG1277" i="3"/>
  <c r="AG1278" i="3"/>
  <c r="AG1279" i="3"/>
  <c r="AH1279" i="3" s="1"/>
  <c r="AG1280" i="3"/>
  <c r="AH1280" i="3" s="1"/>
  <c r="AG1281" i="3"/>
  <c r="AH1281" i="3" s="1"/>
  <c r="AG1282" i="3"/>
  <c r="AH1282" i="3" s="1"/>
  <c r="AG1283" i="3"/>
  <c r="AH1283" i="3" s="1"/>
  <c r="AG1284" i="3"/>
  <c r="AH1284" i="3" s="1"/>
  <c r="AG1285" i="3"/>
  <c r="AG1286" i="3"/>
  <c r="AG1287" i="3"/>
  <c r="AG1288" i="3"/>
  <c r="AH1288" i="3" s="1"/>
  <c r="AG1289" i="3"/>
  <c r="AG1290" i="3"/>
  <c r="AG1291" i="3"/>
  <c r="AH1291" i="3" s="1"/>
  <c r="AG1292" i="3"/>
  <c r="AH1292" i="3" s="1"/>
  <c r="AG1293" i="3"/>
  <c r="AG1294" i="3"/>
  <c r="AG1295" i="3"/>
  <c r="AH1295" i="3" s="1"/>
  <c r="AG1296" i="3"/>
  <c r="AH1296" i="3" s="1"/>
  <c r="AG1297" i="3"/>
  <c r="AH1297" i="3" s="1"/>
  <c r="AG1298" i="3"/>
  <c r="AH1298" i="3" s="1"/>
  <c r="AG1299" i="3"/>
  <c r="AH1299" i="3" s="1"/>
  <c r="AG1300" i="3"/>
  <c r="AH1300" i="3" s="1"/>
  <c r="AG1301" i="3"/>
  <c r="AG1302" i="3"/>
  <c r="AG1303" i="3"/>
  <c r="AG1304" i="3"/>
  <c r="AH1304" i="3" s="1"/>
  <c r="AG1305" i="3"/>
  <c r="AG1306" i="3"/>
  <c r="AG1307" i="3"/>
  <c r="AG1308" i="3"/>
  <c r="AH1308" i="3" s="1"/>
  <c r="AG1309" i="3"/>
  <c r="AG1310" i="3"/>
  <c r="AG1311" i="3"/>
  <c r="AH1311" i="3" s="1"/>
  <c r="AG1312" i="3"/>
  <c r="AH1312" i="3" s="1"/>
  <c r="AG1313" i="3"/>
  <c r="AH1313" i="3" s="1"/>
  <c r="AG1314" i="3"/>
  <c r="AH1314" i="3" s="1"/>
  <c r="AG1315" i="3"/>
  <c r="AH1315" i="3" s="1"/>
  <c r="AG1316" i="3"/>
  <c r="AH1316" i="3" s="1"/>
  <c r="AG1317" i="3"/>
  <c r="AG1318" i="3"/>
  <c r="AG1319" i="3"/>
  <c r="AG1320" i="3"/>
  <c r="AH1320" i="3" s="1"/>
  <c r="AG1321" i="3"/>
  <c r="AG1322" i="3"/>
  <c r="AG1323" i="3"/>
  <c r="AH1323" i="3" s="1"/>
  <c r="AG1324" i="3"/>
  <c r="AH1324" i="3" s="1"/>
  <c r="AG1325" i="3"/>
  <c r="AG1326" i="3"/>
  <c r="AG1327" i="3"/>
  <c r="AH1327" i="3" s="1"/>
  <c r="AG1328" i="3"/>
  <c r="AH1328" i="3" s="1"/>
  <c r="AG1329" i="3"/>
  <c r="AH1329" i="3" s="1"/>
  <c r="AG1330" i="3"/>
  <c r="AH1330" i="3" s="1"/>
  <c r="AG1331" i="3"/>
  <c r="AH1331" i="3" s="1"/>
  <c r="AG1332" i="3"/>
  <c r="AH1332" i="3" s="1"/>
  <c r="AG1333" i="3"/>
  <c r="AG1334" i="3"/>
  <c r="AG1335" i="3"/>
  <c r="AG1336" i="3"/>
  <c r="AG1337" i="3"/>
  <c r="AG1338" i="3"/>
  <c r="AG1339" i="3"/>
  <c r="AH1339" i="3" s="1"/>
  <c r="AG1340" i="3"/>
  <c r="AH1340" i="3" s="1"/>
  <c r="AG1341" i="3"/>
  <c r="AG1342" i="3"/>
  <c r="AG1343" i="3"/>
  <c r="AH1343" i="3" s="1"/>
  <c r="AG1344" i="3"/>
  <c r="AH1344" i="3" s="1"/>
  <c r="AG1345" i="3"/>
  <c r="AH1345" i="3" s="1"/>
  <c r="AG1346" i="3"/>
  <c r="AH1346" i="3" s="1"/>
  <c r="AG1347" i="3"/>
  <c r="AH1347" i="3" s="1"/>
  <c r="AG1348" i="3"/>
  <c r="AH1348" i="3" s="1"/>
  <c r="AG1349" i="3"/>
  <c r="AG1350" i="3"/>
  <c r="AG1351" i="3"/>
  <c r="AG1352" i="3"/>
  <c r="AH1352" i="3" s="1"/>
  <c r="AG1353" i="3"/>
  <c r="AG1354" i="3"/>
  <c r="AG1355" i="3"/>
  <c r="AH1355" i="3" s="1"/>
  <c r="AG1356" i="3"/>
  <c r="AH1356" i="3" s="1"/>
  <c r="AG1357" i="3"/>
  <c r="AG1358" i="3"/>
  <c r="AG1359" i="3"/>
  <c r="AH1359" i="3" s="1"/>
  <c r="AG1360" i="3"/>
  <c r="AH1360" i="3" s="1"/>
  <c r="AG1361" i="3"/>
  <c r="AH1361" i="3" s="1"/>
  <c r="AG1362" i="3"/>
  <c r="AH1362" i="3" s="1"/>
  <c r="AG1363" i="3"/>
  <c r="AH1363" i="3" s="1"/>
  <c r="AG1364" i="3"/>
  <c r="AH1364" i="3" s="1"/>
  <c r="AG1365" i="3"/>
  <c r="AG1366" i="3"/>
  <c r="AG1367" i="3"/>
  <c r="AG1368" i="3"/>
  <c r="AH1368" i="3" s="1"/>
  <c r="AG1369" i="3"/>
  <c r="AG1370" i="3"/>
  <c r="AG1371" i="3"/>
  <c r="AH1371" i="3" s="1"/>
  <c r="AG1372" i="3"/>
  <c r="AH1372" i="3" s="1"/>
  <c r="AG1373" i="3"/>
  <c r="AG1374" i="3"/>
  <c r="AG1375" i="3"/>
  <c r="AH1375" i="3" s="1"/>
  <c r="AG1376" i="3"/>
  <c r="AH1376" i="3" s="1"/>
  <c r="AG1377" i="3"/>
  <c r="AH1377" i="3" s="1"/>
  <c r="AG1378" i="3"/>
  <c r="AH1378" i="3" s="1"/>
  <c r="AG1379" i="3"/>
  <c r="AH1379" i="3" s="1"/>
  <c r="AG1380" i="3"/>
  <c r="AH1380" i="3" s="1"/>
  <c r="AG1381" i="3"/>
  <c r="AG1382" i="3"/>
  <c r="AG1383" i="3"/>
  <c r="AG1384" i="3"/>
  <c r="AH1384" i="3" s="1"/>
  <c r="AG1385" i="3"/>
  <c r="AG1386" i="3"/>
  <c r="AG1387" i="3"/>
  <c r="AH1387" i="3" s="1"/>
  <c r="AG1388" i="3"/>
  <c r="AH1388" i="3" s="1"/>
  <c r="AG1389" i="3"/>
  <c r="AG1390" i="3"/>
  <c r="AG1391" i="3"/>
  <c r="AH1391" i="3" s="1"/>
  <c r="AG1392" i="3"/>
  <c r="AH1392" i="3" s="1"/>
  <c r="AG1393" i="3"/>
  <c r="AH1393" i="3" s="1"/>
  <c r="AG1394" i="3"/>
  <c r="AH1394" i="3" s="1"/>
  <c r="AG1395" i="3"/>
  <c r="AH1395" i="3" s="1"/>
  <c r="AG1396" i="3"/>
  <c r="AH1396" i="3" s="1"/>
  <c r="AG1397" i="3"/>
  <c r="AG1398" i="3"/>
  <c r="AG1399" i="3"/>
  <c r="AG1400" i="3"/>
  <c r="AH1400" i="3" s="1"/>
  <c r="AG1401" i="3"/>
  <c r="AG1402" i="3"/>
  <c r="AG1403" i="3"/>
  <c r="AH1403" i="3" s="1"/>
  <c r="AG1404" i="3"/>
  <c r="AH1404" i="3" s="1"/>
  <c r="AG1405" i="3"/>
  <c r="AG1406" i="3"/>
  <c r="AG1407" i="3"/>
  <c r="AH1407" i="3" s="1"/>
  <c r="AG1408" i="3"/>
  <c r="AH1408" i="3" s="1"/>
  <c r="AG1409" i="3"/>
  <c r="AH1409" i="3" s="1"/>
  <c r="AG1410" i="3"/>
  <c r="AH1410" i="3" s="1"/>
  <c r="AG1411" i="3"/>
  <c r="AH1411" i="3" s="1"/>
  <c r="AG1412" i="3"/>
  <c r="AH1412" i="3" s="1"/>
  <c r="AG1413" i="3"/>
  <c r="AG1414" i="3"/>
  <c r="AG1415" i="3"/>
  <c r="AG1416" i="3"/>
  <c r="AH1416" i="3" s="1"/>
  <c r="AG1417" i="3"/>
  <c r="AG1418" i="3"/>
  <c r="AG1419" i="3"/>
  <c r="AH1419" i="3" s="1"/>
  <c r="AG1420" i="3"/>
  <c r="AH1420" i="3" s="1"/>
  <c r="AG1421" i="3"/>
  <c r="AG1422" i="3"/>
  <c r="AG1423" i="3"/>
  <c r="AH1423" i="3" s="1"/>
  <c r="AG1424" i="3"/>
  <c r="AH1424" i="3" s="1"/>
  <c r="AG1425" i="3"/>
  <c r="AH1425" i="3" s="1"/>
  <c r="AG1426" i="3"/>
  <c r="AH1426" i="3" s="1"/>
  <c r="AG1427" i="3"/>
  <c r="AH1427" i="3" s="1"/>
  <c r="AG1428" i="3"/>
  <c r="AH1428" i="3" s="1"/>
  <c r="AG1429" i="3"/>
  <c r="AG1430" i="3"/>
  <c r="AG1431" i="3"/>
  <c r="AG1432" i="3"/>
  <c r="AH1432" i="3" s="1"/>
  <c r="AG1433" i="3"/>
  <c r="AG1434" i="3"/>
  <c r="AG1435" i="3"/>
  <c r="AH1435" i="3" s="1"/>
  <c r="AG1436" i="3"/>
  <c r="AH1436" i="3" s="1"/>
  <c r="AG1437" i="3"/>
  <c r="AG1438" i="3"/>
  <c r="AG1439" i="3"/>
  <c r="AH1439" i="3" s="1"/>
  <c r="AG1440" i="3"/>
  <c r="AH1440" i="3" s="1"/>
  <c r="AG1441" i="3"/>
  <c r="AH1441" i="3" s="1"/>
  <c r="AG1442" i="3"/>
  <c r="AH1442" i="3" s="1"/>
  <c r="AG1443" i="3"/>
  <c r="AH1443" i="3" s="1"/>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H24"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H40"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H56"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H88"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H104"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H152"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H168"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H184"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H232"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H760"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H776"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H792"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H808"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H823"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H840"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H872"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H904"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H1015" i="3"/>
  <c r="AJ1015" i="3"/>
  <c r="AL1015" i="3"/>
  <c r="AN1015" i="3"/>
  <c r="AP1015" i="3"/>
  <c r="AR1015"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H1031" i="3"/>
  <c r="AJ1031" i="3"/>
  <c r="AL1031" i="3"/>
  <c r="AN1031" i="3"/>
  <c r="AP1031" i="3"/>
  <c r="AR1031"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H1047" i="3"/>
  <c r="AJ1047" i="3"/>
  <c r="AL1047" i="3"/>
  <c r="AN1047" i="3"/>
  <c r="AP1047" i="3"/>
  <c r="AR1047"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H1063" i="3"/>
  <c r="AJ1063" i="3"/>
  <c r="AL1063" i="3"/>
  <c r="AN1063" i="3"/>
  <c r="AP1063" i="3"/>
  <c r="AR1063" i="3"/>
  <c r="AJ1064" i="3"/>
  <c r="AL1064" i="3"/>
  <c r="AN1064" i="3"/>
  <c r="AP1064" i="3"/>
  <c r="AR1064" i="3"/>
  <c r="AH1065" i="3"/>
  <c r="AJ1065" i="3"/>
  <c r="AL1065" i="3"/>
  <c r="AN1065" i="3"/>
  <c r="AP1065" i="3"/>
  <c r="AR1065" i="3"/>
  <c r="AH1066" i="3"/>
  <c r="AJ1066" i="3"/>
  <c r="AL1066" i="3"/>
  <c r="AN1066" i="3"/>
  <c r="AP1066" i="3"/>
  <c r="AR1066" i="3"/>
  <c r="AH1067"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H1079" i="3"/>
  <c r="AJ1079" i="3"/>
  <c r="AL1079" i="3"/>
  <c r="AN1079" i="3"/>
  <c r="AP1079" i="3"/>
  <c r="AR1079" i="3"/>
  <c r="AH1080"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H1094" i="3"/>
  <c r="AJ1094" i="3"/>
  <c r="AL1094" i="3"/>
  <c r="AN1094" i="3"/>
  <c r="AP1094" i="3"/>
  <c r="AR1094" i="3"/>
  <c r="AH1095" i="3"/>
  <c r="AJ1095" i="3"/>
  <c r="AL1095" i="3"/>
  <c r="AN1095" i="3"/>
  <c r="AP1095" i="3"/>
  <c r="AR1095" i="3"/>
  <c r="AJ1096" i="3"/>
  <c r="AL1096" i="3"/>
  <c r="AN1096" i="3"/>
  <c r="AP1096" i="3"/>
  <c r="AR1096" i="3"/>
  <c r="AH1097" i="3"/>
  <c r="AJ1097" i="3"/>
  <c r="AL1097" i="3"/>
  <c r="AN1097" i="3"/>
  <c r="AP1097" i="3"/>
  <c r="AR1097" i="3"/>
  <c r="AH1098" i="3"/>
  <c r="AJ1098" i="3"/>
  <c r="AL1098" i="3"/>
  <c r="AN1098" i="3"/>
  <c r="AP1098" i="3"/>
  <c r="AR1098" i="3"/>
  <c r="AH1099"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H1111" i="3"/>
  <c r="AJ1111" i="3"/>
  <c r="AL1111" i="3"/>
  <c r="AN1111" i="3"/>
  <c r="AP1111" i="3"/>
  <c r="AR1111"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H1126" i="3"/>
  <c r="AJ1126" i="3"/>
  <c r="AL1126" i="3"/>
  <c r="AN1126" i="3"/>
  <c r="AP1126" i="3"/>
  <c r="AR1126" i="3"/>
  <c r="AH1127" i="3"/>
  <c r="AJ1127" i="3"/>
  <c r="AL1127" i="3"/>
  <c r="AN1127" i="3"/>
  <c r="AP1127" i="3"/>
  <c r="AR1127"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H1143" i="3"/>
  <c r="AJ1143" i="3"/>
  <c r="AL1143" i="3"/>
  <c r="AN1143" i="3"/>
  <c r="AP1143" i="3"/>
  <c r="AR1143"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H1159" i="3"/>
  <c r="AJ1159" i="3"/>
  <c r="AL1159" i="3"/>
  <c r="AN1159" i="3"/>
  <c r="AP1159" i="3"/>
  <c r="AR1159"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H1167"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H1175" i="3"/>
  <c r="AJ1175" i="3"/>
  <c r="AL1175" i="3"/>
  <c r="AN1175" i="3"/>
  <c r="AP1175" i="3"/>
  <c r="AR1175"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H1191" i="3"/>
  <c r="AJ1191" i="3"/>
  <c r="AL1191" i="3"/>
  <c r="AN1191" i="3"/>
  <c r="AP1191" i="3"/>
  <c r="AR1191"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H1199"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H1207" i="3"/>
  <c r="AJ1207" i="3"/>
  <c r="AL1207" i="3"/>
  <c r="AN1207" i="3"/>
  <c r="AP1207" i="3"/>
  <c r="AR1207"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H1223" i="3"/>
  <c r="AJ1223" i="3"/>
  <c r="AL1223" i="3"/>
  <c r="AN1223" i="3"/>
  <c r="AP1223" i="3"/>
  <c r="AR1223"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H1231"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H1239" i="3"/>
  <c r="AJ1239" i="3"/>
  <c r="AL1239" i="3"/>
  <c r="AN1239" i="3"/>
  <c r="AP1239" i="3"/>
  <c r="AR1239"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H1255"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H1263"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H1274" i="3"/>
  <c r="AJ1274" i="3"/>
  <c r="AL1274" i="3"/>
  <c r="AN1274" i="3"/>
  <c r="AP1274" i="3"/>
  <c r="AR1274" i="3"/>
  <c r="AH1275"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H1287" i="3"/>
  <c r="AJ1287" i="3"/>
  <c r="AL1287" i="3"/>
  <c r="AN1287" i="3"/>
  <c r="AP1287" i="3"/>
  <c r="AR1287"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H1303" i="3"/>
  <c r="AJ1303" i="3"/>
  <c r="AL1303" i="3"/>
  <c r="AN1303" i="3"/>
  <c r="AP1303" i="3"/>
  <c r="AR1303" i="3"/>
  <c r="AJ1304" i="3"/>
  <c r="AL1304" i="3"/>
  <c r="AN1304" i="3"/>
  <c r="AP1304" i="3"/>
  <c r="AR1304" i="3"/>
  <c r="AH1305" i="3"/>
  <c r="AJ1305" i="3"/>
  <c r="AL1305" i="3"/>
  <c r="AN1305" i="3"/>
  <c r="AP1305" i="3"/>
  <c r="AR1305" i="3"/>
  <c r="AH1306" i="3"/>
  <c r="AJ1306" i="3"/>
  <c r="AL1306" i="3"/>
  <c r="AN1306" i="3"/>
  <c r="AP1306" i="3"/>
  <c r="AR1306" i="3"/>
  <c r="AH1307"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H1319" i="3"/>
  <c r="AJ1319" i="3"/>
  <c r="AL1319" i="3"/>
  <c r="AN1319" i="3"/>
  <c r="AP1319" i="3"/>
  <c r="AR1319"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H1367" i="3"/>
  <c r="AJ1367" i="3"/>
  <c r="AL1367" i="3"/>
  <c r="AN1367" i="3"/>
  <c r="AP1367" i="3"/>
  <c r="AR1367"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H1383" i="3"/>
  <c r="AJ1383" i="3"/>
  <c r="AL1383" i="3"/>
  <c r="AN1383" i="3"/>
  <c r="AP1383" i="3"/>
  <c r="AR1383"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H1399" i="3"/>
  <c r="AJ1399" i="3"/>
  <c r="AL1399" i="3"/>
  <c r="AN1399" i="3"/>
  <c r="AP1399" i="3"/>
  <c r="AR1399"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H1415" i="3"/>
  <c r="AJ1415" i="3"/>
  <c r="AL1415" i="3"/>
  <c r="AN1415" i="3"/>
  <c r="AP1415" i="3"/>
  <c r="AR1415"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H1431" i="3"/>
  <c r="AJ1431" i="3"/>
  <c r="AL1431" i="3"/>
  <c r="AN1431" i="3"/>
  <c r="AP1431" i="3"/>
  <c r="AR1431"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J1443" i="3"/>
  <c r="AL1443" i="3"/>
  <c r="AN1443" i="3"/>
  <c r="AP1443" i="3"/>
  <c r="AR1443" i="3"/>
  <c r="AR3" i="3"/>
  <c r="AP3" i="3"/>
  <c r="AN3" i="3"/>
  <c r="AL3" i="3"/>
  <c r="AJ3" i="3"/>
  <c r="AB1443" i="3" l="1"/>
  <c r="P1443" i="3"/>
  <c r="AB1442" i="3"/>
  <c r="P1442" i="3"/>
  <c r="AB1441" i="3"/>
  <c r="P1441" i="3"/>
  <c r="AB1440" i="3"/>
  <c r="P1440" i="3"/>
  <c r="AD1440" i="3" s="1"/>
  <c r="AB1439" i="3"/>
  <c r="P1439" i="3"/>
  <c r="AD1439" i="3" s="1"/>
  <c r="AB1438" i="3"/>
  <c r="P1438" i="3"/>
  <c r="AD1438" i="3" s="1"/>
  <c r="AB1437" i="3"/>
  <c r="P1437" i="3"/>
  <c r="AB1436" i="3"/>
  <c r="P1436" i="3"/>
  <c r="AB1435" i="3"/>
  <c r="P1435" i="3"/>
  <c r="AB1434" i="3"/>
  <c r="P1434" i="3"/>
  <c r="AB1433" i="3"/>
  <c r="P1433" i="3"/>
  <c r="AB1432" i="3"/>
  <c r="P1432" i="3"/>
  <c r="T1432" i="3" s="1"/>
  <c r="AB1431" i="3"/>
  <c r="P1431" i="3"/>
  <c r="AB1430" i="3"/>
  <c r="P1430" i="3"/>
  <c r="AD1430" i="3" s="1"/>
  <c r="AB1429" i="3"/>
  <c r="P1429" i="3"/>
  <c r="AB1428" i="3"/>
  <c r="P1428" i="3"/>
  <c r="AB1427" i="3"/>
  <c r="P1427" i="3"/>
  <c r="Q1427" i="3" s="1"/>
  <c r="AB1426" i="3"/>
  <c r="P1426" i="3"/>
  <c r="AB1425" i="3"/>
  <c r="P1425" i="3"/>
  <c r="AB1424" i="3"/>
  <c r="P1424" i="3"/>
  <c r="T1424" i="3" s="1"/>
  <c r="AB1423" i="3"/>
  <c r="P1423" i="3"/>
  <c r="AD1423" i="3" s="1"/>
  <c r="AB1422" i="3"/>
  <c r="P1422" i="3"/>
  <c r="AB1421" i="3"/>
  <c r="P1421" i="3"/>
  <c r="T1421" i="3" s="1"/>
  <c r="AB1420" i="3"/>
  <c r="P1420" i="3"/>
  <c r="AB1419" i="3"/>
  <c r="P1419" i="3"/>
  <c r="AB1418" i="3"/>
  <c r="P1418" i="3"/>
  <c r="AD1418" i="3" s="1"/>
  <c r="AB1417" i="3"/>
  <c r="P1417" i="3"/>
  <c r="Q1417" i="3" s="1"/>
  <c r="AB1416" i="3"/>
  <c r="P1416" i="3"/>
  <c r="AB1415" i="3"/>
  <c r="P1415" i="3"/>
  <c r="AB1414" i="3"/>
  <c r="P1414" i="3"/>
  <c r="AB1413" i="3"/>
  <c r="P1413" i="3"/>
  <c r="Q1413" i="3" s="1"/>
  <c r="AB1412" i="3"/>
  <c r="P1412" i="3"/>
  <c r="Q1412" i="3" s="1"/>
  <c r="AB1411" i="3"/>
  <c r="P1411" i="3"/>
  <c r="Q1411" i="3" s="1"/>
  <c r="AB1410" i="3"/>
  <c r="P1410" i="3"/>
  <c r="AB1409" i="3"/>
  <c r="P1409" i="3"/>
  <c r="AB1408" i="3"/>
  <c r="Q1408" i="3"/>
  <c r="P1408" i="3"/>
  <c r="AB1407" i="3"/>
  <c r="P1407" i="3"/>
  <c r="AB1406" i="3"/>
  <c r="P1406" i="3"/>
  <c r="AB1405" i="3"/>
  <c r="P1405" i="3"/>
  <c r="AB1404" i="3"/>
  <c r="P1404" i="3"/>
  <c r="T1404" i="3" s="1"/>
  <c r="AB1403" i="3"/>
  <c r="P1403" i="3"/>
  <c r="AB1402" i="3"/>
  <c r="P1402" i="3"/>
  <c r="AB1401" i="3"/>
  <c r="P1401" i="3"/>
  <c r="AB1400" i="3"/>
  <c r="P1400" i="3"/>
  <c r="T1400" i="3" s="1"/>
  <c r="AB1399" i="3"/>
  <c r="P1399" i="3"/>
  <c r="AB1398" i="3"/>
  <c r="P1398" i="3"/>
  <c r="T1398" i="3" s="1"/>
  <c r="AB1397" i="3"/>
  <c r="P1397" i="3"/>
  <c r="AB1396" i="3"/>
  <c r="P1396" i="3"/>
  <c r="T1396" i="3" s="1"/>
  <c r="AB1395" i="3"/>
  <c r="P1395" i="3"/>
  <c r="AB1394" i="3"/>
  <c r="P1394" i="3"/>
  <c r="AB1393" i="3"/>
  <c r="P1393" i="3"/>
  <c r="T1393" i="3" s="1"/>
  <c r="AB1392" i="3"/>
  <c r="P1392" i="3"/>
  <c r="T1392" i="3" s="1"/>
  <c r="AB1391" i="3"/>
  <c r="P1391" i="3"/>
  <c r="AB1390" i="3"/>
  <c r="P1390" i="3"/>
  <c r="AB1389" i="3"/>
  <c r="P1389" i="3"/>
  <c r="AB1388" i="3"/>
  <c r="P1388" i="3"/>
  <c r="AB1387" i="3"/>
  <c r="P1387" i="3"/>
  <c r="Q1387" i="3" s="1"/>
  <c r="AB1386" i="3"/>
  <c r="P1386" i="3"/>
  <c r="T1386" i="3" s="1"/>
  <c r="AB1385" i="3"/>
  <c r="P1385" i="3"/>
  <c r="AD1385" i="3" s="1"/>
  <c r="AB1384" i="3"/>
  <c r="P1384" i="3"/>
  <c r="T1384" i="3" s="1"/>
  <c r="AB1383" i="3"/>
  <c r="P1383" i="3"/>
  <c r="AB1382" i="3"/>
  <c r="P1382" i="3"/>
  <c r="Q1382" i="3" s="1"/>
  <c r="AB1381" i="3"/>
  <c r="P1381" i="3"/>
  <c r="AB1380" i="3"/>
  <c r="P1380" i="3"/>
  <c r="AB1379" i="3"/>
  <c r="P1379" i="3"/>
  <c r="Q1379" i="3" s="1"/>
  <c r="AB1378" i="3"/>
  <c r="P1378" i="3"/>
  <c r="AB1377" i="3"/>
  <c r="P1377" i="3"/>
  <c r="AD1377" i="3" s="1"/>
  <c r="AB1376" i="3"/>
  <c r="P1376" i="3"/>
  <c r="AB1375" i="3"/>
  <c r="P1375" i="3"/>
  <c r="AB1374" i="3"/>
  <c r="P1374" i="3"/>
  <c r="Q1374" i="3" s="1"/>
  <c r="AB1373" i="3"/>
  <c r="P1373" i="3"/>
  <c r="AD1373" i="3" s="1"/>
  <c r="AB1372" i="3"/>
  <c r="P1372" i="3"/>
  <c r="AB1371" i="3"/>
  <c r="P1371" i="3"/>
  <c r="AD1371" i="3" s="1"/>
  <c r="AB1370" i="3"/>
  <c r="P1370" i="3"/>
  <c r="T1370" i="3" s="1"/>
  <c r="AB1369" i="3"/>
  <c r="P1369" i="3"/>
  <c r="AD1369" i="3" s="1"/>
  <c r="AB1368" i="3"/>
  <c r="P1368" i="3"/>
  <c r="Q1368" i="3" s="1"/>
  <c r="AB1367" i="3"/>
  <c r="P1367" i="3"/>
  <c r="AB1366" i="3"/>
  <c r="P1366" i="3"/>
  <c r="T1366" i="3" s="1"/>
  <c r="AB1365" i="3"/>
  <c r="P1365" i="3"/>
  <c r="AB1364" i="3"/>
  <c r="P1364" i="3"/>
  <c r="AB1363" i="3"/>
  <c r="P1363" i="3"/>
  <c r="AD1363" i="3" s="1"/>
  <c r="AB1362" i="3"/>
  <c r="P1362" i="3"/>
  <c r="T1362" i="3" s="1"/>
  <c r="AB1361" i="3"/>
  <c r="P1361" i="3"/>
  <c r="AD1361" i="3" s="1"/>
  <c r="AB1360" i="3"/>
  <c r="P1360" i="3"/>
  <c r="AB1359" i="3"/>
  <c r="P1359" i="3"/>
  <c r="AB1358" i="3"/>
  <c r="P1358" i="3"/>
  <c r="AB1357" i="3"/>
  <c r="P1357" i="3"/>
  <c r="AB1356" i="3"/>
  <c r="P1356" i="3"/>
  <c r="AB1355" i="3"/>
  <c r="P1355" i="3"/>
  <c r="AB1354" i="3"/>
  <c r="P1354" i="3"/>
  <c r="AB1353" i="3"/>
  <c r="P1353" i="3"/>
  <c r="Q1353" i="3" s="1"/>
  <c r="AB1352" i="3"/>
  <c r="P1352" i="3"/>
  <c r="AB1351" i="3"/>
  <c r="P1351" i="3"/>
  <c r="AD1351" i="3" s="1"/>
  <c r="AB1350" i="3"/>
  <c r="P1350" i="3"/>
  <c r="Q1350" i="3" s="1"/>
  <c r="AB1349" i="3"/>
  <c r="P1349" i="3"/>
  <c r="AB1348" i="3"/>
  <c r="P1348" i="3"/>
  <c r="AB1347" i="3"/>
  <c r="P1347" i="3"/>
  <c r="AD1347" i="3" s="1"/>
  <c r="AB1346" i="3"/>
  <c r="P1346" i="3"/>
  <c r="T1346" i="3" s="1"/>
  <c r="AB1345" i="3"/>
  <c r="P1345" i="3"/>
  <c r="T1345" i="3" s="1"/>
  <c r="AB1344" i="3"/>
  <c r="P1344" i="3"/>
  <c r="AD1344" i="3" s="1"/>
  <c r="AB1343" i="3"/>
  <c r="P1343" i="3"/>
  <c r="T1343" i="3" s="1"/>
  <c r="AB1342" i="3"/>
  <c r="P1342" i="3"/>
  <c r="T1342" i="3" s="1"/>
  <c r="AB1341" i="3"/>
  <c r="P1341" i="3"/>
  <c r="Q1341" i="3" s="1"/>
  <c r="AB1340" i="3"/>
  <c r="P1340" i="3"/>
  <c r="T1340" i="3" s="1"/>
  <c r="AB1339" i="3"/>
  <c r="P1339" i="3"/>
  <c r="Q1339" i="3" s="1"/>
  <c r="AB1338" i="3"/>
  <c r="P1338" i="3"/>
  <c r="T1338" i="3" s="1"/>
  <c r="AB1337" i="3"/>
  <c r="P1337" i="3"/>
  <c r="AB1336" i="3"/>
  <c r="P1336" i="3"/>
  <c r="Q1336" i="3" s="1"/>
  <c r="AB1335" i="3"/>
  <c r="P1335" i="3"/>
  <c r="AB1334" i="3"/>
  <c r="P1334" i="3"/>
  <c r="Q1334" i="3" s="1"/>
  <c r="AB1333" i="3"/>
  <c r="P1333" i="3"/>
  <c r="AB1332" i="3"/>
  <c r="P1332" i="3"/>
  <c r="AB1331" i="3"/>
  <c r="P1331" i="3"/>
  <c r="AB1330" i="3"/>
  <c r="P1330" i="3"/>
  <c r="T1330" i="3" s="1"/>
  <c r="AB1329" i="3"/>
  <c r="P1329" i="3"/>
  <c r="AB1328" i="3"/>
  <c r="P1328" i="3"/>
  <c r="T1328" i="3" s="1"/>
  <c r="AB1327" i="3"/>
  <c r="P1327" i="3"/>
  <c r="AB1326" i="3"/>
  <c r="P1326" i="3"/>
  <c r="AB1325" i="3"/>
  <c r="P1325" i="3"/>
  <c r="AB1324" i="3"/>
  <c r="P1324" i="3"/>
  <c r="T1324" i="3" s="1"/>
  <c r="AB1323" i="3"/>
  <c r="P1323" i="3"/>
  <c r="Q1323" i="3" s="1"/>
  <c r="AB1322" i="3"/>
  <c r="P1322" i="3"/>
  <c r="AB1321" i="3"/>
  <c r="P1321" i="3"/>
  <c r="AB1320" i="3"/>
  <c r="P1320" i="3"/>
  <c r="AB1319" i="3"/>
  <c r="P1319" i="3"/>
  <c r="AB1318" i="3"/>
  <c r="P1318" i="3"/>
  <c r="AB1317" i="3"/>
  <c r="P1317" i="3"/>
  <c r="T1317" i="3" s="1"/>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Q1300" i="3" s="1"/>
  <c r="AB1299" i="3"/>
  <c r="P1299" i="3"/>
  <c r="Q1299" i="3" s="1"/>
  <c r="AB1298" i="3"/>
  <c r="P1298" i="3"/>
  <c r="Q1298" i="3" s="1"/>
  <c r="AB1297" i="3"/>
  <c r="P1297" i="3"/>
  <c r="AB1296" i="3"/>
  <c r="P1296" i="3"/>
  <c r="Q1296" i="3" s="1"/>
  <c r="AB1295" i="3"/>
  <c r="P1295" i="3"/>
  <c r="AB1294" i="3"/>
  <c r="P1294" i="3"/>
  <c r="AD1294" i="3" s="1"/>
  <c r="AB1293" i="3"/>
  <c r="P1293" i="3"/>
  <c r="T1293" i="3" s="1"/>
  <c r="AB1292" i="3"/>
  <c r="P1292" i="3"/>
  <c r="T1292" i="3" s="1"/>
  <c r="AB1291" i="3"/>
  <c r="P1291" i="3"/>
  <c r="Q1291" i="3" s="1"/>
  <c r="AB1290" i="3"/>
  <c r="P1290" i="3"/>
  <c r="AB1289" i="3"/>
  <c r="P1289" i="3"/>
  <c r="Q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Q1276" i="3" s="1"/>
  <c r="AB1275" i="3"/>
  <c r="P1275" i="3"/>
  <c r="AB1274" i="3"/>
  <c r="P1274" i="3"/>
  <c r="AD1274" i="3" s="1"/>
  <c r="AB1273" i="3"/>
  <c r="P1273" i="3"/>
  <c r="AB1272" i="3"/>
  <c r="P1272" i="3"/>
  <c r="AB1271" i="3"/>
  <c r="P1271" i="3"/>
  <c r="AB1270" i="3"/>
  <c r="P1270" i="3"/>
  <c r="AB1269" i="3"/>
  <c r="P1269" i="3"/>
  <c r="T1269" i="3" s="1"/>
  <c r="AB1268" i="3"/>
  <c r="P1268" i="3"/>
  <c r="AD1268" i="3" s="1"/>
  <c r="AB1267" i="3"/>
  <c r="P1267" i="3"/>
  <c r="AB1266" i="3"/>
  <c r="P1266" i="3"/>
  <c r="T1266" i="3" s="1"/>
  <c r="AB1265" i="3"/>
  <c r="P1265" i="3"/>
  <c r="AB1264" i="3"/>
  <c r="P1264" i="3"/>
  <c r="T1264" i="3" s="1"/>
  <c r="AB1263" i="3"/>
  <c r="P1263" i="3"/>
  <c r="AD1263" i="3" s="1"/>
  <c r="AB1262" i="3"/>
  <c r="P1262" i="3"/>
  <c r="AB1261" i="3"/>
  <c r="P1261" i="3"/>
  <c r="Q1261" i="3" s="1"/>
  <c r="AB1260" i="3"/>
  <c r="P1260" i="3"/>
  <c r="AD1260" i="3" s="1"/>
  <c r="AB1259" i="3"/>
  <c r="P1259" i="3"/>
  <c r="T1259" i="3" s="1"/>
  <c r="AB1258" i="3"/>
  <c r="P1258" i="3"/>
  <c r="T1258" i="3" s="1"/>
  <c r="AB1257" i="3"/>
  <c r="P1257" i="3"/>
  <c r="AB1256" i="3"/>
  <c r="P1256" i="3"/>
  <c r="Q1256" i="3" s="1"/>
  <c r="AB1255" i="3"/>
  <c r="P1255" i="3"/>
  <c r="T1255" i="3" s="1"/>
  <c r="AB1254" i="3"/>
  <c r="P1254" i="3"/>
  <c r="AB1253" i="3"/>
  <c r="P1253" i="3"/>
  <c r="AB1252" i="3"/>
  <c r="P1252" i="3"/>
  <c r="Q1252" i="3" s="1"/>
  <c r="AB1251" i="3"/>
  <c r="P1251" i="3"/>
  <c r="Q1251" i="3" s="1"/>
  <c r="AB1250" i="3"/>
  <c r="P1250" i="3"/>
  <c r="AB1249" i="3"/>
  <c r="P1249" i="3"/>
  <c r="AD1249" i="3" s="1"/>
  <c r="AB1248" i="3"/>
  <c r="P1248" i="3"/>
  <c r="Q1248" i="3" s="1"/>
  <c r="AB1247" i="3"/>
  <c r="P1247" i="3"/>
  <c r="AB1246" i="3"/>
  <c r="P1246" i="3"/>
  <c r="Q1246" i="3" s="1"/>
  <c r="AB1245" i="3"/>
  <c r="P1245" i="3"/>
  <c r="AB1244" i="3"/>
  <c r="P1244" i="3"/>
  <c r="AB1243" i="3"/>
  <c r="P1243" i="3"/>
  <c r="AB1242" i="3"/>
  <c r="P1242" i="3"/>
  <c r="Q1242" i="3" s="1"/>
  <c r="AB1241" i="3"/>
  <c r="P1241" i="3"/>
  <c r="Q1241" i="3" s="1"/>
  <c r="AB1240" i="3"/>
  <c r="P1240" i="3"/>
  <c r="AB1239" i="3"/>
  <c r="P1239" i="3"/>
  <c r="AB1238" i="3"/>
  <c r="P1238" i="3"/>
  <c r="Q1238" i="3" s="1"/>
  <c r="AB1237" i="3"/>
  <c r="P1237" i="3"/>
  <c r="T1237" i="3" s="1"/>
  <c r="AB1236" i="3"/>
  <c r="P1236" i="3"/>
  <c r="AB1235" i="3"/>
  <c r="P1235" i="3"/>
  <c r="AB1234" i="3"/>
  <c r="P1234" i="3"/>
  <c r="Q1234" i="3" s="1"/>
  <c r="AB1233" i="3"/>
  <c r="P1233" i="3"/>
  <c r="Q1233" i="3" s="1"/>
  <c r="AB1232" i="3"/>
  <c r="P1232" i="3"/>
  <c r="Q1232" i="3" s="1"/>
  <c r="AB1231" i="3"/>
  <c r="P1231" i="3"/>
  <c r="AB1230" i="3"/>
  <c r="P1230" i="3"/>
  <c r="Q1230" i="3" s="1"/>
  <c r="AB1229" i="3"/>
  <c r="P1229" i="3"/>
  <c r="Q1229" i="3" s="1"/>
  <c r="AB1228" i="3"/>
  <c r="P1228" i="3"/>
  <c r="Q1228" i="3" s="1"/>
  <c r="AB1227" i="3"/>
  <c r="P1227" i="3"/>
  <c r="AB1226" i="3"/>
  <c r="P1226" i="3"/>
  <c r="T1226" i="3" s="1"/>
  <c r="AB1225" i="3"/>
  <c r="P1225" i="3"/>
  <c r="T1225" i="3" s="1"/>
  <c r="AB1224" i="3"/>
  <c r="P1224" i="3"/>
  <c r="T1224" i="3" s="1"/>
  <c r="AB1223" i="3"/>
  <c r="P1223" i="3"/>
  <c r="T1223" i="3" s="1"/>
  <c r="AB1222" i="3"/>
  <c r="P1222" i="3"/>
  <c r="T1222" i="3" s="1"/>
  <c r="AB1221" i="3"/>
  <c r="P1221" i="3"/>
  <c r="T1221" i="3" s="1"/>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T1206" i="3" s="1"/>
  <c r="AB1205" i="3"/>
  <c r="P1205" i="3"/>
  <c r="AB1204" i="3"/>
  <c r="P1204" i="3"/>
  <c r="AB1203" i="3"/>
  <c r="P1203" i="3"/>
  <c r="AB1202" i="3"/>
  <c r="P1202" i="3"/>
  <c r="AB1201" i="3"/>
  <c r="P1201" i="3"/>
  <c r="AB1200" i="3"/>
  <c r="P1200" i="3"/>
  <c r="AB1199" i="3"/>
  <c r="P1199" i="3"/>
  <c r="AB1198" i="3"/>
  <c r="P1198" i="3"/>
  <c r="T1198" i="3" s="1"/>
  <c r="AB1197" i="3"/>
  <c r="P1197" i="3"/>
  <c r="AB1196" i="3"/>
  <c r="P1196" i="3"/>
  <c r="AB1195" i="3"/>
  <c r="P1195" i="3"/>
  <c r="AB1194" i="3"/>
  <c r="P1194" i="3"/>
  <c r="AB1193" i="3"/>
  <c r="P1193" i="3"/>
  <c r="AB1192" i="3"/>
  <c r="P1192" i="3"/>
  <c r="T1192" i="3" s="1"/>
  <c r="AB1191" i="3"/>
  <c r="P1191" i="3"/>
  <c r="AD1191" i="3" s="1"/>
  <c r="AB1190" i="3"/>
  <c r="P1190" i="3"/>
  <c r="T1190" i="3" s="1"/>
  <c r="AB1189" i="3"/>
  <c r="P1189" i="3"/>
  <c r="AB1188" i="3"/>
  <c r="P1188" i="3"/>
  <c r="Q1188" i="3" s="1"/>
  <c r="AB1187" i="3"/>
  <c r="P1187" i="3"/>
  <c r="AD1187" i="3" s="1"/>
  <c r="AB1186" i="3"/>
  <c r="P1186" i="3"/>
  <c r="AB1185" i="3"/>
  <c r="P1185" i="3"/>
  <c r="AD1185" i="3" s="1"/>
  <c r="AB1184" i="3"/>
  <c r="P1184" i="3"/>
  <c r="AB1183" i="3"/>
  <c r="P1183" i="3"/>
  <c r="Q1183" i="3" s="1"/>
  <c r="AB1182" i="3"/>
  <c r="P1182" i="3"/>
  <c r="AD1182" i="3" s="1"/>
  <c r="AB1181" i="3"/>
  <c r="P1181" i="3"/>
  <c r="Q1181" i="3" s="1"/>
  <c r="AB1180" i="3"/>
  <c r="P1180" i="3"/>
  <c r="T1180" i="3" s="1"/>
  <c r="AB1179" i="3"/>
  <c r="P1179" i="3"/>
  <c r="Q1179" i="3" s="1"/>
  <c r="AB1178" i="3"/>
  <c r="P1178" i="3"/>
  <c r="AB1177" i="3"/>
  <c r="P1177" i="3"/>
  <c r="AD1177" i="3" s="1"/>
  <c r="AB1176" i="3"/>
  <c r="P1176" i="3"/>
  <c r="AB1175" i="3"/>
  <c r="P1175" i="3"/>
  <c r="AB1174" i="3"/>
  <c r="P1174" i="3"/>
  <c r="T1174" i="3" s="1"/>
  <c r="AB1173" i="3"/>
  <c r="P1173" i="3"/>
  <c r="T1173" i="3" s="1"/>
  <c r="AB1172" i="3"/>
  <c r="P1172" i="3"/>
  <c r="T1172" i="3" s="1"/>
  <c r="AB1171" i="3"/>
  <c r="P1171" i="3"/>
  <c r="AD1171" i="3" s="1"/>
  <c r="AB1170" i="3"/>
  <c r="P1170" i="3"/>
  <c r="AB1169" i="3"/>
  <c r="P1169" i="3"/>
  <c r="AD1169" i="3" s="1"/>
  <c r="AB1168" i="3"/>
  <c r="P1168" i="3"/>
  <c r="AB1167" i="3"/>
  <c r="P1167" i="3"/>
  <c r="Q1167" i="3" s="1"/>
  <c r="AB1166" i="3"/>
  <c r="P1166" i="3"/>
  <c r="AB1165" i="3"/>
  <c r="P1165" i="3"/>
  <c r="T1165" i="3" s="1"/>
  <c r="AB1164" i="3"/>
  <c r="P1164" i="3"/>
  <c r="Q1164" i="3" s="1"/>
  <c r="AB1163" i="3"/>
  <c r="P1163" i="3"/>
  <c r="AB1162" i="3"/>
  <c r="P1162" i="3"/>
  <c r="AB1161" i="3"/>
  <c r="P1161" i="3"/>
  <c r="AD1161" i="3" s="1"/>
  <c r="AB1160" i="3"/>
  <c r="P1160" i="3"/>
  <c r="AD1160" i="3" s="1"/>
  <c r="AB1159" i="3"/>
  <c r="P1159" i="3"/>
  <c r="Q1159" i="3" s="1"/>
  <c r="AB1158" i="3"/>
  <c r="P1158" i="3"/>
  <c r="AB1157" i="3"/>
  <c r="P1157" i="3"/>
  <c r="AB1156" i="3"/>
  <c r="P1156" i="3"/>
  <c r="AB1155" i="3"/>
  <c r="P1155" i="3"/>
  <c r="AB1154" i="3"/>
  <c r="P1154" i="3"/>
  <c r="Q1154" i="3" s="1"/>
  <c r="AB1153" i="3"/>
  <c r="P1153" i="3"/>
  <c r="AB1152" i="3"/>
  <c r="P1152" i="3"/>
  <c r="Q1152" i="3" s="1"/>
  <c r="AB1151" i="3"/>
  <c r="P1151" i="3"/>
  <c r="AB1150" i="3"/>
  <c r="P1150" i="3"/>
  <c r="Q1150" i="3" s="1"/>
  <c r="AB1149" i="3"/>
  <c r="P1149" i="3"/>
  <c r="AB1148" i="3"/>
  <c r="P1148" i="3"/>
  <c r="Q1148" i="3" s="1"/>
  <c r="AB1147" i="3"/>
  <c r="P1147" i="3"/>
  <c r="AB1146" i="3"/>
  <c r="P1146" i="3"/>
  <c r="AB1145" i="3"/>
  <c r="P1145" i="3"/>
  <c r="AB1144" i="3"/>
  <c r="P1144" i="3"/>
  <c r="AB1143" i="3"/>
  <c r="P1143" i="3"/>
  <c r="AB1142" i="3"/>
  <c r="P1142" i="3"/>
  <c r="AB1141" i="3"/>
  <c r="P1141" i="3"/>
  <c r="AB1140" i="3"/>
  <c r="P1140" i="3"/>
  <c r="T1140" i="3" s="1"/>
  <c r="AB1139" i="3"/>
  <c r="P1139" i="3"/>
  <c r="AD1139" i="3" s="1"/>
  <c r="AB1138" i="3"/>
  <c r="P1138" i="3"/>
  <c r="T1138" i="3" s="1"/>
  <c r="AB1137" i="3"/>
  <c r="P1137" i="3"/>
  <c r="AB1136" i="3"/>
  <c r="P1136" i="3"/>
  <c r="AB1135" i="3"/>
  <c r="P1135" i="3"/>
  <c r="T1135" i="3" s="1"/>
  <c r="AB1134" i="3"/>
  <c r="P1134" i="3"/>
  <c r="AB1133" i="3"/>
  <c r="P1133" i="3"/>
  <c r="AB1132" i="3"/>
  <c r="P1132" i="3"/>
  <c r="T1132" i="3" s="1"/>
  <c r="AB1131" i="3"/>
  <c r="P1131" i="3"/>
  <c r="AD1131" i="3" s="1"/>
  <c r="AB1130" i="3"/>
  <c r="P1130" i="3"/>
  <c r="T1130" i="3" s="1"/>
  <c r="AB1129" i="3"/>
  <c r="P1129" i="3"/>
  <c r="AB1128" i="3"/>
  <c r="P1128" i="3"/>
  <c r="AB1127" i="3"/>
  <c r="P1127" i="3"/>
  <c r="T1127" i="3" s="1"/>
  <c r="AB1126" i="3"/>
  <c r="P1126" i="3"/>
  <c r="AB1125" i="3"/>
  <c r="P1125" i="3"/>
  <c r="AB1124" i="3"/>
  <c r="P1124" i="3"/>
  <c r="AB1123" i="3"/>
  <c r="P1123" i="3"/>
  <c r="Q1123" i="3" s="1"/>
  <c r="AB1122" i="3"/>
  <c r="P1122" i="3"/>
  <c r="T1122" i="3" s="1"/>
  <c r="AB1121" i="3"/>
  <c r="P1121" i="3"/>
  <c r="AB1120" i="3"/>
  <c r="P1120" i="3"/>
  <c r="AD1120" i="3" s="1"/>
  <c r="AB1119" i="3"/>
  <c r="P1119" i="3"/>
  <c r="Q1119" i="3" s="1"/>
  <c r="AB1118" i="3"/>
  <c r="P1118" i="3"/>
  <c r="AB1117" i="3"/>
  <c r="P1117" i="3"/>
  <c r="AD1117" i="3" s="1"/>
  <c r="AB1116" i="3"/>
  <c r="P1116" i="3"/>
  <c r="AB1115" i="3"/>
  <c r="P1115" i="3"/>
  <c r="Q1115" i="3" s="1"/>
  <c r="AB1114" i="3"/>
  <c r="P1114" i="3"/>
  <c r="AB1113" i="3"/>
  <c r="P1113" i="3"/>
  <c r="T1113" i="3" s="1"/>
  <c r="AB1112" i="3"/>
  <c r="P1112" i="3"/>
  <c r="AB1111" i="3"/>
  <c r="P1111" i="3"/>
  <c r="Q1111" i="3" s="1"/>
  <c r="AB1110" i="3"/>
  <c r="P1110" i="3"/>
  <c r="Q1110" i="3" s="1"/>
  <c r="AB1109" i="3"/>
  <c r="P1109" i="3"/>
  <c r="AB1108" i="3"/>
  <c r="P1108" i="3"/>
  <c r="AB1107" i="3"/>
  <c r="P1107" i="3"/>
  <c r="AB1106" i="3"/>
  <c r="P1106" i="3"/>
  <c r="T1106" i="3" s="1"/>
  <c r="AB1105" i="3"/>
  <c r="P1105" i="3"/>
  <c r="AB1104" i="3"/>
  <c r="P1104" i="3"/>
  <c r="Q1104" i="3" s="1"/>
  <c r="AB1103" i="3"/>
  <c r="P1103" i="3"/>
  <c r="AB1102" i="3"/>
  <c r="P1102" i="3"/>
  <c r="Q1102" i="3" s="1"/>
  <c r="AB1101" i="3"/>
  <c r="P1101" i="3"/>
  <c r="AB1100" i="3"/>
  <c r="P1100" i="3"/>
  <c r="Q1100" i="3" s="1"/>
  <c r="AB1099" i="3"/>
  <c r="P1099" i="3"/>
  <c r="AB1098" i="3"/>
  <c r="P1098" i="3"/>
  <c r="T1098" i="3" s="1"/>
  <c r="AB1097" i="3"/>
  <c r="P1097" i="3"/>
  <c r="AB1096" i="3"/>
  <c r="P1096" i="3"/>
  <c r="Q1096" i="3" s="1"/>
  <c r="AB1095" i="3"/>
  <c r="P1095" i="3"/>
  <c r="AB1094" i="3"/>
  <c r="P1094" i="3"/>
  <c r="Q1094" i="3" s="1"/>
  <c r="AB1093" i="3"/>
  <c r="P1093" i="3"/>
  <c r="AB1092" i="3"/>
  <c r="P1092" i="3"/>
  <c r="AB1091" i="3"/>
  <c r="P1091" i="3"/>
  <c r="AD1091" i="3" s="1"/>
  <c r="AB1090" i="3"/>
  <c r="P1090" i="3"/>
  <c r="AB1089" i="3"/>
  <c r="P1089" i="3"/>
  <c r="T1089" i="3" s="1"/>
  <c r="AB1088" i="3"/>
  <c r="P1088" i="3"/>
  <c r="Q1088" i="3" s="1"/>
  <c r="AB1087" i="3"/>
  <c r="P1087" i="3"/>
  <c r="AB1086" i="3"/>
  <c r="P1086" i="3"/>
  <c r="AB1085" i="3"/>
  <c r="P1085" i="3"/>
  <c r="AD1085" i="3" s="1"/>
  <c r="AB1084" i="3"/>
  <c r="P1084" i="3"/>
  <c r="AD1084" i="3" s="1"/>
  <c r="AB1083" i="3"/>
  <c r="P1083" i="3"/>
  <c r="T1083" i="3" s="1"/>
  <c r="AB1082" i="3"/>
  <c r="P1082" i="3"/>
  <c r="T1082" i="3" s="1"/>
  <c r="AB1081" i="3"/>
  <c r="P1081" i="3"/>
  <c r="Q1081" i="3" s="1"/>
  <c r="AB1080" i="3"/>
  <c r="P1080" i="3"/>
  <c r="Q1080" i="3" s="1"/>
  <c r="AB1079" i="3"/>
  <c r="P1079" i="3"/>
  <c r="T1079" i="3" s="1"/>
  <c r="AB1078" i="3"/>
  <c r="P1078" i="3"/>
  <c r="T1078" i="3" s="1"/>
  <c r="AB1077" i="3"/>
  <c r="P1077" i="3"/>
  <c r="AB1076" i="3"/>
  <c r="P1076" i="3"/>
  <c r="T1076" i="3" s="1"/>
  <c r="AB1075" i="3"/>
  <c r="P1075" i="3"/>
  <c r="T1075" i="3" s="1"/>
  <c r="AB1074" i="3"/>
  <c r="P1074" i="3"/>
  <c r="AB1073" i="3"/>
  <c r="P1073" i="3"/>
  <c r="AB1072" i="3"/>
  <c r="P1072" i="3"/>
  <c r="Q1072" i="3" s="1"/>
  <c r="AB1071" i="3"/>
  <c r="P1071" i="3"/>
  <c r="AB1070" i="3"/>
  <c r="P1070" i="3"/>
  <c r="AB1069" i="3"/>
  <c r="P1069" i="3"/>
  <c r="AD1069" i="3" s="1"/>
  <c r="AB1068" i="3"/>
  <c r="P1068" i="3"/>
  <c r="AD1068" i="3" s="1"/>
  <c r="AB1067" i="3"/>
  <c r="P1067" i="3"/>
  <c r="T1067" i="3" s="1"/>
  <c r="AB1066" i="3"/>
  <c r="P1066" i="3"/>
  <c r="T1066" i="3" s="1"/>
  <c r="AB1065" i="3"/>
  <c r="P1065" i="3"/>
  <c r="Q1065" i="3" s="1"/>
  <c r="AB1064" i="3"/>
  <c r="P1064" i="3"/>
  <c r="AB1063" i="3"/>
  <c r="P1063" i="3"/>
  <c r="T1063" i="3" s="1"/>
  <c r="AB1062" i="3"/>
  <c r="P1062" i="3"/>
  <c r="Q1062" i="3" s="1"/>
  <c r="AB1061" i="3"/>
  <c r="P1061" i="3"/>
  <c r="AB1060" i="3"/>
  <c r="P1060" i="3"/>
  <c r="T1060" i="3" s="1"/>
  <c r="AB1059" i="3"/>
  <c r="P1059" i="3"/>
  <c r="T1059" i="3" s="1"/>
  <c r="AB1058" i="3"/>
  <c r="P1058" i="3"/>
  <c r="AB1057" i="3"/>
  <c r="P1057" i="3"/>
  <c r="AB1056" i="3"/>
  <c r="P1056" i="3"/>
  <c r="Q1056" i="3" s="1"/>
  <c r="AB1055" i="3"/>
  <c r="P1055" i="3"/>
  <c r="AB1054" i="3"/>
  <c r="P1054" i="3"/>
  <c r="AB1053" i="3"/>
  <c r="P1053" i="3"/>
  <c r="AD1053" i="3" s="1"/>
  <c r="AB1052" i="3"/>
  <c r="P1052" i="3"/>
  <c r="AD1052" i="3" s="1"/>
  <c r="AB1051" i="3"/>
  <c r="P1051" i="3"/>
  <c r="T1051" i="3" s="1"/>
  <c r="AB1050" i="3"/>
  <c r="P1050" i="3"/>
  <c r="T1050" i="3" s="1"/>
  <c r="AB1049" i="3"/>
  <c r="P1049" i="3"/>
  <c r="Q1049" i="3" s="1"/>
  <c r="AB1048" i="3"/>
  <c r="P1048" i="3"/>
  <c r="T1048" i="3" s="1"/>
  <c r="AB1047" i="3"/>
  <c r="P1047" i="3"/>
  <c r="T1047" i="3" s="1"/>
  <c r="AB1046" i="3"/>
  <c r="P1046" i="3"/>
  <c r="AB1045" i="3"/>
  <c r="P1045" i="3"/>
  <c r="AB1044" i="3"/>
  <c r="P1044" i="3"/>
  <c r="AB1043" i="3"/>
  <c r="P1043" i="3"/>
  <c r="Q1043" i="3" s="1"/>
  <c r="AB1042" i="3"/>
  <c r="P1042" i="3"/>
  <c r="AB1041" i="3"/>
  <c r="P1041" i="3"/>
  <c r="AB1040" i="3"/>
  <c r="P1040" i="3"/>
  <c r="AB1039" i="3"/>
  <c r="P1039" i="3"/>
  <c r="AB1038" i="3"/>
  <c r="P1038" i="3"/>
  <c r="AD1038" i="3" s="1"/>
  <c r="AB1037" i="3"/>
  <c r="P1037" i="3"/>
  <c r="AB1036" i="3"/>
  <c r="P1036" i="3"/>
  <c r="Q1036" i="3" s="1"/>
  <c r="AB1035" i="3"/>
  <c r="P1035" i="3"/>
  <c r="AB1034" i="3"/>
  <c r="P1034" i="3"/>
  <c r="AB1033" i="3"/>
  <c r="P1033" i="3"/>
  <c r="AD1033" i="3" s="1"/>
  <c r="AB1032" i="3"/>
  <c r="P1032" i="3"/>
  <c r="AB1031" i="3"/>
  <c r="P1031" i="3"/>
  <c r="AB1030" i="3"/>
  <c r="P1030" i="3"/>
  <c r="AB1029" i="3"/>
  <c r="P1029" i="3"/>
  <c r="T1029" i="3" s="1"/>
  <c r="AB1028" i="3"/>
  <c r="P1028" i="3"/>
  <c r="AB1027" i="3"/>
  <c r="P1027" i="3"/>
  <c r="AD1027" i="3" s="1"/>
  <c r="AB1026" i="3"/>
  <c r="P1026" i="3"/>
  <c r="AB1025" i="3"/>
  <c r="P1025" i="3"/>
  <c r="AB1024" i="3"/>
  <c r="P1024" i="3"/>
  <c r="AB1023" i="3"/>
  <c r="P1023" i="3"/>
  <c r="Q1023" i="3" s="1"/>
  <c r="AB1022" i="3"/>
  <c r="P1022" i="3"/>
  <c r="AB1021" i="3"/>
  <c r="P1021" i="3"/>
  <c r="AD1021" i="3" s="1"/>
  <c r="AB1020" i="3"/>
  <c r="P1020" i="3"/>
  <c r="AD1020" i="3" s="1"/>
  <c r="AB1019" i="3"/>
  <c r="P1019" i="3"/>
  <c r="Q1019" i="3" s="1"/>
  <c r="AB1018" i="3"/>
  <c r="P1018" i="3"/>
  <c r="AB1017" i="3"/>
  <c r="P1017" i="3"/>
  <c r="AD1017" i="3" s="1"/>
  <c r="AB1016" i="3"/>
  <c r="P1016" i="3"/>
  <c r="T1016" i="3" s="1"/>
  <c r="AB1015" i="3"/>
  <c r="P1015" i="3"/>
  <c r="AB1014" i="3"/>
  <c r="P1014" i="3"/>
  <c r="AB1013" i="3"/>
  <c r="P1013" i="3"/>
  <c r="Q1013" i="3" s="1"/>
  <c r="AB1012" i="3"/>
  <c r="P1012" i="3"/>
  <c r="AD1012" i="3" s="1"/>
  <c r="AB1011" i="3"/>
  <c r="P1011"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B989" i="3"/>
  <c r="P989" i="3"/>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B3" i="3"/>
  <c r="P3" i="3"/>
  <c r="H3" i="3"/>
  <c r="Q1268" i="3" l="1"/>
  <c r="A1011" i="3"/>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010" i="3"/>
  <c r="I1011" i="3"/>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010" i="3"/>
  <c r="J1011" i="3"/>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010" i="3"/>
  <c r="K1011" i="3"/>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010" i="3"/>
  <c r="L1011" i="3"/>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010" i="3"/>
  <c r="M1011" i="3"/>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010" i="3"/>
  <c r="N1011" i="3"/>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010" i="3"/>
  <c r="Q778" i="3"/>
  <c r="T986" i="3"/>
  <c r="Q1174" i="3"/>
  <c r="T435" i="3"/>
  <c r="Q428" i="3"/>
  <c r="Q754" i="3"/>
  <c r="T1169" i="3"/>
  <c r="T1248" i="3"/>
  <c r="Q1432" i="3"/>
  <c r="Q297" i="3"/>
  <c r="T583" i="3"/>
  <c r="Q1117" i="3"/>
  <c r="T1334" i="3"/>
  <c r="Q422" i="3"/>
  <c r="Q584" i="3"/>
  <c r="Q560" i="3"/>
  <c r="AD526" i="3"/>
  <c r="Q880" i="3"/>
  <c r="AD887" i="3"/>
  <c r="Q946" i="3"/>
  <c r="AD949" i="3"/>
  <c r="Q973" i="3"/>
  <c r="T1368" i="3"/>
  <c r="Q1371" i="3"/>
  <c r="AD545" i="3"/>
  <c r="T25" i="3"/>
  <c r="AD40" i="3"/>
  <c r="Q403" i="3"/>
  <c r="T561" i="3"/>
  <c r="T576" i="3"/>
  <c r="T981" i="3"/>
  <c r="Q1016" i="3"/>
  <c r="Q536" i="3"/>
  <c r="Q16" i="3"/>
  <c r="Q17" i="3"/>
  <c r="Q405" i="3"/>
  <c r="Q482" i="3"/>
  <c r="Q535" i="3"/>
  <c r="T573" i="3"/>
  <c r="T758" i="3"/>
  <c r="Q782" i="3"/>
  <c r="T794" i="3"/>
  <c r="Q896" i="3"/>
  <c r="Q912" i="3"/>
  <c r="T930" i="3"/>
  <c r="T999" i="3"/>
  <c r="T1006" i="3"/>
  <c r="T1036" i="3"/>
  <c r="Q1060" i="3"/>
  <c r="Q1076" i="3"/>
  <c r="T1110" i="3"/>
  <c r="T1123" i="3"/>
  <c r="T1185" i="3"/>
  <c r="T1238" i="3"/>
  <c r="Q496" i="3"/>
  <c r="AD513" i="3"/>
  <c r="Q532" i="3"/>
  <c r="T552" i="3"/>
  <c r="AD557" i="3"/>
  <c r="Q565" i="3"/>
  <c r="T568" i="3"/>
  <c r="Q742" i="3"/>
  <c r="Q768" i="3"/>
  <c r="Q786" i="3"/>
  <c r="Q796" i="3"/>
  <c r="T898" i="3"/>
  <c r="T1003" i="3"/>
  <c r="T1062" i="3"/>
  <c r="Q1078" i="3"/>
  <c r="Q1089" i="3"/>
  <c r="T1094" i="3"/>
  <c r="Q1135" i="3"/>
  <c r="Q1180" i="3"/>
  <c r="T1233" i="3"/>
  <c r="T1256" i="3"/>
  <c r="T1300" i="3"/>
  <c r="T1373" i="3"/>
  <c r="C4" i="3"/>
  <c r="B4" i="3" s="1"/>
  <c r="H4" i="3" s="1"/>
  <c r="Q322" i="3"/>
  <c r="T581" i="3"/>
  <c r="Q609" i="3"/>
  <c r="Q622" i="3"/>
  <c r="Q772" i="3"/>
  <c r="Q888" i="3"/>
  <c r="T900" i="3"/>
  <c r="Q1048" i="3"/>
  <c r="Q1172" i="3"/>
  <c r="Q1187" i="3"/>
  <c r="T1232" i="3"/>
  <c r="AD771" i="3"/>
  <c r="Q771" i="3"/>
  <c r="AD1030" i="3"/>
  <c r="Q1030" i="3"/>
  <c r="Q908" i="3"/>
  <c r="T908" i="3"/>
  <c r="T924" i="3"/>
  <c r="Q924" i="3"/>
  <c r="T937" i="3"/>
  <c r="Q937" i="3"/>
  <c r="Q54" i="3"/>
  <c r="Q55" i="3"/>
  <c r="T434" i="3"/>
  <c r="AD434" i="3"/>
  <c r="AD455" i="3"/>
  <c r="T455" i="3"/>
  <c r="AD523" i="3"/>
  <c r="Q523" i="3"/>
  <c r="T551" i="3"/>
  <c r="AD600" i="3"/>
  <c r="T600" i="3"/>
  <c r="Q760" i="3"/>
  <c r="T760" i="3"/>
  <c r="AD915" i="3"/>
  <c r="T915" i="3"/>
  <c r="Q932" i="3"/>
  <c r="AD932" i="3"/>
  <c r="T983" i="3"/>
  <c r="Q983" i="3"/>
  <c r="T1105" i="3"/>
  <c r="Q1105" i="3"/>
  <c r="T1244" i="3"/>
  <c r="Q1244" i="3"/>
  <c r="Q1429" i="3"/>
  <c r="T1429" i="3"/>
  <c r="Q582" i="3"/>
  <c r="T582" i="3"/>
  <c r="T1097" i="3"/>
  <c r="Q1097" i="3"/>
  <c r="T1376" i="3"/>
  <c r="Q1376" i="3"/>
  <c r="Q39" i="3"/>
  <c r="Q41" i="3"/>
  <c r="T303" i="3"/>
  <c r="AD544" i="3"/>
  <c r="T566" i="3"/>
  <c r="Q566" i="3"/>
  <c r="T574" i="3"/>
  <c r="AD602" i="3"/>
  <c r="T602" i="3"/>
  <c r="Q750" i="3"/>
  <c r="T750" i="3"/>
  <c r="T800" i="3"/>
  <c r="Q800" i="3"/>
  <c r="Q927" i="3"/>
  <c r="AD927" i="3"/>
  <c r="Q979" i="3"/>
  <c r="T979" i="3"/>
  <c r="T1025" i="3"/>
  <c r="Q1025" i="3"/>
  <c r="Q1046" i="3"/>
  <c r="T1046" i="3"/>
  <c r="T1163" i="3"/>
  <c r="Q1163" i="3"/>
  <c r="T1175" i="3"/>
  <c r="Q1175" i="3"/>
  <c r="Q1335" i="3"/>
  <c r="T1335" i="3"/>
  <c r="T23" i="3"/>
  <c r="T433" i="3"/>
  <c r="AD433" i="3"/>
  <c r="T442" i="3"/>
  <c r="AD608" i="3"/>
  <c r="T608" i="3"/>
  <c r="AD774" i="3"/>
  <c r="T774" i="3"/>
  <c r="T914" i="3"/>
  <c r="Q914" i="3"/>
  <c r="T916" i="3"/>
  <c r="Q916" i="3"/>
  <c r="Q942" i="3"/>
  <c r="T942" i="3"/>
  <c r="T1041" i="3"/>
  <c r="Q1041" i="3"/>
  <c r="AD1193" i="3"/>
  <c r="T1193" i="3"/>
  <c r="AD1332" i="3"/>
  <c r="Q1332" i="3"/>
  <c r="T1360" i="3"/>
  <c r="Q1360" i="3"/>
  <c r="T1422" i="3"/>
  <c r="AD1422" i="3"/>
  <c r="AD1289" i="3"/>
  <c r="AD1343" i="3"/>
  <c r="AD446" i="3"/>
  <c r="Q884" i="3"/>
  <c r="T962" i="3"/>
  <c r="T1167" i="3"/>
  <c r="Q1173" i="3"/>
  <c r="T1177" i="3"/>
  <c r="T1252" i="3"/>
  <c r="Q1264" i="3"/>
  <c r="T1299" i="3"/>
  <c r="Q1386" i="3"/>
  <c r="Q24" i="3"/>
  <c r="Q48" i="3"/>
  <c r="T417" i="3"/>
  <c r="Q417" i="3"/>
  <c r="Q425" i="3"/>
  <c r="Q514" i="3"/>
  <c r="AD514" i="3"/>
  <c r="Q549" i="3"/>
  <c r="T549" i="3"/>
  <c r="T577" i="3"/>
  <c r="AD577" i="3"/>
  <c r="T593" i="3"/>
  <c r="AD593" i="3"/>
  <c r="T798" i="3"/>
  <c r="Q798" i="3"/>
  <c r="Q892" i="3"/>
  <c r="T892" i="3"/>
  <c r="Q950" i="3"/>
  <c r="T950" i="3"/>
  <c r="Q1028" i="3"/>
  <c r="T1028" i="3"/>
  <c r="T293" i="3"/>
  <c r="Q406" i="3"/>
  <c r="T479" i="3"/>
  <c r="T520" i="3"/>
  <c r="T752" i="3"/>
  <c r="Q752" i="3"/>
  <c r="T762" i="3"/>
  <c r="Q762" i="3"/>
  <c r="Q1064" i="3"/>
  <c r="T1064" i="3"/>
  <c r="T416" i="3"/>
  <c r="Q416" i="3"/>
  <c r="T466" i="3"/>
  <c r="AD466" i="3"/>
  <c r="T548" i="3"/>
  <c r="Q548" i="3"/>
  <c r="T592" i="3"/>
  <c r="AD592" i="3"/>
  <c r="T594" i="3"/>
  <c r="AD594" i="3"/>
  <c r="T936" i="3"/>
  <c r="Q936" i="3"/>
  <c r="AD1004" i="3"/>
  <c r="Q1004" i="3"/>
  <c r="Q1007" i="3"/>
  <c r="T1007" i="3"/>
  <c r="Q1121" i="3"/>
  <c r="T1121" i="3"/>
  <c r="Q920" i="3"/>
  <c r="AD920" i="3"/>
  <c r="Q991" i="3"/>
  <c r="T991" i="3"/>
  <c r="Q1114" i="3"/>
  <c r="T1114" i="3"/>
  <c r="AD556" i="3"/>
  <c r="AD872" i="3"/>
  <c r="Q998" i="3"/>
  <c r="AD998" i="3"/>
  <c r="Q1145" i="3"/>
  <c r="AD1145" i="3"/>
  <c r="T1241" i="3"/>
  <c r="T1080" i="3"/>
  <c r="AD1168" i="3"/>
  <c r="T1168" i="3"/>
  <c r="T1229" i="3"/>
  <c r="Q1293" i="3"/>
  <c r="AD1298" i="3"/>
  <c r="AD1339" i="3"/>
  <c r="AD1340" i="3"/>
  <c r="Q1363" i="3"/>
  <c r="Q1366" i="3"/>
  <c r="Q1384" i="3"/>
  <c r="T1430"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AY988" i="3"/>
  <c r="AZ988" i="3" s="1"/>
  <c r="AW988" i="3"/>
  <c r="AX988" i="3" s="1"/>
  <c r="AD988" i="3"/>
  <c r="AW994" i="3"/>
  <c r="AX994" i="3" s="1"/>
  <c r="AY994" i="3"/>
  <c r="AZ994" i="3" s="1"/>
  <c r="T994" i="3"/>
  <c r="AW1022" i="3"/>
  <c r="AX1022" i="3" s="1"/>
  <c r="AY1022" i="3"/>
  <c r="AZ1022" i="3" s="1"/>
  <c r="T1022" i="3"/>
  <c r="AY1033" i="3"/>
  <c r="AZ1033" i="3" s="1"/>
  <c r="AW1033" i="3"/>
  <c r="AX1033" i="3" s="1"/>
  <c r="Q1033" i="3"/>
  <c r="T1033" i="3"/>
  <c r="AW1054" i="3"/>
  <c r="AX1054" i="3" s="1"/>
  <c r="AY1054" i="3"/>
  <c r="AZ1054" i="3" s="1"/>
  <c r="Q1054" i="3"/>
  <c r="T1054" i="3"/>
  <c r="AY1068" i="3"/>
  <c r="AZ1068" i="3" s="1"/>
  <c r="AW1068" i="3"/>
  <c r="AX1068" i="3" s="1"/>
  <c r="Q1068" i="3"/>
  <c r="T1068" i="3"/>
  <c r="AY1071" i="3"/>
  <c r="AZ1071" i="3" s="1"/>
  <c r="AW1071" i="3"/>
  <c r="AX1071" i="3" s="1"/>
  <c r="T1071" i="3"/>
  <c r="AW1086" i="3"/>
  <c r="AX1086" i="3" s="1"/>
  <c r="AY1086" i="3"/>
  <c r="AZ1086" i="3" s="1"/>
  <c r="AY1092" i="3"/>
  <c r="AZ1092" i="3" s="1"/>
  <c r="AW1092" i="3"/>
  <c r="AX1092" i="3" s="1"/>
  <c r="Q1092" i="3"/>
  <c r="T1092"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Y414" i="3"/>
  <c r="AZ414" i="3" s="1"/>
  <c r="AW414" i="3"/>
  <c r="AX414" i="3" s="1"/>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1" i="3"/>
  <c r="AZ1011" i="3" s="1"/>
  <c r="AW1011" i="3"/>
  <c r="AX1011" i="3" s="1"/>
  <c r="AD1011" i="3"/>
  <c r="AW1014" i="3"/>
  <c r="AX1014" i="3" s="1"/>
  <c r="AY1014" i="3"/>
  <c r="AZ1014" i="3" s="1"/>
  <c r="AW1024" i="3"/>
  <c r="AX1024" i="3" s="1"/>
  <c r="AY1024" i="3"/>
  <c r="AZ1024" i="3" s="1"/>
  <c r="AY1039" i="3"/>
  <c r="AZ1039" i="3" s="1"/>
  <c r="AW1039" i="3"/>
  <c r="AX1039" i="3" s="1"/>
  <c r="Q1039" i="3"/>
  <c r="T1039" i="3"/>
  <c r="AW1058" i="3"/>
  <c r="AX1058" i="3" s="1"/>
  <c r="AY1058" i="3"/>
  <c r="AZ1058" i="3" s="1"/>
  <c r="T1058" i="3"/>
  <c r="AW1073" i="3"/>
  <c r="AX1073" i="3" s="1"/>
  <c r="AY1073" i="3"/>
  <c r="AZ1073" i="3" s="1"/>
  <c r="Q1073" i="3"/>
  <c r="AD1073" i="3"/>
  <c r="AY19" i="3"/>
  <c r="AZ19" i="3" s="1"/>
  <c r="AW19" i="3"/>
  <c r="AX19" i="3" s="1"/>
  <c r="AY20" i="3"/>
  <c r="AZ20" i="3" s="1"/>
  <c r="AW20" i="3"/>
  <c r="AX20" i="3" s="1"/>
  <c r="T3" i="3"/>
  <c r="AY3" i="3"/>
  <c r="AZ3" i="3" s="1"/>
  <c r="AW3" i="3"/>
  <c r="AX3" i="3" s="1"/>
  <c r="AW10" i="3"/>
  <c r="AX10" i="3" s="1"/>
  <c r="AY10" i="3"/>
  <c r="AZ10" i="3" s="1"/>
  <c r="AW13" i="3"/>
  <c r="AX13" i="3" s="1"/>
  <c r="AY13" i="3"/>
  <c r="AZ13" i="3" s="1"/>
  <c r="Q13" i="3"/>
  <c r="Q19" i="3"/>
  <c r="T21" i="3"/>
  <c r="T27" i="3"/>
  <c r="AD28" i="3"/>
  <c r="Q31" i="3"/>
  <c r="AY35" i="3"/>
  <c r="AZ35" i="3" s="1"/>
  <c r="AW35" i="3"/>
  <c r="AX35" i="3" s="1"/>
  <c r="AY36" i="3"/>
  <c r="AZ36" i="3" s="1"/>
  <c r="AW36" i="3"/>
  <c r="AX36" i="3" s="1"/>
  <c r="AD36" i="3"/>
  <c r="Q37" i="3"/>
  <c r="AY38" i="3"/>
  <c r="AZ38" i="3" s="1"/>
  <c r="AW38" i="3"/>
  <c r="AX38" i="3" s="1"/>
  <c r="AW43" i="3"/>
  <c r="AX43" i="3" s="1"/>
  <c r="AY43" i="3"/>
  <c r="AZ43" i="3" s="1"/>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AY412" i="3"/>
  <c r="AZ412" i="3" s="1"/>
  <c r="AW412" i="3"/>
  <c r="AX412" i="3" s="1"/>
  <c r="AY413" i="3"/>
  <c r="AZ413" i="3" s="1"/>
  <c r="AW413" i="3"/>
  <c r="AX413" i="3" s="1"/>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AY972" i="3"/>
  <c r="AZ972" i="3" s="1"/>
  <c r="AW972" i="3"/>
  <c r="AX972" i="3" s="1"/>
  <c r="AY975" i="3"/>
  <c r="AZ975" i="3" s="1"/>
  <c r="AW975" i="3"/>
  <c r="AX975" i="3" s="1"/>
  <c r="Q975" i="3"/>
  <c r="T975" i="3"/>
  <c r="AW978" i="3"/>
  <c r="AX978" i="3" s="1"/>
  <c r="AY978" i="3"/>
  <c r="AZ978" i="3" s="1"/>
  <c r="AW993" i="3"/>
  <c r="AX993" i="3" s="1"/>
  <c r="AY993" i="3"/>
  <c r="AZ993" i="3" s="1"/>
  <c r="Q993" i="3"/>
  <c r="T993" i="3"/>
  <c r="AW1020" i="3"/>
  <c r="AX1020" i="3" s="1"/>
  <c r="AY1020" i="3"/>
  <c r="AZ1020" i="3" s="1"/>
  <c r="Q1020" i="3"/>
  <c r="T1020" i="3"/>
  <c r="AD1032" i="3"/>
  <c r="AW1032" i="3"/>
  <c r="AX1032" i="3" s="1"/>
  <c r="AY1032" i="3"/>
  <c r="AZ1032" i="3" s="1"/>
  <c r="Q1032" i="3"/>
  <c r="T1032" i="3"/>
  <c r="Q1035" i="3"/>
  <c r="AY1035" i="3"/>
  <c r="AZ1035" i="3" s="1"/>
  <c r="AW1035" i="3"/>
  <c r="AX1035" i="3" s="1"/>
  <c r="AY1044" i="3"/>
  <c r="AZ1044" i="3" s="1"/>
  <c r="AW1044" i="3"/>
  <c r="AX1044" i="3" s="1"/>
  <c r="T1044" i="3"/>
  <c r="AY1052" i="3"/>
  <c r="AZ1052" i="3" s="1"/>
  <c r="AW1052" i="3"/>
  <c r="AX1052" i="3" s="1"/>
  <c r="Q1052" i="3"/>
  <c r="T1052" i="3"/>
  <c r="AY1055" i="3"/>
  <c r="AZ1055" i="3" s="1"/>
  <c r="AW1055" i="3"/>
  <c r="AX1055" i="3" s="1"/>
  <c r="T1055" i="3"/>
  <c r="AW1070" i="3"/>
  <c r="AX1070" i="3" s="1"/>
  <c r="AY1070" i="3"/>
  <c r="AZ1070" i="3" s="1"/>
  <c r="Q1070" i="3"/>
  <c r="T1070" i="3"/>
  <c r="AY1084" i="3"/>
  <c r="AZ1084" i="3" s="1"/>
  <c r="AW1084" i="3"/>
  <c r="AX1084" i="3" s="1"/>
  <c r="Q1084" i="3"/>
  <c r="T1084" i="3"/>
  <c r="AY1087" i="3"/>
  <c r="AZ1087" i="3" s="1"/>
  <c r="AW1087" i="3"/>
  <c r="AX1087" i="3" s="1"/>
  <c r="T1087" i="3"/>
  <c r="AY1093" i="3"/>
  <c r="AZ1093" i="3" s="1"/>
  <c r="AW1093" i="3"/>
  <c r="AX1093"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AD32" i="3"/>
  <c r="AD33" i="3"/>
  <c r="Q35" i="3"/>
  <c r="Q36" i="3"/>
  <c r="T37"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2" i="3"/>
  <c r="Q413"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2" i="3"/>
  <c r="AX1012" i="3" s="1"/>
  <c r="AY1012" i="3"/>
  <c r="AZ1012" i="3" s="1"/>
  <c r="Q1012" i="3"/>
  <c r="T1012" i="3"/>
  <c r="AY1040" i="3"/>
  <c r="AZ1040" i="3" s="1"/>
  <c r="AW1040" i="3"/>
  <c r="AX1040" i="3" s="1"/>
  <c r="AW1057" i="3"/>
  <c r="AX1057" i="3" s="1"/>
  <c r="AY1057" i="3"/>
  <c r="AZ1057" i="3" s="1"/>
  <c r="Q1057" i="3"/>
  <c r="AD1057" i="3"/>
  <c r="AW1074" i="3"/>
  <c r="AX1074" i="3" s="1"/>
  <c r="AY1074" i="3"/>
  <c r="AZ1074" i="3" s="1"/>
  <c r="T1074"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5" i="3"/>
  <c r="AZ1015" i="3" s="1"/>
  <c r="AW1015" i="3"/>
  <c r="AX1015" i="3" s="1"/>
  <c r="AY1017" i="3"/>
  <c r="AZ1017" i="3" s="1"/>
  <c r="AW1017" i="3"/>
  <c r="AX1017" i="3" s="1"/>
  <c r="AW1025" i="3"/>
  <c r="AX1025" i="3" s="1"/>
  <c r="AY1025" i="3"/>
  <c r="AZ1025" i="3" s="1"/>
  <c r="AD1025" i="3"/>
  <c r="T1027" i="3"/>
  <c r="AY1027" i="3"/>
  <c r="AZ1027" i="3" s="1"/>
  <c r="AW1027" i="3"/>
  <c r="AX1027" i="3" s="1"/>
  <c r="AY1029" i="3"/>
  <c r="AZ1029" i="3" s="1"/>
  <c r="AW1029" i="3"/>
  <c r="AX1029" i="3" s="1"/>
  <c r="AY1036" i="3"/>
  <c r="AZ1036" i="3" s="1"/>
  <c r="AW1036" i="3"/>
  <c r="AX1036" i="3" s="1"/>
  <c r="AD1036" i="3"/>
  <c r="AW1041" i="3"/>
  <c r="AX1041" i="3" s="1"/>
  <c r="AY1041" i="3"/>
  <c r="AZ1041" i="3" s="1"/>
  <c r="AD1041" i="3"/>
  <c r="AY1046" i="3"/>
  <c r="AZ1046" i="3" s="1"/>
  <c r="AW1046" i="3"/>
  <c r="AX1046" i="3" s="1"/>
  <c r="AY1047" i="3"/>
  <c r="AZ1047" i="3" s="1"/>
  <c r="AW1047" i="3"/>
  <c r="AX1047" i="3" s="1"/>
  <c r="AY1049" i="3"/>
  <c r="AZ1049" i="3" s="1"/>
  <c r="AW1049" i="3"/>
  <c r="AX1049" i="3" s="1"/>
  <c r="AY1050" i="3"/>
  <c r="AZ1050" i="3" s="1"/>
  <c r="AW1050" i="3"/>
  <c r="AX1050" i="3" s="1"/>
  <c r="AY1060" i="3"/>
  <c r="AZ1060" i="3" s="1"/>
  <c r="AW1060" i="3"/>
  <c r="AX1060" i="3" s="1"/>
  <c r="AD1060" i="3"/>
  <c r="AY1062" i="3"/>
  <c r="AZ1062" i="3" s="1"/>
  <c r="AW1062" i="3"/>
  <c r="AX1062" i="3" s="1"/>
  <c r="AY1063" i="3"/>
  <c r="AZ1063" i="3" s="1"/>
  <c r="AW1063" i="3"/>
  <c r="AX1063" i="3" s="1"/>
  <c r="AY1065" i="3"/>
  <c r="AZ1065" i="3" s="1"/>
  <c r="AW1065" i="3"/>
  <c r="AX1065" i="3" s="1"/>
  <c r="AY1066" i="3"/>
  <c r="AZ1066" i="3" s="1"/>
  <c r="AW1066" i="3"/>
  <c r="AX1066" i="3" s="1"/>
  <c r="AY1076" i="3"/>
  <c r="AZ1076" i="3" s="1"/>
  <c r="AW1076" i="3"/>
  <c r="AX1076" i="3" s="1"/>
  <c r="AD1076" i="3"/>
  <c r="AY1078" i="3"/>
  <c r="AZ1078" i="3" s="1"/>
  <c r="AW1078" i="3"/>
  <c r="AX1078" i="3" s="1"/>
  <c r="AY1079" i="3"/>
  <c r="AZ1079" i="3" s="1"/>
  <c r="AW1079" i="3"/>
  <c r="AX1079" i="3" s="1"/>
  <c r="AY1081" i="3"/>
  <c r="AZ1081" i="3" s="1"/>
  <c r="AW1081" i="3"/>
  <c r="AX1081" i="3" s="1"/>
  <c r="AY1082" i="3"/>
  <c r="AZ1082" i="3" s="1"/>
  <c r="AW1082" i="3"/>
  <c r="AX1082" i="3" s="1"/>
  <c r="AW1089" i="3"/>
  <c r="AX1089" i="3" s="1"/>
  <c r="AY1089" i="3"/>
  <c r="AZ1089" i="3" s="1"/>
  <c r="AD1089" i="3"/>
  <c r="AY1094" i="3"/>
  <c r="AZ1094" i="3" s="1"/>
  <c r="AW1094" i="3"/>
  <c r="AX1094" i="3" s="1"/>
  <c r="AD1094" i="3"/>
  <c r="T1096" i="3"/>
  <c r="AW1096" i="3"/>
  <c r="AX1096" i="3" s="1"/>
  <c r="AY1096" i="3"/>
  <c r="AZ1096" i="3" s="1"/>
  <c r="AY1098" i="3"/>
  <c r="AZ1098" i="3" s="1"/>
  <c r="AW1098" i="3"/>
  <c r="AX1098" i="3" s="1"/>
  <c r="T1104" i="3"/>
  <c r="AY1104" i="3"/>
  <c r="AZ1104" i="3" s="1"/>
  <c r="AW1104" i="3"/>
  <c r="AX1104" i="3" s="1"/>
  <c r="AY1105" i="3"/>
  <c r="AZ1105" i="3" s="1"/>
  <c r="AW1105" i="3"/>
  <c r="AX1105" i="3" s="1"/>
  <c r="AD1105" i="3"/>
  <c r="AY1107" i="3"/>
  <c r="AZ1107" i="3" s="1"/>
  <c r="AW1107" i="3"/>
  <c r="AX1107" i="3" s="1"/>
  <c r="AY1109" i="3"/>
  <c r="AZ1109" i="3" s="1"/>
  <c r="AW1109" i="3"/>
  <c r="AX1109" i="3" s="1"/>
  <c r="AY1110" i="3"/>
  <c r="AZ1110" i="3" s="1"/>
  <c r="AW1110" i="3"/>
  <c r="AX1110" i="3" s="1"/>
  <c r="AD1110" i="3"/>
  <c r="AY1113" i="3"/>
  <c r="AZ1113" i="3" s="1"/>
  <c r="AW1113" i="3"/>
  <c r="AX1113" i="3" s="1"/>
  <c r="AY1119" i="3"/>
  <c r="AZ1119" i="3" s="1"/>
  <c r="AW1119" i="3"/>
  <c r="AX1119" i="3" s="1"/>
  <c r="Q1120" i="3"/>
  <c r="AY1120" i="3"/>
  <c r="AZ1120" i="3" s="1"/>
  <c r="AW1120" i="3"/>
  <c r="AX1120" i="3" s="1"/>
  <c r="AD1122" i="3"/>
  <c r="AY1122" i="3"/>
  <c r="AZ1122" i="3" s="1"/>
  <c r="AW1122" i="3"/>
  <c r="AX1122" i="3" s="1"/>
  <c r="AY1124" i="3"/>
  <c r="AZ1124" i="3" s="1"/>
  <c r="AW1124" i="3"/>
  <c r="AX1124" i="3" s="1"/>
  <c r="AY1126" i="3"/>
  <c r="AZ1126" i="3" s="1"/>
  <c r="AW1126" i="3"/>
  <c r="AX1126" i="3" s="1"/>
  <c r="AY1133" i="3"/>
  <c r="AZ1133" i="3" s="1"/>
  <c r="AW1133" i="3"/>
  <c r="AX1133" i="3" s="1"/>
  <c r="AY1135" i="3"/>
  <c r="AZ1135" i="3" s="1"/>
  <c r="AW1135" i="3"/>
  <c r="AX1135" i="3" s="1"/>
  <c r="AD1135" i="3"/>
  <c r="T1139" i="3"/>
  <c r="AY1139" i="3"/>
  <c r="AZ1139" i="3" s="1"/>
  <c r="AW1139" i="3"/>
  <c r="AX1139" i="3" s="1"/>
  <c r="AY1142" i="3"/>
  <c r="AZ1142" i="3" s="1"/>
  <c r="AW1142" i="3"/>
  <c r="AX1142" i="3" s="1"/>
  <c r="AD1151" i="3"/>
  <c r="AY1151" i="3"/>
  <c r="AZ1151" i="3" s="1"/>
  <c r="AW1151" i="3"/>
  <c r="AX1151" i="3" s="1"/>
  <c r="AD1154" i="3"/>
  <c r="AY1154" i="3"/>
  <c r="AZ1154" i="3" s="1"/>
  <c r="AW1154" i="3"/>
  <c r="AX1154" i="3" s="1"/>
  <c r="AY1167" i="3"/>
  <c r="AZ1167" i="3" s="1"/>
  <c r="AW1167" i="3"/>
  <c r="AX1167" i="3" s="1"/>
  <c r="AD1167" i="3"/>
  <c r="AY1171" i="3"/>
  <c r="AZ1171" i="3" s="1"/>
  <c r="AW1171" i="3"/>
  <c r="AX1171" i="3" s="1"/>
  <c r="AY1175" i="3"/>
  <c r="AZ1175" i="3" s="1"/>
  <c r="AW1175" i="3"/>
  <c r="AX1175" i="3" s="1"/>
  <c r="AY1176" i="3"/>
  <c r="AZ1176" i="3" s="1"/>
  <c r="AW1176" i="3"/>
  <c r="AX1176" i="3" s="1"/>
  <c r="AY1179" i="3"/>
  <c r="AZ1179" i="3" s="1"/>
  <c r="AW1179" i="3"/>
  <c r="AX1179" i="3" s="1"/>
  <c r="AY1189" i="3"/>
  <c r="AZ1189" i="3" s="1"/>
  <c r="AW1189" i="3"/>
  <c r="AX1189" i="3" s="1"/>
  <c r="AY1200" i="3"/>
  <c r="AZ1200" i="3" s="1"/>
  <c r="AW1200" i="3"/>
  <c r="AX1200" i="3" s="1"/>
  <c r="AY1207" i="3"/>
  <c r="AZ1207" i="3" s="1"/>
  <c r="AW1207" i="3"/>
  <c r="AX1207" i="3" s="1"/>
  <c r="AY1209" i="3"/>
  <c r="AZ1209" i="3" s="1"/>
  <c r="AW1209" i="3"/>
  <c r="AX1209" i="3" s="1"/>
  <c r="AY1211" i="3"/>
  <c r="AZ1211" i="3" s="1"/>
  <c r="AW1211" i="3"/>
  <c r="AX1211" i="3" s="1"/>
  <c r="T1213" i="3"/>
  <c r="AY1213" i="3"/>
  <c r="AZ1213" i="3" s="1"/>
  <c r="AW1213" i="3"/>
  <c r="AX1213" i="3" s="1"/>
  <c r="T1215" i="3"/>
  <c r="AY1215" i="3"/>
  <c r="AZ1215" i="3" s="1"/>
  <c r="AW1215" i="3"/>
  <c r="AX1215" i="3" s="1"/>
  <c r="T1217" i="3"/>
  <c r="AY1217" i="3"/>
  <c r="AZ1217" i="3" s="1"/>
  <c r="AW1217" i="3"/>
  <c r="AX1217" i="3" s="1"/>
  <c r="T1219" i="3"/>
  <c r="AY1219" i="3"/>
  <c r="AZ1219" i="3" s="1"/>
  <c r="AW1219" i="3"/>
  <c r="AX1219" i="3" s="1"/>
  <c r="AY1229" i="3"/>
  <c r="AZ1229" i="3" s="1"/>
  <c r="AW1229" i="3"/>
  <c r="AX1229" i="3" s="1"/>
  <c r="AD1229" i="3"/>
  <c r="AY1232" i="3"/>
  <c r="AZ1232" i="3" s="1"/>
  <c r="AW1232" i="3"/>
  <c r="AX1232" i="3" s="1"/>
  <c r="AY1233" i="3"/>
  <c r="AZ1233" i="3" s="1"/>
  <c r="AW1233" i="3"/>
  <c r="AX1233" i="3" s="1"/>
  <c r="AD1233" i="3"/>
  <c r="AY1236" i="3"/>
  <c r="AZ1236" i="3" s="1"/>
  <c r="AW1236" i="3"/>
  <c r="AX1236" i="3" s="1"/>
  <c r="AY1239" i="3"/>
  <c r="AZ1239" i="3" s="1"/>
  <c r="AW1239" i="3"/>
  <c r="AX1239" i="3" s="1"/>
  <c r="AY1241" i="3"/>
  <c r="AZ1241" i="3" s="1"/>
  <c r="AW1241" i="3"/>
  <c r="AX1241" i="3" s="1"/>
  <c r="AD1241" i="3"/>
  <c r="AY1244" i="3"/>
  <c r="AZ1244" i="3" s="1"/>
  <c r="AW1244" i="3"/>
  <c r="AX1244" i="3" s="1"/>
  <c r="AY1245" i="3"/>
  <c r="AZ1245" i="3" s="1"/>
  <c r="AW1245" i="3"/>
  <c r="AX1245" i="3" s="1"/>
  <c r="AY1249" i="3"/>
  <c r="AZ1249" i="3" s="1"/>
  <c r="AW1249" i="3"/>
  <c r="AX1249" i="3" s="1"/>
  <c r="AW1252" i="3"/>
  <c r="AX1252" i="3" s="1"/>
  <c r="AY1252" i="3"/>
  <c r="AZ1252" i="3" s="1"/>
  <c r="AD1252" i="3"/>
  <c r="AY1254" i="3"/>
  <c r="AZ1254" i="3" s="1"/>
  <c r="AW1254" i="3"/>
  <c r="AX1254" i="3" s="1"/>
  <c r="AY1257" i="3"/>
  <c r="AZ1257" i="3" s="1"/>
  <c r="AW1257" i="3"/>
  <c r="AX1257" i="3" s="1"/>
  <c r="AW1263" i="3"/>
  <c r="AX1263" i="3" s="1"/>
  <c r="AY1263" i="3"/>
  <c r="AZ1263" i="3" s="1"/>
  <c r="AY1265" i="3"/>
  <c r="AZ1265" i="3" s="1"/>
  <c r="AW1265" i="3"/>
  <c r="AX1265" i="3" s="1"/>
  <c r="AW1270" i="3"/>
  <c r="AX1270" i="3" s="1"/>
  <c r="AY1270" i="3"/>
  <c r="AZ1270" i="3" s="1"/>
  <c r="AY1272" i="3"/>
  <c r="AZ1272" i="3" s="1"/>
  <c r="AW1272" i="3"/>
  <c r="AX1272" i="3" s="1"/>
  <c r="AW1274" i="3"/>
  <c r="AX1274" i="3" s="1"/>
  <c r="AY1274" i="3"/>
  <c r="AZ1274" i="3" s="1"/>
  <c r="AY1278" i="3"/>
  <c r="AZ1278" i="3" s="1"/>
  <c r="AW1278" i="3"/>
  <c r="AX1278" i="3" s="1"/>
  <c r="T1280" i="3"/>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7" i="3"/>
  <c r="AZ1327" i="3" s="1"/>
  <c r="AW1327" i="3"/>
  <c r="AX1327" i="3" s="1"/>
  <c r="AY1330" i="3"/>
  <c r="AZ1330" i="3" s="1"/>
  <c r="AW1330" i="3"/>
  <c r="AX1330" i="3" s="1"/>
  <c r="AW1335" i="3"/>
  <c r="AX1335" i="3" s="1"/>
  <c r="AY1335" i="3"/>
  <c r="AZ1335" i="3" s="1"/>
  <c r="AD1335" i="3"/>
  <c r="AY1338" i="3"/>
  <c r="AZ1338" i="3" s="1"/>
  <c r="AW1338" i="3"/>
  <c r="AX1338" i="3" s="1"/>
  <c r="AW1366" i="3"/>
  <c r="AX1366" i="3" s="1"/>
  <c r="AY1366" i="3"/>
  <c r="AZ1366" i="3" s="1"/>
  <c r="AD1366" i="3"/>
  <c r="AW1376" i="3"/>
  <c r="AX1376" i="3" s="1"/>
  <c r="AY1376" i="3"/>
  <c r="AZ1376" i="3" s="1"/>
  <c r="AY1377" i="3"/>
  <c r="AZ1377" i="3" s="1"/>
  <c r="AW1377" i="3"/>
  <c r="AX1377" i="3" s="1"/>
  <c r="AW1379" i="3"/>
  <c r="AX1379" i="3" s="1"/>
  <c r="AY1379" i="3"/>
  <c r="AZ1379" i="3" s="1"/>
  <c r="AY1380" i="3"/>
  <c r="AZ1380" i="3" s="1"/>
  <c r="AW1380" i="3"/>
  <c r="AX1380" i="3" s="1"/>
  <c r="AY1384" i="3"/>
  <c r="AZ1384" i="3" s="1"/>
  <c r="AW1384" i="3"/>
  <c r="AX1384" i="3" s="1"/>
  <c r="AW1385" i="3"/>
  <c r="AX1385" i="3" s="1"/>
  <c r="AY1385" i="3"/>
  <c r="AZ1385" i="3" s="1"/>
  <c r="AY1387" i="3"/>
  <c r="AZ1387" i="3" s="1"/>
  <c r="AW1387" i="3"/>
  <c r="AX1387" i="3" s="1"/>
  <c r="AW1388" i="3"/>
  <c r="AX1388" i="3" s="1"/>
  <c r="AY1388" i="3"/>
  <c r="AZ1388" i="3" s="1"/>
  <c r="AY1390" i="3"/>
  <c r="AZ1390" i="3" s="1"/>
  <c r="AW1390" i="3"/>
  <c r="AX1390" i="3" s="1"/>
  <c r="Q1392" i="3"/>
  <c r="AW1392" i="3"/>
  <c r="AX1392" i="3" s="1"/>
  <c r="AY1392" i="3"/>
  <c r="AZ1392" i="3" s="1"/>
  <c r="AW1398" i="3"/>
  <c r="AX1398" i="3" s="1"/>
  <c r="AY1398" i="3"/>
  <c r="AZ1398" i="3" s="1"/>
  <c r="AW1401" i="3"/>
  <c r="AX1401" i="3" s="1"/>
  <c r="AY1401" i="3"/>
  <c r="AZ1401" i="3" s="1"/>
  <c r="AY1409" i="3"/>
  <c r="AZ1409" i="3" s="1"/>
  <c r="AW1409" i="3"/>
  <c r="AX1409" i="3" s="1"/>
  <c r="AY1412" i="3"/>
  <c r="AZ1412" i="3" s="1"/>
  <c r="AW1412" i="3"/>
  <c r="AX1412" i="3" s="1"/>
  <c r="AW1415" i="3"/>
  <c r="AX1415" i="3" s="1"/>
  <c r="AY1415" i="3"/>
  <c r="AZ1415" i="3" s="1"/>
  <c r="AW1417" i="3"/>
  <c r="AX1417" i="3" s="1"/>
  <c r="AY1417" i="3"/>
  <c r="AZ1417" i="3" s="1"/>
  <c r="AW1420" i="3"/>
  <c r="AX1420" i="3" s="1"/>
  <c r="AY1420" i="3"/>
  <c r="AZ1420" i="3" s="1"/>
  <c r="AY1429" i="3"/>
  <c r="AZ1429" i="3" s="1"/>
  <c r="AW1429" i="3"/>
  <c r="AX1429" i="3" s="1"/>
  <c r="AD1429" i="3"/>
  <c r="AY1432" i="3"/>
  <c r="AZ1432" i="3" s="1"/>
  <c r="AW1432" i="3"/>
  <c r="AX1432" i="3" s="1"/>
  <c r="AD1432" i="3"/>
  <c r="Q1438" i="3"/>
  <c r="AY1438" i="3"/>
  <c r="AZ1438" i="3" s="1"/>
  <c r="AW1438" i="3"/>
  <c r="AX1438" i="3" s="1"/>
  <c r="Q1439" i="3"/>
  <c r="AY1439" i="3"/>
  <c r="AZ1439" i="3" s="1"/>
  <c r="AW1439" i="3"/>
  <c r="AX1439" i="3" s="1"/>
  <c r="T1440" i="3"/>
  <c r="AW1440" i="3"/>
  <c r="AX1440" i="3" s="1"/>
  <c r="AY1440" i="3"/>
  <c r="AZ1440" i="3" s="1"/>
  <c r="AY1442" i="3"/>
  <c r="AZ1442" i="3" s="1"/>
  <c r="AW1442" i="3"/>
  <c r="AX1442"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9" i="3"/>
  <c r="AZ1019" i="3" s="1"/>
  <c r="AW1019" i="3"/>
  <c r="AX1019" i="3" s="1"/>
  <c r="AD1019" i="3"/>
  <c r="AY1023" i="3"/>
  <c r="AZ1023" i="3" s="1"/>
  <c r="AW1023" i="3"/>
  <c r="AX1023" i="3" s="1"/>
  <c r="AD1023" i="3"/>
  <c r="AY1026" i="3"/>
  <c r="AZ1026" i="3" s="1"/>
  <c r="AW1026" i="3"/>
  <c r="AX1026" i="3" s="1"/>
  <c r="AW1037" i="3"/>
  <c r="AX1037" i="3" s="1"/>
  <c r="AY1037" i="3"/>
  <c r="AZ1037" i="3" s="1"/>
  <c r="AW1042" i="3"/>
  <c r="AX1042" i="3" s="1"/>
  <c r="AY1042" i="3"/>
  <c r="AZ1042" i="3" s="1"/>
  <c r="AY1045" i="3"/>
  <c r="AZ1045" i="3" s="1"/>
  <c r="AW1045" i="3"/>
  <c r="AX1045" i="3" s="1"/>
  <c r="AY1056" i="3"/>
  <c r="AZ1056" i="3" s="1"/>
  <c r="AW1056" i="3"/>
  <c r="AX1056" i="3" s="1"/>
  <c r="AD1056" i="3"/>
  <c r="AY1059" i="3"/>
  <c r="AZ1059" i="3" s="1"/>
  <c r="AW1059" i="3"/>
  <c r="AX1059" i="3" s="1"/>
  <c r="AY1061" i="3"/>
  <c r="AZ1061" i="3" s="1"/>
  <c r="AW1061" i="3"/>
  <c r="AX1061" i="3" s="1"/>
  <c r="AY1072" i="3"/>
  <c r="AZ1072" i="3" s="1"/>
  <c r="AW1072" i="3"/>
  <c r="AX1072" i="3" s="1"/>
  <c r="AD1072" i="3"/>
  <c r="AY1075" i="3"/>
  <c r="AZ1075" i="3" s="1"/>
  <c r="AW1075" i="3"/>
  <c r="AX1075" i="3" s="1"/>
  <c r="AY1077" i="3"/>
  <c r="AZ1077" i="3" s="1"/>
  <c r="AW1077" i="3"/>
  <c r="AX1077" i="3" s="1"/>
  <c r="AY1088" i="3"/>
  <c r="AZ1088" i="3" s="1"/>
  <c r="AW1088" i="3"/>
  <c r="AX1088" i="3" s="1"/>
  <c r="AW1090" i="3"/>
  <c r="AX1090" i="3" s="1"/>
  <c r="AY1090" i="3"/>
  <c r="AZ1090" i="3" s="1"/>
  <c r="AY1095" i="3"/>
  <c r="AZ1095" i="3" s="1"/>
  <c r="AW1095" i="3"/>
  <c r="AX1095" i="3" s="1"/>
  <c r="AY1100" i="3"/>
  <c r="AZ1100" i="3" s="1"/>
  <c r="AW1100" i="3"/>
  <c r="AX1100" i="3" s="1"/>
  <c r="AD1100" i="3"/>
  <c r="AW1102" i="3"/>
  <c r="AX1102" i="3" s="1"/>
  <c r="AY1102" i="3"/>
  <c r="AZ1102" i="3" s="1"/>
  <c r="AD1102" i="3"/>
  <c r="AY1106" i="3"/>
  <c r="AZ1106" i="3" s="1"/>
  <c r="AW1106" i="3"/>
  <c r="AX1106" i="3" s="1"/>
  <c r="AY1111" i="3"/>
  <c r="AZ1111" i="3" s="1"/>
  <c r="AW1111" i="3"/>
  <c r="AX1111" i="3" s="1"/>
  <c r="AD1111" i="3"/>
  <c r="AY1117" i="3"/>
  <c r="AZ1117" i="3" s="1"/>
  <c r="AW1117" i="3"/>
  <c r="AX1117" i="3" s="1"/>
  <c r="Q1118" i="3"/>
  <c r="AY1118" i="3"/>
  <c r="AZ1118" i="3" s="1"/>
  <c r="AW1118" i="3"/>
  <c r="AX1118" i="3" s="1"/>
  <c r="Q1129" i="3"/>
  <c r="AY1129" i="3"/>
  <c r="AZ1129" i="3" s="1"/>
  <c r="AW1129" i="3"/>
  <c r="AX1129" i="3" s="1"/>
  <c r="AY1132" i="3"/>
  <c r="AZ1132" i="3" s="1"/>
  <c r="AW1132" i="3"/>
  <c r="AX1132" i="3" s="1"/>
  <c r="AD1136" i="3"/>
  <c r="AY1136" i="3"/>
  <c r="AZ1136" i="3" s="1"/>
  <c r="AW1136" i="3"/>
  <c r="AX1136" i="3" s="1"/>
  <c r="AD1138" i="3"/>
  <c r="AY1138" i="3"/>
  <c r="AZ1138" i="3" s="1"/>
  <c r="AW1138" i="3"/>
  <c r="AX1138" i="3" s="1"/>
  <c r="AD1144" i="3"/>
  <c r="AY1144" i="3"/>
  <c r="AZ1144" i="3" s="1"/>
  <c r="AW1144" i="3"/>
  <c r="AX1144" i="3" s="1"/>
  <c r="Q1147" i="3"/>
  <c r="AY1147" i="3"/>
  <c r="AZ1147" i="3" s="1"/>
  <c r="AW1147" i="3"/>
  <c r="AX1147" i="3" s="1"/>
  <c r="AD1150" i="3"/>
  <c r="AY1150" i="3"/>
  <c r="AZ1150" i="3" s="1"/>
  <c r="AW1150" i="3"/>
  <c r="AX1150" i="3" s="1"/>
  <c r="AY1156" i="3"/>
  <c r="AZ1156" i="3" s="1"/>
  <c r="AW1156" i="3"/>
  <c r="AX1156" i="3" s="1"/>
  <c r="AY1158" i="3"/>
  <c r="AZ1158" i="3" s="1"/>
  <c r="AW1158" i="3"/>
  <c r="AX1158" i="3" s="1"/>
  <c r="AY1159" i="3"/>
  <c r="AZ1159" i="3" s="1"/>
  <c r="AW1159" i="3"/>
  <c r="AX1159" i="3" s="1"/>
  <c r="AD1159" i="3"/>
  <c r="AY1162" i="3"/>
  <c r="AZ1162" i="3" s="1"/>
  <c r="AW1162" i="3"/>
  <c r="AX1162" i="3" s="1"/>
  <c r="Q1168" i="3"/>
  <c r="AY1168" i="3"/>
  <c r="AZ1168" i="3" s="1"/>
  <c r="AW1168" i="3"/>
  <c r="AX1168" i="3" s="1"/>
  <c r="Q1169" i="3"/>
  <c r="AY1169" i="3"/>
  <c r="AZ1169" i="3" s="1"/>
  <c r="AW1169" i="3"/>
  <c r="AX1169" i="3" s="1"/>
  <c r="AY1170" i="3"/>
  <c r="AZ1170" i="3" s="1"/>
  <c r="AW1170" i="3"/>
  <c r="AX1170" i="3" s="1"/>
  <c r="Q1177" i="3"/>
  <c r="AY1177" i="3"/>
  <c r="AZ1177" i="3" s="1"/>
  <c r="AW1177" i="3"/>
  <c r="AX1177" i="3" s="1"/>
  <c r="AY1178" i="3"/>
  <c r="AZ1178" i="3" s="1"/>
  <c r="AW1178" i="3"/>
  <c r="AX1178" i="3" s="1"/>
  <c r="AY1183" i="3"/>
  <c r="AZ1183" i="3" s="1"/>
  <c r="AW1183" i="3"/>
  <c r="AX1183" i="3" s="1"/>
  <c r="AD1183" i="3"/>
  <c r="T1187" i="3"/>
  <c r="AY1187" i="3"/>
  <c r="AZ1187" i="3" s="1"/>
  <c r="AW1187" i="3"/>
  <c r="AX1187" i="3" s="1"/>
  <c r="AD1188" i="3"/>
  <c r="AY1188" i="3"/>
  <c r="AZ1188" i="3" s="1"/>
  <c r="AW1188" i="3"/>
  <c r="AX1188" i="3" s="1"/>
  <c r="AY1195" i="3"/>
  <c r="AZ1195" i="3" s="1"/>
  <c r="AW1195" i="3"/>
  <c r="AX1195" i="3" s="1"/>
  <c r="AY1197" i="3"/>
  <c r="AZ1197" i="3" s="1"/>
  <c r="AW1197" i="3"/>
  <c r="AX1197" i="3" s="1"/>
  <c r="AY1202" i="3"/>
  <c r="AZ1202" i="3" s="1"/>
  <c r="AW1202" i="3"/>
  <c r="AX1202" i="3" s="1"/>
  <c r="AY1204" i="3"/>
  <c r="AZ1204" i="3" s="1"/>
  <c r="AW1204" i="3"/>
  <c r="AX1204" i="3" s="1"/>
  <c r="AY1206" i="3"/>
  <c r="AZ1206" i="3" s="1"/>
  <c r="AW1206" i="3"/>
  <c r="AX1206" i="3" s="1"/>
  <c r="AY1228" i="3"/>
  <c r="AZ1228" i="3" s="1"/>
  <c r="AW1228" i="3"/>
  <c r="AX1228" i="3" s="1"/>
  <c r="AY1230" i="3"/>
  <c r="AZ1230" i="3" s="1"/>
  <c r="AW1230" i="3"/>
  <c r="AX1230" i="3" s="1"/>
  <c r="AD1230" i="3"/>
  <c r="AY1234" i="3"/>
  <c r="AZ1234" i="3" s="1"/>
  <c r="AW1234" i="3"/>
  <c r="AX1234" i="3" s="1"/>
  <c r="AD1234" i="3"/>
  <c r="AY1242" i="3"/>
  <c r="AZ1242" i="3" s="1"/>
  <c r="AW1242" i="3"/>
  <c r="AX1242" i="3" s="1"/>
  <c r="AD1242" i="3"/>
  <c r="AY1246" i="3"/>
  <c r="AZ1246" i="3" s="1"/>
  <c r="AW1246" i="3"/>
  <c r="AX1246" i="3" s="1"/>
  <c r="AW1247" i="3"/>
  <c r="AX1247" i="3" s="1"/>
  <c r="AY1247" i="3"/>
  <c r="AZ1247" i="3" s="1"/>
  <c r="AY1251" i="3"/>
  <c r="AZ1251" i="3" s="1"/>
  <c r="AW1251" i="3"/>
  <c r="AX1251" i="3" s="1"/>
  <c r="AY1253" i="3"/>
  <c r="AZ1253" i="3" s="1"/>
  <c r="AW1253" i="3"/>
  <c r="AX1253" i="3" s="1"/>
  <c r="AY1261" i="3"/>
  <c r="AZ1261" i="3" s="1"/>
  <c r="AW1261" i="3"/>
  <c r="AX1261" i="3" s="1"/>
  <c r="AD1261" i="3"/>
  <c r="T1268" i="3"/>
  <c r="AY1268" i="3"/>
  <c r="AZ1268" i="3" s="1"/>
  <c r="AW1268" i="3"/>
  <c r="AX1268" i="3" s="1"/>
  <c r="AD1269" i="3"/>
  <c r="AY1269" i="3"/>
  <c r="AZ1269" i="3" s="1"/>
  <c r="AW1269" i="3"/>
  <c r="AX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T1314" i="3"/>
  <c r="AY1314" i="3"/>
  <c r="AZ1314" i="3" s="1"/>
  <c r="AW1314" i="3"/>
  <c r="AX1314" i="3" s="1"/>
  <c r="T1319" i="3"/>
  <c r="AY1319" i="3"/>
  <c r="AZ1319" i="3" s="1"/>
  <c r="AW1319" i="3"/>
  <c r="AX1319" i="3" s="1"/>
  <c r="AW1321" i="3"/>
  <c r="AX1321" i="3" s="1"/>
  <c r="AY1321" i="3"/>
  <c r="AZ1321" i="3" s="1"/>
  <c r="AY1323" i="3"/>
  <c r="AZ1323" i="3" s="1"/>
  <c r="AW1323" i="3"/>
  <c r="AX1323" i="3" s="1"/>
  <c r="AD1323" i="3"/>
  <c r="AY1326" i="3"/>
  <c r="AZ1326" i="3" s="1"/>
  <c r="AW1326" i="3"/>
  <c r="AX1326" i="3" s="1"/>
  <c r="AY1332" i="3"/>
  <c r="AZ1332" i="3" s="1"/>
  <c r="AW1332" i="3"/>
  <c r="AX1332" i="3" s="1"/>
  <c r="AY1333" i="3"/>
  <c r="AZ1333" i="3" s="1"/>
  <c r="AW1333" i="3"/>
  <c r="AX1333" i="3" s="1"/>
  <c r="AY1336" i="3"/>
  <c r="AZ1336" i="3" s="1"/>
  <c r="AW1336" i="3"/>
  <c r="AX1336" i="3" s="1"/>
  <c r="AW1337" i="3"/>
  <c r="AX1337" i="3" s="1"/>
  <c r="AY1337" i="3"/>
  <c r="AZ1337" i="3" s="1"/>
  <c r="AY1348" i="3"/>
  <c r="AZ1348" i="3" s="1"/>
  <c r="AW1348" i="3"/>
  <c r="AX1348" i="3" s="1"/>
  <c r="AW1350" i="3"/>
  <c r="AX1350" i="3" s="1"/>
  <c r="AY1350" i="3"/>
  <c r="AZ1350" i="3" s="1"/>
  <c r="AD1350" i="3"/>
  <c r="AW1353" i="3"/>
  <c r="AX1353" i="3" s="1"/>
  <c r="AY1353" i="3"/>
  <c r="AZ1353" i="3" s="1"/>
  <c r="AD1353" i="3"/>
  <c r="AY1355" i="3"/>
  <c r="AZ1355" i="3" s="1"/>
  <c r="AW1355" i="3"/>
  <c r="AX1355" i="3" s="1"/>
  <c r="AD1357" i="3"/>
  <c r="AW1357" i="3"/>
  <c r="AX1357" i="3" s="1"/>
  <c r="AY1357" i="3"/>
  <c r="AZ1357" i="3" s="1"/>
  <c r="AD1359" i="3"/>
  <c r="AY1359" i="3"/>
  <c r="AZ1359" i="3" s="1"/>
  <c r="AW1359" i="3"/>
  <c r="AX1359" i="3" s="1"/>
  <c r="AY1365" i="3"/>
  <c r="AZ1365" i="3" s="1"/>
  <c r="AW1365" i="3"/>
  <c r="AX1365" i="3" s="1"/>
  <c r="AW1367" i="3"/>
  <c r="AX1367" i="3" s="1"/>
  <c r="AY1367" i="3"/>
  <c r="AZ1367" i="3" s="1"/>
  <c r="AW1373" i="3"/>
  <c r="AX1373" i="3" s="1"/>
  <c r="AY1373" i="3"/>
  <c r="AZ1373" i="3" s="1"/>
  <c r="AY1374" i="3"/>
  <c r="AZ1374" i="3" s="1"/>
  <c r="AW1374" i="3"/>
  <c r="AX1374" i="3" s="1"/>
  <c r="AD1374" i="3"/>
  <c r="AW1382" i="3"/>
  <c r="AX1382" i="3" s="1"/>
  <c r="AY1382" i="3"/>
  <c r="AZ1382" i="3" s="1"/>
  <c r="AD1382" i="3"/>
  <c r="AW1395" i="3"/>
  <c r="AX1395" i="3" s="1"/>
  <c r="AY1395" i="3"/>
  <c r="AZ1395" i="3" s="1"/>
  <c r="AY1400" i="3"/>
  <c r="AZ1400" i="3" s="1"/>
  <c r="AW1400" i="3"/>
  <c r="AX1400" i="3" s="1"/>
  <c r="AY1403" i="3"/>
  <c r="AZ1403" i="3" s="1"/>
  <c r="AW1403" i="3"/>
  <c r="AX1403" i="3" s="1"/>
  <c r="AY1406" i="3"/>
  <c r="AZ1406" i="3" s="1"/>
  <c r="AW1406" i="3"/>
  <c r="AX1406" i="3" s="1"/>
  <c r="AW1408" i="3"/>
  <c r="AX1408" i="3" s="1"/>
  <c r="AY1408" i="3"/>
  <c r="AZ1408" i="3" s="1"/>
  <c r="AW1411" i="3"/>
  <c r="AX1411" i="3" s="1"/>
  <c r="AY1411" i="3"/>
  <c r="AZ1411" i="3" s="1"/>
  <c r="AY1426" i="3"/>
  <c r="AZ1426" i="3" s="1"/>
  <c r="AW1426" i="3"/>
  <c r="AX1426" i="3" s="1"/>
  <c r="Q1430" i="3"/>
  <c r="AW1430" i="3"/>
  <c r="AX1430" i="3" s="1"/>
  <c r="AY1430" i="3"/>
  <c r="AZ1430" i="3" s="1"/>
  <c r="T1431" i="3"/>
  <c r="AW1431" i="3"/>
  <c r="AX1431" i="3" s="1"/>
  <c r="AY1431" i="3"/>
  <c r="AZ1431" i="3" s="1"/>
  <c r="AW1433" i="3"/>
  <c r="AX1433" i="3" s="1"/>
  <c r="AY1433" i="3"/>
  <c r="AZ1433" i="3" s="1"/>
  <c r="AY1435" i="3"/>
  <c r="AZ1435" i="3" s="1"/>
  <c r="AW1435" i="3"/>
  <c r="AX1435" i="3" s="1"/>
  <c r="AW1436" i="3"/>
  <c r="AX1436" i="3" s="1"/>
  <c r="AY1436" i="3"/>
  <c r="AZ1436" i="3" s="1"/>
  <c r="T1438" i="3"/>
  <c r="T1439" i="3"/>
  <c r="AD1101" i="3"/>
  <c r="AW1101" i="3"/>
  <c r="AX1101" i="3" s="1"/>
  <c r="AY1101" i="3"/>
  <c r="AZ1101" i="3" s="1"/>
  <c r="AY1103" i="3"/>
  <c r="AZ1103" i="3" s="1"/>
  <c r="AW1103" i="3"/>
  <c r="AX1103" i="3" s="1"/>
  <c r="AY1108" i="3"/>
  <c r="AZ1108" i="3" s="1"/>
  <c r="AW1108" i="3"/>
  <c r="AX1108" i="3" s="1"/>
  <c r="AY1112" i="3"/>
  <c r="AZ1112" i="3" s="1"/>
  <c r="AW1112" i="3"/>
  <c r="AX1112" i="3" s="1"/>
  <c r="AY1116" i="3"/>
  <c r="AZ1116" i="3" s="1"/>
  <c r="AW1116" i="3"/>
  <c r="AX1116" i="3" s="1"/>
  <c r="AY1125" i="3"/>
  <c r="AZ1125" i="3" s="1"/>
  <c r="AW1125" i="3"/>
  <c r="AX1125" i="3" s="1"/>
  <c r="AY1127" i="3"/>
  <c r="AZ1127" i="3" s="1"/>
  <c r="AW1127" i="3"/>
  <c r="AX1127" i="3" s="1"/>
  <c r="AD1127" i="3"/>
  <c r="T1131" i="3"/>
  <c r="AY1131" i="3"/>
  <c r="AZ1131" i="3" s="1"/>
  <c r="AW1131" i="3"/>
  <c r="AX1131" i="3" s="1"/>
  <c r="AY1134" i="3"/>
  <c r="AZ1134" i="3" s="1"/>
  <c r="AW1134" i="3"/>
  <c r="AX1134" i="3" s="1"/>
  <c r="AY1141" i="3"/>
  <c r="AZ1141" i="3" s="1"/>
  <c r="AW1141" i="3"/>
  <c r="AX1141" i="3" s="1"/>
  <c r="AY1143" i="3"/>
  <c r="AZ1143" i="3" s="1"/>
  <c r="AW1143" i="3"/>
  <c r="AX1143" i="3" s="1"/>
  <c r="AD1149" i="3"/>
  <c r="AY1149" i="3"/>
  <c r="AZ1149" i="3" s="1"/>
  <c r="AW1149" i="3"/>
  <c r="AX1149" i="3" s="1"/>
  <c r="Q1153" i="3"/>
  <c r="AY1153" i="3"/>
  <c r="AZ1153" i="3" s="1"/>
  <c r="AW1153" i="3"/>
  <c r="AX1153" i="3" s="1"/>
  <c r="Q1160" i="3"/>
  <c r="AY1160" i="3"/>
  <c r="AZ1160" i="3" s="1"/>
  <c r="AW1160" i="3"/>
  <c r="AX1160" i="3" s="1"/>
  <c r="AY1161" i="3"/>
  <c r="AZ1161" i="3" s="1"/>
  <c r="AW1161" i="3"/>
  <c r="AX1161" i="3" s="1"/>
  <c r="AY1165" i="3"/>
  <c r="AZ1165" i="3" s="1"/>
  <c r="AW1165" i="3"/>
  <c r="AX1165" i="3" s="1"/>
  <c r="AD1165" i="3"/>
  <c r="AY1182" i="3"/>
  <c r="AZ1182" i="3" s="1"/>
  <c r="AW1182" i="3"/>
  <c r="AX1182" i="3" s="1"/>
  <c r="AY1184" i="3"/>
  <c r="AZ1184" i="3" s="1"/>
  <c r="AW1184" i="3"/>
  <c r="AX1184" i="3" s="1"/>
  <c r="AD1190" i="3"/>
  <c r="AY1190" i="3"/>
  <c r="AZ1190" i="3" s="1"/>
  <c r="AW1190" i="3"/>
  <c r="AX1190" i="3" s="1"/>
  <c r="AY1191" i="3"/>
  <c r="AZ1191" i="3" s="1"/>
  <c r="AW1191" i="3"/>
  <c r="AX1191" i="3" s="1"/>
  <c r="AY1192" i="3"/>
  <c r="AZ1192" i="3" s="1"/>
  <c r="AW1192" i="3"/>
  <c r="AX1192" i="3" s="1"/>
  <c r="AD1192" i="3"/>
  <c r="AY1199" i="3"/>
  <c r="AZ1199" i="3" s="1"/>
  <c r="AW1199" i="3"/>
  <c r="AX1199" i="3" s="1"/>
  <c r="AY1201" i="3"/>
  <c r="AZ1201" i="3" s="1"/>
  <c r="AW1201" i="3"/>
  <c r="AX1201" i="3" s="1"/>
  <c r="AY1208" i="3"/>
  <c r="AZ1208" i="3" s="1"/>
  <c r="AW1208" i="3"/>
  <c r="AX1208" i="3" s="1"/>
  <c r="AY1210" i="3"/>
  <c r="AZ1210" i="3" s="1"/>
  <c r="AW1210" i="3"/>
  <c r="AX1210" i="3" s="1"/>
  <c r="T1212" i="3"/>
  <c r="AY1212" i="3"/>
  <c r="AZ1212" i="3" s="1"/>
  <c r="AW1212" i="3"/>
  <c r="AX1212" i="3" s="1"/>
  <c r="T1214" i="3"/>
  <c r="AY1214" i="3"/>
  <c r="AZ1214" i="3" s="1"/>
  <c r="AW1214" i="3"/>
  <c r="AX1214" i="3" s="1"/>
  <c r="AY1216" i="3"/>
  <c r="AZ1216" i="3" s="1"/>
  <c r="AW1216" i="3"/>
  <c r="AX1216" i="3" s="1"/>
  <c r="T1218" i="3"/>
  <c r="AY1218" i="3"/>
  <c r="AZ1218" i="3" s="1"/>
  <c r="AW1218" i="3"/>
  <c r="AX1218"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D1226" i="3"/>
  <c r="AY1231" i="3"/>
  <c r="AZ1231" i="3" s="1"/>
  <c r="AW1231" i="3"/>
  <c r="AX1231" i="3" s="1"/>
  <c r="AY1235" i="3"/>
  <c r="AZ1235" i="3" s="1"/>
  <c r="AW1235" i="3"/>
  <c r="AX1235" i="3" s="1"/>
  <c r="AY1237" i="3"/>
  <c r="AZ1237" i="3" s="1"/>
  <c r="AW1237" i="3"/>
  <c r="AX1237" i="3" s="1"/>
  <c r="AD1237" i="3"/>
  <c r="AY1240" i="3"/>
  <c r="AZ1240" i="3" s="1"/>
  <c r="AW1240" i="3"/>
  <c r="AX1240" i="3" s="1"/>
  <c r="AY1243" i="3"/>
  <c r="AZ1243" i="3" s="1"/>
  <c r="AW1243" i="3"/>
  <c r="AX1243" i="3" s="1"/>
  <c r="AW1255" i="3"/>
  <c r="AX1255" i="3" s="1"/>
  <c r="AY1255" i="3"/>
  <c r="AZ1255" i="3" s="1"/>
  <c r="AD1255" i="3"/>
  <c r="AY1258" i="3"/>
  <c r="AZ1258" i="3" s="1"/>
  <c r="AW1258" i="3"/>
  <c r="AX1258" i="3" s="1"/>
  <c r="AD1258" i="3"/>
  <c r="T1260" i="3"/>
  <c r="AW1260" i="3"/>
  <c r="AX1260" i="3" s="1"/>
  <c r="AY1260" i="3"/>
  <c r="AZ1260" i="3" s="1"/>
  <c r="AY1262" i="3"/>
  <c r="AZ1262" i="3" s="1"/>
  <c r="AW1262" i="3"/>
  <c r="AX1262"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T1281" i="3"/>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D1292" i="3"/>
  <c r="AW1295" i="3"/>
  <c r="AX1295" i="3" s="1"/>
  <c r="AY1295" i="3"/>
  <c r="AZ1295" i="3" s="1"/>
  <c r="AY1305" i="3"/>
  <c r="AZ1305" i="3" s="1"/>
  <c r="AW1305" i="3"/>
  <c r="AX1305" i="3" s="1"/>
  <c r="T1316" i="3"/>
  <c r="AW1316" i="3"/>
  <c r="AX1316" i="3" s="1"/>
  <c r="AY1316" i="3"/>
  <c r="AZ1316" i="3" s="1"/>
  <c r="AW1324" i="3"/>
  <c r="AX1324" i="3" s="1"/>
  <c r="AY1324" i="3"/>
  <c r="AZ1324" i="3" s="1"/>
  <c r="AD1324" i="3"/>
  <c r="AW1328" i="3"/>
  <c r="AX1328" i="3" s="1"/>
  <c r="AY1328" i="3"/>
  <c r="AZ1328" i="3" s="1"/>
  <c r="AY1329" i="3"/>
  <c r="AZ1329" i="3" s="1"/>
  <c r="AW1329" i="3"/>
  <c r="AX1329" i="3" s="1"/>
  <c r="AY1342" i="3"/>
  <c r="AZ1342" i="3" s="1"/>
  <c r="AW1342" i="3"/>
  <c r="AX1342" i="3" s="1"/>
  <c r="AD1342" i="3"/>
  <c r="AY1345" i="3"/>
  <c r="AZ1345" i="3" s="1"/>
  <c r="AW1345" i="3"/>
  <c r="AX1345" i="3" s="1"/>
  <c r="AD1345" i="3"/>
  <c r="AW1347" i="3"/>
  <c r="AX1347" i="3" s="1"/>
  <c r="AY1347" i="3"/>
  <c r="AZ1347" i="3" s="1"/>
  <c r="AW1351" i="3"/>
  <c r="AX1351" i="3" s="1"/>
  <c r="AY1351" i="3"/>
  <c r="AZ1351" i="3" s="1"/>
  <c r="AY1352" i="3"/>
  <c r="AZ1352" i="3" s="1"/>
  <c r="AW1352" i="3"/>
  <c r="AX1352" i="3" s="1"/>
  <c r="AY1354" i="3"/>
  <c r="AZ1354" i="3" s="1"/>
  <c r="AW1354" i="3"/>
  <c r="AX1354" i="3" s="1"/>
  <c r="AY1362" i="3"/>
  <c r="AZ1362" i="3" s="1"/>
  <c r="AW1362" i="3"/>
  <c r="AX1362" i="3" s="1"/>
  <c r="AD1362" i="3"/>
  <c r="AY1370" i="3"/>
  <c r="AZ1370" i="3" s="1"/>
  <c r="AW1370" i="3"/>
  <c r="AX1370" i="3" s="1"/>
  <c r="AD1370" i="3"/>
  <c r="AY1375" i="3"/>
  <c r="AZ1375" i="3" s="1"/>
  <c r="AW1375" i="3"/>
  <c r="AX1375" i="3" s="1"/>
  <c r="AY1381" i="3"/>
  <c r="AZ1381" i="3" s="1"/>
  <c r="AW1381" i="3"/>
  <c r="AX1381" i="3" s="1"/>
  <c r="AW1383" i="3"/>
  <c r="AX1383" i="3" s="1"/>
  <c r="AY1383" i="3"/>
  <c r="AZ1383" i="3" s="1"/>
  <c r="AW1389" i="3"/>
  <c r="AX1389" i="3" s="1"/>
  <c r="AY1389" i="3"/>
  <c r="AZ1389" i="3" s="1"/>
  <c r="AY1391" i="3"/>
  <c r="AZ1391" i="3" s="1"/>
  <c r="AW1391" i="3"/>
  <c r="AX1391" i="3" s="1"/>
  <c r="AY1394" i="3"/>
  <c r="AZ1394" i="3" s="1"/>
  <c r="AW1394" i="3"/>
  <c r="AX1394" i="3" s="1"/>
  <c r="AY1397" i="3"/>
  <c r="AZ1397" i="3" s="1"/>
  <c r="AW1397" i="3"/>
  <c r="AX1397" i="3" s="1"/>
  <c r="AY1402" i="3"/>
  <c r="AZ1402" i="3" s="1"/>
  <c r="AW1402" i="3"/>
  <c r="AX1402" i="3" s="1"/>
  <c r="AW1405" i="3"/>
  <c r="AX1405" i="3" s="1"/>
  <c r="AY1405" i="3"/>
  <c r="AZ1405" i="3" s="1"/>
  <c r="AY1410" i="3"/>
  <c r="AZ1410" i="3" s="1"/>
  <c r="AW1410" i="3"/>
  <c r="AX1410" i="3" s="1"/>
  <c r="AW1414" i="3"/>
  <c r="AX1414" i="3" s="1"/>
  <c r="AY1414" i="3"/>
  <c r="AZ1414" i="3" s="1"/>
  <c r="AY1416" i="3"/>
  <c r="AZ1416" i="3" s="1"/>
  <c r="AW1416" i="3"/>
  <c r="AX1416" i="3" s="1"/>
  <c r="AY1419" i="3"/>
  <c r="AZ1419" i="3" s="1"/>
  <c r="AW1419" i="3"/>
  <c r="AX1419" i="3" s="1"/>
  <c r="AW1421" i="3"/>
  <c r="AX1421" i="3" s="1"/>
  <c r="AY1421" i="3"/>
  <c r="AZ1421" i="3" s="1"/>
  <c r="AD1421" i="3"/>
  <c r="AW1424" i="3"/>
  <c r="AX1424" i="3" s="1"/>
  <c r="AY1424" i="3"/>
  <c r="AZ1424" i="3" s="1"/>
  <c r="AD1424" i="3"/>
  <c r="AY1428" i="3"/>
  <c r="AZ1428" i="3" s="1"/>
  <c r="AW1428" i="3"/>
  <c r="AX1428" i="3" s="1"/>
  <c r="Q1435" i="3"/>
  <c r="AY1443" i="3"/>
  <c r="AZ1443" i="3" s="1"/>
  <c r="AW1443" i="3"/>
  <c r="AX1443"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3" i="3"/>
  <c r="AX1013" i="3" s="1"/>
  <c r="AY1013" i="3"/>
  <c r="AZ1013" i="3" s="1"/>
  <c r="AW1016" i="3"/>
  <c r="AX1016" i="3" s="1"/>
  <c r="AY1016" i="3"/>
  <c r="AZ1016" i="3" s="1"/>
  <c r="AD1016" i="3"/>
  <c r="AY1018" i="3"/>
  <c r="AZ1018" i="3" s="1"/>
  <c r="AW1018" i="3"/>
  <c r="AX1018" i="3" s="1"/>
  <c r="T1019" i="3"/>
  <c r="AW1021" i="3"/>
  <c r="AX1021" i="3" s="1"/>
  <c r="AY1021" i="3"/>
  <c r="AZ1021" i="3" s="1"/>
  <c r="T1023" i="3"/>
  <c r="AY1028" i="3"/>
  <c r="AZ1028" i="3" s="1"/>
  <c r="AW1028" i="3"/>
  <c r="AX1028" i="3" s="1"/>
  <c r="AD1028" i="3"/>
  <c r="AY1030" i="3"/>
  <c r="AZ1030" i="3" s="1"/>
  <c r="AW1030" i="3"/>
  <c r="AX1030" i="3" s="1"/>
  <c r="AY1031" i="3"/>
  <c r="AZ1031" i="3" s="1"/>
  <c r="AW1031" i="3"/>
  <c r="AX1031" i="3" s="1"/>
  <c r="AY1034" i="3"/>
  <c r="AZ1034" i="3" s="1"/>
  <c r="AW1034" i="3"/>
  <c r="AX1034" i="3" s="1"/>
  <c r="AW1038" i="3"/>
  <c r="AX1038" i="3" s="1"/>
  <c r="AY1038" i="3"/>
  <c r="AZ1038" i="3" s="1"/>
  <c r="AY1043" i="3"/>
  <c r="AZ1043" i="3" s="1"/>
  <c r="AW1043" i="3"/>
  <c r="AX1043" i="3" s="1"/>
  <c r="AD1045" i="3"/>
  <c r="AW1048" i="3"/>
  <c r="AX1048" i="3" s="1"/>
  <c r="AY1048" i="3"/>
  <c r="AZ1048" i="3" s="1"/>
  <c r="AD1048" i="3"/>
  <c r="AD1049" i="3"/>
  <c r="AY1051" i="3"/>
  <c r="AZ1051" i="3" s="1"/>
  <c r="AW1051" i="3"/>
  <c r="AX1051" i="3" s="1"/>
  <c r="AW1053" i="3"/>
  <c r="AX1053" i="3" s="1"/>
  <c r="AY1053" i="3"/>
  <c r="AZ1053" i="3" s="1"/>
  <c r="T1056" i="3"/>
  <c r="AD1061" i="3"/>
  <c r="AW1064" i="3"/>
  <c r="AX1064" i="3" s="1"/>
  <c r="AY1064" i="3"/>
  <c r="AZ1064" i="3" s="1"/>
  <c r="AD1064" i="3"/>
  <c r="AD1065" i="3"/>
  <c r="AY1067" i="3"/>
  <c r="AZ1067" i="3" s="1"/>
  <c r="AW1067" i="3"/>
  <c r="AX1067" i="3" s="1"/>
  <c r="AW1069" i="3"/>
  <c r="AX1069" i="3" s="1"/>
  <c r="AY1069" i="3"/>
  <c r="AZ1069" i="3" s="1"/>
  <c r="T1072" i="3"/>
  <c r="AD1077" i="3"/>
  <c r="AW1080" i="3"/>
  <c r="AX1080" i="3" s="1"/>
  <c r="AY1080" i="3"/>
  <c r="AZ1080" i="3" s="1"/>
  <c r="AD1080" i="3"/>
  <c r="AD1081" i="3"/>
  <c r="AY1083" i="3"/>
  <c r="AZ1083" i="3" s="1"/>
  <c r="AW1083" i="3"/>
  <c r="AX1083" i="3" s="1"/>
  <c r="AW1085" i="3"/>
  <c r="AX1085" i="3" s="1"/>
  <c r="AY1085" i="3"/>
  <c r="AZ1085" i="3" s="1"/>
  <c r="AY1091" i="3"/>
  <c r="AZ1091" i="3" s="1"/>
  <c r="AW1091" i="3"/>
  <c r="AX1091" i="3" s="1"/>
  <c r="AD1095" i="3"/>
  <c r="AY1097" i="3"/>
  <c r="AZ1097" i="3" s="1"/>
  <c r="AW1097" i="3"/>
  <c r="AX1097" i="3" s="1"/>
  <c r="AD1097" i="3"/>
  <c r="AY1099" i="3"/>
  <c r="AZ1099" i="3" s="1"/>
  <c r="AW1099" i="3"/>
  <c r="AX1099" i="3" s="1"/>
  <c r="T1100" i="3"/>
  <c r="Q1101" i="3"/>
  <c r="T1102" i="3"/>
  <c r="AD1104" i="3"/>
  <c r="T1111" i="3"/>
  <c r="AY1114" i="3"/>
  <c r="AZ1114" i="3" s="1"/>
  <c r="AW1114" i="3"/>
  <c r="AX1114" i="3" s="1"/>
  <c r="AY1115" i="3"/>
  <c r="AZ1115" i="3" s="1"/>
  <c r="AW1115" i="3"/>
  <c r="AX1115" i="3" s="1"/>
  <c r="Q1116" i="3"/>
  <c r="AD1118" i="3"/>
  <c r="AD1119" i="3"/>
  <c r="AY1121" i="3"/>
  <c r="AZ1121" i="3" s="1"/>
  <c r="AW1121" i="3"/>
  <c r="AX1121" i="3" s="1"/>
  <c r="AD1121" i="3"/>
  <c r="AY1123" i="3"/>
  <c r="AZ1123" i="3" s="1"/>
  <c r="AW1123" i="3"/>
  <c r="AX1123" i="3" s="1"/>
  <c r="AD1123" i="3"/>
  <c r="Q1127" i="3"/>
  <c r="AD1128" i="3"/>
  <c r="AY1128" i="3"/>
  <c r="AZ1128" i="3" s="1"/>
  <c r="AW1128" i="3"/>
  <c r="AX1128" i="3" s="1"/>
  <c r="AD1130" i="3"/>
  <c r="AY1130" i="3"/>
  <c r="AZ1130" i="3" s="1"/>
  <c r="AW1130" i="3"/>
  <c r="AX1130" i="3" s="1"/>
  <c r="Q1137" i="3"/>
  <c r="AY1137" i="3"/>
  <c r="AZ1137" i="3" s="1"/>
  <c r="AW1137" i="3"/>
  <c r="AX1137" i="3" s="1"/>
  <c r="AY1140" i="3"/>
  <c r="AZ1140" i="3" s="1"/>
  <c r="AW1140" i="3"/>
  <c r="AX1140" i="3" s="1"/>
  <c r="T1143" i="3"/>
  <c r="AY1145" i="3"/>
  <c r="AZ1145" i="3" s="1"/>
  <c r="AW1145" i="3"/>
  <c r="AX1145" i="3" s="1"/>
  <c r="AY1146" i="3"/>
  <c r="AZ1146" i="3" s="1"/>
  <c r="AW1146" i="3"/>
  <c r="AX1146" i="3" s="1"/>
  <c r="AY1148" i="3"/>
  <c r="AZ1148" i="3" s="1"/>
  <c r="AW1148" i="3"/>
  <c r="AX1148" i="3" s="1"/>
  <c r="Q1149" i="3"/>
  <c r="AY1152" i="3"/>
  <c r="AZ1152" i="3" s="1"/>
  <c r="AW1152" i="3"/>
  <c r="AX1152" i="3" s="1"/>
  <c r="AD1155" i="3"/>
  <c r="AY1155" i="3"/>
  <c r="AZ1155" i="3" s="1"/>
  <c r="AW1155" i="3"/>
  <c r="AX1155" i="3" s="1"/>
  <c r="AY1157" i="3"/>
  <c r="AZ1157" i="3" s="1"/>
  <c r="AW1157" i="3"/>
  <c r="AX1157" i="3" s="1"/>
  <c r="T1159" i="3"/>
  <c r="T1160" i="3"/>
  <c r="AD1163" i="3"/>
  <c r="AY1163" i="3"/>
  <c r="AZ1163" i="3" s="1"/>
  <c r="AW1163" i="3"/>
  <c r="AX1163" i="3" s="1"/>
  <c r="AY1164" i="3"/>
  <c r="AZ1164" i="3" s="1"/>
  <c r="AW1164" i="3"/>
  <c r="AX1164" i="3" s="1"/>
  <c r="Q1165" i="3"/>
  <c r="AY1166" i="3"/>
  <c r="AZ1166" i="3" s="1"/>
  <c r="AW1166" i="3"/>
  <c r="AX1166" i="3" s="1"/>
  <c r="AD1170" i="3"/>
  <c r="AY1172" i="3"/>
  <c r="AZ1172" i="3" s="1"/>
  <c r="AW1172" i="3"/>
  <c r="AX1172" i="3" s="1"/>
  <c r="AY1173" i="3"/>
  <c r="AZ1173" i="3" s="1"/>
  <c r="AW1173" i="3"/>
  <c r="AX1173" i="3" s="1"/>
  <c r="AY1174" i="3"/>
  <c r="AZ1174" i="3" s="1"/>
  <c r="AW1174" i="3"/>
  <c r="AX1174" i="3" s="1"/>
  <c r="AD1174" i="3"/>
  <c r="AD1178" i="3"/>
  <c r="AD1180" i="3"/>
  <c r="AY1180" i="3"/>
  <c r="AZ1180" i="3" s="1"/>
  <c r="AW1180" i="3"/>
  <c r="AX1180" i="3" s="1"/>
  <c r="AY1181" i="3"/>
  <c r="AZ1181" i="3" s="1"/>
  <c r="AW1181" i="3"/>
  <c r="AX1181" i="3" s="1"/>
  <c r="T1183" i="3"/>
  <c r="Q1185" i="3"/>
  <c r="AY1185" i="3"/>
  <c r="AZ1185" i="3" s="1"/>
  <c r="AW1185" i="3"/>
  <c r="AX1185" i="3" s="1"/>
  <c r="AY1186" i="3"/>
  <c r="AZ1186" i="3" s="1"/>
  <c r="AW1186" i="3"/>
  <c r="AX1186" i="3" s="1"/>
  <c r="Q1190" i="3"/>
  <c r="Q1191" i="3"/>
  <c r="Q1192" i="3"/>
  <c r="AY1193" i="3"/>
  <c r="AZ1193" i="3" s="1"/>
  <c r="AW1193" i="3"/>
  <c r="AX1193" i="3" s="1"/>
  <c r="AY1194" i="3"/>
  <c r="AZ1194" i="3" s="1"/>
  <c r="AW1194" i="3"/>
  <c r="AX1194" i="3" s="1"/>
  <c r="AY1196" i="3"/>
  <c r="AZ1196" i="3" s="1"/>
  <c r="AW1196" i="3"/>
  <c r="AX1196" i="3" s="1"/>
  <c r="AY1198" i="3"/>
  <c r="AZ1198" i="3" s="1"/>
  <c r="AW1198" i="3"/>
  <c r="AX1198" i="3" s="1"/>
  <c r="T1201" i="3"/>
  <c r="AY1203" i="3"/>
  <c r="AZ1203" i="3" s="1"/>
  <c r="AW1203" i="3"/>
  <c r="AX1203" i="3" s="1"/>
  <c r="AY1205" i="3"/>
  <c r="AZ1205" i="3" s="1"/>
  <c r="AW1205" i="3"/>
  <c r="AX1205" i="3" s="1"/>
  <c r="Q1221" i="3"/>
  <c r="Q1222" i="3"/>
  <c r="Q1223" i="3"/>
  <c r="Q1224" i="3"/>
  <c r="Q1225" i="3"/>
  <c r="Q1226" i="3"/>
  <c r="AY1227" i="3"/>
  <c r="AZ1227" i="3" s="1"/>
  <c r="AW1227" i="3"/>
  <c r="AX1227" i="3" s="1"/>
  <c r="T1230" i="3"/>
  <c r="T1234" i="3"/>
  <c r="Q1237" i="3"/>
  <c r="AY1238" i="3"/>
  <c r="AZ1238" i="3" s="1"/>
  <c r="AW1238" i="3"/>
  <c r="AX1238" i="3" s="1"/>
  <c r="AD1238" i="3"/>
  <c r="T1242" i="3"/>
  <c r="T1246" i="3"/>
  <c r="AY1248" i="3"/>
  <c r="AZ1248" i="3" s="1"/>
  <c r="AW1248" i="3"/>
  <c r="AX1248" i="3" s="1"/>
  <c r="AD1248" i="3"/>
  <c r="AY1250" i="3"/>
  <c r="AZ1250" i="3" s="1"/>
  <c r="AW1250" i="3"/>
  <c r="AX1250" i="3" s="1"/>
  <c r="AD1253" i="3"/>
  <c r="Q1255" i="3"/>
  <c r="AY1256" i="3"/>
  <c r="AZ1256" i="3" s="1"/>
  <c r="AW1256" i="3"/>
  <c r="AX1256" i="3" s="1"/>
  <c r="AD1256" i="3"/>
  <c r="Q1258" i="3"/>
  <c r="AY1259" i="3"/>
  <c r="AZ1259" i="3" s="1"/>
  <c r="AW1259" i="3"/>
  <c r="AX1259" i="3" s="1"/>
  <c r="T1261" i="3"/>
  <c r="AY1264" i="3"/>
  <c r="AZ1264" i="3" s="1"/>
  <c r="AW1264" i="3"/>
  <c r="AX1264" i="3" s="1"/>
  <c r="AD1264" i="3"/>
  <c r="Q1266" i="3"/>
  <c r="AW1267" i="3"/>
  <c r="AX1267" i="3" s="1"/>
  <c r="AY1267" i="3"/>
  <c r="AZ1267" i="3" s="1"/>
  <c r="AY1275" i="3"/>
  <c r="AZ1275" i="3" s="1"/>
  <c r="AW1275" i="3"/>
  <c r="AX1275" i="3" s="1"/>
  <c r="T1276" i="3"/>
  <c r="T1287" i="3"/>
  <c r="AY1289" i="3"/>
  <c r="AZ1289" i="3" s="1"/>
  <c r="AW1289" i="3"/>
  <c r="AX1289" i="3" s="1"/>
  <c r="AW1290" i="3"/>
  <c r="AX1290" i="3" s="1"/>
  <c r="AY1290" i="3"/>
  <c r="AZ1290" i="3" s="1"/>
  <c r="T1291" i="3"/>
  <c r="Q1292" i="3"/>
  <c r="AY1293" i="3"/>
  <c r="AZ1293" i="3" s="1"/>
  <c r="AW1293" i="3"/>
  <c r="AX1293" i="3" s="1"/>
  <c r="AY1294" i="3"/>
  <c r="AZ1294" i="3" s="1"/>
  <c r="AW1294" i="3"/>
  <c r="AX1294" i="3" s="1"/>
  <c r="T1295" i="3"/>
  <c r="T1296" i="3"/>
  <c r="AW1298" i="3"/>
  <c r="AX1298" i="3" s="1"/>
  <c r="AY1298" i="3"/>
  <c r="AZ1298" i="3" s="1"/>
  <c r="AY1299" i="3"/>
  <c r="AZ1299" i="3" s="1"/>
  <c r="AW1299" i="3"/>
  <c r="AX1299" i="3" s="1"/>
  <c r="AD1299" i="3"/>
  <c r="AY1302" i="3"/>
  <c r="AZ1302" i="3" s="1"/>
  <c r="AW1302" i="3"/>
  <c r="AX1302" i="3" s="1"/>
  <c r="AW1304" i="3"/>
  <c r="AX1304" i="3" s="1"/>
  <c r="AY1304" i="3"/>
  <c r="AZ1304" i="3" s="1"/>
  <c r="Q1305" i="3"/>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T1323" i="3"/>
  <c r="Q1324" i="3"/>
  <c r="AW1325" i="3"/>
  <c r="AX1325" i="3" s="1"/>
  <c r="AY1325" i="3"/>
  <c r="AZ1325" i="3" s="1"/>
  <c r="AD1326" i="3"/>
  <c r="Q1328" i="3"/>
  <c r="AW1331" i="3"/>
  <c r="AX1331" i="3" s="1"/>
  <c r="AY1331" i="3"/>
  <c r="AZ1331" i="3" s="1"/>
  <c r="AW1334" i="3"/>
  <c r="AX1334" i="3" s="1"/>
  <c r="AY1334" i="3"/>
  <c r="AZ1334" i="3" s="1"/>
  <c r="AD1334" i="3"/>
  <c r="T1336" i="3"/>
  <c r="AD1337" i="3"/>
  <c r="AY1339" i="3"/>
  <c r="AZ1339" i="3" s="1"/>
  <c r="AW1339" i="3"/>
  <c r="AX1339" i="3" s="1"/>
  <c r="AW1340" i="3"/>
  <c r="AX1340" i="3" s="1"/>
  <c r="AY1340" i="3"/>
  <c r="AZ1340" i="3" s="1"/>
  <c r="AW1341" i="3"/>
  <c r="AX1341" i="3" s="1"/>
  <c r="AY1341" i="3"/>
  <c r="AZ1341" i="3" s="1"/>
  <c r="Q1342" i="3"/>
  <c r="AY1343" i="3"/>
  <c r="AZ1343" i="3" s="1"/>
  <c r="AW1343" i="3"/>
  <c r="AX1343" i="3" s="1"/>
  <c r="T1344" i="3"/>
  <c r="AW1344" i="3"/>
  <c r="AX1344" i="3" s="1"/>
  <c r="AY1344" i="3"/>
  <c r="AZ1344" i="3" s="1"/>
  <c r="Q1345" i="3"/>
  <c r="AY1346" i="3"/>
  <c r="AZ1346" i="3" s="1"/>
  <c r="AW1346" i="3"/>
  <c r="AX1346" i="3" s="1"/>
  <c r="AY1349" i="3"/>
  <c r="AZ1349" i="3" s="1"/>
  <c r="AW1349" i="3"/>
  <c r="AX1349" i="3" s="1"/>
  <c r="T1350" i="3"/>
  <c r="T1351" i="3"/>
  <c r="Q1352" i="3"/>
  <c r="T1353" i="3"/>
  <c r="T1354" i="3"/>
  <c r="AW1356" i="3"/>
  <c r="AX1356" i="3" s="1"/>
  <c r="AY1356" i="3"/>
  <c r="AZ1356" i="3" s="1"/>
  <c r="AY1358" i="3"/>
  <c r="AZ1358" i="3" s="1"/>
  <c r="AW1358" i="3"/>
  <c r="AX1358" i="3" s="1"/>
  <c r="AW1360" i="3"/>
  <c r="AX1360" i="3" s="1"/>
  <c r="AY1360" i="3"/>
  <c r="AZ1360" i="3" s="1"/>
  <c r="AY1361" i="3"/>
  <c r="AZ1361" i="3" s="1"/>
  <c r="AW1361" i="3"/>
  <c r="AX1361" i="3" s="1"/>
  <c r="Q1362" i="3"/>
  <c r="AW1363" i="3"/>
  <c r="AX1363" i="3" s="1"/>
  <c r="AY1363" i="3"/>
  <c r="AZ1363" i="3" s="1"/>
  <c r="AY1364" i="3"/>
  <c r="AZ1364" i="3" s="1"/>
  <c r="AW1364" i="3"/>
  <c r="AX1364" i="3" s="1"/>
  <c r="AD1365" i="3"/>
  <c r="AY1368" i="3"/>
  <c r="AZ1368" i="3" s="1"/>
  <c r="AW1368" i="3"/>
  <c r="AX1368" i="3" s="1"/>
  <c r="AW1369" i="3"/>
  <c r="AX1369" i="3" s="1"/>
  <c r="AY1369" i="3"/>
  <c r="AZ1369" i="3" s="1"/>
  <c r="Q1370" i="3"/>
  <c r="AY1371" i="3"/>
  <c r="AZ1371" i="3" s="1"/>
  <c r="AW1371" i="3"/>
  <c r="AX1371" i="3" s="1"/>
  <c r="AW1372" i="3"/>
  <c r="AX1372" i="3" s="1"/>
  <c r="AY1372" i="3"/>
  <c r="AZ1372" i="3" s="1"/>
  <c r="T1374" i="3"/>
  <c r="AY1378" i="3"/>
  <c r="AZ1378" i="3" s="1"/>
  <c r="AW1378" i="3"/>
  <c r="AX1378" i="3" s="1"/>
  <c r="AD1378" i="3"/>
  <c r="AD1379" i="3"/>
  <c r="T1381" i="3"/>
  <c r="T1382" i="3"/>
  <c r="AY1386" i="3"/>
  <c r="AZ1386" i="3" s="1"/>
  <c r="AW1386" i="3"/>
  <c r="AX1386" i="3" s="1"/>
  <c r="AD1386" i="3"/>
  <c r="AD1387" i="3"/>
  <c r="AY1393" i="3"/>
  <c r="AZ1393" i="3" s="1"/>
  <c r="AW1393" i="3"/>
  <c r="AX1393" i="3" s="1"/>
  <c r="T1394" i="3"/>
  <c r="AY1396" i="3"/>
  <c r="AZ1396" i="3" s="1"/>
  <c r="AW1396" i="3"/>
  <c r="AX1396" i="3" s="1"/>
  <c r="AW1399" i="3"/>
  <c r="AX1399" i="3" s="1"/>
  <c r="AY1399" i="3"/>
  <c r="AZ1399" i="3" s="1"/>
  <c r="T1402" i="3"/>
  <c r="AW1404" i="3"/>
  <c r="AX1404" i="3" s="1"/>
  <c r="AY1404" i="3"/>
  <c r="AZ1404" i="3" s="1"/>
  <c r="T1405" i="3"/>
  <c r="AY1407" i="3"/>
  <c r="AZ1407" i="3" s="1"/>
  <c r="AW1407" i="3"/>
  <c r="AX1407" i="3" s="1"/>
  <c r="Q1410" i="3"/>
  <c r="AY1413" i="3"/>
  <c r="AZ1413" i="3" s="1"/>
  <c r="AW1413" i="3"/>
  <c r="AX1413" i="3" s="1"/>
  <c r="AY1418" i="3"/>
  <c r="AZ1418" i="3" s="1"/>
  <c r="AW1418" i="3"/>
  <c r="AX1418" i="3" s="1"/>
  <c r="Q1421" i="3"/>
  <c r="Q1422" i="3"/>
  <c r="AY1422" i="3"/>
  <c r="AZ1422" i="3" s="1"/>
  <c r="AW1422" i="3"/>
  <c r="AX1422" i="3" s="1"/>
  <c r="T1423" i="3"/>
  <c r="AY1423" i="3"/>
  <c r="AZ1423" i="3" s="1"/>
  <c r="AW1423" i="3"/>
  <c r="AX1423" i="3" s="1"/>
  <c r="Q1424" i="3"/>
  <c r="AY1425" i="3"/>
  <c r="AZ1425" i="3" s="1"/>
  <c r="AW1425" i="3"/>
  <c r="AX1425" i="3" s="1"/>
  <c r="AW1427" i="3"/>
  <c r="AX1427" i="3" s="1"/>
  <c r="AY1427" i="3"/>
  <c r="AZ1427" i="3" s="1"/>
  <c r="AD1431" i="3"/>
  <c r="AY1434" i="3"/>
  <c r="AZ1434" i="3" s="1"/>
  <c r="AW1434" i="3"/>
  <c r="AX1434" i="3" s="1"/>
  <c r="T1435" i="3"/>
  <c r="AW1437" i="3"/>
  <c r="AX1437" i="3" s="1"/>
  <c r="AY1437" i="3"/>
  <c r="AZ1437" i="3" s="1"/>
  <c r="AD1437" i="3"/>
  <c r="AY1441" i="3"/>
  <c r="AZ1441" i="3" s="1"/>
  <c r="AW1441" i="3"/>
  <c r="AX1441" i="3" s="1"/>
  <c r="AD1441"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3" i="3"/>
  <c r="T1093" i="3"/>
  <c r="Q1093"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595" i="3"/>
  <c r="T595" i="3"/>
  <c r="Q595" i="3"/>
  <c r="AD611" i="3"/>
  <c r="T611" i="3"/>
  <c r="Q611" i="3"/>
  <c r="T10" i="3"/>
  <c r="AD11" i="3"/>
  <c r="T14" i="3"/>
  <c r="AD15" i="3"/>
  <c r="T18" i="3"/>
  <c r="AD19" i="3"/>
  <c r="T22" i="3"/>
  <c r="AD23" i="3"/>
  <c r="T26" i="3"/>
  <c r="AD27" i="3"/>
  <c r="T30" i="3"/>
  <c r="AD31" i="3"/>
  <c r="T34" i="3"/>
  <c r="AD35" i="3"/>
  <c r="T38" i="3"/>
  <c r="AD39" i="3"/>
  <c r="T42" i="3"/>
  <c r="Q45" i="3"/>
  <c r="AD46" i="3"/>
  <c r="T48" i="3"/>
  <c r="T58" i="3"/>
  <c r="Q61" i="3"/>
  <c r="AD62" i="3"/>
  <c r="T6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T408" i="3"/>
  <c r="T423" i="3"/>
  <c r="Q423" i="3"/>
  <c r="AD423"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7" i="3"/>
  <c r="Q1037" i="3"/>
  <c r="T1037" i="3"/>
  <c r="AD1349" i="3"/>
  <c r="T1349" i="3"/>
  <c r="Q1349" i="3"/>
  <c r="AD421" i="3"/>
  <c r="AD422" i="3"/>
  <c r="AD427" i="3"/>
  <c r="Q440" i="3"/>
  <c r="Q446" i="3"/>
  <c r="Q508" i="3"/>
  <c r="Q516" i="3"/>
  <c r="Q531" i="3"/>
  <c r="AD534" i="3"/>
  <c r="T534" i="3"/>
  <c r="Q534" i="3"/>
  <c r="Q539" i="3"/>
  <c r="AD542" i="3"/>
  <c r="T542" i="3"/>
  <c r="Q542" i="3"/>
  <c r="Q547" i="3"/>
  <c r="AD550" i="3"/>
  <c r="T550" i="3"/>
  <c r="Q550" i="3"/>
  <c r="Q555" i="3"/>
  <c r="AD558" i="3"/>
  <c r="T558" i="3"/>
  <c r="Q558" i="3"/>
  <c r="Q572" i="3"/>
  <c r="Q580" i="3"/>
  <c r="Q588" i="3"/>
  <c r="Q619" i="3"/>
  <c r="Q631" i="3"/>
  <c r="Q672" i="3"/>
  <c r="Q680" i="3"/>
  <c r="T712" i="3"/>
  <c r="T718" i="3"/>
  <c r="T751" i="3"/>
  <c r="AD751" i="3"/>
  <c r="Q753" i="3"/>
  <c r="AD753" i="3"/>
  <c r="AD764" i="3"/>
  <c r="Q791" i="3"/>
  <c r="T793" i="3"/>
  <c r="AD902" i="3"/>
  <c r="T902" i="3"/>
  <c r="Q918" i="3"/>
  <c r="T931" i="3"/>
  <c r="AD931" i="3"/>
  <c r="Q931" i="3"/>
  <c r="Q943" i="3"/>
  <c r="AD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3" i="3"/>
  <c r="AD1013" i="3"/>
  <c r="AD1146" i="3"/>
  <c r="Q1146" i="3"/>
  <c r="T1108" i="3"/>
  <c r="Q1108" i="3"/>
  <c r="Q1112" i="3"/>
  <c r="Q1156" i="3"/>
  <c r="AD1156" i="3"/>
  <c r="AD1236" i="3"/>
  <c r="T1236" i="3"/>
  <c r="Q1236" i="3"/>
  <c r="AD1250" i="3"/>
  <c r="T1250" i="3"/>
  <c r="Q1250" i="3"/>
  <c r="AD1275" i="3"/>
  <c r="T1275" i="3"/>
  <c r="Q1275" i="3"/>
  <c r="T696" i="3"/>
  <c r="T705" i="3"/>
  <c r="T728" i="3"/>
  <c r="Q866" i="3"/>
  <c r="AD874" i="3"/>
  <c r="AD890" i="3"/>
  <c r="AD906" i="3"/>
  <c r="T934" i="3"/>
  <c r="Q934" i="3"/>
  <c r="T976" i="3"/>
  <c r="Q976" i="3"/>
  <c r="Q978" i="3"/>
  <c r="AD989" i="3"/>
  <c r="AD994" i="3"/>
  <c r="Q1103" i="3"/>
  <c r="AD1103" i="3"/>
  <c r="T1103" i="3"/>
  <c r="T1112" i="3"/>
  <c r="AD1141" i="3"/>
  <c r="Q1141" i="3"/>
  <c r="Q1267" i="3"/>
  <c r="AD1267" i="3"/>
  <c r="T1267" i="3"/>
  <c r="Q319" i="3"/>
  <c r="Q321" i="3"/>
  <c r="Q323" i="3"/>
  <c r="Q325" i="3"/>
  <c r="Q327" i="3"/>
  <c r="Q329" i="3"/>
  <c r="T363"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T1000" i="3"/>
  <c r="AD1000" i="3"/>
  <c r="T1088" i="3"/>
  <c r="AD1088" i="3"/>
  <c r="AD1108" i="3"/>
  <c r="AD1157" i="3"/>
  <c r="T1157" i="3"/>
  <c r="T1162" i="3"/>
  <c r="Q1162" i="3"/>
  <c r="AD1162" i="3"/>
  <c r="T697" i="3"/>
  <c r="T720" i="3"/>
  <c r="T729" i="3"/>
  <c r="Q749" i="3"/>
  <c r="Q757" i="3"/>
  <c r="Q765" i="3"/>
  <c r="Q773" i="3"/>
  <c r="Q781" i="3"/>
  <c r="Q789" i="3"/>
  <c r="Q797" i="3"/>
  <c r="AD878" i="3"/>
  <c r="AD894" i="3"/>
  <c r="AD910" i="3"/>
  <c r="T939" i="3"/>
  <c r="T947" i="3"/>
  <c r="T955" i="3"/>
  <c r="T963" i="3"/>
  <c r="T971" i="3"/>
  <c r="T980" i="3"/>
  <c r="Q980" i="3"/>
  <c r="Q982" i="3"/>
  <c r="AD997" i="3"/>
  <c r="AD1040" i="3"/>
  <c r="T1040" i="3"/>
  <c r="Q1040" i="3"/>
  <c r="Q1133" i="3"/>
  <c r="AD1133" i="3"/>
  <c r="Q1157" i="3"/>
  <c r="T1196"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AD1024" i="3"/>
  <c r="T1024" i="3"/>
  <c r="Q1024" i="3"/>
  <c r="T1099" i="3"/>
  <c r="AD1099" i="3"/>
  <c r="Q1099" i="3"/>
  <c r="T1186" i="3"/>
  <c r="Q1186" i="3"/>
  <c r="AD1186" i="3"/>
  <c r="T865" i="3"/>
  <c r="AD882" i="3"/>
  <c r="AD898" i="3"/>
  <c r="AD914" i="3"/>
  <c r="T923" i="3"/>
  <c r="T935" i="3"/>
  <c r="T984" i="3"/>
  <c r="Q984" i="3"/>
  <c r="AD1001" i="3"/>
  <c r="T1001" i="3"/>
  <c r="Q1001" i="3"/>
  <c r="T1017" i="3"/>
  <c r="Q1017" i="3"/>
  <c r="T1035" i="3"/>
  <c r="AD1035" i="3"/>
  <c r="AD1090" i="3"/>
  <c r="Q1090" i="3"/>
  <c r="T1090" i="3"/>
  <c r="Q1125" i="3"/>
  <c r="AD1125" i="3"/>
  <c r="AD1018" i="3"/>
  <c r="Q1018" i="3"/>
  <c r="T1021" i="3"/>
  <c r="T1038" i="3"/>
  <c r="T1045" i="3"/>
  <c r="AD1050" i="3"/>
  <c r="AD1051" i="3"/>
  <c r="T1053" i="3"/>
  <c r="AD1058" i="3"/>
  <c r="AD1059" i="3"/>
  <c r="T1061" i="3"/>
  <c r="AD1066" i="3"/>
  <c r="AD1067" i="3"/>
  <c r="T1069" i="3"/>
  <c r="AD1074" i="3"/>
  <c r="AD1075" i="3"/>
  <c r="T1077" i="3"/>
  <c r="AD1082" i="3"/>
  <c r="AD1083" i="3"/>
  <c r="T1085" i="3"/>
  <c r="T1091" i="3"/>
  <c r="Q1095" i="3"/>
  <c r="AD1096" i="3"/>
  <c r="T1182" i="3"/>
  <c r="Q1414" i="3"/>
  <c r="Q867" i="3"/>
  <c r="Q925" i="3"/>
  <c r="Q933" i="3"/>
  <c r="Q940" i="3"/>
  <c r="Q944" i="3"/>
  <c r="Q948" i="3"/>
  <c r="Q952" i="3"/>
  <c r="Q956" i="3"/>
  <c r="Q960" i="3"/>
  <c r="Q964" i="3"/>
  <c r="Q968" i="3"/>
  <c r="Q1002" i="3"/>
  <c r="AD1005" i="3"/>
  <c r="Q1005" i="3"/>
  <c r="AD1006" i="3"/>
  <c r="T1008" i="3"/>
  <c r="T1018" i="3"/>
  <c r="Q1021" i="3"/>
  <c r="Q1027" i="3"/>
  <c r="Q1038" i="3"/>
  <c r="AD1039" i="3"/>
  <c r="Q1045" i="3"/>
  <c r="Q1047" i="3"/>
  <c r="Q1050" i="3"/>
  <c r="Q1053" i="3"/>
  <c r="Q1055" i="3"/>
  <c r="Q1058" i="3"/>
  <c r="Q1061" i="3"/>
  <c r="Q1063" i="3"/>
  <c r="Q1066" i="3"/>
  <c r="Q1069" i="3"/>
  <c r="Q1071" i="3"/>
  <c r="Q1074" i="3"/>
  <c r="Q1077" i="3"/>
  <c r="Q1079" i="3"/>
  <c r="Q1082" i="3"/>
  <c r="Q1085" i="3"/>
  <c r="Q1087" i="3"/>
  <c r="Q1091" i="3"/>
  <c r="AD1092" i="3"/>
  <c r="T1095" i="3"/>
  <c r="AD1106" i="3"/>
  <c r="Q1106" i="3"/>
  <c r="T1115" i="3"/>
  <c r="Q1131" i="3"/>
  <c r="Q1139" i="3"/>
  <c r="Q1155" i="3"/>
  <c r="T1171" i="3"/>
  <c r="Q1171" i="3"/>
  <c r="Q1182" i="3"/>
  <c r="T1216" i="3"/>
  <c r="AD1305" i="3"/>
  <c r="T1397" i="3"/>
  <c r="T1030" i="3"/>
  <c r="T1043" i="3"/>
  <c r="AD1098" i="3"/>
  <c r="Q1098" i="3"/>
  <c r="Q1113" i="3"/>
  <c r="AD1147" i="3"/>
  <c r="AD1164" i="3"/>
  <c r="T1164" i="3"/>
  <c r="T1179" i="3"/>
  <c r="AD1179" i="3"/>
  <c r="AD1257" i="3"/>
  <c r="T1257" i="3"/>
  <c r="Q1257" i="3"/>
  <c r="Q1302" i="3"/>
  <c r="AD1302" i="3"/>
  <c r="Q1389" i="3"/>
  <c r="AD1389" i="3"/>
  <c r="AD1239" i="3"/>
  <c r="T1239" i="3"/>
  <c r="Q1239" i="3"/>
  <c r="T1375" i="3"/>
  <c r="AD1375" i="3"/>
  <c r="Q1375" i="3"/>
  <c r="T1383" i="3"/>
  <c r="AD1383" i="3"/>
  <c r="Q1383" i="3"/>
  <c r="T1389" i="3"/>
  <c r="AD802" i="3"/>
  <c r="AD940" i="3"/>
  <c r="AD944" i="3"/>
  <c r="AD948" i="3"/>
  <c r="AD952" i="3"/>
  <c r="AD956" i="3"/>
  <c r="AD960" i="3"/>
  <c r="AD964" i="3"/>
  <c r="AD968" i="3"/>
  <c r="T998" i="3"/>
  <c r="AD1002" i="3"/>
  <c r="T1004" i="3"/>
  <c r="AD1008" i="3"/>
  <c r="AD1046" i="3"/>
  <c r="AD1047" i="3"/>
  <c r="T1049" i="3"/>
  <c r="AD1054" i="3"/>
  <c r="AD1055" i="3"/>
  <c r="T1057" i="3"/>
  <c r="AD1062" i="3"/>
  <c r="AD1063" i="3"/>
  <c r="T1065" i="3"/>
  <c r="AD1070" i="3"/>
  <c r="AD1071" i="3"/>
  <c r="T1073" i="3"/>
  <c r="AD1078" i="3"/>
  <c r="AD1079" i="3"/>
  <c r="T1081" i="3"/>
  <c r="AD1087" i="3"/>
  <c r="T1101" i="3"/>
  <c r="AD1129" i="3"/>
  <c r="AD1137" i="3"/>
  <c r="AD1153" i="3"/>
  <c r="T1161" i="3"/>
  <c r="Q1161" i="3"/>
  <c r="T1170" i="3"/>
  <c r="Q1170" i="3"/>
  <c r="AD1175" i="3"/>
  <c r="T1204" i="3"/>
  <c r="AD1022" i="3"/>
  <c r="Q1022" i="3"/>
  <c r="AD1029" i="3"/>
  <c r="Q1029" i="3"/>
  <c r="Q1044" i="3"/>
  <c r="Q1051" i="3"/>
  <c r="Q1059" i="3"/>
  <c r="Q1067" i="3"/>
  <c r="Q1075" i="3"/>
  <c r="Q1083" i="3"/>
  <c r="T1116" i="3"/>
  <c r="AD1143" i="3"/>
  <c r="Q1143" i="3"/>
  <c r="AD1172" i="3"/>
  <c r="AD1189" i="3"/>
  <c r="T1189" i="3"/>
  <c r="Q1189" i="3"/>
  <c r="AD1254" i="3"/>
  <c r="T1254" i="3"/>
  <c r="Q1254" i="3"/>
  <c r="AD1293" i="3"/>
  <c r="T1329" i="3"/>
  <c r="AD1329" i="3"/>
  <c r="Q1329" i="3"/>
  <c r="AD1336" i="3"/>
  <c r="T1352" i="3"/>
  <c r="AD1352" i="3"/>
  <c r="T1367" i="3"/>
  <c r="AD1367" i="3"/>
  <c r="Q1367" i="3"/>
  <c r="Q1381" i="3"/>
  <c r="T1408" i="3"/>
  <c r="AD1427" i="3"/>
  <c r="T1427" i="3"/>
  <c r="AD1434" i="3"/>
  <c r="T1434" i="3"/>
  <c r="Q1434" i="3"/>
  <c r="T1178" i="3"/>
  <c r="Q1178" i="3"/>
  <c r="AD1287" i="3"/>
  <c r="Q1287" i="3"/>
  <c r="AD1330" i="3"/>
  <c r="Q1330" i="3"/>
  <c r="AD1381" i="3"/>
  <c r="T1409" i="3"/>
  <c r="Q1409" i="3"/>
  <c r="AD1425" i="3"/>
  <c r="T1425" i="3"/>
  <c r="Q1425" i="3"/>
  <c r="AD1181" i="3"/>
  <c r="T1208" i="3"/>
  <c r="AD1228" i="3"/>
  <c r="AD1231" i="3"/>
  <c r="T1231" i="3"/>
  <c r="Q1231" i="3"/>
  <c r="AD1243" i="3"/>
  <c r="T1243" i="3"/>
  <c r="Q1243" i="3"/>
  <c r="AD1251" i="3"/>
  <c r="Q1259" i="3"/>
  <c r="AD1259" i="3"/>
  <c r="AD1277" i="3"/>
  <c r="T1277" i="3"/>
  <c r="T1290" i="3"/>
  <c r="AD1290" i="3"/>
  <c r="Q1290" i="3"/>
  <c r="AD1303" i="3"/>
  <c r="Q1303" i="3"/>
  <c r="T1320" i="3"/>
  <c r="AD1325" i="3"/>
  <c r="T1325" i="3"/>
  <c r="Q1325" i="3"/>
  <c r="T1333" i="3"/>
  <c r="AD1333" i="3"/>
  <c r="Q1333" i="3"/>
  <c r="AD1341" i="3"/>
  <c r="T1341" i="3"/>
  <c r="AD1364" i="3"/>
  <c r="T1364" i="3"/>
  <c r="Q1364" i="3"/>
  <c r="T1403" i="3"/>
  <c r="T1406" i="3"/>
  <c r="Q1406" i="3"/>
  <c r="AD1442" i="3"/>
  <c r="T1442" i="3"/>
  <c r="Q1442" i="3"/>
  <c r="AD1240" i="3"/>
  <c r="AD1247" i="3"/>
  <c r="T1247" i="3"/>
  <c r="T1263" i="3"/>
  <c r="Q1358" i="3"/>
  <c r="AD1372" i="3"/>
  <c r="T1372" i="3"/>
  <c r="Q1372" i="3"/>
  <c r="T1401" i="3"/>
  <c r="AD1173" i="3"/>
  <c r="T1181" i="3"/>
  <c r="T1188" i="3"/>
  <c r="T1191" i="3"/>
  <c r="T1228" i="3"/>
  <c r="Q1240" i="3"/>
  <c r="Q1247" i="3"/>
  <c r="T1251" i="3"/>
  <c r="Q1263" i="3"/>
  <c r="AD1288" i="3"/>
  <c r="T1288" i="3"/>
  <c r="Q1288" i="3"/>
  <c r="T1297" i="3"/>
  <c r="AD1297" i="3"/>
  <c r="Q1326" i="3"/>
  <c r="AD1331" i="3"/>
  <c r="T1331" i="3"/>
  <c r="Q1331" i="3"/>
  <c r="AD1348" i="3"/>
  <c r="T1348" i="3"/>
  <c r="Q1348" i="3"/>
  <c r="AD1355" i="3"/>
  <c r="Q1355" i="3"/>
  <c r="Q1365" i="3"/>
  <c r="AD1380" i="3"/>
  <c r="T1380" i="3"/>
  <c r="Q1380" i="3"/>
  <c r="AD1419" i="3"/>
  <c r="T1419" i="3"/>
  <c r="Q1419" i="3"/>
  <c r="AD1436" i="3"/>
  <c r="T1436" i="3"/>
  <c r="Q1436" i="3"/>
  <c r="AD1232" i="3"/>
  <c r="AD1235" i="3"/>
  <c r="T1235" i="3"/>
  <c r="Q1235" i="3"/>
  <c r="T1240" i="3"/>
  <c r="AD1244" i="3"/>
  <c r="AD1265" i="3"/>
  <c r="T1265" i="3"/>
  <c r="Q1265" i="3"/>
  <c r="AD1295" i="3"/>
  <c r="Q1295" i="3"/>
  <c r="Q1297" i="3"/>
  <c r="AD1301" i="3"/>
  <c r="T1301" i="3"/>
  <c r="Q1301" i="3"/>
  <c r="T1313" i="3"/>
  <c r="T1318" i="3"/>
  <c r="T1326" i="3"/>
  <c r="AD1338" i="3"/>
  <c r="Q1338" i="3"/>
  <c r="AD1346" i="3"/>
  <c r="Q1346" i="3"/>
  <c r="T1365" i="3"/>
  <c r="Q1373" i="3"/>
  <c r="AD1388" i="3"/>
  <c r="T1388" i="3"/>
  <c r="Q1388" i="3"/>
  <c r="T1399" i="3"/>
  <c r="AD1327" i="3"/>
  <c r="Q1327" i="3"/>
  <c r="Q1361" i="3"/>
  <c r="Q1369" i="3"/>
  <c r="Q1377" i="3"/>
  <c r="Q1385" i="3"/>
  <c r="T1395" i="3"/>
  <c r="AD1420" i="3"/>
  <c r="AD1426" i="3"/>
  <c r="T1426" i="3"/>
  <c r="AD1428" i="3"/>
  <c r="Q1193" i="3"/>
  <c r="AD1246" i="3"/>
  <c r="AD1296" i="3"/>
  <c r="T1298" i="3"/>
  <c r="T1327" i="3"/>
  <c r="Q1340" i="3"/>
  <c r="Q1344" i="3"/>
  <c r="Q1351" i="3"/>
  <c r="T1361" i="3"/>
  <c r="T1369" i="3"/>
  <c r="T1377" i="3"/>
  <c r="T1385" i="3"/>
  <c r="Q1407" i="3"/>
  <c r="Q1420" i="3"/>
  <c r="Q1426" i="3"/>
  <c r="Q1428" i="3"/>
  <c r="T1249" i="3"/>
  <c r="T1274" i="3"/>
  <c r="Q1294" i="3"/>
  <c r="Q1337" i="3"/>
  <c r="T1347" i="3"/>
  <c r="AD1356" i="3"/>
  <c r="T1407" i="3"/>
  <c r="Q1415" i="3"/>
  <c r="T1420" i="3"/>
  <c r="T1428" i="3"/>
  <c r="Q1249" i="3"/>
  <c r="Q1260" i="3"/>
  <c r="Q1274" i="3"/>
  <c r="T1289" i="3"/>
  <c r="T1294" i="3"/>
  <c r="Q1304" i="3"/>
  <c r="AD1328" i="3"/>
  <c r="T1332" i="3"/>
  <c r="T1337" i="3"/>
  <c r="T1339" i="3"/>
  <c r="Q1343" i="3"/>
  <c r="Q1347" i="3"/>
  <c r="AD1354" i="3"/>
  <c r="Q1354" i="3"/>
  <c r="AD1360" i="3"/>
  <c r="T1363" i="3"/>
  <c r="AD1368" i="3"/>
  <c r="T1371" i="3"/>
  <c r="AD1376" i="3"/>
  <c r="T1379" i="3"/>
  <c r="AD1384" i="3"/>
  <c r="T1387" i="3"/>
  <c r="T1410" i="3"/>
  <c r="AD1433" i="3"/>
  <c r="T1433" i="3"/>
  <c r="Q1433" i="3"/>
  <c r="AD1435" i="3"/>
  <c r="Q1443" i="3"/>
  <c r="T1443" i="3"/>
  <c r="Q1418" i="3"/>
  <c r="Q1423" i="3"/>
  <c r="Q1431" i="3"/>
  <c r="Q1440" i="3"/>
  <c r="AD1443" i="3"/>
  <c r="T1418" i="3"/>
  <c r="S3" i="3"/>
  <c r="AC3" i="3" s="1"/>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T67" i="3"/>
  <c r="T69" i="3"/>
  <c r="T71" i="3"/>
  <c r="T73" i="3"/>
  <c r="T75" i="3"/>
  <c r="T77" i="3"/>
  <c r="T79" i="3"/>
  <c r="T81" i="3"/>
  <c r="T83" i="3"/>
  <c r="T85" i="3"/>
  <c r="T87" i="3"/>
  <c r="T89" i="3"/>
  <c r="T91" i="3"/>
  <c r="T93" i="3"/>
  <c r="T95" i="3"/>
  <c r="T97" i="3"/>
  <c r="AD105" i="3"/>
  <c r="Q105" i="3"/>
  <c r="AD113" i="3"/>
  <c r="Q113" i="3"/>
  <c r="AD121" i="3"/>
  <c r="AD129" i="3"/>
  <c r="Q129" i="3"/>
  <c r="AD137" i="3"/>
  <c r="Q137" i="3"/>
  <c r="AD148" i="3"/>
  <c r="Q148" i="3"/>
  <c r="AD152" i="3"/>
  <c r="Q152" i="3"/>
  <c r="AD156" i="3"/>
  <c r="Q156" i="3"/>
  <c r="AD160" i="3"/>
  <c r="Q160" i="3"/>
  <c r="AD164" i="3"/>
  <c r="Q164" i="3"/>
  <c r="AD168" i="3"/>
  <c r="AD172" i="3"/>
  <c r="Q172" i="3"/>
  <c r="AD176" i="3"/>
  <c r="Q176" i="3"/>
  <c r="AD180" i="3"/>
  <c r="Q180" i="3"/>
  <c r="AD183" i="3"/>
  <c r="Q183" i="3"/>
  <c r="T183" i="3"/>
  <c r="AD144" i="3"/>
  <c r="Q144" i="3"/>
  <c r="AD98" i="3"/>
  <c r="T105" i="3"/>
  <c r="AD106" i="3"/>
  <c r="Q106" i="3"/>
  <c r="T113" i="3"/>
  <c r="AD114" i="3"/>
  <c r="Q114"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63" i="3"/>
  <c r="T167" i="3"/>
  <c r="T171" i="3"/>
  <c r="T175" i="3"/>
  <c r="T179" i="3"/>
  <c r="AD184" i="3"/>
  <c r="Q184" i="3"/>
  <c r="T184" i="3"/>
  <c r="AD104" i="3"/>
  <c r="Q104"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AD158" i="3"/>
  <c r="Q158" i="3"/>
  <c r="AD162" i="3"/>
  <c r="Q162" i="3"/>
  <c r="AD166" i="3"/>
  <c r="Q166" i="3"/>
  <c r="AD170" i="3"/>
  <c r="Q170" i="3"/>
  <c r="AD174" i="3"/>
  <c r="Q174" i="3"/>
  <c r="AD178" i="3"/>
  <c r="Q178" i="3"/>
  <c r="AD182" i="3"/>
  <c r="Q182" i="3"/>
  <c r="AD187" i="3"/>
  <c r="Q187" i="3"/>
  <c r="T187" i="3"/>
  <c r="AD120" i="3"/>
  <c r="Q120" i="3"/>
  <c r="T101" i="3"/>
  <c r="AD102" i="3"/>
  <c r="Q102" i="3"/>
  <c r="T109" i="3"/>
  <c r="AD110" i="3"/>
  <c r="Q110" i="3"/>
  <c r="T117" i="3"/>
  <c r="AD118" i="3"/>
  <c r="Q118" i="3"/>
  <c r="T125" i="3"/>
  <c r="AD126" i="3"/>
  <c r="Q126" i="3"/>
  <c r="T133" i="3"/>
  <c r="AD134" i="3"/>
  <c r="Q134" i="3"/>
  <c r="T141" i="3"/>
  <c r="AD142" i="3"/>
  <c r="Q142" i="3"/>
  <c r="T146" i="3"/>
  <c r="T150"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34" i="3"/>
  <c r="Q234" i="3"/>
  <c r="T241" i="3"/>
  <c r="AD242" i="3"/>
  <c r="Q242" i="3"/>
  <c r="T249" i="3"/>
  <c r="AD250" i="3"/>
  <c r="Q250" i="3"/>
  <c r="T254" i="3"/>
  <c r="T258" i="3"/>
  <c r="T262" i="3"/>
  <c r="AD235" i="3"/>
  <c r="Q235" i="3"/>
  <c r="AD243" i="3"/>
  <c r="Q243" i="3"/>
  <c r="AD251" i="3"/>
  <c r="Q251" i="3"/>
  <c r="AD257" i="3"/>
  <c r="Q257" i="3"/>
  <c r="AD261" i="3"/>
  <c r="Q261" i="3"/>
  <c r="AD265" i="3"/>
  <c r="Q265" i="3"/>
  <c r="AD269" i="3"/>
  <c r="Q269" i="3"/>
  <c r="AD236" i="3"/>
  <c r="Q236" i="3"/>
  <c r="AD244" i="3"/>
  <c r="Q244" i="3"/>
  <c r="AD252" i="3"/>
  <c r="Q252" i="3"/>
  <c r="T188" i="3"/>
  <c r="T190" i="3"/>
  <c r="T192" i="3"/>
  <c r="T194" i="3"/>
  <c r="T196" i="3"/>
  <c r="T198" i="3"/>
  <c r="T200" i="3"/>
  <c r="T204" i="3"/>
  <c r="T206" i="3"/>
  <c r="T208" i="3"/>
  <c r="T210" i="3"/>
  <c r="T212"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75" i="3"/>
  <c r="Q375" i="3"/>
  <c r="T377" i="3"/>
  <c r="AD383" i="3"/>
  <c r="Q383" i="3"/>
  <c r="AD334" i="3"/>
  <c r="Q334" i="3"/>
  <c r="T340" i="3"/>
  <c r="AD342" i="3"/>
  <c r="Q342" i="3"/>
  <c r="T348" i="3"/>
  <c r="AD350" i="3"/>
  <c r="Q350" i="3"/>
  <c r="AD374" i="3"/>
  <c r="Q374" i="3"/>
  <c r="T376" i="3"/>
  <c r="AD382" i="3"/>
  <c r="T385" i="3"/>
  <c r="AD385" i="3"/>
  <c r="Q385" i="3"/>
  <c r="T387" i="3"/>
  <c r="AD387" i="3"/>
  <c r="Q387" i="3"/>
  <c r="T389" i="3"/>
  <c r="AD389" i="3"/>
  <c r="Q389" i="3"/>
  <c r="T391" i="3"/>
  <c r="AD391" i="3"/>
  <c r="Q391" i="3"/>
  <c r="T393" i="3"/>
  <c r="AD393" i="3"/>
  <c r="Q393" i="3"/>
  <c r="T395" i="3"/>
  <c r="AD395" i="3"/>
  <c r="Q395" i="3"/>
  <c r="T397" i="3"/>
  <c r="AD397" i="3"/>
  <c r="Q397" i="3"/>
  <c r="AD399" i="3"/>
  <c r="T401" i="3"/>
  <c r="AD401" i="3"/>
  <c r="Q401" i="3"/>
  <c r="AD469" i="3"/>
  <c r="T469" i="3"/>
  <c r="Q46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Q465" i="3"/>
  <c r="AD468" i="3"/>
  <c r="AD476" i="3"/>
  <c r="T480" i="3"/>
  <c r="Q481" i="3"/>
  <c r="AD484" i="3"/>
  <c r="T488" i="3"/>
  <c r="Q489" i="3"/>
  <c r="T436" i="3"/>
  <c r="AD440" i="3"/>
  <c r="T444" i="3"/>
  <c r="AD448" i="3"/>
  <c r="T452" i="3"/>
  <c r="T457" i="3"/>
  <c r="T465" i="3"/>
  <c r="T481" i="3"/>
  <c r="T489" i="3"/>
  <c r="Q490" i="3"/>
  <c r="AD667" i="3"/>
  <c r="Q667" i="3"/>
  <c r="T667" i="3"/>
  <c r="AD647" i="3"/>
  <c r="Q647" i="3"/>
  <c r="T647" i="3"/>
  <c r="AD669" i="3"/>
  <c r="Q669" i="3"/>
  <c r="T669" i="3"/>
  <c r="AD662" i="3"/>
  <c r="Q662" i="3"/>
  <c r="T662" i="3"/>
  <c r="AD639" i="3"/>
  <c r="Q639" i="3"/>
  <c r="T639" i="3"/>
  <c r="T613" i="3"/>
  <c r="T615"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4" i="3"/>
  <c r="Q1134" i="3"/>
  <c r="AD1134" i="3"/>
  <c r="AD1043" i="3"/>
  <c r="AD1044" i="3"/>
  <c r="Q1132" i="3"/>
  <c r="AD1132" i="3"/>
  <c r="T1126" i="3"/>
  <c r="Q1126" i="3"/>
  <c r="AD1126" i="3"/>
  <c r="T1142" i="3"/>
  <c r="Q1142" i="3"/>
  <c r="AD1142" i="3"/>
  <c r="Q1124" i="3"/>
  <c r="AD1124" i="3"/>
  <c r="T1124" i="3"/>
  <c r="Q1140" i="3"/>
  <c r="AD1140" i="3"/>
  <c r="Q1128" i="3"/>
  <c r="Q1136" i="3"/>
  <c r="Q1144" i="3"/>
  <c r="T1148" i="3"/>
  <c r="T1152" i="3"/>
  <c r="T1156" i="3"/>
  <c r="T1128" i="3"/>
  <c r="T1136" i="3"/>
  <c r="T1144" i="3"/>
  <c r="AD1113" i="3"/>
  <c r="AD1115" i="3"/>
  <c r="Q1122" i="3"/>
  <c r="T1125" i="3"/>
  <c r="Q1130" i="3"/>
  <c r="T1133" i="3"/>
  <c r="Q1138" i="3"/>
  <c r="T1141" i="3"/>
  <c r="T1145" i="3"/>
  <c r="T1149" i="3"/>
  <c r="T1153" i="3"/>
  <c r="T1117" i="3"/>
  <c r="T1118" i="3"/>
  <c r="T1119" i="3"/>
  <c r="T1120" i="3"/>
  <c r="T1146" i="3"/>
  <c r="T1150" i="3"/>
  <c r="T1154" i="3"/>
  <c r="AD1112" i="3"/>
  <c r="AD1114" i="3"/>
  <c r="AD1116" i="3"/>
  <c r="T1129" i="3"/>
  <c r="T1137" i="3"/>
  <c r="T1147" i="3"/>
  <c r="AD1148" i="3"/>
  <c r="AD1152" i="3"/>
  <c r="T1155" i="3"/>
  <c r="AD1195" i="3"/>
  <c r="Q1195" i="3"/>
  <c r="T1195" i="3"/>
  <c r="AD1209" i="3"/>
  <c r="Q1209" i="3"/>
  <c r="T1209" i="3"/>
  <c r="AD1200" i="3"/>
  <c r="Q1200" i="3"/>
  <c r="T1200" i="3"/>
  <c r="AD1203" i="3"/>
  <c r="Q1203" i="3"/>
  <c r="T1203" i="3"/>
  <c r="AD1197" i="3"/>
  <c r="Q1197" i="3"/>
  <c r="AD1205" i="3"/>
  <c r="Q1205" i="3"/>
  <c r="AD1194" i="3"/>
  <c r="Q1194" i="3"/>
  <c r="AD1202" i="3"/>
  <c r="Q1202" i="3"/>
  <c r="AD1210" i="3"/>
  <c r="Q1210" i="3"/>
  <c r="T1197" i="3"/>
  <c r="AD1199" i="3"/>
  <c r="Q1199" i="3"/>
  <c r="T1205" i="3"/>
  <c r="AD1207" i="3"/>
  <c r="Q1207" i="3"/>
  <c r="T1194" i="3"/>
  <c r="AD1196" i="3"/>
  <c r="Q1196" i="3"/>
  <c r="T1202" i="3"/>
  <c r="AD1204" i="3"/>
  <c r="Q1204" i="3"/>
  <c r="T1210" i="3"/>
  <c r="T1199" i="3"/>
  <c r="AD1201" i="3"/>
  <c r="Q1201" i="3"/>
  <c r="T1207" i="3"/>
  <c r="AD1198" i="3"/>
  <c r="Q1198" i="3"/>
  <c r="AD1206" i="3"/>
  <c r="Q1206" i="3"/>
  <c r="AD1208" i="3"/>
  <c r="Q1208" i="3"/>
  <c r="Q1212" i="3"/>
  <c r="AD1212" i="3"/>
  <c r="Q1213" i="3"/>
  <c r="AD1213" i="3"/>
  <c r="Q1214" i="3"/>
  <c r="AD1214" i="3"/>
  <c r="Q1215" i="3"/>
  <c r="AD1215" i="3"/>
  <c r="Q1216" i="3"/>
  <c r="AD1216" i="3"/>
  <c r="Q1217" i="3"/>
  <c r="AD1217" i="3"/>
  <c r="Q1218" i="3"/>
  <c r="AD1218" i="3"/>
  <c r="Q1219" i="3"/>
  <c r="AD1219" i="3"/>
  <c r="AD1221" i="3"/>
  <c r="AD1222" i="3"/>
  <c r="AD1223" i="3"/>
  <c r="AD1224" i="3"/>
  <c r="AD1225" i="3"/>
  <c r="T1270" i="3"/>
  <c r="AD1270" i="3"/>
  <c r="Q1270" i="3"/>
  <c r="T1273" i="3"/>
  <c r="Q1273" i="3"/>
  <c r="T1271" i="3"/>
  <c r="AD1271" i="3"/>
  <c r="Q1271" i="3"/>
  <c r="AD1281" i="3"/>
  <c r="Q1281" i="3"/>
  <c r="AD1278" i="3"/>
  <c r="Q1278" i="3"/>
  <c r="AD1282" i="3"/>
  <c r="Q1282" i="3"/>
  <c r="AD1310" i="3"/>
  <c r="Q1310" i="3"/>
  <c r="T1310" i="3"/>
  <c r="AD1306" i="3"/>
  <c r="Q1306" i="3"/>
  <c r="T1322" i="3"/>
  <c r="Q1322" i="3"/>
  <c r="AD1322" i="3"/>
  <c r="AD1279" i="3"/>
  <c r="Q1279" i="3"/>
  <c r="AD1283" i="3"/>
  <c r="Q1283" i="3"/>
  <c r="T1306" i="3"/>
  <c r="T1278" i="3"/>
  <c r="T1282" i="3"/>
  <c r="T1286" i="3"/>
  <c r="AD1286" i="3"/>
  <c r="Q1286" i="3"/>
  <c r="AD1280" i="3"/>
  <c r="Q1280" i="3"/>
  <c r="AD1284" i="3"/>
  <c r="Q1284" i="3"/>
  <c r="T1285" i="3"/>
  <c r="AD1285" i="3"/>
  <c r="Q1285" i="3"/>
  <c r="Q1269" i="3"/>
  <c r="Q1277" i="3"/>
  <c r="T1279" i="3"/>
  <c r="T1283" i="3"/>
  <c r="AD1311" i="3"/>
  <c r="Q1311" i="3"/>
  <c r="AD1308" i="3"/>
  <c r="Q1308" i="3"/>
  <c r="T1311" i="3"/>
  <c r="AD1312" i="3"/>
  <c r="Q1312" i="3"/>
  <c r="T1321" i="3"/>
  <c r="AD1321" i="3"/>
  <c r="Q1321" i="3"/>
  <c r="T1308" i="3"/>
  <c r="AD1309" i="3"/>
  <c r="Q1309" i="3"/>
  <c r="T1312" i="3"/>
  <c r="AD1313" i="3"/>
  <c r="Q1313" i="3"/>
  <c r="AD1314" i="3"/>
  <c r="Q1314" i="3"/>
  <c r="AD1315" i="3"/>
  <c r="Q1315" i="3"/>
  <c r="AD1316" i="3"/>
  <c r="Q1316" i="3"/>
  <c r="AD1317" i="3"/>
  <c r="Q1317" i="3"/>
  <c r="AD1318" i="3"/>
  <c r="Q1318" i="3"/>
  <c r="AD1319" i="3"/>
  <c r="Q1319" i="3"/>
  <c r="AD1320" i="3"/>
  <c r="Q1320" i="3"/>
  <c r="T1302" i="3"/>
  <c r="T1303" i="3"/>
  <c r="T1304" i="3"/>
  <c r="T1305" i="3"/>
  <c r="T1356" i="3"/>
  <c r="AD1358" i="3"/>
  <c r="T1359" i="3"/>
  <c r="Q1359" i="3"/>
  <c r="T1355" i="3"/>
  <c r="T1358" i="3"/>
  <c r="Q1356" i="3"/>
  <c r="T1357" i="3"/>
  <c r="Q1357" i="3"/>
  <c r="AD1390" i="3"/>
  <c r="Q1390" i="3"/>
  <c r="AD1405" i="3"/>
  <c r="AD1391" i="3"/>
  <c r="AD1393" i="3"/>
  <c r="Q1393" i="3"/>
  <c r="Q1405" i="3"/>
  <c r="T1390" i="3"/>
  <c r="Q1391" i="3"/>
  <c r="AD1392" i="3"/>
  <c r="T1391" i="3"/>
  <c r="AD1406" i="3"/>
  <c r="AD1407" i="3"/>
  <c r="AD1408" i="3"/>
  <c r="AD1409" i="3"/>
  <c r="AD1410" i="3"/>
  <c r="AD1411" i="3"/>
  <c r="AD1412" i="3"/>
  <c r="AD1413" i="3"/>
  <c r="AD1414" i="3"/>
  <c r="AD1415" i="3"/>
  <c r="AD1416" i="3"/>
  <c r="AD1417" i="3"/>
  <c r="Q1416" i="3"/>
  <c r="T1417" i="3"/>
  <c r="T1411" i="3"/>
  <c r="T1412" i="3"/>
  <c r="T1413" i="3"/>
  <c r="T1414" i="3"/>
  <c r="T1415" i="3"/>
  <c r="T1416" i="3"/>
  <c r="Q1394" i="3"/>
  <c r="AD1394" i="3"/>
  <c r="Q1395" i="3"/>
  <c r="AD1395" i="3"/>
  <c r="Q1396" i="3"/>
  <c r="AD1396" i="3"/>
  <c r="Q1397" i="3"/>
  <c r="AD1397" i="3"/>
  <c r="Q1398" i="3"/>
  <c r="AD1398" i="3"/>
  <c r="Q1399" i="3"/>
  <c r="AD1399" i="3"/>
  <c r="Q1400" i="3"/>
  <c r="AD1400" i="3"/>
  <c r="Q1401" i="3"/>
  <c r="AD1401" i="3"/>
  <c r="Q1402" i="3"/>
  <c r="AD1402" i="3"/>
  <c r="Q1403" i="3"/>
  <c r="AD1403" i="3"/>
  <c r="Q1404" i="3"/>
  <c r="AD1404" i="3"/>
  <c r="S5" i="3" l="1"/>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C16" i="3" s="1"/>
  <c r="D17" i="3"/>
  <c r="E17" i="3"/>
  <c r="R14" i="3"/>
  <c r="W14" i="3" s="1"/>
  <c r="H15" i="3"/>
  <c r="S16" i="3"/>
  <c r="AC16" i="3" s="1"/>
  <c r="B15" i="3" l="1"/>
  <c r="B16" i="3" s="1"/>
  <c r="C17" i="3"/>
  <c r="R15" i="3"/>
  <c r="W15" i="3" s="1"/>
  <c r="H16" i="3"/>
  <c r="D18" i="3"/>
  <c r="E18" i="3"/>
  <c r="S17" i="3"/>
  <c r="AC17" i="3" s="1"/>
  <c r="C18" i="3" l="1"/>
  <c r="D19" i="3"/>
  <c r="E19" i="3"/>
  <c r="S18" i="3"/>
  <c r="AC18" i="3" s="1"/>
  <c r="R16" i="3"/>
  <c r="W16" i="3" s="1"/>
  <c r="H17" i="3"/>
  <c r="B17" i="3"/>
  <c r="B18" i="3" l="1"/>
  <c r="C19" i="3"/>
  <c r="R17" i="3"/>
  <c r="W17" i="3" s="1"/>
  <c r="H18" i="3"/>
  <c r="D20" i="3"/>
  <c r="E20" i="3"/>
  <c r="S19" i="3"/>
  <c r="AC19" i="3" s="1"/>
  <c r="T20" i="3" l="1"/>
  <c r="S20" i="3" s="1"/>
  <c r="AC20" i="3" s="1"/>
  <c r="Q20" i="3"/>
  <c r="C20" i="3"/>
  <c r="R18" i="3"/>
  <c r="W18" i="3" s="1"/>
  <c r="H19" i="3"/>
  <c r="E21" i="3"/>
  <c r="D21" i="3"/>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Q29" i="3"/>
  <c r="T29" i="3"/>
  <c r="S29" i="3" s="1"/>
  <c r="AC29" i="3" s="1"/>
  <c r="C29" i="3"/>
  <c r="R27" i="3"/>
  <c r="W27" i="3" s="1"/>
  <c r="H28" i="3"/>
  <c r="D30" i="3"/>
  <c r="E30" i="3"/>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Q43" i="3" l="1"/>
  <c r="T43" i="3"/>
  <c r="S43" i="3" s="1"/>
  <c r="AC43" i="3" s="1"/>
  <c r="C43" i="3"/>
  <c r="R41" i="3"/>
  <c r="W41" i="3" s="1"/>
  <c r="H42" i="3"/>
  <c r="B42" i="3"/>
  <c r="D44" i="3"/>
  <c r="E44" i="3"/>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Q66" i="3" l="1"/>
  <c r="T66" i="3"/>
  <c r="S66" i="3" s="1"/>
  <c r="AC66" i="3" s="1"/>
  <c r="C66" i="3"/>
  <c r="R64" i="3"/>
  <c r="W64" i="3" s="1"/>
  <c r="H65" i="3"/>
  <c r="B65" i="3"/>
  <c r="E67" i="3"/>
  <c r="D67" i="3"/>
  <c r="C67" i="3" l="1"/>
  <c r="S67" i="3"/>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B75" i="3" s="1"/>
  <c r="S75" i="3"/>
  <c r="AC75" i="3" s="1"/>
  <c r="E76" i="3"/>
  <c r="D76" i="3"/>
  <c r="R73" i="3"/>
  <c r="W73" i="3" s="1"/>
  <c r="H74" i="3"/>
  <c r="C76" i="3" l="1"/>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T98" i="3" l="1"/>
  <c r="S98" i="3" s="1"/>
  <c r="AC98" i="3" s="1"/>
  <c r="Q98" i="3"/>
  <c r="C98" i="3"/>
  <c r="R96" i="3"/>
  <c r="W96" i="3" s="1"/>
  <c r="H97" i="3"/>
  <c r="B97" i="3"/>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T112" i="3"/>
  <c r="S112" i="3" s="1"/>
  <c r="AC112" i="3" s="1"/>
  <c r="Q112" i="3"/>
  <c r="E113" i="3"/>
  <c r="D113" i="3"/>
  <c r="R110" i="3"/>
  <c r="W110" i="3" s="1"/>
  <c r="H111" i="3"/>
  <c r="B111" i="3"/>
  <c r="B112" i="3" l="1"/>
  <c r="C113" i="3"/>
  <c r="S113" i="3"/>
  <c r="AC113" i="3" s="1"/>
  <c r="R111" i="3"/>
  <c r="W111" i="3" s="1"/>
  <c r="H112" i="3"/>
  <c r="E114" i="3"/>
  <c r="D114" i="3"/>
  <c r="B113" i="3" l="1"/>
  <c r="C114" i="3"/>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B120" i="3" s="1"/>
  <c r="E121" i="3"/>
  <c r="D121" i="3"/>
  <c r="S120" i="3"/>
  <c r="AC120" i="3" s="1"/>
  <c r="R118" i="3"/>
  <c r="W118" i="3" s="1"/>
  <c r="H119" i="3"/>
  <c r="Q121" i="3" l="1"/>
  <c r="C121" i="3"/>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B125" i="3" s="1"/>
  <c r="S125" i="3"/>
  <c r="AC125" i="3" s="1"/>
  <c r="E126" i="3"/>
  <c r="D126" i="3"/>
  <c r="C126" i="3" s="1"/>
  <c r="H124" i="3" l="1"/>
  <c r="R124" i="3" s="1"/>
  <c r="W124" i="3" s="1"/>
  <c r="S126" i="3"/>
  <c r="AC126" i="3" s="1"/>
  <c r="E127" i="3"/>
  <c r="D127" i="3"/>
  <c r="B126" i="3"/>
  <c r="C127" i="3" l="1"/>
  <c r="B127" i="3" s="1"/>
  <c r="H125" i="3"/>
  <c r="R125" i="3" s="1"/>
  <c r="W125" i="3" s="1"/>
  <c r="S127" i="3"/>
  <c r="AC127" i="3" s="1"/>
  <c r="E128" i="3"/>
  <c r="D128" i="3"/>
  <c r="C128" i="3" l="1"/>
  <c r="B128" i="3" s="1"/>
  <c r="H126" i="3"/>
  <c r="H127" i="3" s="1"/>
  <c r="S128" i="3"/>
  <c r="AC128" i="3" s="1"/>
  <c r="E129" i="3"/>
  <c r="D129" i="3"/>
  <c r="C129" i="3" s="1"/>
  <c r="R126" i="3" l="1"/>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B151" i="3" s="1"/>
  <c r="D152" i="3"/>
  <c r="E152" i="3"/>
  <c r="S151" i="3"/>
  <c r="AC151" i="3" s="1"/>
  <c r="R149" i="3"/>
  <c r="W149" i="3" s="1"/>
  <c r="H150" i="3"/>
  <c r="C152" i="3" l="1"/>
  <c r="R150" i="3"/>
  <c r="W150" i="3" s="1"/>
  <c r="H151" i="3"/>
  <c r="D153" i="3"/>
  <c r="E153" i="3"/>
  <c r="S152" i="3"/>
  <c r="AC152" i="3" s="1"/>
  <c r="C153" i="3" l="1"/>
  <c r="S153" i="3"/>
  <c r="AC153" i="3" s="1"/>
  <c r="D154" i="3"/>
  <c r="E154" i="3"/>
  <c r="R151" i="3"/>
  <c r="W151" i="3" s="1"/>
  <c r="H152" i="3"/>
  <c r="B152" i="3"/>
  <c r="B153" i="3" s="1"/>
  <c r="Q154" i="3" l="1"/>
  <c r="T154" i="3"/>
  <c r="S154" i="3" s="1"/>
  <c r="AC154" i="3" s="1"/>
  <c r="C154" i="3"/>
  <c r="B154" i="3" s="1"/>
  <c r="D155" i="3"/>
  <c r="E155" i="3"/>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Q159" i="3" l="1"/>
  <c r="T159" i="3"/>
  <c r="S159" i="3" s="1"/>
  <c r="AC159" i="3" s="1"/>
  <c r="C159" i="3"/>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Q168" i="3" l="1"/>
  <c r="T168" i="3"/>
  <c r="S168" i="3" s="1"/>
  <c r="AC168" i="3" s="1"/>
  <c r="C168" i="3"/>
  <c r="B167" i="3"/>
  <c r="R166" i="3"/>
  <c r="W166" i="3" s="1"/>
  <c r="H167" i="3"/>
  <c r="D169" i="3"/>
  <c r="E169" i="3"/>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C195" i="3" s="1"/>
  <c r="B193" i="3"/>
  <c r="H193" i="3" l="1"/>
  <c r="R193" i="3" s="1"/>
  <c r="W193" i="3" s="1"/>
  <c r="S195" i="3"/>
  <c r="AC195" i="3" s="1"/>
  <c r="E196" i="3"/>
  <c r="D196" i="3"/>
  <c r="B194" i="3"/>
  <c r="C196" i="3" l="1"/>
  <c r="H194" i="3"/>
  <c r="R194" i="3" s="1"/>
  <c r="W194" i="3" s="1"/>
  <c r="S196" i="3"/>
  <c r="AC196" i="3" s="1"/>
  <c r="E197" i="3"/>
  <c r="D197" i="3"/>
  <c r="B195" i="3"/>
  <c r="B196" i="3" l="1"/>
  <c r="C197" i="3"/>
  <c r="B197" i="3" s="1"/>
  <c r="H195" i="3"/>
  <c r="R195" i="3" s="1"/>
  <c r="W195" i="3" s="1"/>
  <c r="E198" i="3"/>
  <c r="D198" i="3"/>
  <c r="S197" i="3"/>
  <c r="AC197" i="3" s="1"/>
  <c r="C198" i="3" l="1"/>
  <c r="H196" i="3"/>
  <c r="R196" i="3" s="1"/>
  <c r="W196" i="3" s="1"/>
  <c r="S198" i="3"/>
  <c r="AC198" i="3" s="1"/>
  <c r="E199" i="3"/>
  <c r="D199" i="3"/>
  <c r="B198" i="3"/>
  <c r="C199" i="3" l="1"/>
  <c r="H197" i="3"/>
  <c r="H198" i="3" s="1"/>
  <c r="S199" i="3"/>
  <c r="AC199" i="3" s="1"/>
  <c r="E200" i="3"/>
  <c r="D200" i="3"/>
  <c r="B199" i="3"/>
  <c r="C200" i="3" l="1"/>
  <c r="R197" i="3"/>
  <c r="W197" i="3" s="1"/>
  <c r="S200" i="3"/>
  <c r="AC200" i="3" s="1"/>
  <c r="E201" i="3"/>
  <c r="D201" i="3"/>
  <c r="R198" i="3"/>
  <c r="W198" i="3" s="1"/>
  <c r="H199" i="3"/>
  <c r="B200" i="3"/>
  <c r="C201" i="3" l="1"/>
  <c r="S201" i="3"/>
  <c r="AC201" i="3" s="1"/>
  <c r="R199" i="3"/>
  <c r="W199" i="3" s="1"/>
  <c r="H200" i="3"/>
  <c r="E202" i="3"/>
  <c r="D202" i="3"/>
  <c r="B201" i="3"/>
  <c r="C202" i="3" l="1"/>
  <c r="B202" i="3" s="1"/>
  <c r="Q202" i="3"/>
  <c r="T202" i="3"/>
  <c r="S202" i="3" s="1"/>
  <c r="AC202" i="3" s="1"/>
  <c r="R200" i="3"/>
  <c r="W200" i="3" s="1"/>
  <c r="H201"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T214" i="3"/>
  <c r="S214" i="3" s="1"/>
  <c r="AC214" i="3" s="1"/>
  <c r="Q214" i="3"/>
  <c r="R212" i="3"/>
  <c r="W212"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B222" i="3" s="1"/>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B230" i="3" s="1"/>
  <c r="S230" i="3"/>
  <c r="AC230" i="3" s="1"/>
  <c r="E231" i="3"/>
  <c r="D231" i="3"/>
  <c r="R228" i="3"/>
  <c r="W228" i="3" s="1"/>
  <c r="H229"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l="1"/>
  <c r="C234" i="3"/>
  <c r="R232" i="3"/>
  <c r="W232" i="3" s="1"/>
  <c r="H233" i="3"/>
  <c r="S234" i="3"/>
  <c r="AC234" i="3" s="1"/>
  <c r="E235" i="3"/>
  <c r="D235" i="3"/>
  <c r="B234" i="3" l="1"/>
  <c r="C235" i="3"/>
  <c r="S235" i="3"/>
  <c r="AC235" i="3" s="1"/>
  <c r="D236" i="3"/>
  <c r="E236" i="3"/>
  <c r="R233" i="3"/>
  <c r="W233" i="3" s="1"/>
  <c r="H234" i="3"/>
  <c r="B235" i="3" l="1"/>
  <c r="C236" i="3"/>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B242" i="3" s="1"/>
  <c r="R240" i="3"/>
  <c r="W240" i="3" s="1"/>
  <c r="H241" i="3"/>
  <c r="S242" i="3"/>
  <c r="AC242" i="3" s="1"/>
  <c r="E243" i="3"/>
  <c r="D243"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l="1"/>
  <c r="C248" i="3"/>
  <c r="H246" i="3"/>
  <c r="R246" i="3" s="1"/>
  <c r="W246" i="3" s="1"/>
  <c r="E249" i="3"/>
  <c r="D249" i="3"/>
  <c r="S248" i="3"/>
  <c r="AC248" i="3" s="1"/>
  <c r="C249" i="3" l="1"/>
  <c r="H247" i="3"/>
  <c r="H248" i="3" s="1"/>
  <c r="B248" i="3"/>
  <c r="S249" i="3"/>
  <c r="AC249" i="3" s="1"/>
  <c r="E250" i="3"/>
  <c r="D250" i="3"/>
  <c r="C250" i="3" l="1"/>
  <c r="R247" i="3"/>
  <c r="W247" i="3" s="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T253" i="3" l="1"/>
  <c r="S253" i="3" s="1"/>
  <c r="AC253" i="3" s="1"/>
  <c r="Q253" i="3"/>
  <c r="C253" i="3"/>
  <c r="R251" i="3"/>
  <c r="W251" i="3" s="1"/>
  <c r="H252" i="3"/>
  <c r="D254" i="3"/>
  <c r="E254" i="3"/>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Q266" i="3" l="1"/>
  <c r="T266" i="3"/>
  <c r="S266" i="3" s="1"/>
  <c r="AC266" i="3" s="1"/>
  <c r="C266" i="3"/>
  <c r="R264" i="3"/>
  <c r="W264" i="3" s="1"/>
  <c r="H265" i="3"/>
  <c r="D267" i="3"/>
  <c r="E267" i="3"/>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B286" i="3" s="1"/>
  <c r="S286" i="3"/>
  <c r="AC286" i="3" s="1"/>
  <c r="E287" i="3"/>
  <c r="D287" i="3"/>
  <c r="R284" i="3"/>
  <c r="W284" i="3" s="1"/>
  <c r="H285" i="3"/>
  <c r="C287" i="3" l="1"/>
  <c r="S287" i="3"/>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B305" i="3" s="1"/>
  <c r="H303" i="3"/>
  <c r="H304" i="3" s="1"/>
  <c r="E306" i="3"/>
  <c r="D306" i="3"/>
  <c r="S305" i="3"/>
  <c r="AC305" i="3" s="1"/>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C324" i="3" s="1"/>
  <c r="B323" i="3"/>
  <c r="R322" i="3" l="1"/>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H329" i="3"/>
  <c r="B329" i="3"/>
  <c r="B330" i="3" s="1"/>
  <c r="S331" i="3" l="1"/>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T339" i="3"/>
  <c r="S339" i="3" s="1"/>
  <c r="AC339" i="3" s="1"/>
  <c r="Q339" i="3"/>
  <c r="R337" i="3"/>
  <c r="W337" i="3" s="1"/>
  <c r="H338" i="3"/>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Q369" i="3" l="1"/>
  <c r="T369" i="3"/>
  <c r="S369" i="3" s="1"/>
  <c r="AC369" i="3" s="1"/>
  <c r="C369" i="3"/>
  <c r="H367" i="3"/>
  <c r="R367" i="3" s="1"/>
  <c r="W367" i="3" s="1"/>
  <c r="D370" i="3"/>
  <c r="E370" i="3"/>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Q382" i="3" l="1"/>
  <c r="T382" i="3"/>
  <c r="S382" i="3" s="1"/>
  <c r="AC382" i="3" s="1"/>
  <c r="C382" i="3"/>
  <c r="D383" i="3"/>
  <c r="E383" i="3"/>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T399" i="3" l="1"/>
  <c r="S399" i="3" s="1"/>
  <c r="AC399" i="3" s="1"/>
  <c r="Q399" i="3"/>
  <c r="H397" i="3"/>
  <c r="R397" i="3" s="1"/>
  <c r="W397" i="3" s="1"/>
  <c r="C399" i="3"/>
  <c r="D400" i="3"/>
  <c r="E400" i="3"/>
  <c r="C400" i="3" l="1"/>
  <c r="H398" i="3"/>
  <c r="H399" i="3" s="1"/>
  <c r="D401" i="3"/>
  <c r="E401" i="3"/>
  <c r="S400" i="3"/>
  <c r="AC400" i="3" s="1"/>
  <c r="B399" i="3"/>
  <c r="B400" i="3" l="1"/>
  <c r="R398" i="3"/>
  <c r="W398" i="3" s="1"/>
  <c r="C401" i="3"/>
  <c r="R399" i="3"/>
  <c r="W399" i="3" s="1"/>
  <c r="H400" i="3"/>
  <c r="D402" i="3"/>
  <c r="E402" i="3"/>
  <c r="S401" i="3"/>
  <c r="AC401" i="3" s="1"/>
  <c r="Q402" i="3" l="1"/>
  <c r="T402" i="3"/>
  <c r="S402" i="3" s="1"/>
  <c r="AC402" i="3" s="1"/>
  <c r="C402" i="3"/>
  <c r="E403" i="3"/>
  <c r="D403" i="3"/>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T409" i="3"/>
  <c r="S409" i="3" s="1"/>
  <c r="AC409" i="3" s="1"/>
  <c r="Q409" i="3"/>
  <c r="E410" i="3"/>
  <c r="D410" i="3"/>
  <c r="B409" i="3"/>
  <c r="R407" i="3"/>
  <c r="W407" i="3" s="1"/>
  <c r="H408" i="3"/>
  <c r="C410" i="3" l="1"/>
  <c r="S410" i="3"/>
  <c r="AC410" i="3" s="1"/>
  <c r="E411" i="3"/>
  <c r="D411" i="3"/>
  <c r="R408" i="3"/>
  <c r="W408" i="3" s="1"/>
  <c r="H409" i="3"/>
  <c r="B410" i="3"/>
  <c r="Q411" i="3" l="1"/>
  <c r="T411" i="3"/>
  <c r="S411" i="3" s="1"/>
  <c r="AC411" i="3" s="1"/>
  <c r="C411" i="3"/>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T414" i="3" l="1"/>
  <c r="S414" i="3" s="1"/>
  <c r="AC414" i="3" s="1"/>
  <c r="Q414" i="3"/>
  <c r="C414" i="3"/>
  <c r="R412" i="3"/>
  <c r="W412" i="3" s="1"/>
  <c r="H413" i="3"/>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T426" i="3" l="1"/>
  <c r="S426" i="3" s="1"/>
  <c r="AC426" i="3" s="1"/>
  <c r="Q426" i="3"/>
  <c r="C426" i="3"/>
  <c r="R424" i="3"/>
  <c r="W424" i="3" s="1"/>
  <c r="H425" i="3"/>
  <c r="D427" i="3"/>
  <c r="E427" i="3"/>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C452" i="3" s="1"/>
  <c r="B451"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T464" i="3" l="1"/>
  <c r="S464" i="3" s="1"/>
  <c r="AC464" i="3" s="1"/>
  <c r="Q464" i="3"/>
  <c r="C464" i="3"/>
  <c r="D465" i="3"/>
  <c r="E465" i="3"/>
  <c r="R462" i="3"/>
  <c r="W462" i="3" s="1"/>
  <c r="H463" i="3"/>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T472" i="3" l="1"/>
  <c r="S472" i="3" s="1"/>
  <c r="AC472" i="3" s="1"/>
  <c r="Q472" i="3"/>
  <c r="C472" i="3"/>
  <c r="R470" i="3"/>
  <c r="W470" i="3" s="1"/>
  <c r="H471" i="3"/>
  <c r="D473" i="3"/>
  <c r="E473" i="3"/>
  <c r="B471" i="3"/>
  <c r="T473" i="3" l="1"/>
  <c r="S473" i="3" s="1"/>
  <c r="AC473" i="3" s="1"/>
  <c r="Q473" i="3"/>
  <c r="C473" i="3"/>
  <c r="E474" i="3"/>
  <c r="D474" i="3"/>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R481" i="3" l="1"/>
  <c r="W481" i="3" s="1"/>
  <c r="H482" i="3"/>
  <c r="S483" i="3"/>
  <c r="AC483" i="3" s="1"/>
  <c r="E484" i="3"/>
  <c r="D484" i="3"/>
  <c r="B482" i="3"/>
  <c r="C483" i="3" s="1"/>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S498" i="3"/>
  <c r="AC498" i="3" s="1"/>
  <c r="E499" i="3"/>
  <c r="D499" i="3"/>
  <c r="R496" i="3"/>
  <c r="W496" i="3" s="1"/>
  <c r="H497" i="3"/>
  <c r="B498" i="3"/>
  <c r="C499" i="3" l="1"/>
  <c r="B499" i="3" s="1"/>
  <c r="S499" i="3"/>
  <c r="AC499" i="3" s="1"/>
  <c r="E500" i="3"/>
  <c r="D500" i="3"/>
  <c r="R497" i="3"/>
  <c r="W497" i="3" s="1"/>
  <c r="H498"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T563" i="3" l="1"/>
  <c r="S563" i="3" s="1"/>
  <c r="AC563" i="3" s="1"/>
  <c r="Q563" i="3"/>
  <c r="C563" i="3"/>
  <c r="E564" i="3"/>
  <c r="D564" i="3"/>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T575" i="3" l="1"/>
  <c r="S575" i="3" s="1"/>
  <c r="AC575" i="3" s="1"/>
  <c r="Q575" i="3"/>
  <c r="C575" i="3"/>
  <c r="B575" i="3" s="1"/>
  <c r="E576" i="3"/>
  <c r="D576" i="3"/>
  <c r="R573" i="3"/>
  <c r="W573" i="3" s="1"/>
  <c r="H574" i="3"/>
  <c r="C576" i="3" l="1"/>
  <c r="B576" i="3" s="1"/>
  <c r="S576" i="3"/>
  <c r="AC576" i="3" s="1"/>
  <c r="E577" i="3"/>
  <c r="D577" i="3"/>
  <c r="R574" i="3"/>
  <c r="W574" i="3" s="1"/>
  <c r="H575"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R586" i="3"/>
  <c r="W586" i="3" s="1"/>
  <c r="H587" i="3"/>
  <c r="B588" i="3"/>
  <c r="C589" i="3" l="1"/>
  <c r="B589" i="3" s="1"/>
  <c r="S589" i="3"/>
  <c r="AC589" i="3" s="1"/>
  <c r="E590" i="3"/>
  <c r="D590" i="3"/>
  <c r="R587" i="3"/>
  <c r="W587" i="3" s="1"/>
  <c r="H588"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Q601" i="3" s="1"/>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Q617" i="3"/>
  <c r="T617" i="3"/>
  <c r="S617" i="3" s="1"/>
  <c r="AC617" i="3" s="1"/>
  <c r="D618" i="3"/>
  <c r="E618" i="3"/>
  <c r="R615" i="3"/>
  <c r="W615" i="3" s="1"/>
  <c r="H616" i="3"/>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R648" i="3"/>
  <c r="W648" i="3" s="1"/>
  <c r="H649" i="3"/>
  <c r="B650"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B763" i="3" s="1"/>
  <c r="S763" i="3"/>
  <c r="AC763" i="3" s="1"/>
  <c r="E764" i="3"/>
  <c r="D764" i="3"/>
  <c r="R761" i="3"/>
  <c r="W761" i="3" s="1"/>
  <c r="H762"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B822" i="3"/>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R866" i="3"/>
  <c r="W866" i="3" s="1"/>
  <c r="H867" i="3"/>
  <c r="B868" i="3"/>
  <c r="C869" i="3" l="1"/>
  <c r="S869" i="3"/>
  <c r="AC869" i="3" s="1"/>
  <c r="E870" i="3"/>
  <c r="D870" i="3"/>
  <c r="C870" i="3" s="1"/>
  <c r="R867" i="3"/>
  <c r="W867" i="3" s="1"/>
  <c r="H868" i="3"/>
  <c r="B869" i="3"/>
  <c r="S870" i="3" l="1"/>
  <c r="AC870" i="3" s="1"/>
  <c r="E871" i="3"/>
  <c r="D871" i="3"/>
  <c r="R868" i="3"/>
  <c r="W868" i="3" s="1"/>
  <c r="H869" i="3"/>
  <c r="B870" i="3"/>
  <c r="C871" i="3" l="1"/>
  <c r="S871" i="3"/>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B880" i="3" s="1"/>
  <c r="S880" i="3"/>
  <c r="AC880" i="3" s="1"/>
  <c r="E881" i="3"/>
  <c r="D881" i="3"/>
  <c r="R878" i="3"/>
  <c r="W878" i="3" s="1"/>
  <c r="H879"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R885" i="3"/>
  <c r="W885" i="3" s="1"/>
  <c r="H886" i="3"/>
  <c r="B887"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s="1"/>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C914" i="3" s="1"/>
  <c r="R911" i="3"/>
  <c r="W911" i="3" s="1"/>
  <c r="H912" i="3"/>
  <c r="B913" i="3"/>
  <c r="S914" i="3" l="1"/>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B953" i="3" s="1"/>
  <c r="T953" i="3"/>
  <c r="S953" i="3" s="1"/>
  <c r="AC953" i="3" s="1"/>
  <c r="Q953" i="3"/>
  <c r="E954" i="3"/>
  <c r="D954" i="3"/>
  <c r="R951" i="3"/>
  <c r="W951" i="3" s="1"/>
  <c r="H952" i="3"/>
  <c r="C954" i="3" l="1"/>
  <c r="T954" i="3"/>
  <c r="S954" i="3" s="1"/>
  <c r="AC954" i="3" s="1"/>
  <c r="Q954" i="3"/>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Q966" i="3" l="1"/>
  <c r="T966" i="3"/>
  <c r="S966" i="3" s="1"/>
  <c r="AC966" i="3" s="1"/>
  <c r="C966" i="3"/>
  <c r="R964" i="3"/>
  <c r="W964" i="3" s="1"/>
  <c r="H965" i="3"/>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Q977" i="3"/>
  <c r="T977" i="3"/>
  <c r="S977" i="3" s="1"/>
  <c r="AC977" i="3" s="1"/>
  <c r="R975" i="3"/>
  <c r="W975" i="3" s="1"/>
  <c r="H976" i="3"/>
  <c r="B976" i="3"/>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T989" i="3" l="1"/>
  <c r="S989" i="3" s="1"/>
  <c r="AC989" i="3" s="1"/>
  <c r="Q989" i="3"/>
  <c r="C989" i="3"/>
  <c r="R987" i="3"/>
  <c r="W987" i="3" s="1"/>
  <c r="H988" i="3"/>
  <c r="E990" i="3"/>
  <c r="D990" i="3"/>
  <c r="B988" i="3"/>
  <c r="C990" i="3" l="1"/>
  <c r="T990" i="3"/>
  <c r="S990" i="3" s="1"/>
  <c r="AC990" i="3" s="1"/>
  <c r="Q990" i="3"/>
  <c r="R988" i="3"/>
  <c r="W988" i="3" s="1"/>
  <c r="H989" i="3"/>
  <c r="E991" i="3"/>
  <c r="D991" i="3"/>
  <c r="B989" i="3"/>
  <c r="C991" i="3" l="1"/>
  <c r="R989" i="3"/>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B999" i="3" s="1"/>
  <c r="S999" i="3"/>
  <c r="AC999" i="3" s="1"/>
  <c r="E1000" i="3"/>
  <c r="D1000" i="3"/>
  <c r="R997" i="3"/>
  <c r="W997" i="3" s="1"/>
  <c r="H998"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R1003" i="3"/>
  <c r="W1003" i="3" s="1"/>
  <c r="H1004" i="3"/>
  <c r="E1006" i="3"/>
  <c r="D1006" i="3"/>
  <c r="B1005" i="3"/>
  <c r="C1006" i="3" l="1"/>
  <c r="B1006" i="3" s="1"/>
  <c r="R1004" i="3"/>
  <c r="W1004" i="3" s="1"/>
  <c r="H1005" i="3"/>
  <c r="S1006" i="3"/>
  <c r="AC1006" i="3" s="1"/>
  <c r="E1007" i="3"/>
  <c r="D1007" i="3"/>
  <c r="C1007" i="3" s="1"/>
  <c r="S1007" i="3" l="1"/>
  <c r="AC1007" i="3" s="1"/>
  <c r="E1008" i="3"/>
  <c r="D1008" i="3"/>
  <c r="R1005" i="3"/>
  <c r="W1005" i="3" s="1"/>
  <c r="H1006" i="3"/>
  <c r="C1008" i="3" l="1"/>
  <c r="E1009" i="3"/>
  <c r="D1009" i="3"/>
  <c r="R1006" i="3"/>
  <c r="W1006" i="3" s="1"/>
  <c r="H1007" i="3"/>
  <c r="S1008" i="3"/>
  <c r="AC1008" i="3" s="1"/>
  <c r="B1007" i="3"/>
  <c r="D1010" i="3" l="1"/>
  <c r="C1009" i="3"/>
  <c r="Q1009" i="3"/>
  <c r="R1007" i="3"/>
  <c r="W1007" i="3" s="1"/>
  <c r="H1008" i="3"/>
  <c r="B1008" i="3"/>
  <c r="S1009" i="3"/>
  <c r="AC1009" i="3" s="1"/>
  <c r="E1011" i="3"/>
  <c r="D1011" i="3"/>
  <c r="Q1011" i="3" l="1"/>
  <c r="T1011" i="3"/>
  <c r="S1011" i="3" s="1"/>
  <c r="AC1011" i="3" s="1"/>
  <c r="C1010" i="3"/>
  <c r="Q1010" i="3"/>
  <c r="C1011" i="3"/>
  <c r="E1012" i="3"/>
  <c r="D1012" i="3"/>
  <c r="R1008" i="3"/>
  <c r="W1008" i="3" s="1"/>
  <c r="H1009" i="3"/>
  <c r="H1010" i="3" s="1"/>
  <c r="B1009" i="3"/>
  <c r="C1012" i="3" l="1"/>
  <c r="B1010" i="3"/>
  <c r="R1009" i="3"/>
  <c r="W1009" i="3" s="1"/>
  <c r="H1011" i="3"/>
  <c r="B1011" i="3"/>
  <c r="S1012" i="3"/>
  <c r="AC1012" i="3" s="1"/>
  <c r="E1013" i="3"/>
  <c r="D1013" i="3"/>
  <c r="C1013" i="3" l="1"/>
  <c r="E1014" i="3"/>
  <c r="D1014" i="3"/>
  <c r="S1013" i="3"/>
  <c r="AC1013" i="3" s="1"/>
  <c r="R1011" i="3"/>
  <c r="W1011" i="3" s="1"/>
  <c r="H1012" i="3"/>
  <c r="B1012" i="3"/>
  <c r="C1014" i="3" l="1"/>
  <c r="Q1014" i="3"/>
  <c r="R1012" i="3"/>
  <c r="W1012" i="3" s="1"/>
  <c r="H1013" i="3"/>
  <c r="S1014" i="3"/>
  <c r="AC1014" i="3" s="1"/>
  <c r="E1015" i="3"/>
  <c r="D1015" i="3"/>
  <c r="B1013" i="3"/>
  <c r="C1015" i="3" l="1"/>
  <c r="Q1015" i="3"/>
  <c r="R1013" i="3"/>
  <c r="W1013" i="3" s="1"/>
  <c r="H1014" i="3"/>
  <c r="S1015" i="3"/>
  <c r="AC1015" i="3" s="1"/>
  <c r="E1016" i="3"/>
  <c r="D1016" i="3"/>
  <c r="C1016" i="3" s="1"/>
  <c r="B1014" i="3"/>
  <c r="R1014" i="3" l="1"/>
  <c r="W1014" i="3" s="1"/>
  <c r="H1015" i="3"/>
  <c r="S1016" i="3"/>
  <c r="AC1016" i="3" s="1"/>
  <c r="E1017" i="3"/>
  <c r="D1017" i="3"/>
  <c r="B1015" i="3"/>
  <c r="C1017" i="3" l="1"/>
  <c r="R1015" i="3"/>
  <c r="W1015" i="3" s="1"/>
  <c r="H1016" i="3"/>
  <c r="S1017" i="3"/>
  <c r="AC1017" i="3" s="1"/>
  <c r="E1018" i="3"/>
  <c r="D1018" i="3"/>
  <c r="C1018" i="3" s="1"/>
  <c r="B1016" i="3"/>
  <c r="S1018" i="3" l="1"/>
  <c r="AC1018" i="3" s="1"/>
  <c r="R1016" i="3"/>
  <c r="W1016" i="3" s="1"/>
  <c r="H1017" i="3"/>
  <c r="E1019" i="3"/>
  <c r="D1019" i="3"/>
  <c r="B1017" i="3"/>
  <c r="B1018" i="3" s="1"/>
  <c r="C1019" i="3" l="1"/>
  <c r="E1020" i="3"/>
  <c r="D1020" i="3"/>
  <c r="S1019" i="3"/>
  <c r="AC1019" i="3" s="1"/>
  <c r="R1017" i="3"/>
  <c r="W1017" i="3" s="1"/>
  <c r="H1018" i="3"/>
  <c r="B1019" i="3"/>
  <c r="C1020" i="3" l="1"/>
  <c r="R1018" i="3"/>
  <c r="W1018" i="3" s="1"/>
  <c r="H1019" i="3"/>
  <c r="S1020" i="3"/>
  <c r="AC1020" i="3" s="1"/>
  <c r="E1021" i="3"/>
  <c r="D1021" i="3"/>
  <c r="C1021" i="3" l="1"/>
  <c r="R1019" i="3"/>
  <c r="W1019" i="3" s="1"/>
  <c r="H1020" i="3"/>
  <c r="S1021" i="3"/>
  <c r="AC1021" i="3" s="1"/>
  <c r="E1022" i="3"/>
  <c r="D1022" i="3"/>
  <c r="C1022" i="3" s="1"/>
  <c r="B1020" i="3"/>
  <c r="R1020" i="3" l="1"/>
  <c r="W1020" i="3" s="1"/>
  <c r="H1021" i="3"/>
  <c r="S1022" i="3"/>
  <c r="AC1022" i="3" s="1"/>
  <c r="E1023" i="3"/>
  <c r="D1023" i="3"/>
  <c r="C1023" i="3" s="1"/>
  <c r="B1021" i="3"/>
  <c r="S1023" i="3" l="1"/>
  <c r="AC1023" i="3" s="1"/>
  <c r="R1021" i="3"/>
  <c r="W1021" i="3" s="1"/>
  <c r="H1022" i="3"/>
  <c r="E1024" i="3"/>
  <c r="D1024" i="3"/>
  <c r="B1022" i="3"/>
  <c r="B1023" i="3" s="1"/>
  <c r="C1024" i="3" l="1"/>
  <c r="S1024" i="3"/>
  <c r="AC1024" i="3" s="1"/>
  <c r="E1025" i="3"/>
  <c r="D1025" i="3"/>
  <c r="C1025" i="3" s="1"/>
  <c r="B1024" i="3"/>
  <c r="R1022" i="3"/>
  <c r="W1022" i="3" s="1"/>
  <c r="H1023" i="3"/>
  <c r="S1025" i="3" l="1"/>
  <c r="AC1025" i="3" s="1"/>
  <c r="E1026" i="3"/>
  <c r="D1026" i="3"/>
  <c r="B1025" i="3"/>
  <c r="R1023" i="3"/>
  <c r="W1023" i="3" s="1"/>
  <c r="H1024" i="3"/>
  <c r="C1026" i="3" l="1"/>
  <c r="B1026" i="3" s="1"/>
  <c r="Q1026" i="3"/>
  <c r="T1026" i="3"/>
  <c r="S1026" i="3" s="1"/>
  <c r="AC1026" i="3" s="1"/>
  <c r="E1027" i="3"/>
  <c r="D1027" i="3"/>
  <c r="R1024" i="3"/>
  <c r="W1024" i="3" s="1"/>
  <c r="H1025" i="3"/>
  <c r="C1027" i="3" l="1"/>
  <c r="S1027" i="3"/>
  <c r="AC1027" i="3" s="1"/>
  <c r="E1028" i="3"/>
  <c r="D1028" i="3"/>
  <c r="C1028" i="3" s="1"/>
  <c r="R1025" i="3"/>
  <c r="W1025" i="3" s="1"/>
  <c r="H1026" i="3"/>
  <c r="B1027" i="3"/>
  <c r="S1028" i="3" l="1"/>
  <c r="AC1028" i="3" s="1"/>
  <c r="R1026" i="3"/>
  <c r="W1026" i="3" s="1"/>
  <c r="H1027" i="3"/>
  <c r="E1029" i="3"/>
  <c r="D1029" i="3"/>
  <c r="B1028" i="3"/>
  <c r="C1029" i="3" l="1"/>
  <c r="R1027" i="3"/>
  <c r="W1027" i="3" s="1"/>
  <c r="H1028" i="3"/>
  <c r="S1029" i="3"/>
  <c r="AC1029" i="3" s="1"/>
  <c r="B1029" i="3"/>
  <c r="E1030" i="3"/>
  <c r="D1030" i="3"/>
  <c r="C1030" i="3" l="1"/>
  <c r="E1031" i="3"/>
  <c r="D1031" i="3"/>
  <c r="S1030" i="3"/>
  <c r="AC1030" i="3" s="1"/>
  <c r="R1028" i="3"/>
  <c r="W1028" i="3" s="1"/>
  <c r="H1029" i="3"/>
  <c r="T1031" i="3" l="1"/>
  <c r="S1031" i="3" s="1"/>
  <c r="AC1031" i="3" s="1"/>
  <c r="Q1031" i="3"/>
  <c r="C1031" i="3"/>
  <c r="R1029" i="3"/>
  <c r="W1029" i="3" s="1"/>
  <c r="H1030" i="3"/>
  <c r="B1030" i="3"/>
  <c r="E1032" i="3"/>
  <c r="D1032" i="3"/>
  <c r="C1032" i="3" l="1"/>
  <c r="S1032" i="3"/>
  <c r="AC1032" i="3" s="1"/>
  <c r="E1033" i="3"/>
  <c r="D1033" i="3"/>
  <c r="R1030" i="3"/>
  <c r="W1030" i="3" s="1"/>
  <c r="H1031" i="3"/>
  <c r="B1031" i="3"/>
  <c r="B1032" i="3" s="1"/>
  <c r="C1033" i="3" l="1"/>
  <c r="E1034" i="3"/>
  <c r="D1034" i="3"/>
  <c r="S1033" i="3"/>
  <c r="AC1033" i="3" s="1"/>
  <c r="R1031" i="3"/>
  <c r="W1031" i="3" s="1"/>
  <c r="H1032" i="3"/>
  <c r="B1033" i="3"/>
  <c r="C1034" i="3" l="1"/>
  <c r="T1034" i="3"/>
  <c r="S1034" i="3" s="1"/>
  <c r="AC1034" i="3" s="1"/>
  <c r="Q1034" i="3"/>
  <c r="R1032" i="3"/>
  <c r="W1032" i="3" s="1"/>
  <c r="H1033" i="3"/>
  <c r="E1035" i="3"/>
  <c r="D1035" i="3"/>
  <c r="C1035" i="3" s="1"/>
  <c r="R1033" i="3" l="1"/>
  <c r="W1033" i="3" s="1"/>
  <c r="H1034" i="3"/>
  <c r="S1035" i="3"/>
  <c r="AC1035" i="3" s="1"/>
  <c r="E1036" i="3"/>
  <c r="D1036" i="3"/>
  <c r="B1034" i="3"/>
  <c r="C1036" i="3" l="1"/>
  <c r="R1034" i="3"/>
  <c r="W1034" i="3" s="1"/>
  <c r="S1036" i="3"/>
  <c r="AC1036" i="3" s="1"/>
  <c r="E1037" i="3"/>
  <c r="D1037" i="3"/>
  <c r="C1037" i="3" s="1"/>
  <c r="B1035" i="3"/>
  <c r="H1035" i="3" s="1"/>
  <c r="R1035" i="3" l="1"/>
  <c r="W1035" i="3" s="1"/>
  <c r="H1036" i="3"/>
  <c r="S1037" i="3"/>
  <c r="AC1037" i="3" s="1"/>
  <c r="E1038" i="3"/>
  <c r="D1038" i="3"/>
  <c r="B1036" i="3"/>
  <c r="C1038" i="3" l="1"/>
  <c r="R1036" i="3"/>
  <c r="W1036" i="3" s="1"/>
  <c r="H1037" i="3"/>
  <c r="S1038" i="3"/>
  <c r="AC1038" i="3" s="1"/>
  <c r="E1039" i="3"/>
  <c r="D1039" i="3"/>
  <c r="C1039" i="3" s="1"/>
  <c r="B1037" i="3"/>
  <c r="S1039" i="3" l="1"/>
  <c r="AC1039" i="3" s="1"/>
  <c r="R1037" i="3"/>
  <c r="W1037" i="3" s="1"/>
  <c r="H1038" i="3"/>
  <c r="E1040" i="3"/>
  <c r="D1040" i="3"/>
  <c r="C1040" i="3" s="1"/>
  <c r="B1038" i="3"/>
  <c r="B1039" i="3" s="1"/>
  <c r="S1040" i="3" l="1"/>
  <c r="AC1040" i="3" s="1"/>
  <c r="E1041" i="3"/>
  <c r="D1041" i="3"/>
  <c r="C1041" i="3" s="1"/>
  <c r="B1040" i="3"/>
  <c r="R1038" i="3"/>
  <c r="W1038" i="3" s="1"/>
  <c r="H1039" i="3"/>
  <c r="S1041" i="3" l="1"/>
  <c r="AC1041" i="3" s="1"/>
  <c r="D1042" i="3"/>
  <c r="E1042" i="3"/>
  <c r="R1039" i="3"/>
  <c r="W1039" i="3" s="1"/>
  <c r="H1040" i="3"/>
  <c r="B1041" i="3"/>
  <c r="Q1042" i="3" l="1"/>
  <c r="T1042" i="3"/>
  <c r="S1042" i="3" s="1"/>
  <c r="AC1042" i="3" s="1"/>
  <c r="C1042" i="3"/>
  <c r="B1042" i="3" s="1"/>
  <c r="D1043" i="3"/>
  <c r="E1043" i="3"/>
  <c r="R1040" i="3"/>
  <c r="W1040" i="3" s="1"/>
  <c r="H1041" i="3"/>
  <c r="C1043" i="3" l="1"/>
  <c r="R1041" i="3"/>
  <c r="W1041" i="3" s="1"/>
  <c r="H1042" i="3"/>
  <c r="D1044" i="3"/>
  <c r="E1044" i="3"/>
  <c r="S1043" i="3"/>
  <c r="AC1043" i="3" s="1"/>
  <c r="C1044" i="3" l="1"/>
  <c r="D1045" i="3"/>
  <c r="E1045" i="3"/>
  <c r="S1044" i="3"/>
  <c r="AC1044" i="3" s="1"/>
  <c r="R1042" i="3"/>
  <c r="W1042" i="3" s="1"/>
  <c r="H1043" i="3"/>
  <c r="B1043" i="3"/>
  <c r="C1045" i="3" l="1"/>
  <c r="R1043" i="3"/>
  <c r="W1043" i="3" s="1"/>
  <c r="H1044" i="3"/>
  <c r="E1046" i="3"/>
  <c r="D1046" i="3"/>
  <c r="S1045" i="3"/>
  <c r="AC1045" i="3" s="1"/>
  <c r="B1044" i="3"/>
  <c r="C1046" i="3" l="1"/>
  <c r="S1046" i="3"/>
  <c r="AC1046" i="3" s="1"/>
  <c r="E1047" i="3"/>
  <c r="D1047" i="3"/>
  <c r="R1044" i="3"/>
  <c r="W1044" i="3" s="1"/>
  <c r="H1045" i="3"/>
  <c r="B1045" i="3"/>
  <c r="C1047" i="3" l="1"/>
  <c r="S1047" i="3"/>
  <c r="AC1047" i="3" s="1"/>
  <c r="E1048" i="3"/>
  <c r="D1048" i="3"/>
  <c r="R1045" i="3"/>
  <c r="W1045" i="3" s="1"/>
  <c r="H1046" i="3"/>
  <c r="B1046" i="3"/>
  <c r="B1047" i="3" s="1"/>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E1057" i="3"/>
  <c r="D1057" i="3"/>
  <c r="R1054" i="3"/>
  <c r="W1054" i="3" s="1"/>
  <c r="H1055" i="3"/>
  <c r="B1056" i="3"/>
  <c r="C1057" i="3" l="1"/>
  <c r="S1057" i="3"/>
  <c r="AC1057" i="3" s="1"/>
  <c r="R1055" i="3"/>
  <c r="W1055" i="3" s="1"/>
  <c r="H1056" i="3"/>
  <c r="E1058" i="3"/>
  <c r="D1058" i="3"/>
  <c r="B1057" i="3"/>
  <c r="C1058" i="3" l="1"/>
  <c r="R1056" i="3"/>
  <c r="W1056" i="3" s="1"/>
  <c r="H1057" i="3"/>
  <c r="S1058" i="3"/>
  <c r="AC1058" i="3" s="1"/>
  <c r="B1058" i="3"/>
  <c r="E1059" i="3"/>
  <c r="D1059" i="3"/>
  <c r="C1059" i="3" s="1"/>
  <c r="S1059" i="3" l="1"/>
  <c r="AC1059" i="3" s="1"/>
  <c r="B1059" i="3"/>
  <c r="E1060" i="3"/>
  <c r="D1060" i="3"/>
  <c r="C1060" i="3" s="1"/>
  <c r="R1057" i="3"/>
  <c r="W1057" i="3" s="1"/>
  <c r="H1058" i="3"/>
  <c r="R1058" i="3" l="1"/>
  <c r="W1058" i="3" s="1"/>
  <c r="H1059" i="3"/>
  <c r="E1061" i="3"/>
  <c r="D1061" i="3"/>
  <c r="B1060" i="3"/>
  <c r="S1060" i="3"/>
  <c r="AC1060" i="3" s="1"/>
  <c r="C1061" i="3" l="1"/>
  <c r="S1061" i="3"/>
  <c r="AC1061" i="3" s="1"/>
  <c r="E1062" i="3"/>
  <c r="D1062" i="3"/>
  <c r="R1059" i="3"/>
  <c r="W1059" i="3" s="1"/>
  <c r="H1060" i="3"/>
  <c r="C1062" i="3" l="1"/>
  <c r="E1063" i="3"/>
  <c r="D1063" i="3"/>
  <c r="R1060" i="3"/>
  <c r="W1060" i="3" s="1"/>
  <c r="H1061" i="3"/>
  <c r="S1062" i="3"/>
  <c r="AC1062" i="3" s="1"/>
  <c r="B1061" i="3"/>
  <c r="C1063" i="3" l="1"/>
  <c r="B1062" i="3"/>
  <c r="R1061" i="3"/>
  <c r="W1061" i="3" s="1"/>
  <c r="H1062" i="3"/>
  <c r="S1063" i="3"/>
  <c r="AC1063" i="3" s="1"/>
  <c r="E1064" i="3"/>
  <c r="D1064" i="3"/>
  <c r="C1064" i="3" s="1"/>
  <c r="R1062" i="3" l="1"/>
  <c r="W1062" i="3" s="1"/>
  <c r="H1063" i="3"/>
  <c r="S1064" i="3"/>
  <c r="AC1064" i="3" s="1"/>
  <c r="E1065" i="3"/>
  <c r="D1065" i="3"/>
  <c r="B1063" i="3"/>
  <c r="C1065" i="3" l="1"/>
  <c r="S1065" i="3"/>
  <c r="AC1065" i="3" s="1"/>
  <c r="R1063" i="3"/>
  <c r="W1063" i="3" s="1"/>
  <c r="H1064" i="3"/>
  <c r="E1066" i="3"/>
  <c r="D1066" i="3"/>
  <c r="B1064" i="3"/>
  <c r="B1065" i="3" l="1"/>
  <c r="C1066" i="3"/>
  <c r="S1066" i="3"/>
  <c r="AC1066" i="3" s="1"/>
  <c r="E1067" i="3"/>
  <c r="D1067" i="3"/>
  <c r="R1064" i="3"/>
  <c r="W1064" i="3" s="1"/>
  <c r="H1065" i="3"/>
  <c r="B1066" i="3" l="1"/>
  <c r="C1067" i="3"/>
  <c r="S1067" i="3"/>
  <c r="AC1067" i="3" s="1"/>
  <c r="E1068" i="3"/>
  <c r="D1068" i="3"/>
  <c r="C1068" i="3" s="1"/>
  <c r="R1065" i="3"/>
  <c r="W1065" i="3" s="1"/>
  <c r="H1066" i="3"/>
  <c r="B1067" i="3" l="1"/>
  <c r="S1068" i="3"/>
  <c r="AC1068" i="3" s="1"/>
  <c r="R1066" i="3"/>
  <c r="W1066" i="3" s="1"/>
  <c r="H1067" i="3"/>
  <c r="E1069" i="3"/>
  <c r="D1069" i="3"/>
  <c r="B1068" i="3"/>
  <c r="C1069" i="3" l="1"/>
  <c r="R1067" i="3"/>
  <c r="W1067" i="3" s="1"/>
  <c r="H1068" i="3"/>
  <c r="S1069" i="3"/>
  <c r="AC1069" i="3" s="1"/>
  <c r="E1070" i="3"/>
  <c r="D1070" i="3"/>
  <c r="B1069" i="3"/>
  <c r="C1070" i="3" l="1"/>
  <c r="E1071" i="3"/>
  <c r="D1071" i="3"/>
  <c r="S1070" i="3"/>
  <c r="AC1070" i="3" s="1"/>
  <c r="R1068" i="3"/>
  <c r="W1068" i="3" s="1"/>
  <c r="H1069" i="3"/>
  <c r="C1071" i="3" l="1"/>
  <c r="R1069" i="3"/>
  <c r="W1069" i="3" s="1"/>
  <c r="H1070" i="3"/>
  <c r="B1070" i="3"/>
  <c r="S1071" i="3"/>
  <c r="AC1071" i="3" s="1"/>
  <c r="E1072" i="3"/>
  <c r="D1072" i="3"/>
  <c r="C1072" i="3" l="1"/>
  <c r="E1073" i="3"/>
  <c r="D1073" i="3"/>
  <c r="S1072" i="3"/>
  <c r="AC1072" i="3" s="1"/>
  <c r="R1070" i="3"/>
  <c r="W1070" i="3" s="1"/>
  <c r="H1071" i="3"/>
  <c r="B1071" i="3"/>
  <c r="C1073" i="3" l="1"/>
  <c r="R1071" i="3"/>
  <c r="W1071" i="3" s="1"/>
  <c r="H1072" i="3"/>
  <c r="B1072" i="3"/>
  <c r="S1073" i="3"/>
  <c r="AC1073" i="3" s="1"/>
  <c r="E1074" i="3"/>
  <c r="D1074" i="3"/>
  <c r="C1074" i="3" l="1"/>
  <c r="E1075" i="3"/>
  <c r="D1075" i="3"/>
  <c r="S1074" i="3"/>
  <c r="AC1074" i="3" s="1"/>
  <c r="R1072" i="3"/>
  <c r="W1072" i="3" s="1"/>
  <c r="H1073" i="3"/>
  <c r="B1073" i="3"/>
  <c r="C1075" i="3" l="1"/>
  <c r="R1073" i="3"/>
  <c r="W1073" i="3" s="1"/>
  <c r="H1074" i="3"/>
  <c r="B1074" i="3"/>
  <c r="S1075" i="3"/>
  <c r="AC1075" i="3" s="1"/>
  <c r="E1076" i="3"/>
  <c r="D1076" i="3"/>
  <c r="C1076" i="3" l="1"/>
  <c r="E1077" i="3"/>
  <c r="D1077" i="3"/>
  <c r="S1076" i="3"/>
  <c r="AC1076" i="3" s="1"/>
  <c r="R1074" i="3"/>
  <c r="W1074" i="3" s="1"/>
  <c r="H1075" i="3"/>
  <c r="B1075" i="3"/>
  <c r="C1077" i="3" l="1"/>
  <c r="R1075" i="3"/>
  <c r="W1075" i="3" s="1"/>
  <c r="H1076" i="3"/>
  <c r="S1077" i="3"/>
  <c r="AC1077" i="3" s="1"/>
  <c r="E1078" i="3"/>
  <c r="D1078" i="3"/>
  <c r="B1076" i="3"/>
  <c r="C1078" i="3" l="1"/>
  <c r="R1076" i="3"/>
  <c r="W1076" i="3" s="1"/>
  <c r="H1077" i="3"/>
  <c r="S1078" i="3"/>
  <c r="AC1078" i="3" s="1"/>
  <c r="E1079" i="3"/>
  <c r="D1079" i="3"/>
  <c r="B1077" i="3"/>
  <c r="C1079" i="3" l="1"/>
  <c r="S1079" i="3"/>
  <c r="AC1079" i="3" s="1"/>
  <c r="R1077" i="3"/>
  <c r="W1077" i="3" s="1"/>
  <c r="H1078" i="3"/>
  <c r="E1080" i="3"/>
  <c r="D1080" i="3"/>
  <c r="B1078" i="3"/>
  <c r="C1080" i="3" l="1"/>
  <c r="S1080" i="3"/>
  <c r="AC1080" i="3" s="1"/>
  <c r="E1081" i="3"/>
  <c r="D1081" i="3"/>
  <c r="R1078" i="3"/>
  <c r="W1078" i="3" s="1"/>
  <c r="H1079" i="3"/>
  <c r="B1079" i="3"/>
  <c r="B1080" i="3" l="1"/>
  <c r="C1081" i="3"/>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S1084" i="3"/>
  <c r="AC1084" i="3" s="1"/>
  <c r="E1085" i="3"/>
  <c r="D1085" i="3"/>
  <c r="R1082" i="3"/>
  <c r="W1082" i="3" s="1"/>
  <c r="H1083" i="3"/>
  <c r="B1084" i="3"/>
  <c r="C1085" i="3" l="1"/>
  <c r="B1085" i="3" s="1"/>
  <c r="S1085" i="3"/>
  <c r="AC1085" i="3" s="1"/>
  <c r="E1086" i="3"/>
  <c r="D1086" i="3"/>
  <c r="R1083" i="3"/>
  <c r="W1083" i="3" s="1"/>
  <c r="H1084" i="3"/>
  <c r="C1086" i="3" l="1"/>
  <c r="B1086" i="3" s="1"/>
  <c r="Q1086" i="3"/>
  <c r="T1086" i="3"/>
  <c r="S1086" i="3" s="1"/>
  <c r="AC1086" i="3" s="1"/>
  <c r="E1087" i="3"/>
  <c r="D1087" i="3"/>
  <c r="R1084" i="3"/>
  <c r="W1084" i="3" s="1"/>
  <c r="H1085" i="3"/>
  <c r="C1087" i="3" l="1"/>
  <c r="R1085" i="3"/>
  <c r="W1085" i="3" s="1"/>
  <c r="H1086" i="3"/>
  <c r="S1087" i="3"/>
  <c r="AC1087" i="3" s="1"/>
  <c r="E1088" i="3"/>
  <c r="D1088" i="3"/>
  <c r="B1087" i="3"/>
  <c r="C1088" i="3" l="1"/>
  <c r="B1088" i="3" s="1"/>
  <c r="E1089" i="3"/>
  <c r="D1089" i="3"/>
  <c r="S1088" i="3"/>
  <c r="AC1088" i="3" s="1"/>
  <c r="R1086" i="3"/>
  <c r="W1086" i="3" s="1"/>
  <c r="H1087" i="3"/>
  <c r="C1089" i="3" l="1"/>
  <c r="B1089" i="3" s="1"/>
  <c r="R1087" i="3"/>
  <c r="W1087" i="3" s="1"/>
  <c r="H1088" i="3"/>
  <c r="S1089" i="3"/>
  <c r="AC1089" i="3" s="1"/>
  <c r="E1090" i="3"/>
  <c r="D1090" i="3"/>
  <c r="C1090" i="3" l="1"/>
  <c r="E1091" i="3"/>
  <c r="D1091" i="3"/>
  <c r="S1090" i="3"/>
  <c r="AC1090" i="3" s="1"/>
  <c r="R1088" i="3"/>
  <c r="W1088" i="3" s="1"/>
  <c r="H1089" i="3"/>
  <c r="C1091" i="3" l="1"/>
  <c r="R1089" i="3"/>
  <c r="W1089" i="3" s="1"/>
  <c r="H1090" i="3"/>
  <c r="S1091" i="3"/>
  <c r="AC1091" i="3" s="1"/>
  <c r="E1092" i="3"/>
  <c r="D1092" i="3"/>
  <c r="B1090" i="3"/>
  <c r="C1092" i="3" l="1"/>
  <c r="R1090" i="3"/>
  <c r="W1090" i="3" s="1"/>
  <c r="H1091" i="3"/>
  <c r="S1092" i="3"/>
  <c r="AC1092" i="3" s="1"/>
  <c r="E1093" i="3"/>
  <c r="D1093" i="3"/>
  <c r="B1091" i="3"/>
  <c r="C1093" i="3" l="1"/>
  <c r="S1093" i="3"/>
  <c r="AC1093" i="3" s="1"/>
  <c r="R1091" i="3"/>
  <c r="W1091" i="3" s="1"/>
  <c r="H1092" i="3"/>
  <c r="E1094" i="3"/>
  <c r="D1094" i="3"/>
  <c r="B1092" i="3"/>
  <c r="C1094" i="3" l="1"/>
  <c r="S1094" i="3"/>
  <c r="AC1094" i="3" s="1"/>
  <c r="E1095" i="3"/>
  <c r="D1095" i="3"/>
  <c r="R1092" i="3"/>
  <c r="W1092" i="3" s="1"/>
  <c r="H1093" i="3"/>
  <c r="B1093" i="3"/>
  <c r="B1094" i="3" s="1"/>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C1106" i="3" s="1"/>
  <c r="R1103" i="3"/>
  <c r="W1103" i="3" s="1"/>
  <c r="H1104" i="3"/>
  <c r="B1105" i="3"/>
  <c r="S1106" i="3" l="1"/>
  <c r="AC1106" i="3" s="1"/>
  <c r="E1107" i="3"/>
  <c r="D1107" i="3"/>
  <c r="R1104" i="3"/>
  <c r="W1104" i="3" s="1"/>
  <c r="H1105" i="3"/>
  <c r="B1106" i="3"/>
  <c r="C1107" i="3" l="1"/>
  <c r="T1107" i="3"/>
  <c r="S1107" i="3" s="1"/>
  <c r="AC1107" i="3" s="1"/>
  <c r="Q1107" i="3"/>
  <c r="R1105" i="3"/>
  <c r="W1105" i="3" s="1"/>
  <c r="H1106" i="3"/>
  <c r="E1108" i="3"/>
  <c r="D1108" i="3"/>
  <c r="C1108" i="3" s="1"/>
  <c r="B1107" i="3"/>
  <c r="R1106" i="3" l="1"/>
  <c r="W1106" i="3" s="1"/>
  <c r="H1107" i="3"/>
  <c r="S1108" i="3"/>
  <c r="AC1108" i="3" s="1"/>
  <c r="E1109" i="3"/>
  <c r="D1109" i="3"/>
  <c r="C1109" i="3" l="1"/>
  <c r="T1109" i="3"/>
  <c r="S1109" i="3" s="1"/>
  <c r="AC1109" i="3" s="1"/>
  <c r="Q1109" i="3"/>
  <c r="R1107" i="3"/>
  <c r="W1107" i="3" s="1"/>
  <c r="H1108" i="3"/>
  <c r="E1110" i="3"/>
  <c r="D1110" i="3"/>
  <c r="C1110" i="3" s="1"/>
  <c r="B1108" i="3"/>
  <c r="S1110" i="3" l="1"/>
  <c r="AC1110" i="3" s="1"/>
  <c r="R1108" i="3"/>
  <c r="W1108" i="3" s="1"/>
  <c r="H1109" i="3"/>
  <c r="E1111" i="3"/>
  <c r="D1111" i="3"/>
  <c r="B1109" i="3"/>
  <c r="C1111" i="3" l="1"/>
  <c r="S1111" i="3"/>
  <c r="AC1111" i="3" s="1"/>
  <c r="E1112" i="3"/>
  <c r="D1112" i="3"/>
  <c r="R1109" i="3"/>
  <c r="W1109" i="3" s="1"/>
  <c r="H1110" i="3"/>
  <c r="B1110" i="3"/>
  <c r="B1111" i="3" s="1"/>
  <c r="C1112" i="3" l="1"/>
  <c r="S1112" i="3"/>
  <c r="AC1112" i="3" s="1"/>
  <c r="D1113" i="3"/>
  <c r="E1113" i="3"/>
  <c r="R1110" i="3"/>
  <c r="W1110" i="3" s="1"/>
  <c r="H1111" i="3"/>
  <c r="B1112" i="3"/>
  <c r="C1113" i="3" l="1"/>
  <c r="D1114" i="3"/>
  <c r="E1114" i="3"/>
  <c r="S1113" i="3"/>
  <c r="AC1113" i="3" s="1"/>
  <c r="R1111" i="3"/>
  <c r="W1111" i="3" s="1"/>
  <c r="H1112" i="3"/>
  <c r="B1113" i="3"/>
  <c r="C1114" i="3" l="1"/>
  <c r="R1112" i="3"/>
  <c r="W1112" i="3" s="1"/>
  <c r="H1113" i="3"/>
  <c r="D1115" i="3"/>
  <c r="E1115" i="3"/>
  <c r="S1114" i="3"/>
  <c r="AC1114" i="3" s="1"/>
  <c r="C1115" i="3" l="1"/>
  <c r="D1116" i="3"/>
  <c r="E1116" i="3"/>
  <c r="S1115" i="3"/>
  <c r="AC1115" i="3" s="1"/>
  <c r="R1113" i="3"/>
  <c r="W1113" i="3" s="1"/>
  <c r="H1114" i="3"/>
  <c r="B1114" i="3"/>
  <c r="C1116" i="3" l="1"/>
  <c r="R1114" i="3"/>
  <c r="W1114" i="3" s="1"/>
  <c r="D1117" i="3"/>
  <c r="E1117" i="3"/>
  <c r="S1116" i="3"/>
  <c r="AC1116" i="3" s="1"/>
  <c r="B1115" i="3"/>
  <c r="H1115" i="3" s="1"/>
  <c r="C1117" i="3" l="1"/>
  <c r="R1115" i="3"/>
  <c r="W1115" i="3" s="1"/>
  <c r="H1116" i="3"/>
  <c r="E1118" i="3"/>
  <c r="D1118" i="3"/>
  <c r="S1117" i="3"/>
  <c r="AC1117" i="3" s="1"/>
  <c r="B1116" i="3"/>
  <c r="C1118" i="3" l="1"/>
  <c r="S1118" i="3"/>
  <c r="AC1118" i="3" s="1"/>
  <c r="E1119" i="3"/>
  <c r="D1119" i="3"/>
  <c r="B1117" i="3"/>
  <c r="R1116" i="3"/>
  <c r="W1116" i="3" s="1"/>
  <c r="H1117" i="3"/>
  <c r="C1119" i="3" l="1"/>
  <c r="E1120" i="3"/>
  <c r="D1120" i="3"/>
  <c r="S1119" i="3"/>
  <c r="AC1119" i="3" s="1"/>
  <c r="R1117" i="3"/>
  <c r="W1117" i="3" s="1"/>
  <c r="H1118" i="3"/>
  <c r="B1118" i="3"/>
  <c r="B1119" i="3" s="1"/>
  <c r="C1120" i="3" l="1"/>
  <c r="R1118" i="3"/>
  <c r="W1118" i="3" s="1"/>
  <c r="H1119" i="3"/>
  <c r="S1120" i="3"/>
  <c r="AC1120" i="3" s="1"/>
  <c r="E1121" i="3"/>
  <c r="D1121" i="3"/>
  <c r="C1121" i="3" s="1"/>
  <c r="S1121" i="3" l="1"/>
  <c r="AC1121" i="3" s="1"/>
  <c r="R1119" i="3"/>
  <c r="W1119" i="3" s="1"/>
  <c r="H1120" i="3"/>
  <c r="E1122" i="3"/>
  <c r="D1122" i="3"/>
  <c r="B1120" i="3"/>
  <c r="C1122" i="3" l="1"/>
  <c r="S1122" i="3"/>
  <c r="AC1122" i="3" s="1"/>
  <c r="E1123" i="3"/>
  <c r="D1123" i="3"/>
  <c r="R1120" i="3"/>
  <c r="W1120" i="3" s="1"/>
  <c r="H1121" i="3"/>
  <c r="B1121" i="3"/>
  <c r="B1122" i="3" s="1"/>
  <c r="C1123" i="3" l="1"/>
  <c r="S1123" i="3"/>
  <c r="AC1123" i="3" s="1"/>
  <c r="E1124" i="3"/>
  <c r="D1124" i="3"/>
  <c r="R1121" i="3"/>
  <c r="W1121" i="3" s="1"/>
  <c r="H1122" i="3"/>
  <c r="B1123" i="3"/>
  <c r="C1124" i="3" l="1"/>
  <c r="S1124" i="3"/>
  <c r="AC1124" i="3" s="1"/>
  <c r="D1125" i="3"/>
  <c r="E1125" i="3"/>
  <c r="R1122" i="3"/>
  <c r="W1122" i="3" s="1"/>
  <c r="H1123" i="3"/>
  <c r="B1124" i="3"/>
  <c r="C1125" i="3" l="1"/>
  <c r="E1126" i="3"/>
  <c r="D1126" i="3"/>
  <c r="S1125" i="3"/>
  <c r="AC1125" i="3" s="1"/>
  <c r="R1123" i="3"/>
  <c r="W1123" i="3" s="1"/>
  <c r="H1124" i="3"/>
  <c r="B1125" i="3"/>
  <c r="C1126" i="3" l="1"/>
  <c r="R1124" i="3"/>
  <c r="W1124" i="3" s="1"/>
  <c r="H1125" i="3"/>
  <c r="S1126" i="3"/>
  <c r="AC1126" i="3" s="1"/>
  <c r="D1127" i="3"/>
  <c r="E1127" i="3"/>
  <c r="C1127" i="3" l="1"/>
  <c r="R1125" i="3"/>
  <c r="W1125" i="3" s="1"/>
  <c r="H1126" i="3"/>
  <c r="E1128" i="3"/>
  <c r="D1128" i="3"/>
  <c r="S1127" i="3"/>
  <c r="AC1127" i="3" s="1"/>
  <c r="B1126" i="3"/>
  <c r="C1128" i="3" l="1"/>
  <c r="S1128" i="3"/>
  <c r="AC1128" i="3" s="1"/>
  <c r="E1129" i="3"/>
  <c r="D1129" i="3"/>
  <c r="R1126" i="3"/>
  <c r="W1126" i="3" s="1"/>
  <c r="H1127" i="3"/>
  <c r="B1127" i="3"/>
  <c r="C1129" i="3" l="1"/>
  <c r="S1129" i="3"/>
  <c r="AC1129" i="3" s="1"/>
  <c r="E1130" i="3"/>
  <c r="D1130" i="3"/>
  <c r="R1127" i="3"/>
  <c r="W1127" i="3" s="1"/>
  <c r="H1128" i="3"/>
  <c r="B1128" i="3"/>
  <c r="B1129" i="3" s="1"/>
  <c r="C1130" i="3" l="1"/>
  <c r="S1130" i="3"/>
  <c r="AC1130" i="3" s="1"/>
  <c r="E1131" i="3"/>
  <c r="D1131" i="3"/>
  <c r="R1128" i="3"/>
  <c r="W1128" i="3" s="1"/>
  <c r="H1129" i="3"/>
  <c r="B1130" i="3"/>
  <c r="C1131" i="3" l="1"/>
  <c r="B1131" i="3" s="1"/>
  <c r="S1131" i="3"/>
  <c r="AC1131" i="3" s="1"/>
  <c r="E1132" i="3"/>
  <c r="D1132" i="3"/>
  <c r="R1129" i="3"/>
  <c r="W1129" i="3" s="1"/>
  <c r="H1130" i="3"/>
  <c r="C1132" i="3" l="1"/>
  <c r="S1132" i="3"/>
  <c r="AC1132" i="3" s="1"/>
  <c r="D1133" i="3"/>
  <c r="E1133" i="3"/>
  <c r="R1130" i="3"/>
  <c r="W1130" i="3" s="1"/>
  <c r="H1131" i="3"/>
  <c r="B1132" i="3"/>
  <c r="C1133" i="3" l="1"/>
  <c r="D1134" i="3"/>
  <c r="E1134" i="3"/>
  <c r="S1133" i="3"/>
  <c r="AC1133" i="3" s="1"/>
  <c r="R1131" i="3"/>
  <c r="W1131" i="3" s="1"/>
  <c r="H1132" i="3"/>
  <c r="B1133" i="3"/>
  <c r="C1134" i="3" l="1"/>
  <c r="R1132" i="3"/>
  <c r="W1132" i="3" s="1"/>
  <c r="H1133" i="3"/>
  <c r="D1135" i="3"/>
  <c r="E1135" i="3"/>
  <c r="S1134" i="3"/>
  <c r="AC1134" i="3" s="1"/>
  <c r="C1135" i="3" l="1"/>
  <c r="E1136" i="3"/>
  <c r="D1136" i="3"/>
  <c r="S1135" i="3"/>
  <c r="AC1135" i="3" s="1"/>
  <c r="R1133" i="3"/>
  <c r="W1133" i="3" s="1"/>
  <c r="H1134" i="3"/>
  <c r="B1134" i="3"/>
  <c r="C1136" i="3" l="1"/>
  <c r="R1134" i="3"/>
  <c r="W1134" i="3" s="1"/>
  <c r="H1135" i="3"/>
  <c r="S1136" i="3"/>
  <c r="AC1136" i="3" s="1"/>
  <c r="E1137" i="3"/>
  <c r="D1137" i="3"/>
  <c r="B1135" i="3"/>
  <c r="C1137" i="3" l="1"/>
  <c r="R1135" i="3"/>
  <c r="W1135" i="3" s="1"/>
  <c r="H1136" i="3"/>
  <c r="S1137" i="3"/>
  <c r="AC1137" i="3" s="1"/>
  <c r="E1138" i="3"/>
  <c r="D1138" i="3"/>
  <c r="B1136" i="3"/>
  <c r="C1138" i="3" l="1"/>
  <c r="R1136" i="3"/>
  <c r="W1136" i="3" s="1"/>
  <c r="H1137" i="3"/>
  <c r="S1138" i="3"/>
  <c r="AC1138" i="3" s="1"/>
  <c r="E1139" i="3"/>
  <c r="D1139" i="3"/>
  <c r="C1139" i="3" s="1"/>
  <c r="B1137" i="3"/>
  <c r="S1139" i="3" l="1"/>
  <c r="AC1139" i="3" s="1"/>
  <c r="R1137" i="3"/>
  <c r="W1137" i="3" s="1"/>
  <c r="H1138" i="3"/>
  <c r="E1140" i="3"/>
  <c r="D1140" i="3"/>
  <c r="B1138" i="3"/>
  <c r="C1140" i="3" l="1"/>
  <c r="S1140" i="3"/>
  <c r="AC1140" i="3" s="1"/>
  <c r="D1141" i="3"/>
  <c r="E1141" i="3"/>
  <c r="R1138" i="3"/>
  <c r="W1138" i="3" s="1"/>
  <c r="H1139" i="3"/>
  <c r="B1139" i="3"/>
  <c r="B1140" i="3" s="1"/>
  <c r="C1141" i="3" l="1"/>
  <c r="D1142" i="3"/>
  <c r="E1142" i="3"/>
  <c r="S1141" i="3"/>
  <c r="AC1141" i="3" s="1"/>
  <c r="R1139" i="3"/>
  <c r="W1139" i="3" s="1"/>
  <c r="H1140" i="3"/>
  <c r="B1141" i="3"/>
  <c r="C1142" i="3" l="1"/>
  <c r="R1140" i="3"/>
  <c r="W1140" i="3" s="1"/>
  <c r="H1141" i="3"/>
  <c r="D1143" i="3"/>
  <c r="E1143" i="3"/>
  <c r="S1142" i="3"/>
  <c r="AC1142" i="3" s="1"/>
  <c r="C1143" i="3" l="1"/>
  <c r="S1143" i="3"/>
  <c r="AC1143" i="3" s="1"/>
  <c r="E1144" i="3"/>
  <c r="D1144" i="3"/>
  <c r="C1144" i="3" s="1"/>
  <c r="R1141" i="3"/>
  <c r="W1141" i="3" s="1"/>
  <c r="H1142" i="3"/>
  <c r="B1142" i="3"/>
  <c r="S1144" i="3" l="1"/>
  <c r="AC1144" i="3" s="1"/>
  <c r="E1145" i="3"/>
  <c r="D1145" i="3"/>
  <c r="C1145" i="3" s="1"/>
  <c r="R1142" i="3"/>
  <c r="W1142" i="3" s="1"/>
  <c r="H1143" i="3"/>
  <c r="B1143" i="3"/>
  <c r="B1144" i="3" s="1"/>
  <c r="S1145" i="3" l="1"/>
  <c r="AC1145" i="3" s="1"/>
  <c r="D1146" i="3"/>
  <c r="E1146" i="3"/>
  <c r="R1143" i="3"/>
  <c r="W1143" i="3" s="1"/>
  <c r="H1144" i="3"/>
  <c r="B1145" i="3"/>
  <c r="C1146" i="3" l="1"/>
  <c r="E1147" i="3"/>
  <c r="D1147" i="3"/>
  <c r="C1147" i="3" s="1"/>
  <c r="S1146" i="3"/>
  <c r="AC1146" i="3" s="1"/>
  <c r="R1144" i="3"/>
  <c r="W1144" i="3" s="1"/>
  <c r="H1145" i="3"/>
  <c r="B1146" i="3"/>
  <c r="R1145" i="3" l="1"/>
  <c r="W1145" i="3" s="1"/>
  <c r="H1146" i="3"/>
  <c r="S1147" i="3"/>
  <c r="AC1147" i="3" s="1"/>
  <c r="E1148" i="3"/>
  <c r="D1148" i="3"/>
  <c r="C1148" i="3" l="1"/>
  <c r="S1148" i="3"/>
  <c r="AC1148" i="3" s="1"/>
  <c r="R1146" i="3"/>
  <c r="W1146" i="3" s="1"/>
  <c r="H1147" i="3"/>
  <c r="E1149" i="3"/>
  <c r="D1149" i="3"/>
  <c r="B1147" i="3"/>
  <c r="B1148" i="3" s="1"/>
  <c r="C1149" i="3" l="1"/>
  <c r="S1149" i="3"/>
  <c r="AC1149" i="3" s="1"/>
  <c r="D1150" i="3"/>
  <c r="E1150" i="3"/>
  <c r="R1147" i="3"/>
  <c r="W1147" i="3" s="1"/>
  <c r="H1148" i="3"/>
  <c r="B1149" i="3"/>
  <c r="C1150" i="3" l="1"/>
  <c r="B1150" i="3" s="1"/>
  <c r="E1151" i="3"/>
  <c r="D1151" i="3"/>
  <c r="S1150" i="3"/>
  <c r="AC1150" i="3" s="1"/>
  <c r="R1148" i="3"/>
  <c r="W1148" i="3" s="1"/>
  <c r="H1149" i="3"/>
  <c r="C1151" i="3" l="1"/>
  <c r="Q1151" i="3"/>
  <c r="T1151" i="3"/>
  <c r="S1151" i="3" s="1"/>
  <c r="AC1151" i="3" s="1"/>
  <c r="R1149" i="3"/>
  <c r="W1149" i="3" s="1"/>
  <c r="H1150" i="3"/>
  <c r="E1152" i="3"/>
  <c r="D1152" i="3"/>
  <c r="C1152" i="3" s="1"/>
  <c r="R1150" i="3" l="1"/>
  <c r="W1150" i="3" s="1"/>
  <c r="H1151" i="3"/>
  <c r="S1152" i="3"/>
  <c r="AC1152" i="3" s="1"/>
  <c r="E1153" i="3"/>
  <c r="D1153" i="3"/>
  <c r="B1151" i="3"/>
  <c r="C1153" i="3" l="1"/>
  <c r="R1151" i="3"/>
  <c r="W1151" i="3" s="1"/>
  <c r="H1152" i="3"/>
  <c r="S1153" i="3"/>
  <c r="AC1153" i="3" s="1"/>
  <c r="D1154" i="3"/>
  <c r="E1154" i="3"/>
  <c r="B1152" i="3"/>
  <c r="C1154" i="3" l="1"/>
  <c r="R1152" i="3"/>
  <c r="W1152" i="3" s="1"/>
  <c r="H1153" i="3"/>
  <c r="E1155" i="3"/>
  <c r="D1155" i="3"/>
  <c r="S1154" i="3"/>
  <c r="AC1154" i="3" s="1"/>
  <c r="B1153" i="3"/>
  <c r="C1155" i="3" l="1"/>
  <c r="S1155" i="3"/>
  <c r="AC1155" i="3" s="1"/>
  <c r="E1156" i="3"/>
  <c r="D1156" i="3"/>
  <c r="R1153" i="3"/>
  <c r="W1153" i="3" s="1"/>
  <c r="H1154" i="3"/>
  <c r="B1154" i="3"/>
  <c r="C1156" i="3" l="1"/>
  <c r="E1157" i="3"/>
  <c r="D1157" i="3"/>
  <c r="R1154" i="3"/>
  <c r="W1154" i="3" s="1"/>
  <c r="H1155" i="3"/>
  <c r="S1156" i="3"/>
  <c r="AC1156" i="3" s="1"/>
  <c r="B1155" i="3"/>
  <c r="C1157" i="3" l="1"/>
  <c r="B1156" i="3"/>
  <c r="R1155" i="3"/>
  <c r="W1155" i="3" s="1"/>
  <c r="H1156" i="3"/>
  <c r="S1157" i="3"/>
  <c r="AC1157" i="3" s="1"/>
  <c r="E1158" i="3"/>
  <c r="D1158" i="3"/>
  <c r="C1158" i="3" l="1"/>
  <c r="T1158" i="3"/>
  <c r="S1158" i="3" s="1"/>
  <c r="AC1158" i="3" s="1"/>
  <c r="Q1158" i="3"/>
  <c r="R1156" i="3"/>
  <c r="W1156" i="3" s="1"/>
  <c r="H1157" i="3"/>
  <c r="E1159" i="3"/>
  <c r="D1159" i="3"/>
  <c r="B1157" i="3"/>
  <c r="B1158" i="3" s="1"/>
  <c r="C1159" i="3" l="1"/>
  <c r="S1159" i="3"/>
  <c r="AC1159" i="3" s="1"/>
  <c r="E1160" i="3"/>
  <c r="D1160" i="3"/>
  <c r="R1157" i="3"/>
  <c r="W1157" i="3" s="1"/>
  <c r="H1158" i="3"/>
  <c r="B1159" i="3"/>
  <c r="C1160" i="3" l="1"/>
  <c r="S1160" i="3"/>
  <c r="AC1160" i="3" s="1"/>
  <c r="R1158" i="3"/>
  <c r="W1158" i="3" s="1"/>
  <c r="H1159" i="3"/>
  <c r="E1161" i="3"/>
  <c r="D1161" i="3"/>
  <c r="B1160" i="3"/>
  <c r="C1161" i="3" l="1"/>
  <c r="B1161" i="3" s="1"/>
  <c r="R1159" i="3"/>
  <c r="W1159" i="3" s="1"/>
  <c r="H1160" i="3"/>
  <c r="S1161" i="3"/>
  <c r="AC1161" i="3" s="1"/>
  <c r="E1162" i="3"/>
  <c r="D1162" i="3"/>
  <c r="C1162" i="3" l="1"/>
  <c r="E1163" i="3"/>
  <c r="D1163" i="3"/>
  <c r="S1162" i="3"/>
  <c r="AC1162" i="3" s="1"/>
  <c r="R1160" i="3"/>
  <c r="W1160" i="3" s="1"/>
  <c r="H1161" i="3"/>
  <c r="C1163" i="3" l="1"/>
  <c r="R1161" i="3"/>
  <c r="W1161" i="3" s="1"/>
  <c r="H1162" i="3"/>
  <c r="B1162" i="3"/>
  <c r="S1163" i="3"/>
  <c r="AC1163" i="3" s="1"/>
  <c r="E1164" i="3"/>
  <c r="D1164" i="3"/>
  <c r="C1164" i="3" l="1"/>
  <c r="E1165" i="3"/>
  <c r="D1165" i="3"/>
  <c r="S1164" i="3"/>
  <c r="AC1164" i="3" s="1"/>
  <c r="R1162" i="3"/>
  <c r="W1162" i="3" s="1"/>
  <c r="H1163" i="3"/>
  <c r="B1163" i="3"/>
  <c r="C1165" i="3" l="1"/>
  <c r="R1163" i="3"/>
  <c r="W1163" i="3" s="1"/>
  <c r="H1164" i="3"/>
  <c r="B1164" i="3"/>
  <c r="S1165" i="3"/>
  <c r="AC1165" i="3" s="1"/>
  <c r="E1166" i="3"/>
  <c r="D1166" i="3"/>
  <c r="Q1166" i="3" l="1"/>
  <c r="T1166" i="3"/>
  <c r="S1166" i="3" s="1"/>
  <c r="AC1166" i="3" s="1"/>
  <c r="C1166" i="3"/>
  <c r="E1167" i="3"/>
  <c r="D1167" i="3"/>
  <c r="R1164" i="3"/>
  <c r="W1164" i="3" s="1"/>
  <c r="H1165" i="3"/>
  <c r="B1165" i="3"/>
  <c r="C1167" i="3" l="1"/>
  <c r="R1165" i="3"/>
  <c r="W1165" i="3" s="1"/>
  <c r="H1166" i="3"/>
  <c r="B1166" i="3"/>
  <c r="S1167" i="3"/>
  <c r="AC1167" i="3" s="1"/>
  <c r="E1168" i="3"/>
  <c r="D1168" i="3"/>
  <c r="C1168" i="3" l="1"/>
  <c r="E1169" i="3"/>
  <c r="D1169" i="3"/>
  <c r="S1168" i="3"/>
  <c r="AC1168" i="3" s="1"/>
  <c r="R1166" i="3"/>
  <c r="W1166" i="3" s="1"/>
  <c r="H1167" i="3"/>
  <c r="B1167" i="3"/>
  <c r="C1169" i="3" l="1"/>
  <c r="R1167" i="3"/>
  <c r="W1167" i="3" s="1"/>
  <c r="H1168" i="3"/>
  <c r="B1168" i="3"/>
  <c r="S1169" i="3"/>
  <c r="AC1169" i="3" s="1"/>
  <c r="E1170" i="3"/>
  <c r="D1170" i="3"/>
  <c r="C1170" i="3" l="1"/>
  <c r="E1171" i="3"/>
  <c r="D1171" i="3"/>
  <c r="S1170" i="3"/>
  <c r="AC1170" i="3" s="1"/>
  <c r="R1168" i="3"/>
  <c r="W1168" i="3" s="1"/>
  <c r="H1169" i="3"/>
  <c r="B1169" i="3"/>
  <c r="C1171" i="3" l="1"/>
  <c r="R1169" i="3"/>
  <c r="W1169" i="3" s="1"/>
  <c r="H1170" i="3"/>
  <c r="B1170" i="3"/>
  <c r="S1171" i="3"/>
  <c r="AC1171" i="3" s="1"/>
  <c r="E1172" i="3"/>
  <c r="D1172" i="3"/>
  <c r="C1172" i="3" l="1"/>
  <c r="E1173" i="3"/>
  <c r="D1173" i="3"/>
  <c r="S1172" i="3"/>
  <c r="AC1172" i="3" s="1"/>
  <c r="R1170" i="3"/>
  <c r="W1170" i="3" s="1"/>
  <c r="H1171" i="3"/>
  <c r="B1171" i="3"/>
  <c r="C1173" i="3" l="1"/>
  <c r="R1171" i="3"/>
  <c r="W1171" i="3" s="1"/>
  <c r="H1172" i="3"/>
  <c r="B1172" i="3"/>
  <c r="S1173" i="3"/>
  <c r="AC1173" i="3" s="1"/>
  <c r="E1174" i="3"/>
  <c r="D1174" i="3"/>
  <c r="C1174" i="3" l="1"/>
  <c r="E1175" i="3"/>
  <c r="D1175" i="3"/>
  <c r="S1174" i="3"/>
  <c r="AC1174" i="3" s="1"/>
  <c r="R1172" i="3"/>
  <c r="W1172" i="3" s="1"/>
  <c r="H1173" i="3"/>
  <c r="B1173" i="3"/>
  <c r="C1175" i="3" l="1"/>
  <c r="R1173" i="3"/>
  <c r="W1173" i="3" s="1"/>
  <c r="S1175" i="3"/>
  <c r="AC1175" i="3" s="1"/>
  <c r="E1176" i="3"/>
  <c r="D1176" i="3"/>
  <c r="B1174" i="3"/>
  <c r="H1174" i="3" s="1"/>
  <c r="C1176" i="3" l="1"/>
  <c r="T1176" i="3"/>
  <c r="S1176" i="3" s="1"/>
  <c r="AC1176" i="3" s="1"/>
  <c r="Q1176" i="3"/>
  <c r="R1174" i="3"/>
  <c r="W1174" i="3" s="1"/>
  <c r="E1177" i="3"/>
  <c r="D1177" i="3"/>
  <c r="C1177" i="3" s="1"/>
  <c r="B1175" i="3"/>
  <c r="H1175" i="3" s="1"/>
  <c r="R1175" i="3" l="1"/>
  <c r="W1175" i="3" s="1"/>
  <c r="H1176" i="3"/>
  <c r="S1177" i="3"/>
  <c r="AC1177" i="3" s="1"/>
  <c r="B1176" i="3"/>
  <c r="B1177" i="3" s="1"/>
  <c r="E1178" i="3"/>
  <c r="D1178" i="3"/>
  <c r="C1178" i="3" l="1"/>
  <c r="E1179" i="3"/>
  <c r="D1179" i="3"/>
  <c r="C1179" i="3" s="1"/>
  <c r="S1178" i="3"/>
  <c r="AC1178" i="3" s="1"/>
  <c r="R1176" i="3"/>
  <c r="W1176" i="3" s="1"/>
  <c r="H1177" i="3"/>
  <c r="R1177" i="3" l="1"/>
  <c r="W1177" i="3" s="1"/>
  <c r="H1178" i="3"/>
  <c r="S1179" i="3"/>
  <c r="AC1179" i="3" s="1"/>
  <c r="B1178" i="3"/>
  <c r="E1180" i="3"/>
  <c r="D1180" i="3"/>
  <c r="C1180" i="3" l="1"/>
  <c r="S1180" i="3"/>
  <c r="AC1180" i="3" s="1"/>
  <c r="B1179" i="3"/>
  <c r="E1181" i="3"/>
  <c r="D1181" i="3"/>
  <c r="R1178" i="3"/>
  <c r="W1178" i="3" s="1"/>
  <c r="H1179" i="3"/>
  <c r="C1181" i="3" l="1"/>
  <c r="E1182" i="3"/>
  <c r="D1182" i="3"/>
  <c r="R1179" i="3"/>
  <c r="W1179" i="3" s="1"/>
  <c r="H1180" i="3"/>
  <c r="S1181" i="3"/>
  <c r="AC1181" i="3" s="1"/>
  <c r="B1180" i="3"/>
  <c r="C1182" i="3" l="1"/>
  <c r="B1181" i="3"/>
  <c r="R1180" i="3"/>
  <c r="W1180" i="3" s="1"/>
  <c r="H1181" i="3"/>
  <c r="S1182" i="3"/>
  <c r="AC1182" i="3" s="1"/>
  <c r="E1183" i="3"/>
  <c r="D1183" i="3"/>
  <c r="C1183" i="3" s="1"/>
  <c r="R1181" i="3" l="1"/>
  <c r="W1181" i="3" s="1"/>
  <c r="H1182" i="3"/>
  <c r="S1183" i="3"/>
  <c r="AC1183" i="3" s="1"/>
  <c r="E1184" i="3"/>
  <c r="D1184" i="3"/>
  <c r="B1182" i="3"/>
  <c r="Q1184" i="3" l="1"/>
  <c r="T1184" i="3"/>
  <c r="S1184" i="3" s="1"/>
  <c r="AC1184" i="3" s="1"/>
  <c r="C1184" i="3"/>
  <c r="R1182" i="3"/>
  <c r="W1182" i="3" s="1"/>
  <c r="H1183" i="3"/>
  <c r="E1185" i="3"/>
  <c r="D1185" i="3"/>
  <c r="C1185" i="3" s="1"/>
  <c r="B1183" i="3"/>
  <c r="R1183" i="3" l="1"/>
  <c r="W1183" i="3" s="1"/>
  <c r="H1184" i="3"/>
  <c r="S1185" i="3"/>
  <c r="AC1185" i="3" s="1"/>
  <c r="E1186" i="3"/>
  <c r="D1186" i="3"/>
  <c r="B1184" i="3"/>
  <c r="C1186" i="3" l="1"/>
  <c r="R1184" i="3"/>
  <c r="W1184" i="3" s="1"/>
  <c r="H1185" i="3"/>
  <c r="S1186" i="3"/>
  <c r="AC1186" i="3" s="1"/>
  <c r="E1187" i="3"/>
  <c r="D1187" i="3"/>
  <c r="C1187" i="3" s="1"/>
  <c r="B1185" i="3"/>
  <c r="R1185" i="3" l="1"/>
  <c r="W1185" i="3" s="1"/>
  <c r="H1186" i="3"/>
  <c r="S1187" i="3"/>
  <c r="AC1187" i="3" s="1"/>
  <c r="E1188" i="3"/>
  <c r="D1188" i="3"/>
  <c r="B1186" i="3"/>
  <c r="C1188" i="3" l="1"/>
  <c r="R1186" i="3"/>
  <c r="W1186" i="3" s="1"/>
  <c r="H1187" i="3"/>
  <c r="S1188" i="3"/>
  <c r="AC1188" i="3" s="1"/>
  <c r="E1189" i="3"/>
  <c r="D1189" i="3"/>
  <c r="C1189" i="3" s="1"/>
  <c r="B1187" i="3"/>
  <c r="E1190" i="3" l="1"/>
  <c r="D1190" i="3"/>
  <c r="C1190" i="3" s="1"/>
  <c r="S1189" i="3"/>
  <c r="AC1189" i="3" s="1"/>
  <c r="R1187" i="3"/>
  <c r="W1187" i="3" s="1"/>
  <c r="H1188" i="3"/>
  <c r="B1188" i="3"/>
  <c r="R1188" i="3" l="1"/>
  <c r="W1188" i="3" s="1"/>
  <c r="H1189" i="3"/>
  <c r="B1189" i="3"/>
  <c r="S1190" i="3"/>
  <c r="AC1190" i="3" s="1"/>
  <c r="E1191" i="3"/>
  <c r="D1191" i="3"/>
  <c r="C1191" i="3" l="1"/>
  <c r="E1192" i="3"/>
  <c r="D1192" i="3"/>
  <c r="S1191" i="3"/>
  <c r="AC1191" i="3" s="1"/>
  <c r="R1189" i="3"/>
  <c r="W1189" i="3" s="1"/>
  <c r="H1190" i="3"/>
  <c r="B1190" i="3"/>
  <c r="C1192" i="3" l="1"/>
  <c r="R1190" i="3"/>
  <c r="W1190" i="3" s="1"/>
  <c r="H1191" i="3"/>
  <c r="B1191" i="3"/>
  <c r="S1192" i="3"/>
  <c r="AC1192" i="3" s="1"/>
  <c r="E1193" i="3"/>
  <c r="D1193" i="3"/>
  <c r="C1193" i="3" l="1"/>
  <c r="E1194" i="3"/>
  <c r="D1194" i="3"/>
  <c r="S1193" i="3"/>
  <c r="AC1193" i="3" s="1"/>
  <c r="R1191" i="3"/>
  <c r="W1191" i="3" s="1"/>
  <c r="H1192" i="3"/>
  <c r="B1192" i="3"/>
  <c r="C1194" i="3" l="1"/>
  <c r="R1192" i="3"/>
  <c r="W1192" i="3" s="1"/>
  <c r="H1193" i="3"/>
  <c r="S1194" i="3"/>
  <c r="AC1194" i="3" s="1"/>
  <c r="E1195" i="3"/>
  <c r="D1195" i="3"/>
  <c r="C1195" i="3" s="1"/>
  <c r="B1193" i="3"/>
  <c r="R1193" i="3" l="1"/>
  <c r="W1193" i="3" s="1"/>
  <c r="H1194" i="3"/>
  <c r="S1195" i="3"/>
  <c r="AC1195" i="3" s="1"/>
  <c r="D1196" i="3"/>
  <c r="E1196" i="3"/>
  <c r="B1194" i="3"/>
  <c r="C1196" i="3" l="1"/>
  <c r="R1194" i="3"/>
  <c r="W1194" i="3" s="1"/>
  <c r="H1195" i="3"/>
  <c r="E1197" i="3"/>
  <c r="D1197" i="3"/>
  <c r="S1196" i="3"/>
  <c r="AC1196" i="3" s="1"/>
  <c r="B1195" i="3"/>
  <c r="C1197" i="3" l="1"/>
  <c r="S1197" i="3"/>
  <c r="AC1197" i="3" s="1"/>
  <c r="E1198" i="3"/>
  <c r="D1198" i="3"/>
  <c r="R1195" i="3"/>
  <c r="W1195" i="3" s="1"/>
  <c r="H1196" i="3"/>
  <c r="B1196" i="3"/>
  <c r="C1198" i="3" l="1"/>
  <c r="B1197" i="3"/>
  <c r="S1198" i="3"/>
  <c r="AC1198" i="3" s="1"/>
  <c r="E1199" i="3"/>
  <c r="D1199" i="3"/>
  <c r="R1196" i="3"/>
  <c r="W1196" i="3" s="1"/>
  <c r="H1197" i="3"/>
  <c r="C1199" i="3" l="1"/>
  <c r="B1198" i="3"/>
  <c r="S1199" i="3"/>
  <c r="AC1199" i="3" s="1"/>
  <c r="E1200" i="3"/>
  <c r="D1200" i="3"/>
  <c r="C1200" i="3" s="1"/>
  <c r="R1197" i="3"/>
  <c r="W1197" i="3" s="1"/>
  <c r="H1198" i="3"/>
  <c r="B1199" i="3"/>
  <c r="S1200" i="3" l="1"/>
  <c r="AC1200" i="3" s="1"/>
  <c r="E1201" i="3"/>
  <c r="D1201" i="3"/>
  <c r="R1198" i="3"/>
  <c r="W1198" i="3" s="1"/>
  <c r="H1199" i="3"/>
  <c r="B1200" i="3"/>
  <c r="C1201" i="3" l="1"/>
  <c r="S1201" i="3"/>
  <c r="AC1201" i="3" s="1"/>
  <c r="E1202" i="3"/>
  <c r="D1202" i="3"/>
  <c r="R1199" i="3"/>
  <c r="W1199" i="3" s="1"/>
  <c r="H1200" i="3"/>
  <c r="B1201" i="3"/>
  <c r="C1202" i="3" l="1"/>
  <c r="R1200" i="3"/>
  <c r="W1200" i="3" s="1"/>
  <c r="H1201" i="3"/>
  <c r="E1203" i="3"/>
  <c r="D1203" i="3"/>
  <c r="C1203" i="3" s="1"/>
  <c r="S1202" i="3"/>
  <c r="AC1202" i="3" s="1"/>
  <c r="S1203" i="3" l="1"/>
  <c r="AC1203" i="3" s="1"/>
  <c r="D1204" i="3"/>
  <c r="E1204" i="3"/>
  <c r="B1202" i="3"/>
  <c r="B1203" i="3" s="1"/>
  <c r="R1201" i="3"/>
  <c r="W1201" i="3" s="1"/>
  <c r="H1202" i="3"/>
  <c r="C1204" i="3" l="1"/>
  <c r="S1204" i="3"/>
  <c r="AC1204" i="3" s="1"/>
  <c r="R1202" i="3"/>
  <c r="W1202" i="3" s="1"/>
  <c r="H1203" i="3"/>
  <c r="E1205" i="3"/>
  <c r="D1205" i="3"/>
  <c r="C1205" i="3" s="1"/>
  <c r="B1204" i="3"/>
  <c r="R1203" i="3" l="1"/>
  <c r="W1203" i="3" s="1"/>
  <c r="H1204" i="3"/>
  <c r="S1205" i="3"/>
  <c r="AC1205" i="3" s="1"/>
  <c r="E1206" i="3"/>
  <c r="D1206" i="3"/>
  <c r="C1206" i="3" s="1"/>
  <c r="B1205" i="3"/>
  <c r="S1206" i="3" l="1"/>
  <c r="AC1206" i="3" s="1"/>
  <c r="E1207" i="3"/>
  <c r="D1207" i="3"/>
  <c r="C1207" i="3" s="1"/>
  <c r="B1206" i="3"/>
  <c r="R1204" i="3"/>
  <c r="W1204" i="3" s="1"/>
  <c r="H1205" i="3"/>
  <c r="D1208" i="3" l="1"/>
  <c r="E1208" i="3"/>
  <c r="S1207" i="3"/>
  <c r="AC1207" i="3" s="1"/>
  <c r="R1205" i="3"/>
  <c r="W1205" i="3" s="1"/>
  <c r="H1206" i="3"/>
  <c r="B1207" i="3"/>
  <c r="C1208" i="3" l="1"/>
  <c r="R1206" i="3"/>
  <c r="W1206" i="3" s="1"/>
  <c r="H1207" i="3"/>
  <c r="D1209" i="3"/>
  <c r="E1209" i="3"/>
  <c r="S1208" i="3"/>
  <c r="AC1208" i="3" s="1"/>
  <c r="C1209" i="3" l="1"/>
  <c r="S1209" i="3"/>
  <c r="AC1209" i="3" s="1"/>
  <c r="D1210" i="3"/>
  <c r="E1210" i="3"/>
  <c r="R1207" i="3"/>
  <c r="W1207" i="3" s="1"/>
  <c r="H1208" i="3"/>
  <c r="B1208" i="3"/>
  <c r="B1209" i="3" s="1"/>
  <c r="C1210" i="3" l="1"/>
  <c r="B1210" i="3" s="1"/>
  <c r="D1211" i="3"/>
  <c r="E1211" i="3"/>
  <c r="S1210" i="3"/>
  <c r="AC1210" i="3" s="1"/>
  <c r="R1208" i="3"/>
  <c r="W1208" i="3" s="1"/>
  <c r="H1209" i="3"/>
  <c r="Q1211" i="3" l="1"/>
  <c r="T1211" i="3"/>
  <c r="S1211" i="3" s="1"/>
  <c r="AC1211" i="3" s="1"/>
  <c r="C1211" i="3"/>
  <c r="R1209" i="3"/>
  <c r="W1209" i="3" s="1"/>
  <c r="H1210" i="3"/>
  <c r="E1212" i="3"/>
  <c r="D1212" i="3"/>
  <c r="C1212" i="3" l="1"/>
  <c r="E1213" i="3"/>
  <c r="D1213" i="3"/>
  <c r="S1212" i="3"/>
  <c r="AC1212" i="3" s="1"/>
  <c r="R1210" i="3"/>
  <c r="W1210" i="3" s="1"/>
  <c r="H1211" i="3"/>
  <c r="B1211" i="3"/>
  <c r="B1212" i="3" s="1"/>
  <c r="C1213" i="3" l="1"/>
  <c r="R1211" i="3"/>
  <c r="W1211" i="3" s="1"/>
  <c r="H1212" i="3"/>
  <c r="S1213" i="3"/>
  <c r="AC1213" i="3" s="1"/>
  <c r="E1214" i="3"/>
  <c r="D1214" i="3"/>
  <c r="C1214" i="3" s="1"/>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R1215" i="3" l="1"/>
  <c r="W1215" i="3" s="1"/>
  <c r="H1216" i="3"/>
  <c r="S1217" i="3"/>
  <c r="AC1217" i="3" s="1"/>
  <c r="E1218" i="3"/>
  <c r="D1218" i="3"/>
  <c r="B1216" i="3"/>
  <c r="C1218" i="3" l="1"/>
  <c r="S1218" i="3"/>
  <c r="AC1218" i="3" s="1"/>
  <c r="R1216" i="3"/>
  <c r="W1216" i="3" s="1"/>
  <c r="H1217" i="3"/>
  <c r="E1219" i="3"/>
  <c r="D1219" i="3"/>
  <c r="C1219" i="3" s="1"/>
  <c r="B1217" i="3"/>
  <c r="S1219" i="3" l="1"/>
  <c r="AC1219" i="3" s="1"/>
  <c r="E1220" i="3"/>
  <c r="D1220" i="3"/>
  <c r="R1217" i="3"/>
  <c r="W1217" i="3" s="1"/>
  <c r="H1218" i="3"/>
  <c r="B1218" i="3"/>
  <c r="B1219" i="3" s="1"/>
  <c r="C1220" i="3" l="1"/>
  <c r="Q1220" i="3"/>
  <c r="T1220" i="3"/>
  <c r="S1220" i="3" s="1"/>
  <c r="AC1220" i="3" s="1"/>
  <c r="R1218" i="3"/>
  <c r="W1218" i="3" s="1"/>
  <c r="H1219" i="3"/>
  <c r="E1221" i="3"/>
  <c r="D1221" i="3"/>
  <c r="C1221" i="3" s="1"/>
  <c r="S1221" i="3" l="1"/>
  <c r="AC1221" i="3" s="1"/>
  <c r="B1220" i="3"/>
  <c r="B1221" i="3" s="1"/>
  <c r="E1222" i="3"/>
  <c r="D1222" i="3"/>
  <c r="C1222" i="3" s="1"/>
  <c r="R1219" i="3"/>
  <c r="W1219" i="3" s="1"/>
  <c r="H1220" i="3"/>
  <c r="R1220" i="3" l="1"/>
  <c r="W1220" i="3" s="1"/>
  <c r="H1221" i="3"/>
  <c r="S1222" i="3"/>
  <c r="AC1222" i="3" s="1"/>
  <c r="E1223" i="3"/>
  <c r="D1223" i="3"/>
  <c r="B1222" i="3"/>
  <c r="C1223" i="3" l="1"/>
  <c r="E1224" i="3"/>
  <c r="D1224" i="3"/>
  <c r="S1223" i="3"/>
  <c r="AC1223" i="3" s="1"/>
  <c r="R1221" i="3"/>
  <c r="W1221" i="3" s="1"/>
  <c r="H1222" i="3"/>
  <c r="C1224" i="3" l="1"/>
  <c r="R1222" i="3"/>
  <c r="W1222" i="3" s="1"/>
  <c r="H1223" i="3"/>
  <c r="B1223" i="3"/>
  <c r="S1224" i="3"/>
  <c r="AC1224" i="3" s="1"/>
  <c r="E1225" i="3"/>
  <c r="D1225" i="3"/>
  <c r="C1225" i="3" l="1"/>
  <c r="E1226" i="3"/>
  <c r="D1226" i="3"/>
  <c r="S1225" i="3"/>
  <c r="AC1225" i="3" s="1"/>
  <c r="R1223" i="3"/>
  <c r="W1223" i="3" s="1"/>
  <c r="H1224" i="3"/>
  <c r="B1224" i="3"/>
  <c r="C1226" i="3" l="1"/>
  <c r="R1224" i="3"/>
  <c r="W1224" i="3" s="1"/>
  <c r="H1225" i="3"/>
  <c r="S1226" i="3"/>
  <c r="AC1226" i="3" s="1"/>
  <c r="E1227" i="3"/>
  <c r="D1227" i="3"/>
  <c r="B1225" i="3"/>
  <c r="C1227" i="3" l="1"/>
  <c r="T1227" i="3"/>
  <c r="S1227" i="3" s="1"/>
  <c r="AC1227" i="3" s="1"/>
  <c r="Q1227" i="3"/>
  <c r="R1225" i="3"/>
  <c r="W1225" i="3" s="1"/>
  <c r="H1226" i="3"/>
  <c r="E1228" i="3"/>
  <c r="D1228" i="3"/>
  <c r="C1228" i="3" s="1"/>
  <c r="B1226" i="3"/>
  <c r="E1229" i="3" l="1"/>
  <c r="D1229" i="3"/>
  <c r="C1229" i="3" s="1"/>
  <c r="S1228" i="3"/>
  <c r="AC1228" i="3" s="1"/>
  <c r="R1226" i="3"/>
  <c r="W1226" i="3" s="1"/>
  <c r="H1227" i="3"/>
  <c r="B1227" i="3"/>
  <c r="R1227" i="3" l="1"/>
  <c r="W1227" i="3" s="1"/>
  <c r="H1228" i="3"/>
  <c r="B1228" i="3"/>
  <c r="S1229" i="3"/>
  <c r="AC1229" i="3" s="1"/>
  <c r="E1230" i="3"/>
  <c r="D1230" i="3"/>
  <c r="C1230" i="3" l="1"/>
  <c r="E1231" i="3"/>
  <c r="D1231" i="3"/>
  <c r="S1230" i="3"/>
  <c r="AC1230" i="3" s="1"/>
  <c r="R1228" i="3"/>
  <c r="W1228" i="3" s="1"/>
  <c r="H1229" i="3"/>
  <c r="B1229" i="3"/>
  <c r="C1231" i="3" l="1"/>
  <c r="R1229" i="3"/>
  <c r="W1229" i="3" s="1"/>
  <c r="H1230" i="3"/>
  <c r="B1230" i="3"/>
  <c r="S1231" i="3"/>
  <c r="AC1231" i="3" s="1"/>
  <c r="E1232" i="3"/>
  <c r="D1232" i="3"/>
  <c r="C1232" i="3" l="1"/>
  <c r="E1233" i="3"/>
  <c r="D1233" i="3"/>
  <c r="S1232" i="3"/>
  <c r="AC1232" i="3" s="1"/>
  <c r="R1230" i="3"/>
  <c r="W1230" i="3" s="1"/>
  <c r="H1231" i="3"/>
  <c r="B1231" i="3"/>
  <c r="C1233" i="3" l="1"/>
  <c r="R1231" i="3"/>
  <c r="W1231" i="3" s="1"/>
  <c r="H1232" i="3"/>
  <c r="S1233" i="3"/>
  <c r="AC1233" i="3" s="1"/>
  <c r="E1234" i="3"/>
  <c r="D1234" i="3"/>
  <c r="B1232" i="3"/>
  <c r="C1234" i="3" l="1"/>
  <c r="R1232" i="3"/>
  <c r="W1232" i="3" s="1"/>
  <c r="H1233" i="3"/>
  <c r="S1234" i="3"/>
  <c r="AC1234" i="3" s="1"/>
  <c r="E1235" i="3"/>
  <c r="D1235" i="3"/>
  <c r="B1233" i="3"/>
  <c r="C1235" i="3" l="1"/>
  <c r="S1235" i="3"/>
  <c r="AC1235" i="3" s="1"/>
  <c r="R1233" i="3"/>
  <c r="W1233" i="3" s="1"/>
  <c r="E1236" i="3"/>
  <c r="D1236" i="3"/>
  <c r="C1236" i="3" s="1"/>
  <c r="B1234" i="3"/>
  <c r="B1235" i="3" s="1"/>
  <c r="H1234" i="3" l="1"/>
  <c r="H1235" i="3" s="1"/>
  <c r="S1236" i="3"/>
  <c r="AC1236" i="3" s="1"/>
  <c r="E1237" i="3"/>
  <c r="D1237" i="3"/>
  <c r="B1236" i="3"/>
  <c r="C1237" i="3" l="1"/>
  <c r="B1237" i="3" s="1"/>
  <c r="R1234" i="3"/>
  <c r="W1234" i="3" s="1"/>
  <c r="S1237" i="3"/>
  <c r="AC1237" i="3" s="1"/>
  <c r="E1238" i="3"/>
  <c r="D1238" i="3"/>
  <c r="R1235" i="3"/>
  <c r="W1235" i="3" s="1"/>
  <c r="H1236" i="3"/>
  <c r="C1238" i="3" l="1"/>
  <c r="B1238" i="3" s="1"/>
  <c r="S1238" i="3"/>
  <c r="AC1238" i="3" s="1"/>
  <c r="E1239" i="3"/>
  <c r="D1239" i="3"/>
  <c r="R1236" i="3"/>
  <c r="W1236" i="3" s="1"/>
  <c r="H1237" i="3"/>
  <c r="C1239" i="3" l="1"/>
  <c r="B1239" i="3" s="1"/>
  <c r="S1239" i="3"/>
  <c r="AC1239" i="3" s="1"/>
  <c r="R1237" i="3"/>
  <c r="W1237" i="3" s="1"/>
  <c r="H1238" i="3"/>
  <c r="E1240" i="3"/>
  <c r="D1240" i="3"/>
  <c r="C1240" i="3" l="1"/>
  <c r="R1238" i="3"/>
  <c r="W1238" i="3" s="1"/>
  <c r="H1239" i="3"/>
  <c r="S1240" i="3"/>
  <c r="AC1240" i="3" s="1"/>
  <c r="B1240" i="3"/>
  <c r="E1241" i="3"/>
  <c r="D1241" i="3"/>
  <c r="C1241" i="3" l="1"/>
  <c r="E1242" i="3"/>
  <c r="D1242" i="3"/>
  <c r="S1241" i="3"/>
  <c r="AC1241" i="3" s="1"/>
  <c r="R1239" i="3"/>
  <c r="W1239" i="3" s="1"/>
  <c r="H1240" i="3"/>
  <c r="C1242" i="3" l="1"/>
  <c r="R1240" i="3"/>
  <c r="W1240" i="3" s="1"/>
  <c r="H1241" i="3"/>
  <c r="S1242" i="3"/>
  <c r="AC1242" i="3" s="1"/>
  <c r="B1241" i="3"/>
  <c r="E1243" i="3"/>
  <c r="D1243" i="3"/>
  <c r="C1243" i="3" l="1"/>
  <c r="S1243" i="3"/>
  <c r="AC1243" i="3" s="1"/>
  <c r="B1242" i="3"/>
  <c r="E1244" i="3"/>
  <c r="D1244" i="3"/>
  <c r="R1241" i="3"/>
  <c r="W1241" i="3" s="1"/>
  <c r="H1242" i="3"/>
  <c r="C1244" i="3" l="1"/>
  <c r="E1245" i="3"/>
  <c r="D1245" i="3"/>
  <c r="R1242" i="3"/>
  <c r="W1242" i="3" s="1"/>
  <c r="H1243" i="3"/>
  <c r="S1244" i="3"/>
  <c r="AC1244" i="3" s="1"/>
  <c r="B1243" i="3"/>
  <c r="B1244" i="3" l="1"/>
  <c r="C1245" i="3"/>
  <c r="T1245" i="3"/>
  <c r="S1245" i="3" s="1"/>
  <c r="AC1245" i="3" s="1"/>
  <c r="Q1245" i="3"/>
  <c r="R1243" i="3"/>
  <c r="W1243" i="3" s="1"/>
  <c r="H1244" i="3"/>
  <c r="E1246" i="3"/>
  <c r="D1246" i="3"/>
  <c r="C1246" i="3" s="1"/>
  <c r="R1244" i="3" l="1"/>
  <c r="W1244" i="3" s="1"/>
  <c r="S1246" i="3"/>
  <c r="AC1246" i="3" s="1"/>
  <c r="E1247" i="3"/>
  <c r="D1247" i="3"/>
  <c r="B1245" i="3"/>
  <c r="H1245" i="3" s="1"/>
  <c r="C1247" i="3" l="1"/>
  <c r="R1245" i="3"/>
  <c r="W1245" i="3" s="1"/>
  <c r="H1246" i="3"/>
  <c r="S1247" i="3"/>
  <c r="AC1247" i="3" s="1"/>
  <c r="E1248" i="3"/>
  <c r="D1248" i="3"/>
  <c r="B1246" i="3"/>
  <c r="C1248" i="3" l="1"/>
  <c r="R1246" i="3"/>
  <c r="W1246" i="3" s="1"/>
  <c r="H1247" i="3"/>
  <c r="S1248" i="3"/>
  <c r="AC1248" i="3" s="1"/>
  <c r="E1249" i="3"/>
  <c r="D1249" i="3"/>
  <c r="B1247" i="3"/>
  <c r="C1249" i="3" l="1"/>
  <c r="S1249" i="3"/>
  <c r="AC1249" i="3" s="1"/>
  <c r="R1247" i="3"/>
  <c r="W1247" i="3" s="1"/>
  <c r="H1248" i="3"/>
  <c r="E1250" i="3"/>
  <c r="D1250" i="3"/>
  <c r="B1248" i="3"/>
  <c r="B1249" i="3" s="1"/>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E1253" i="3"/>
  <c r="D1253" i="3"/>
  <c r="R1250" i="3"/>
  <c r="W1250" i="3" s="1"/>
  <c r="H1251" i="3"/>
  <c r="B1252" i="3"/>
  <c r="C1253" i="3" l="1"/>
  <c r="Q1253" i="3"/>
  <c r="T1253" i="3"/>
  <c r="S1253" i="3" s="1"/>
  <c r="AC1253" i="3" s="1"/>
  <c r="R1251" i="3"/>
  <c r="W1251" i="3" s="1"/>
  <c r="H1252" i="3"/>
  <c r="E1254" i="3"/>
  <c r="D1254" i="3"/>
  <c r="C1254" i="3" s="1"/>
  <c r="B1253" i="3"/>
  <c r="R1252" i="3" l="1"/>
  <c r="W1252" i="3" s="1"/>
  <c r="H1253" i="3"/>
  <c r="S1254" i="3"/>
  <c r="AC1254" i="3" s="1"/>
  <c r="E1255" i="3"/>
  <c r="D1255" i="3"/>
  <c r="C1255" i="3" s="1"/>
  <c r="B1254" i="3"/>
  <c r="E1256" i="3" l="1"/>
  <c r="D1256" i="3"/>
  <c r="S1255" i="3"/>
  <c r="AC1255" i="3" s="1"/>
  <c r="R1253" i="3"/>
  <c r="W1253" i="3" s="1"/>
  <c r="H1254" i="3"/>
  <c r="C1256" i="3" l="1"/>
  <c r="R1254" i="3"/>
  <c r="W1254" i="3" s="1"/>
  <c r="H1255" i="3"/>
  <c r="B1255" i="3"/>
  <c r="S1256" i="3"/>
  <c r="AC1256" i="3" s="1"/>
  <c r="E1257" i="3"/>
  <c r="D1257" i="3"/>
  <c r="C1257" i="3" l="1"/>
  <c r="E1258" i="3"/>
  <c r="D1258" i="3"/>
  <c r="S1257" i="3"/>
  <c r="AC1257" i="3" s="1"/>
  <c r="R1255" i="3"/>
  <c r="W1255" i="3" s="1"/>
  <c r="H1256" i="3"/>
  <c r="B1256" i="3"/>
  <c r="C1258" i="3" l="1"/>
  <c r="R1256" i="3"/>
  <c r="W1256" i="3" s="1"/>
  <c r="H1257" i="3"/>
  <c r="B1257" i="3"/>
  <c r="S1258" i="3"/>
  <c r="AC1258" i="3" s="1"/>
  <c r="E1259" i="3"/>
  <c r="D1259" i="3"/>
  <c r="C1259" i="3" l="1"/>
  <c r="E1260" i="3"/>
  <c r="D1260" i="3"/>
  <c r="S1259" i="3"/>
  <c r="AC1259" i="3" s="1"/>
  <c r="R1257" i="3"/>
  <c r="W1257" i="3" s="1"/>
  <c r="H1258" i="3"/>
  <c r="B1258" i="3"/>
  <c r="C1260" i="3" l="1"/>
  <c r="R1258" i="3"/>
  <c r="W1258" i="3" s="1"/>
  <c r="H1259" i="3"/>
  <c r="S1260" i="3"/>
  <c r="AC1260" i="3" s="1"/>
  <c r="E1261" i="3"/>
  <c r="D1261" i="3"/>
  <c r="B1259" i="3"/>
  <c r="C1261" i="3" l="1"/>
  <c r="E1262" i="3"/>
  <c r="D1262" i="3"/>
  <c r="S1261" i="3"/>
  <c r="AC1261" i="3" s="1"/>
  <c r="R1259" i="3"/>
  <c r="W1259" i="3" s="1"/>
  <c r="H1260" i="3"/>
  <c r="B1260" i="3"/>
  <c r="C1262" i="3" l="1"/>
  <c r="Q1262" i="3"/>
  <c r="T1262" i="3"/>
  <c r="S1262" i="3" s="1"/>
  <c r="AC1262" i="3" s="1"/>
  <c r="R1260" i="3"/>
  <c r="W1260" i="3" s="1"/>
  <c r="H1261" i="3"/>
  <c r="B1261" i="3"/>
  <c r="E1263" i="3"/>
  <c r="D1263" i="3"/>
  <c r="C1263" i="3" l="1"/>
  <c r="S1263" i="3"/>
  <c r="AC1263" i="3" s="1"/>
  <c r="E1264" i="3"/>
  <c r="D1264" i="3"/>
  <c r="R1261" i="3"/>
  <c r="W1261" i="3" s="1"/>
  <c r="H1262" i="3"/>
  <c r="B1262" i="3"/>
  <c r="B1263" i="3" l="1"/>
  <c r="C1264" i="3"/>
  <c r="E1265" i="3"/>
  <c r="D1265" i="3"/>
  <c r="C1265" i="3" s="1"/>
  <c r="R1262" i="3"/>
  <c r="W1262" i="3" s="1"/>
  <c r="H1263" i="3"/>
  <c r="S1264" i="3"/>
  <c r="AC1264" i="3" s="1"/>
  <c r="R1263" i="3" l="1"/>
  <c r="W1263" i="3" s="1"/>
  <c r="S1265" i="3"/>
  <c r="AC1265" i="3" s="1"/>
  <c r="B1264" i="3"/>
  <c r="B1265" i="3" s="1"/>
  <c r="E1266" i="3"/>
  <c r="D1266" i="3"/>
  <c r="H1264" i="3" l="1"/>
  <c r="R1264" i="3" s="1"/>
  <c r="W1264" i="3" s="1"/>
  <c r="C1266" i="3"/>
  <c r="E1267" i="3"/>
  <c r="D1267" i="3"/>
  <c r="S1266" i="3"/>
  <c r="AC1266" i="3" s="1"/>
  <c r="C1267" i="3" l="1"/>
  <c r="H1265" i="3"/>
  <c r="R1265" i="3" s="1"/>
  <c r="W1265" i="3" s="1"/>
  <c r="S1267" i="3"/>
  <c r="AC1267" i="3" s="1"/>
  <c r="B1266" i="3"/>
  <c r="E1268" i="3"/>
  <c r="D1268" i="3"/>
  <c r="C1268" i="3" s="1"/>
  <c r="H1266" i="3" l="1"/>
  <c r="H1267" i="3" s="1"/>
  <c r="E1269" i="3"/>
  <c r="D1269" i="3"/>
  <c r="S1268" i="3"/>
  <c r="AC1268" i="3" s="1"/>
  <c r="B1267" i="3"/>
  <c r="C1269" i="3" l="1"/>
  <c r="R1266" i="3"/>
  <c r="W1266" i="3" s="1"/>
  <c r="S1269" i="3"/>
  <c r="AC1269" i="3" s="1"/>
  <c r="R1267" i="3"/>
  <c r="W1267" i="3" s="1"/>
  <c r="H1268" i="3"/>
  <c r="B1268" i="3"/>
  <c r="E1270" i="3"/>
  <c r="D1270" i="3"/>
  <c r="C1270" i="3" l="1"/>
  <c r="E1271" i="3"/>
  <c r="D1271" i="3"/>
  <c r="S1270" i="3"/>
  <c r="AC1270" i="3" s="1"/>
  <c r="R1268" i="3"/>
  <c r="W1268" i="3" s="1"/>
  <c r="H1269" i="3"/>
  <c r="B1269" i="3"/>
  <c r="C1271" i="3" l="1"/>
  <c r="R1269" i="3"/>
  <c r="W1269" i="3" s="1"/>
  <c r="H1270" i="3"/>
  <c r="S1271" i="3"/>
  <c r="AC1271" i="3" s="1"/>
  <c r="B1270" i="3"/>
  <c r="E1272" i="3"/>
  <c r="D1272" i="3"/>
  <c r="T1272" i="3" l="1"/>
  <c r="S1272" i="3" s="1"/>
  <c r="AC1272" i="3" s="1"/>
  <c r="Q1272" i="3"/>
  <c r="C1272" i="3"/>
  <c r="E1273" i="3"/>
  <c r="D1273" i="3"/>
  <c r="C1273" i="3" s="1"/>
  <c r="R1270" i="3"/>
  <c r="W1270" i="3" s="1"/>
  <c r="H1271" i="3"/>
  <c r="B1271" i="3"/>
  <c r="B1272" i="3" s="1"/>
  <c r="D1274" i="3" l="1"/>
  <c r="E1274" i="3"/>
  <c r="R1271" i="3"/>
  <c r="W1271" i="3" s="1"/>
  <c r="H1272" i="3"/>
  <c r="S1273" i="3"/>
  <c r="AC1273" i="3" s="1"/>
  <c r="B1273" i="3"/>
  <c r="C1274" i="3" l="1"/>
  <c r="R1272" i="3"/>
  <c r="W1272" i="3" s="1"/>
  <c r="H1273" i="3"/>
  <c r="E1275" i="3"/>
  <c r="D1275" i="3"/>
  <c r="S1274" i="3"/>
  <c r="AC1274" i="3" s="1"/>
  <c r="C1275" i="3" l="1"/>
  <c r="D1276" i="3"/>
  <c r="E1276" i="3"/>
  <c r="S1275" i="3"/>
  <c r="AC1275" i="3" s="1"/>
  <c r="R1273" i="3"/>
  <c r="W1273" i="3" s="1"/>
  <c r="H1274" i="3"/>
  <c r="B1274" i="3"/>
  <c r="C1276" i="3" l="1"/>
  <c r="R1274" i="3"/>
  <c r="W1274" i="3" s="1"/>
  <c r="E1277" i="3"/>
  <c r="D1277" i="3"/>
  <c r="S1276" i="3"/>
  <c r="AC1276" i="3" s="1"/>
  <c r="B1275" i="3"/>
  <c r="H1275" i="3" s="1"/>
  <c r="C1277" i="3" l="1"/>
  <c r="S1277" i="3"/>
  <c r="AC1277" i="3" s="1"/>
  <c r="E1278" i="3"/>
  <c r="D1278" i="3"/>
  <c r="R1275" i="3"/>
  <c r="W1275" i="3" s="1"/>
  <c r="H1276" i="3"/>
  <c r="B1276" i="3"/>
  <c r="C1278" i="3" l="1"/>
  <c r="E1279" i="3"/>
  <c r="D1279" i="3"/>
  <c r="R1276" i="3"/>
  <c r="W1276" i="3" s="1"/>
  <c r="H1277" i="3"/>
  <c r="S1278" i="3"/>
  <c r="AC1278" i="3" s="1"/>
  <c r="B1277" i="3"/>
  <c r="C1279" i="3" l="1"/>
  <c r="B1278" i="3"/>
  <c r="R1277" i="3"/>
  <c r="W1277" i="3" s="1"/>
  <c r="H1278" i="3"/>
  <c r="S1279" i="3"/>
  <c r="AC1279" i="3" s="1"/>
  <c r="D1280" i="3"/>
  <c r="E1280" i="3"/>
  <c r="C1280" i="3" l="1"/>
  <c r="S1280" i="3"/>
  <c r="AC1280" i="3" s="1"/>
  <c r="R1278" i="3"/>
  <c r="W1278" i="3" s="1"/>
  <c r="H1279" i="3"/>
  <c r="E1281" i="3"/>
  <c r="D1281" i="3"/>
  <c r="C1281" i="3" s="1"/>
  <c r="B1279" i="3"/>
  <c r="B1280" i="3" s="1"/>
  <c r="S1281" i="3" l="1"/>
  <c r="AC1281" i="3" s="1"/>
  <c r="E1282" i="3"/>
  <c r="D1282" i="3"/>
  <c r="R1279" i="3"/>
  <c r="W1279" i="3" s="1"/>
  <c r="H1280" i="3"/>
  <c r="B1281" i="3"/>
  <c r="C1282" i="3" l="1"/>
  <c r="S1282" i="3"/>
  <c r="AC1282" i="3" s="1"/>
  <c r="E1283" i="3"/>
  <c r="D1283" i="3"/>
  <c r="C1283" i="3" s="1"/>
  <c r="R1280" i="3"/>
  <c r="W1280" i="3" s="1"/>
  <c r="H1281" i="3"/>
  <c r="B1282" i="3"/>
  <c r="S1283" i="3" l="1"/>
  <c r="AC1283" i="3" s="1"/>
  <c r="D1284" i="3"/>
  <c r="E1284" i="3"/>
  <c r="R1281" i="3"/>
  <c r="W1281" i="3" s="1"/>
  <c r="H1282" i="3"/>
  <c r="B1283" i="3"/>
  <c r="C1284" i="3" l="1"/>
  <c r="E1285" i="3"/>
  <c r="D1285" i="3"/>
  <c r="S1284" i="3"/>
  <c r="AC1284" i="3" s="1"/>
  <c r="R1282" i="3"/>
  <c r="W1282" i="3" s="1"/>
  <c r="H1283" i="3"/>
  <c r="B1284" i="3"/>
  <c r="C1285" i="3" l="1"/>
  <c r="R1283" i="3"/>
  <c r="W1283" i="3" s="1"/>
  <c r="H1284" i="3"/>
  <c r="S1285" i="3"/>
  <c r="AC1285" i="3" s="1"/>
  <c r="D1286" i="3"/>
  <c r="E1286" i="3"/>
  <c r="C1286" i="3" l="1"/>
  <c r="S1286" i="3"/>
  <c r="AC1286" i="3" s="1"/>
  <c r="R1284" i="3"/>
  <c r="W1284" i="3" s="1"/>
  <c r="H1285" i="3"/>
  <c r="E1287" i="3"/>
  <c r="D1287" i="3"/>
  <c r="C1287" i="3" s="1"/>
  <c r="B1285" i="3"/>
  <c r="B1286" i="3" s="1"/>
  <c r="S1287" i="3" l="1"/>
  <c r="AC1287" i="3" s="1"/>
  <c r="E1288" i="3"/>
  <c r="D1288" i="3"/>
  <c r="C1288" i="3" s="1"/>
  <c r="R1285" i="3"/>
  <c r="W1285" i="3" s="1"/>
  <c r="H1286" i="3"/>
  <c r="B1287" i="3"/>
  <c r="S1288" i="3" l="1"/>
  <c r="AC1288" i="3" s="1"/>
  <c r="R1286" i="3"/>
  <c r="W1286" i="3" s="1"/>
  <c r="H1287" i="3"/>
  <c r="E1289" i="3"/>
  <c r="D1289" i="3"/>
  <c r="B1288" i="3"/>
  <c r="C1289" i="3" l="1"/>
  <c r="B1289" i="3" s="1"/>
  <c r="R1287" i="3"/>
  <c r="W1287" i="3" s="1"/>
  <c r="H1288" i="3"/>
  <c r="S1289" i="3"/>
  <c r="AC1289" i="3" s="1"/>
  <c r="E1290" i="3"/>
  <c r="D1290" i="3"/>
  <c r="C1290" i="3" l="1"/>
  <c r="E1291" i="3"/>
  <c r="D1291" i="3"/>
  <c r="S1290" i="3"/>
  <c r="AC1290" i="3" s="1"/>
  <c r="R1288" i="3"/>
  <c r="W1288" i="3" s="1"/>
  <c r="H1289" i="3"/>
  <c r="C1291" i="3" l="1"/>
  <c r="R1289" i="3"/>
  <c r="W1289" i="3" s="1"/>
  <c r="H1290" i="3"/>
  <c r="B1290" i="3"/>
  <c r="S1291" i="3"/>
  <c r="AC1291" i="3" s="1"/>
  <c r="E1292" i="3"/>
  <c r="D1292" i="3"/>
  <c r="C1292" i="3" l="1"/>
  <c r="E1293" i="3"/>
  <c r="D1293" i="3"/>
  <c r="S1292" i="3"/>
  <c r="AC1292" i="3" s="1"/>
  <c r="R1290" i="3"/>
  <c r="W1290" i="3" s="1"/>
  <c r="H1291" i="3"/>
  <c r="B1291" i="3"/>
  <c r="C1293" i="3" l="1"/>
  <c r="R1291" i="3"/>
  <c r="W1291" i="3" s="1"/>
  <c r="H1292" i="3"/>
  <c r="B1292" i="3"/>
  <c r="S1293" i="3"/>
  <c r="AC1293" i="3" s="1"/>
  <c r="E1294" i="3"/>
  <c r="D1294" i="3"/>
  <c r="C1294" i="3" l="1"/>
  <c r="E1295" i="3"/>
  <c r="D1295" i="3"/>
  <c r="S1294" i="3"/>
  <c r="AC1294" i="3" s="1"/>
  <c r="R1292" i="3"/>
  <c r="W1292" i="3" s="1"/>
  <c r="H1293" i="3"/>
  <c r="B1293" i="3"/>
  <c r="C1295" i="3" l="1"/>
  <c r="R1293" i="3"/>
  <c r="W1293" i="3" s="1"/>
  <c r="S1295" i="3"/>
  <c r="AC1295" i="3" s="1"/>
  <c r="E1296" i="3"/>
  <c r="D1296" i="3"/>
  <c r="B1294" i="3"/>
  <c r="H1294" i="3" s="1"/>
  <c r="C1296" i="3" l="1"/>
  <c r="E1297" i="3"/>
  <c r="D1297" i="3"/>
  <c r="R1294" i="3"/>
  <c r="W1294" i="3" s="1"/>
  <c r="S1296" i="3"/>
  <c r="AC1296" i="3" s="1"/>
  <c r="B1295" i="3"/>
  <c r="H1295" i="3" s="1"/>
  <c r="C1297" i="3" l="1"/>
  <c r="B1296" i="3"/>
  <c r="S1297" i="3"/>
  <c r="AC1297" i="3" s="1"/>
  <c r="E1298" i="3"/>
  <c r="D1298" i="3"/>
  <c r="R1295" i="3"/>
  <c r="W1295" i="3" s="1"/>
  <c r="H1296" i="3"/>
  <c r="C1298" i="3" l="1"/>
  <c r="R1296" i="3"/>
  <c r="W1296" i="3" s="1"/>
  <c r="H1297" i="3"/>
  <c r="S1298" i="3"/>
  <c r="AC1298" i="3" s="1"/>
  <c r="E1299" i="3"/>
  <c r="D1299" i="3"/>
  <c r="C1299" i="3" s="1"/>
  <c r="B1297" i="3"/>
  <c r="S1299" i="3" l="1"/>
  <c r="AC1299" i="3" s="1"/>
  <c r="R1297" i="3"/>
  <c r="W1297" i="3" s="1"/>
  <c r="H1298" i="3"/>
  <c r="E1300" i="3"/>
  <c r="D1300" i="3"/>
  <c r="C1300" i="3" s="1"/>
  <c r="B1298" i="3"/>
  <c r="S1300" i="3" l="1"/>
  <c r="AC1300" i="3" s="1"/>
  <c r="E1301" i="3"/>
  <c r="D1301" i="3"/>
  <c r="C1301" i="3" s="1"/>
  <c r="R1298" i="3"/>
  <c r="W1298" i="3" s="1"/>
  <c r="H1299" i="3"/>
  <c r="B1299" i="3"/>
  <c r="B1300" i="3" s="1"/>
  <c r="E1302" i="3" l="1"/>
  <c r="D1302" i="3"/>
  <c r="S1301" i="3"/>
  <c r="AC1301" i="3" s="1"/>
  <c r="R1299" i="3"/>
  <c r="W1299" i="3" s="1"/>
  <c r="H1300" i="3"/>
  <c r="B1301" i="3"/>
  <c r="C1302" i="3" l="1"/>
  <c r="R1300" i="3"/>
  <c r="W1300" i="3" s="1"/>
  <c r="H1301" i="3"/>
  <c r="S1302" i="3"/>
  <c r="AC1302" i="3" s="1"/>
  <c r="E1303" i="3"/>
  <c r="D1303" i="3"/>
  <c r="C1303" i="3" s="1"/>
  <c r="R1301" i="3" l="1"/>
  <c r="W1301" i="3" s="1"/>
  <c r="H1302" i="3"/>
  <c r="S1303" i="3"/>
  <c r="AC1303" i="3" s="1"/>
  <c r="E1304" i="3"/>
  <c r="D1304" i="3"/>
  <c r="C1304" i="3" s="1"/>
  <c r="B1302" i="3"/>
  <c r="E1305" i="3" l="1"/>
  <c r="D1305" i="3"/>
  <c r="C1305" i="3" s="1"/>
  <c r="S1304" i="3"/>
  <c r="AC1304" i="3" s="1"/>
  <c r="R1302" i="3"/>
  <c r="W1302" i="3" s="1"/>
  <c r="H1303" i="3"/>
  <c r="B1303" i="3"/>
  <c r="R1303" i="3" l="1"/>
  <c r="W1303" i="3" s="1"/>
  <c r="H1304" i="3"/>
  <c r="B1304" i="3"/>
  <c r="S1305" i="3"/>
  <c r="AC1305" i="3" s="1"/>
  <c r="E1306" i="3"/>
  <c r="D1306" i="3"/>
  <c r="C1306" i="3" l="1"/>
  <c r="E1307" i="3"/>
  <c r="D1307" i="3"/>
  <c r="S1306" i="3"/>
  <c r="AC1306" i="3" s="1"/>
  <c r="R1304" i="3"/>
  <c r="W1304" i="3" s="1"/>
  <c r="H1305" i="3"/>
  <c r="B1305" i="3"/>
  <c r="Q1307" i="3" l="1"/>
  <c r="T1307" i="3"/>
  <c r="S1307" i="3" s="1"/>
  <c r="AC1307" i="3" s="1"/>
  <c r="C1307" i="3"/>
  <c r="R1305" i="3"/>
  <c r="W1305" i="3" s="1"/>
  <c r="H1306" i="3"/>
  <c r="D1308" i="3"/>
  <c r="E1308" i="3"/>
  <c r="B1306" i="3"/>
  <c r="C1308" i="3" l="1"/>
  <c r="R1306" i="3"/>
  <c r="W1306" i="3" s="1"/>
  <c r="H1307" i="3"/>
  <c r="E1309" i="3"/>
  <c r="D1309" i="3"/>
  <c r="S1308" i="3"/>
  <c r="AC1308" i="3" s="1"/>
  <c r="B1307" i="3"/>
  <c r="C1309" i="3" l="1"/>
  <c r="S1309" i="3"/>
  <c r="AC1309" i="3" s="1"/>
  <c r="E1310" i="3"/>
  <c r="D1310" i="3"/>
  <c r="R1307" i="3"/>
  <c r="W1307" i="3" s="1"/>
  <c r="H1308" i="3"/>
  <c r="B1308" i="3"/>
  <c r="C1310" i="3" l="1"/>
  <c r="E1311" i="3"/>
  <c r="D1311" i="3"/>
  <c r="R1308" i="3"/>
  <c r="W1308" i="3" s="1"/>
  <c r="H1309" i="3"/>
  <c r="S1310" i="3"/>
  <c r="AC1310" i="3" s="1"/>
  <c r="B1309" i="3"/>
  <c r="C1311" i="3" l="1"/>
  <c r="B1310" i="3"/>
  <c r="R1309" i="3"/>
  <c r="W1309" i="3" s="1"/>
  <c r="H1310" i="3"/>
  <c r="S1311" i="3"/>
  <c r="AC1311" i="3" s="1"/>
  <c r="D1312" i="3"/>
  <c r="E1312" i="3"/>
  <c r="C1312" i="3" l="1"/>
  <c r="R1310" i="3"/>
  <c r="W1310" i="3" s="1"/>
  <c r="H1311" i="3"/>
  <c r="E1313" i="3"/>
  <c r="D1313" i="3"/>
  <c r="S1312" i="3"/>
  <c r="AC1312" i="3" s="1"/>
  <c r="B1311" i="3"/>
  <c r="C1313" i="3" l="1"/>
  <c r="S1313" i="3"/>
  <c r="AC1313" i="3" s="1"/>
  <c r="D1314" i="3"/>
  <c r="E1314" i="3"/>
  <c r="R1311" i="3"/>
  <c r="W1311" i="3" s="1"/>
  <c r="H1312" i="3"/>
  <c r="B1312" i="3"/>
  <c r="C1314" i="3" l="1"/>
  <c r="S1314" i="3"/>
  <c r="AC1314" i="3" s="1"/>
  <c r="R1312" i="3"/>
  <c r="W1312" i="3" s="1"/>
  <c r="H1313" i="3"/>
  <c r="D1315" i="3"/>
  <c r="E1315" i="3"/>
  <c r="B1313" i="3"/>
  <c r="B1314" i="3" s="1"/>
  <c r="C1315" i="3" l="1"/>
  <c r="R1313" i="3"/>
  <c r="W1313" i="3" s="1"/>
  <c r="H1314" i="3"/>
  <c r="D1316" i="3"/>
  <c r="E1316" i="3"/>
  <c r="S1315" i="3"/>
  <c r="AC1315" i="3" s="1"/>
  <c r="C1316" i="3" l="1"/>
  <c r="D1317" i="3"/>
  <c r="E1317" i="3"/>
  <c r="B1315" i="3"/>
  <c r="S1316" i="3"/>
  <c r="AC1316" i="3" s="1"/>
  <c r="R1314" i="3"/>
  <c r="W1314" i="3" s="1"/>
  <c r="H1315" i="3"/>
  <c r="C1317" i="3" l="1"/>
  <c r="R1315" i="3"/>
  <c r="W1315" i="3" s="1"/>
  <c r="H1316" i="3"/>
  <c r="B1316" i="3"/>
  <c r="D1318" i="3"/>
  <c r="E1318" i="3"/>
  <c r="S1317" i="3"/>
  <c r="AC1317" i="3" s="1"/>
  <c r="C1318" i="3" l="1"/>
  <c r="D1319" i="3"/>
  <c r="E1319" i="3"/>
  <c r="S1318" i="3"/>
  <c r="AC1318" i="3" s="1"/>
  <c r="R1316" i="3"/>
  <c r="W1316" i="3" s="1"/>
  <c r="H1317" i="3"/>
  <c r="B1317" i="3"/>
  <c r="B1318" i="3" s="1"/>
  <c r="C1319" i="3" l="1"/>
  <c r="R1317" i="3"/>
  <c r="W1317" i="3" s="1"/>
  <c r="H1318" i="3"/>
  <c r="D1320" i="3"/>
  <c r="E1320" i="3"/>
  <c r="S1319" i="3"/>
  <c r="AC1319" i="3" s="1"/>
  <c r="C1320" i="3" l="1"/>
  <c r="D1321" i="3"/>
  <c r="E1321" i="3"/>
  <c r="S1320" i="3"/>
  <c r="AC1320" i="3" s="1"/>
  <c r="R1318" i="3"/>
  <c r="W1318" i="3" s="1"/>
  <c r="H1319" i="3"/>
  <c r="B1319" i="3"/>
  <c r="C1321" i="3" l="1"/>
  <c r="R1319" i="3"/>
  <c r="W1319" i="3" s="1"/>
  <c r="H1320" i="3"/>
  <c r="D1322" i="3"/>
  <c r="E1322" i="3"/>
  <c r="S1321" i="3"/>
  <c r="AC1321" i="3" s="1"/>
  <c r="B1320" i="3"/>
  <c r="C1322" i="3" l="1"/>
  <c r="E1323" i="3"/>
  <c r="D1323" i="3"/>
  <c r="S1322" i="3"/>
  <c r="AC1322" i="3" s="1"/>
  <c r="R1320" i="3"/>
  <c r="W1320" i="3" s="1"/>
  <c r="H1321" i="3"/>
  <c r="B1321" i="3"/>
  <c r="C1323" i="3" l="1"/>
  <c r="R1321" i="3"/>
  <c r="W1321" i="3" s="1"/>
  <c r="H1322" i="3"/>
  <c r="B1322" i="3"/>
  <c r="S1323" i="3"/>
  <c r="AC1323" i="3" s="1"/>
  <c r="E1324" i="3"/>
  <c r="D1324" i="3"/>
  <c r="C1324" i="3" l="1"/>
  <c r="E1325" i="3"/>
  <c r="D1325" i="3"/>
  <c r="S1324" i="3"/>
  <c r="AC1324" i="3" s="1"/>
  <c r="R1322" i="3"/>
  <c r="W1322" i="3" s="1"/>
  <c r="H1323" i="3"/>
  <c r="B1323" i="3"/>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H1326" i="3"/>
  <c r="S1327" i="3"/>
  <c r="AC1327" i="3" s="1"/>
  <c r="E1328" i="3"/>
  <c r="D1328" i="3"/>
  <c r="B1326" i="3"/>
  <c r="C1328" i="3" l="1"/>
  <c r="R1326" i="3"/>
  <c r="W1326" i="3" s="1"/>
  <c r="H1327" i="3"/>
  <c r="S1328" i="3"/>
  <c r="AC1328" i="3" s="1"/>
  <c r="E1329" i="3"/>
  <c r="D1329" i="3"/>
  <c r="B1327" i="3"/>
  <c r="C1329" i="3" l="1"/>
  <c r="R1327" i="3"/>
  <c r="W1327" i="3" s="1"/>
  <c r="H1328" i="3"/>
  <c r="S1329" i="3"/>
  <c r="AC1329" i="3" s="1"/>
  <c r="E1330" i="3"/>
  <c r="D1330" i="3"/>
  <c r="B1328" i="3"/>
  <c r="C1330" i="3" l="1"/>
  <c r="R1328" i="3"/>
  <c r="W1328" i="3" s="1"/>
  <c r="H1329" i="3"/>
  <c r="S1330" i="3"/>
  <c r="AC1330" i="3" s="1"/>
  <c r="E1331" i="3"/>
  <c r="D1331" i="3"/>
  <c r="B1329" i="3"/>
  <c r="C1331" i="3" l="1"/>
  <c r="S1331" i="3"/>
  <c r="AC1331" i="3" s="1"/>
  <c r="R1329" i="3"/>
  <c r="W1329" i="3" s="1"/>
  <c r="H1330" i="3"/>
  <c r="E1332" i="3"/>
  <c r="D1332" i="3"/>
  <c r="B1330" i="3"/>
  <c r="B1331" i="3" l="1"/>
  <c r="C1332" i="3"/>
  <c r="S1332" i="3"/>
  <c r="AC1332" i="3" s="1"/>
  <c r="E1333" i="3"/>
  <c r="D1333" i="3"/>
  <c r="R1330" i="3"/>
  <c r="W1330" i="3" s="1"/>
  <c r="H1331" i="3"/>
  <c r="B1332" i="3" l="1"/>
  <c r="C1333" i="3"/>
  <c r="B1333" i="3" s="1"/>
  <c r="S1333" i="3"/>
  <c r="AC1333" i="3" s="1"/>
  <c r="E1334" i="3"/>
  <c r="D1334" i="3"/>
  <c r="R1331" i="3"/>
  <c r="W1331" i="3" s="1"/>
  <c r="H1332" i="3"/>
  <c r="C1334" i="3" l="1"/>
  <c r="S1334" i="3"/>
  <c r="AC1334" i="3" s="1"/>
  <c r="E1335" i="3"/>
  <c r="D1335" i="3"/>
  <c r="R1332" i="3"/>
  <c r="W1332" i="3" s="1"/>
  <c r="H1333" i="3"/>
  <c r="B1334" i="3"/>
  <c r="C1335" i="3" l="1"/>
  <c r="R1333" i="3"/>
  <c r="W1333" i="3" s="1"/>
  <c r="H1334" i="3"/>
  <c r="S1335" i="3"/>
  <c r="AC1335" i="3" s="1"/>
  <c r="E1336" i="3"/>
  <c r="D1336" i="3"/>
  <c r="B1335" i="3"/>
  <c r="C1336" i="3" l="1"/>
  <c r="E1337" i="3"/>
  <c r="D1337" i="3"/>
  <c r="S1336" i="3"/>
  <c r="AC1336" i="3" s="1"/>
  <c r="R1334" i="3"/>
  <c r="W1334" i="3" s="1"/>
  <c r="H1335" i="3"/>
  <c r="C1337" i="3" l="1"/>
  <c r="R1335" i="3"/>
  <c r="W1335" i="3" s="1"/>
  <c r="H1336" i="3"/>
  <c r="B1336" i="3"/>
  <c r="S1337" i="3"/>
  <c r="AC1337" i="3" s="1"/>
  <c r="E1338" i="3"/>
  <c r="D1338" i="3"/>
  <c r="C1338" i="3" l="1"/>
  <c r="E1339" i="3"/>
  <c r="D1339" i="3"/>
  <c r="S1338" i="3"/>
  <c r="AC1338" i="3" s="1"/>
  <c r="R1336" i="3"/>
  <c r="W1336" i="3" s="1"/>
  <c r="H1337" i="3"/>
  <c r="B1337" i="3"/>
  <c r="C1339" i="3" l="1"/>
  <c r="R1337" i="3"/>
  <c r="W1337" i="3" s="1"/>
  <c r="H1338" i="3"/>
  <c r="S1339" i="3"/>
  <c r="AC1339" i="3" s="1"/>
  <c r="E1340" i="3"/>
  <c r="D1340" i="3"/>
  <c r="C1340" i="3" s="1"/>
  <c r="B1338" i="3"/>
  <c r="R1338" i="3" l="1"/>
  <c r="W1338" i="3" s="1"/>
  <c r="H1339" i="3"/>
  <c r="S1340" i="3"/>
  <c r="AC1340" i="3" s="1"/>
  <c r="E1341" i="3"/>
  <c r="D1341" i="3"/>
  <c r="B1339" i="3"/>
  <c r="C1341" i="3" l="1"/>
  <c r="S1341" i="3"/>
  <c r="AC1341" i="3" s="1"/>
  <c r="R1339" i="3"/>
  <c r="W1339" i="3" s="1"/>
  <c r="H1340" i="3"/>
  <c r="E1342" i="3"/>
  <c r="D1342" i="3"/>
  <c r="B1340" i="3"/>
  <c r="C1342" i="3" l="1"/>
  <c r="S1342" i="3"/>
  <c r="AC1342" i="3" s="1"/>
  <c r="E1343" i="3"/>
  <c r="D1343" i="3"/>
  <c r="R1340" i="3"/>
  <c r="W1340" i="3" s="1"/>
  <c r="H1341" i="3"/>
  <c r="B1341" i="3"/>
  <c r="B1342" i="3" s="1"/>
  <c r="C1343" i="3" l="1"/>
  <c r="B1343" i="3" s="1"/>
  <c r="S1343" i="3"/>
  <c r="AC1343" i="3" s="1"/>
  <c r="E1344" i="3"/>
  <c r="D1344" i="3"/>
  <c r="R1341" i="3"/>
  <c r="W1341" i="3" s="1"/>
  <c r="H1342" i="3"/>
  <c r="C1344" i="3" l="1"/>
  <c r="B1344" i="3" s="1"/>
  <c r="S1344" i="3"/>
  <c r="AC1344" i="3" s="1"/>
  <c r="E1345" i="3"/>
  <c r="D1345" i="3"/>
  <c r="R1342" i="3"/>
  <c r="W1342" i="3" s="1"/>
  <c r="H1343" i="3"/>
  <c r="C1345" i="3" l="1"/>
  <c r="B1345" i="3" s="1"/>
  <c r="S1345" i="3"/>
  <c r="AC1345" i="3" s="1"/>
  <c r="E1346" i="3"/>
  <c r="D1346" i="3"/>
  <c r="R1343" i="3"/>
  <c r="W1343" i="3" s="1"/>
  <c r="H1344"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E1353" i="3"/>
  <c r="D1353" i="3"/>
  <c r="R1350" i="3"/>
  <c r="W1350" i="3" s="1"/>
  <c r="H1351" i="3"/>
  <c r="B1352" i="3"/>
  <c r="C1353" i="3" l="1"/>
  <c r="S1353" i="3"/>
  <c r="AC1353" i="3" s="1"/>
  <c r="R1351" i="3"/>
  <c r="W1351" i="3" s="1"/>
  <c r="H1352" i="3"/>
  <c r="E1354" i="3"/>
  <c r="D1354" i="3"/>
  <c r="C1354" i="3" s="1"/>
  <c r="B1353" i="3"/>
  <c r="R1352" i="3" l="1"/>
  <c r="W1352" i="3" s="1"/>
  <c r="H1353" i="3"/>
  <c r="S1354" i="3"/>
  <c r="AC1354" i="3" s="1"/>
  <c r="E1355" i="3"/>
  <c r="D1355" i="3"/>
  <c r="B1354" i="3"/>
  <c r="C1355" i="3" l="1"/>
  <c r="B1355" i="3" s="1"/>
  <c r="S1355" i="3"/>
  <c r="AC1355" i="3" s="1"/>
  <c r="E1356" i="3"/>
  <c r="D1356" i="3"/>
  <c r="R1353" i="3"/>
  <c r="W1353" i="3" s="1"/>
  <c r="H1354" i="3"/>
  <c r="C1356" i="3" l="1"/>
  <c r="B1356" i="3" s="1"/>
  <c r="S1356" i="3"/>
  <c r="AC1356" i="3" s="1"/>
  <c r="E1357" i="3"/>
  <c r="D1357" i="3"/>
  <c r="R1354" i="3"/>
  <c r="W1354" i="3" s="1"/>
  <c r="H1355" i="3"/>
  <c r="C1357" i="3" l="1"/>
  <c r="S1357" i="3"/>
  <c r="AC1357" i="3" s="1"/>
  <c r="R1355" i="3"/>
  <c r="W1355" i="3" s="1"/>
  <c r="H1356" i="3"/>
  <c r="E1358" i="3"/>
  <c r="D1358" i="3"/>
  <c r="C1358" i="3" s="1"/>
  <c r="B1357" i="3"/>
  <c r="R1356" i="3" l="1"/>
  <c r="W1356" i="3" s="1"/>
  <c r="H1357" i="3"/>
  <c r="E1359" i="3"/>
  <c r="D1359" i="3"/>
  <c r="C1359" i="3" s="1"/>
  <c r="S1358" i="3"/>
  <c r="AC1358" i="3" s="1"/>
  <c r="B1358" i="3"/>
  <c r="S1359" i="3" l="1"/>
  <c r="AC1359" i="3" s="1"/>
  <c r="B1359" i="3"/>
  <c r="E1360" i="3"/>
  <c r="D1360" i="3"/>
  <c r="R1357" i="3"/>
  <c r="W1357" i="3" s="1"/>
  <c r="H1358" i="3"/>
  <c r="C1360" i="3" l="1"/>
  <c r="E1361" i="3"/>
  <c r="D1361" i="3"/>
  <c r="R1358" i="3"/>
  <c r="W1358" i="3" s="1"/>
  <c r="H1359" i="3"/>
  <c r="S1360" i="3"/>
  <c r="AC1360" i="3" s="1"/>
  <c r="B1360" i="3"/>
  <c r="C1361" i="3" l="1"/>
  <c r="R1359" i="3"/>
  <c r="W1359" i="3" s="1"/>
  <c r="H1360" i="3"/>
  <c r="S1361" i="3"/>
  <c r="AC1361" i="3" s="1"/>
  <c r="E1362" i="3"/>
  <c r="D1362" i="3"/>
  <c r="C1362" i="3" l="1"/>
  <c r="R1360" i="3"/>
  <c r="W1360" i="3" s="1"/>
  <c r="H1361" i="3"/>
  <c r="S1362" i="3"/>
  <c r="AC1362" i="3" s="1"/>
  <c r="E1363" i="3"/>
  <c r="D1363" i="3"/>
  <c r="B1361" i="3"/>
  <c r="C1363" i="3" l="1"/>
  <c r="S1363" i="3"/>
  <c r="AC1363" i="3" s="1"/>
  <c r="R1361" i="3"/>
  <c r="W1361" i="3" s="1"/>
  <c r="H1362" i="3"/>
  <c r="E1364" i="3"/>
  <c r="D1364" i="3"/>
  <c r="C1364" i="3" s="1"/>
  <c r="B1362" i="3"/>
  <c r="S1364" i="3" l="1"/>
  <c r="AC1364" i="3" s="1"/>
  <c r="E1365" i="3"/>
  <c r="D1365" i="3"/>
  <c r="C1365" i="3" s="1"/>
  <c r="R1362" i="3"/>
  <c r="W1362" i="3" s="1"/>
  <c r="H1363" i="3"/>
  <c r="B1363" i="3"/>
  <c r="B1364" i="3" s="1"/>
  <c r="S1365" i="3" l="1"/>
  <c r="AC1365" i="3" s="1"/>
  <c r="E1366" i="3"/>
  <c r="D1366" i="3"/>
  <c r="R1363" i="3"/>
  <c r="W1363" i="3" s="1"/>
  <c r="H1364" i="3"/>
  <c r="C1366" i="3" l="1"/>
  <c r="S1366" i="3"/>
  <c r="AC1366" i="3" s="1"/>
  <c r="E1367" i="3"/>
  <c r="D1367" i="3"/>
  <c r="R1364" i="3"/>
  <c r="W1364" i="3" s="1"/>
  <c r="H1365" i="3"/>
  <c r="B1365" i="3"/>
  <c r="B1366" i="3" s="1"/>
  <c r="C1367" i="3" l="1"/>
  <c r="B1367" i="3" s="1"/>
  <c r="E1368" i="3"/>
  <c r="D1368" i="3"/>
  <c r="C1368" i="3" s="1"/>
  <c r="R1365" i="3"/>
  <c r="W1365" i="3" s="1"/>
  <c r="H1366" i="3"/>
  <c r="S1367" i="3"/>
  <c r="AC1367" i="3" s="1"/>
  <c r="R1366" i="3" l="1"/>
  <c r="W1366" i="3" s="1"/>
  <c r="H1367" i="3"/>
  <c r="S1368" i="3"/>
  <c r="AC1368" i="3" s="1"/>
  <c r="B1368" i="3"/>
  <c r="E1369" i="3"/>
  <c r="D1369" i="3"/>
  <c r="C1369" i="3" l="1"/>
  <c r="E1370" i="3"/>
  <c r="D1370" i="3"/>
  <c r="S1369" i="3"/>
  <c r="AC1369" i="3" s="1"/>
  <c r="R1367" i="3"/>
  <c r="W1367" i="3" s="1"/>
  <c r="H1368" i="3"/>
  <c r="C1370" i="3" l="1"/>
  <c r="R1368" i="3"/>
  <c r="W1368" i="3" s="1"/>
  <c r="H1369" i="3"/>
  <c r="B1369" i="3"/>
  <c r="S1370" i="3"/>
  <c r="AC1370" i="3" s="1"/>
  <c r="E1371" i="3"/>
  <c r="D1371" i="3"/>
  <c r="C1371" i="3" l="1"/>
  <c r="E1372" i="3"/>
  <c r="D1372" i="3"/>
  <c r="R1369" i="3"/>
  <c r="W1369" i="3" s="1"/>
  <c r="H1370" i="3"/>
  <c r="S1371" i="3"/>
  <c r="AC1371" i="3" s="1"/>
  <c r="B1370" i="3"/>
  <c r="C1372" i="3" l="1"/>
  <c r="R1370" i="3"/>
  <c r="W1370" i="3" s="1"/>
  <c r="H1371" i="3"/>
  <c r="S1372" i="3"/>
  <c r="AC1372" i="3" s="1"/>
  <c r="E1373" i="3"/>
  <c r="D1373" i="3"/>
  <c r="C1373" i="3" s="1"/>
  <c r="B1371" i="3"/>
  <c r="S1373" i="3" l="1"/>
  <c r="AC1373" i="3" s="1"/>
  <c r="R1371" i="3"/>
  <c r="W1371" i="3" s="1"/>
  <c r="H1372" i="3"/>
  <c r="E1374" i="3"/>
  <c r="D1374" i="3"/>
  <c r="B1372" i="3"/>
  <c r="B1373" i="3" s="1"/>
  <c r="C1374" i="3" l="1"/>
  <c r="S1374" i="3"/>
  <c r="AC1374" i="3" s="1"/>
  <c r="E1375" i="3"/>
  <c r="D1375" i="3"/>
  <c r="B1374" i="3"/>
  <c r="R1372" i="3"/>
  <c r="W1372" i="3" s="1"/>
  <c r="H1373" i="3"/>
  <c r="C1375" i="3" l="1"/>
  <c r="S1375" i="3"/>
  <c r="AC1375" i="3" s="1"/>
  <c r="E1376" i="3"/>
  <c r="D1376" i="3"/>
  <c r="R1373" i="3"/>
  <c r="W1373" i="3" s="1"/>
  <c r="H1374" i="3"/>
  <c r="B1375" i="3"/>
  <c r="C1376" i="3" l="1"/>
  <c r="S1376" i="3"/>
  <c r="AC1376" i="3" s="1"/>
  <c r="E1377" i="3"/>
  <c r="D1377" i="3"/>
  <c r="R1374" i="3"/>
  <c r="W1374" i="3" s="1"/>
  <c r="H1375" i="3"/>
  <c r="B1376" i="3"/>
  <c r="C1377" i="3" l="1"/>
  <c r="S1377" i="3"/>
  <c r="AC1377" i="3" s="1"/>
  <c r="E1378" i="3"/>
  <c r="D1378" i="3"/>
  <c r="R1375" i="3"/>
  <c r="W1375" i="3" s="1"/>
  <c r="H1376" i="3"/>
  <c r="B1377" i="3"/>
  <c r="C1378" i="3" l="1"/>
  <c r="Q1378" i="3"/>
  <c r="T1378" i="3"/>
  <c r="S1378" i="3" s="1"/>
  <c r="AC1378" i="3" s="1"/>
  <c r="E1379" i="3"/>
  <c r="D1379" i="3"/>
  <c r="C1379" i="3" s="1"/>
  <c r="R1376" i="3"/>
  <c r="W1376" i="3" s="1"/>
  <c r="H1377" i="3"/>
  <c r="B1378" i="3"/>
  <c r="S1379" i="3" l="1"/>
  <c r="AC1379" i="3" s="1"/>
  <c r="R1377" i="3"/>
  <c r="W1377" i="3" s="1"/>
  <c r="H1378" i="3"/>
  <c r="E1380" i="3"/>
  <c r="D1380" i="3"/>
  <c r="C1380" i="3" s="1"/>
  <c r="B1379" i="3"/>
  <c r="R1378" i="3" l="1"/>
  <c r="W1378" i="3" s="1"/>
  <c r="H1379" i="3"/>
  <c r="S1380" i="3"/>
  <c r="AC1380" i="3" s="1"/>
  <c r="E1381" i="3"/>
  <c r="D1381" i="3"/>
  <c r="B1380" i="3"/>
  <c r="C1381" i="3" l="1"/>
  <c r="S1381" i="3"/>
  <c r="AC1381" i="3" s="1"/>
  <c r="E1382" i="3"/>
  <c r="D1382" i="3"/>
  <c r="B1381" i="3"/>
  <c r="R1379" i="3"/>
  <c r="W1379" i="3" s="1"/>
  <c r="H1380" i="3"/>
  <c r="C1382" i="3" l="1"/>
  <c r="S1382" i="3"/>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E1386" i="3"/>
  <c r="D1386" i="3"/>
  <c r="C1386" i="3" s="1"/>
  <c r="R1383" i="3"/>
  <c r="W1383" i="3" s="1"/>
  <c r="H1384" i="3"/>
  <c r="B1385" i="3"/>
  <c r="S1386" i="3" l="1"/>
  <c r="AC1386" i="3" s="1"/>
  <c r="R1384" i="3"/>
  <c r="W1384" i="3" s="1"/>
  <c r="H1385" i="3"/>
  <c r="E1387" i="3"/>
  <c r="D1387" i="3"/>
  <c r="B1386" i="3"/>
  <c r="C1387" i="3" l="1"/>
  <c r="R1385" i="3"/>
  <c r="W1385" i="3" s="1"/>
  <c r="H1386" i="3"/>
  <c r="E1388" i="3"/>
  <c r="D1388" i="3"/>
  <c r="S1387" i="3"/>
  <c r="AC1387" i="3" s="1"/>
  <c r="C1388" i="3" l="1"/>
  <c r="S1388" i="3"/>
  <c r="AC1388" i="3" s="1"/>
  <c r="E1389" i="3"/>
  <c r="D1389" i="3"/>
  <c r="B1387" i="3"/>
  <c r="B1388" i="3" s="1"/>
  <c r="R1386" i="3"/>
  <c r="W1386" i="3" s="1"/>
  <c r="H1387" i="3"/>
  <c r="C1389" i="3" l="1"/>
  <c r="B1389" i="3" s="1"/>
  <c r="S1389" i="3"/>
  <c r="AC1389" i="3" s="1"/>
  <c r="E1390" i="3"/>
  <c r="D1390" i="3"/>
  <c r="R1387" i="3"/>
  <c r="W1387" i="3" s="1"/>
  <c r="H1388" i="3"/>
  <c r="C1390" i="3" l="1"/>
  <c r="S1390" i="3"/>
  <c r="AC1390" i="3" s="1"/>
  <c r="D1391" i="3"/>
  <c r="E1391" i="3"/>
  <c r="R1388" i="3"/>
  <c r="W1388" i="3" s="1"/>
  <c r="H1389" i="3"/>
  <c r="B1390" i="3"/>
  <c r="C1391" i="3" l="1"/>
  <c r="B1391" i="3" s="1"/>
  <c r="E1392" i="3"/>
  <c r="D1392" i="3"/>
  <c r="S1391" i="3"/>
  <c r="AC1391" i="3" s="1"/>
  <c r="R1389" i="3"/>
  <c r="W1389" i="3" s="1"/>
  <c r="H1390" i="3"/>
  <c r="C1392" i="3" l="1"/>
  <c r="R1390" i="3"/>
  <c r="W1390" i="3" s="1"/>
  <c r="H1391" i="3"/>
  <c r="S1392" i="3"/>
  <c r="AC1392" i="3" s="1"/>
  <c r="E1393" i="3"/>
  <c r="D1393" i="3"/>
  <c r="C1393" i="3" l="1"/>
  <c r="R1391" i="3"/>
  <c r="W1391" i="3" s="1"/>
  <c r="H1392" i="3"/>
  <c r="S1393" i="3"/>
  <c r="AC1393" i="3" s="1"/>
  <c r="E1394" i="3"/>
  <c r="D1394" i="3"/>
  <c r="C1394" i="3" s="1"/>
  <c r="B1392" i="3"/>
  <c r="R1392" i="3" l="1"/>
  <c r="W1392" i="3" s="1"/>
  <c r="H1393" i="3"/>
  <c r="S1394" i="3"/>
  <c r="AC1394" i="3" s="1"/>
  <c r="E1395" i="3"/>
  <c r="D1395" i="3"/>
  <c r="B1393" i="3"/>
  <c r="C1395" i="3" l="1"/>
  <c r="S1395" i="3"/>
  <c r="AC1395" i="3" s="1"/>
  <c r="R1393" i="3"/>
  <c r="W1393" i="3" s="1"/>
  <c r="H1394" i="3"/>
  <c r="E1396" i="3"/>
  <c r="D1396" i="3"/>
  <c r="B1394" i="3"/>
  <c r="C1396" i="3" l="1"/>
  <c r="S1396" i="3"/>
  <c r="AC1396" i="3" s="1"/>
  <c r="E1397" i="3"/>
  <c r="D1397" i="3"/>
  <c r="R1394" i="3"/>
  <c r="W1394" i="3" s="1"/>
  <c r="H1395" i="3"/>
  <c r="B1395" i="3"/>
  <c r="B1396" i="3" l="1"/>
  <c r="C1397" i="3"/>
  <c r="E1398" i="3"/>
  <c r="D1398" i="3"/>
  <c r="S1397" i="3"/>
  <c r="AC1397" i="3" s="1"/>
  <c r="R1395" i="3"/>
  <c r="W1395" i="3" s="1"/>
  <c r="H1396" i="3"/>
  <c r="B1397" i="3" l="1"/>
  <c r="C1398" i="3"/>
  <c r="R1396" i="3"/>
  <c r="W1396" i="3" s="1"/>
  <c r="H1397" i="3"/>
  <c r="S1398" i="3"/>
  <c r="AC1398" i="3" s="1"/>
  <c r="E1399" i="3"/>
  <c r="D1399" i="3"/>
  <c r="C1399" i="3" l="1"/>
  <c r="R1397" i="3"/>
  <c r="W1397" i="3" s="1"/>
  <c r="H1398" i="3"/>
  <c r="S1399" i="3"/>
  <c r="AC1399" i="3" s="1"/>
  <c r="E1400" i="3"/>
  <c r="D1400" i="3"/>
  <c r="B1398" i="3"/>
  <c r="C1400" i="3" l="1"/>
  <c r="S1400" i="3"/>
  <c r="AC1400" i="3" s="1"/>
  <c r="B1399" i="3"/>
  <c r="E1401" i="3"/>
  <c r="D1401" i="3"/>
  <c r="R1398" i="3"/>
  <c r="W1398" i="3" s="1"/>
  <c r="H1399" i="3"/>
  <c r="C1401" i="3" l="1"/>
  <c r="R1399" i="3"/>
  <c r="W1399" i="3" s="1"/>
  <c r="H1400" i="3"/>
  <c r="S1401" i="3"/>
  <c r="AC1401" i="3" s="1"/>
  <c r="E1402" i="3"/>
  <c r="D1402" i="3"/>
  <c r="B1400" i="3"/>
  <c r="C1402" i="3" l="1"/>
  <c r="E1403" i="3"/>
  <c r="D1403" i="3"/>
  <c r="S1402" i="3"/>
  <c r="AC1402" i="3" s="1"/>
  <c r="B1401" i="3"/>
  <c r="R1400" i="3"/>
  <c r="W1400" i="3" s="1"/>
  <c r="H1401" i="3"/>
  <c r="C1403" i="3" l="1"/>
  <c r="B1402" i="3"/>
  <c r="R1401" i="3"/>
  <c r="W1401" i="3" s="1"/>
  <c r="H1402" i="3"/>
  <c r="S1403" i="3"/>
  <c r="AC1403" i="3" s="1"/>
  <c r="E1404" i="3"/>
  <c r="D1404" i="3"/>
  <c r="C1404" i="3" l="1"/>
  <c r="R1402" i="3"/>
  <c r="W1402" i="3" s="1"/>
  <c r="H1403" i="3"/>
  <c r="S1404" i="3"/>
  <c r="AC1404" i="3" s="1"/>
  <c r="E1405" i="3"/>
  <c r="D1405" i="3"/>
  <c r="B1403" i="3"/>
  <c r="C1405" i="3" l="1"/>
  <c r="S1405" i="3"/>
  <c r="AC1405" i="3" s="1"/>
  <c r="R1403" i="3"/>
  <c r="W1403" i="3" s="1"/>
  <c r="H1404" i="3"/>
  <c r="E1406" i="3"/>
  <c r="D1406" i="3"/>
  <c r="B1404" i="3"/>
  <c r="C1406" i="3" l="1"/>
  <c r="S1406" i="3"/>
  <c r="AC1406" i="3" s="1"/>
  <c r="E1407" i="3"/>
  <c r="D1407" i="3"/>
  <c r="R1404" i="3"/>
  <c r="W1404" i="3" s="1"/>
  <c r="H1405" i="3"/>
  <c r="B1405" i="3"/>
  <c r="B1406" i="3" s="1"/>
  <c r="C1407" i="3" l="1"/>
  <c r="B1407" i="3" s="1"/>
  <c r="S1407" i="3"/>
  <c r="AC1407" i="3" s="1"/>
  <c r="E1408" i="3"/>
  <c r="D1408" i="3"/>
  <c r="R1405" i="3"/>
  <c r="W1405" i="3" s="1"/>
  <c r="H1406" i="3"/>
  <c r="C1408" i="3" l="1"/>
  <c r="B1408" i="3" s="1"/>
  <c r="S1408" i="3"/>
  <c r="AC1408" i="3" s="1"/>
  <c r="R1406" i="3"/>
  <c r="W1406" i="3" s="1"/>
  <c r="H1407" i="3"/>
  <c r="E1409" i="3"/>
  <c r="D1409" i="3"/>
  <c r="C1409" i="3" l="1"/>
  <c r="R1407" i="3"/>
  <c r="W1407" i="3" s="1"/>
  <c r="H1408" i="3"/>
  <c r="S1409" i="3"/>
  <c r="AC1409" i="3" s="1"/>
  <c r="E1410" i="3"/>
  <c r="D1410" i="3"/>
  <c r="C1410" i="3" s="1"/>
  <c r="B1409" i="3"/>
  <c r="E1411" i="3" l="1"/>
  <c r="D1411" i="3"/>
  <c r="S1410" i="3"/>
  <c r="AC1410" i="3" s="1"/>
  <c r="R1408" i="3"/>
  <c r="W1408" i="3" s="1"/>
  <c r="H1409" i="3"/>
  <c r="C1411" i="3" l="1"/>
  <c r="R1409" i="3"/>
  <c r="W1409" i="3" s="1"/>
  <c r="H1410" i="3"/>
  <c r="B1410" i="3"/>
  <c r="S1411" i="3"/>
  <c r="AC1411" i="3" s="1"/>
  <c r="E1412" i="3"/>
  <c r="D1412" i="3"/>
  <c r="C1412" i="3" l="1"/>
  <c r="E1413" i="3"/>
  <c r="D1413" i="3"/>
  <c r="S1412" i="3"/>
  <c r="AC1412" i="3" s="1"/>
  <c r="R1410" i="3"/>
  <c r="W1410" i="3" s="1"/>
  <c r="H1411" i="3"/>
  <c r="B1411" i="3"/>
  <c r="C1413" i="3" l="1"/>
  <c r="R1411" i="3"/>
  <c r="W1411" i="3" s="1"/>
  <c r="H1412" i="3"/>
  <c r="S1413" i="3"/>
  <c r="AC1413" i="3" s="1"/>
  <c r="E1414" i="3"/>
  <c r="D1414" i="3"/>
  <c r="B1412" i="3"/>
  <c r="C1414" i="3" l="1"/>
  <c r="E1415" i="3"/>
  <c r="D1415" i="3"/>
  <c r="S1414" i="3"/>
  <c r="AC1414" i="3" s="1"/>
  <c r="R1412" i="3"/>
  <c r="W1412" i="3" s="1"/>
  <c r="H1413" i="3"/>
  <c r="B1413" i="3"/>
  <c r="C1415" i="3" l="1"/>
  <c r="R1413" i="3"/>
  <c r="W1413" i="3" s="1"/>
  <c r="B1414" i="3"/>
  <c r="H1414" i="3" s="1"/>
  <c r="S1415" i="3"/>
  <c r="AC1415" i="3" s="1"/>
  <c r="E1416" i="3"/>
  <c r="D1416" i="3"/>
  <c r="C1416" i="3" l="1"/>
  <c r="E1417" i="3"/>
  <c r="D1417" i="3"/>
  <c r="S1416" i="3"/>
  <c r="AC1416" i="3" s="1"/>
  <c r="R1414" i="3"/>
  <c r="W1414" i="3" s="1"/>
  <c r="B1415" i="3"/>
  <c r="H1415" i="3" s="1"/>
  <c r="C1417" i="3" l="1"/>
  <c r="R1415" i="3"/>
  <c r="W1415" i="3" s="1"/>
  <c r="H1416" i="3"/>
  <c r="S1417" i="3"/>
  <c r="AC1417" i="3" s="1"/>
  <c r="E1418" i="3"/>
  <c r="D1418" i="3"/>
  <c r="B1416" i="3"/>
  <c r="C1418" i="3" l="1"/>
  <c r="R1416" i="3"/>
  <c r="W1416" i="3" s="1"/>
  <c r="H1417" i="3"/>
  <c r="S1418" i="3"/>
  <c r="AC1418" i="3" s="1"/>
  <c r="E1419" i="3"/>
  <c r="D1419" i="3"/>
  <c r="C1419" i="3" s="1"/>
  <c r="B1417" i="3"/>
  <c r="R1417" i="3" l="1"/>
  <c r="W1417" i="3" s="1"/>
  <c r="H1418" i="3"/>
  <c r="S1419" i="3"/>
  <c r="AC1419" i="3" s="1"/>
  <c r="E1420" i="3"/>
  <c r="D1420" i="3"/>
  <c r="B1418" i="3"/>
  <c r="B1419" i="3" s="1"/>
  <c r="C1420" i="3" l="1"/>
  <c r="S1420" i="3"/>
  <c r="AC1420" i="3" s="1"/>
  <c r="R1418" i="3"/>
  <c r="W1418" i="3" s="1"/>
  <c r="H1419" i="3"/>
  <c r="E1421" i="3"/>
  <c r="D1421" i="3"/>
  <c r="C1421" i="3" l="1"/>
  <c r="E1422" i="3"/>
  <c r="D1422" i="3"/>
  <c r="S1421" i="3"/>
  <c r="AC1421" i="3" s="1"/>
  <c r="R1419" i="3"/>
  <c r="W1419" i="3" s="1"/>
  <c r="H1420" i="3"/>
  <c r="B1420" i="3"/>
  <c r="C1422" i="3" l="1"/>
  <c r="R1420" i="3"/>
  <c r="W1420" i="3" s="1"/>
  <c r="H1421" i="3"/>
  <c r="B1421" i="3"/>
  <c r="S1422" i="3"/>
  <c r="AC1422" i="3" s="1"/>
  <c r="E1423" i="3"/>
  <c r="D1423" i="3"/>
  <c r="C1423" i="3" l="1"/>
  <c r="E1424" i="3"/>
  <c r="D1424" i="3"/>
  <c r="S1423" i="3"/>
  <c r="AC1423" i="3" s="1"/>
  <c r="R1421" i="3"/>
  <c r="W1421" i="3" s="1"/>
  <c r="H1422" i="3"/>
  <c r="B1422" i="3"/>
  <c r="C1424" i="3" l="1"/>
  <c r="R1422" i="3"/>
  <c r="W1422" i="3" s="1"/>
  <c r="H1423" i="3"/>
  <c r="B1423" i="3"/>
  <c r="S1424" i="3"/>
  <c r="AC1424" i="3" s="1"/>
  <c r="E1425" i="3"/>
  <c r="D1425" i="3"/>
  <c r="C1425" i="3" l="1"/>
  <c r="E1426" i="3"/>
  <c r="D1426" i="3"/>
  <c r="S1425" i="3"/>
  <c r="AC1425" i="3" s="1"/>
  <c r="R1423" i="3"/>
  <c r="W1423" i="3" s="1"/>
  <c r="H1424" i="3"/>
  <c r="B1424" i="3"/>
  <c r="C1426" i="3" l="1"/>
  <c r="R1424" i="3"/>
  <c r="W1424" i="3" s="1"/>
  <c r="S1426" i="3"/>
  <c r="AC1426" i="3" s="1"/>
  <c r="E1427" i="3"/>
  <c r="D1427" i="3"/>
  <c r="B1425" i="3"/>
  <c r="H1425" i="3" s="1"/>
  <c r="C1427" i="3" l="1"/>
  <c r="S1427" i="3"/>
  <c r="AC1427" i="3" s="1"/>
  <c r="R1425" i="3"/>
  <c r="W1425" i="3" s="1"/>
  <c r="H1426" i="3"/>
  <c r="E1428" i="3"/>
  <c r="D1428" i="3"/>
  <c r="C1428" i="3" s="1"/>
  <c r="B1426" i="3"/>
  <c r="S1428" i="3" l="1"/>
  <c r="AC1428" i="3" s="1"/>
  <c r="E1429" i="3"/>
  <c r="D1429" i="3"/>
  <c r="C1429" i="3" s="1"/>
  <c r="R1426" i="3"/>
  <c r="W1426" i="3" s="1"/>
  <c r="H1427" i="3"/>
  <c r="B1427" i="3"/>
  <c r="B1428" i="3" s="1"/>
  <c r="R1427" i="3" l="1"/>
  <c r="W1427" i="3" s="1"/>
  <c r="H1428" i="3"/>
  <c r="S1429" i="3"/>
  <c r="AC1429" i="3" s="1"/>
  <c r="E1430" i="3"/>
  <c r="D1430" i="3"/>
  <c r="B1429" i="3"/>
  <c r="C1430" i="3" l="1"/>
  <c r="E1431" i="3"/>
  <c r="D1431" i="3"/>
  <c r="S1430" i="3"/>
  <c r="AC1430" i="3" s="1"/>
  <c r="R1428" i="3"/>
  <c r="W1428" i="3" s="1"/>
  <c r="H1429" i="3"/>
  <c r="C1431" i="3" l="1"/>
  <c r="R1429" i="3"/>
  <c r="W1429" i="3" s="1"/>
  <c r="H1430" i="3"/>
  <c r="B1430" i="3"/>
  <c r="S1431" i="3"/>
  <c r="AC1431" i="3" s="1"/>
  <c r="E1432" i="3"/>
  <c r="D1432" i="3"/>
  <c r="C1432" i="3" l="1"/>
  <c r="E1433" i="3"/>
  <c r="D1433" i="3"/>
  <c r="S1432" i="3"/>
  <c r="AC1432" i="3" s="1"/>
  <c r="R1430" i="3"/>
  <c r="W1430" i="3" s="1"/>
  <c r="H1431" i="3"/>
  <c r="B1431" i="3"/>
  <c r="C1433" i="3" l="1"/>
  <c r="R1431" i="3"/>
  <c r="W1431" i="3" s="1"/>
  <c r="H1432" i="3"/>
  <c r="S1433" i="3"/>
  <c r="AC1433" i="3" s="1"/>
  <c r="E1434" i="3"/>
  <c r="D1434" i="3"/>
  <c r="B1432" i="3"/>
  <c r="C1434" i="3" l="1"/>
  <c r="R1432" i="3"/>
  <c r="W1432" i="3" s="1"/>
  <c r="H1433" i="3"/>
  <c r="S1434" i="3"/>
  <c r="AC1434" i="3" s="1"/>
  <c r="E1435" i="3"/>
  <c r="D1435" i="3"/>
  <c r="C1435" i="3" s="1"/>
  <c r="B1433" i="3"/>
  <c r="R1433" i="3" l="1"/>
  <c r="W1433" i="3" s="1"/>
  <c r="H1434" i="3"/>
  <c r="S1435" i="3"/>
  <c r="AC1435" i="3" s="1"/>
  <c r="E1436" i="3"/>
  <c r="D1436" i="3"/>
  <c r="B1434" i="3"/>
  <c r="C1436" i="3" l="1"/>
  <c r="R1434" i="3"/>
  <c r="W1434" i="3" s="1"/>
  <c r="H1435" i="3"/>
  <c r="S1436" i="3"/>
  <c r="AC1436" i="3" s="1"/>
  <c r="E1437" i="3"/>
  <c r="D1437" i="3"/>
  <c r="B1435" i="3"/>
  <c r="C1437" i="3" l="1"/>
  <c r="Q1437" i="3"/>
  <c r="T1437" i="3"/>
  <c r="S1437" i="3" s="1"/>
  <c r="AC1437" i="3" s="1"/>
  <c r="R1435" i="3"/>
  <c r="W1435" i="3" s="1"/>
  <c r="H1436" i="3"/>
  <c r="E1438" i="3"/>
  <c r="D1438" i="3"/>
  <c r="C1438" i="3" s="1"/>
  <c r="B1436" i="3"/>
  <c r="R1436" i="3" l="1"/>
  <c r="W1436" i="3" s="1"/>
  <c r="H1437" i="3"/>
  <c r="E1439" i="3"/>
  <c r="D1439" i="3"/>
  <c r="C1439" i="3" s="1"/>
  <c r="S1438" i="3"/>
  <c r="AC1438" i="3" s="1"/>
  <c r="B1437" i="3"/>
  <c r="S1439" i="3" l="1"/>
  <c r="AC1439" i="3" s="1"/>
  <c r="B1438" i="3"/>
  <c r="E1440" i="3"/>
  <c r="D1440" i="3"/>
  <c r="R1437" i="3"/>
  <c r="W1437" i="3" s="1"/>
  <c r="H1438" i="3"/>
  <c r="C1440" i="3" l="1"/>
  <c r="E1441" i="3"/>
  <c r="D1441" i="3"/>
  <c r="R1438" i="3"/>
  <c r="W1438" i="3" s="1"/>
  <c r="H1439" i="3"/>
  <c r="S1440" i="3"/>
  <c r="AC1440" i="3" s="1"/>
  <c r="B1439" i="3"/>
  <c r="C1441" i="3" l="1"/>
  <c r="T1441" i="3"/>
  <c r="S1441" i="3" s="1"/>
  <c r="AC1441" i="3" s="1"/>
  <c r="Q1441" i="3"/>
  <c r="B1440" i="3"/>
  <c r="R1439" i="3"/>
  <c r="W1439" i="3" s="1"/>
  <c r="H1440" i="3"/>
  <c r="E1442" i="3"/>
  <c r="D1442" i="3"/>
  <c r="C1442" i="3" l="1"/>
  <c r="R1440" i="3"/>
  <c r="W1440" i="3" s="1"/>
  <c r="H1441" i="3"/>
  <c r="S1442" i="3"/>
  <c r="AC1442" i="3" s="1"/>
  <c r="E1443" i="3"/>
  <c r="D1443" i="3"/>
  <c r="B1441" i="3"/>
  <c r="C1443" i="3" l="1"/>
  <c r="R1441" i="3"/>
  <c r="W1441" i="3" s="1"/>
  <c r="H1442" i="3"/>
  <c r="S1443" i="3"/>
  <c r="AC1443" i="3" s="1"/>
  <c r="B1442" i="3"/>
  <c r="B1443" i="3" s="1"/>
  <c r="R1442" i="3" l="1"/>
  <c r="W1442" i="3" s="1"/>
  <c r="H1443" i="3"/>
  <c r="R1443" i="3" l="1"/>
  <c r="W144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<sst xmlns="http://schemas.openxmlformats.org/spreadsheetml/2006/main" count="273" uniqueCount="96">
  <si>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</si>
  <si>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</si>
  <si>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</si>
  <si>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</si>
  <si>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</si>
  <si>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</si>
  <si>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</si>
  <si>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</si>
  <si>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</si>
  <si>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</si>
  <si>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</si>
  <si>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</si>
  <si>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</si>
  <si>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</si>
  <si>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</si>
  <si>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</si>
  <si>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</si>
  <si>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</si>
  <si>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</si>
  <si>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</si>
  <si>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</si>
  <si>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</si>
  <si>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</si>
  <si>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</si>
  <si>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</si>
  <si>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</si>
  <si>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</si>
  <si>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</si>
  <si>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</si>
  <si>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</si>
  <si>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</si>
  <si>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</si>
  <si>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</si>
  <si>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</si>
  <si>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</si>
  <si>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</si>
  <si>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</si>
  <si>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</si>
  <si>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</si>
  <si>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</si>
  <si>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</si>
  <si>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</si>
  <si>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</si>
  <si>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</si>
  <si>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</si>
  <si>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</si>
  <si>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</si>
  <si>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</si>
  <si>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</si>
  <si>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</si>
  <si>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</si>
  <si>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</si>
  <si>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</si>
  <si>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</si>
  <si>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</si>
  <si>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</si>
  <si>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Clematis</t>
  </si>
  <si>
    <t>simense</t>
  </si>
  <si>
    <t>Unknown</t>
  </si>
  <si>
    <t>Moth</t>
  </si>
  <si>
    <t>Lepidoptera</t>
  </si>
  <si>
    <t>Beetle</t>
  </si>
  <si>
    <t>Coleoptera</t>
  </si>
  <si>
    <t>Spider</t>
  </si>
  <si>
    <t>Aranaea</t>
  </si>
  <si>
    <t>Wasp</t>
  </si>
  <si>
    <t>Fly</t>
  </si>
  <si>
    <t>Diptera</t>
  </si>
  <si>
    <t>Sylvain's ID</t>
  </si>
  <si>
    <t>fly</t>
  </si>
  <si>
    <t>Diptera sp.07</t>
  </si>
  <si>
    <t>Tephritoidea sp.23</t>
  </si>
  <si>
    <t>Geometridae sp.08</t>
  </si>
  <si>
    <t>Coleoptera sp.03</t>
  </si>
  <si>
    <t>Geometridae sp.01</t>
  </si>
  <si>
    <t>Coleoptera sp.02</t>
  </si>
  <si>
    <t>2 individuals copulating</t>
  </si>
  <si>
    <t>Araneae (sp.02)</t>
  </si>
  <si>
    <t>Cannot spot it</t>
  </si>
  <si>
    <t>Araneae (sp.01)</t>
  </si>
  <si>
    <t>Pterophoridae sp.01</t>
  </si>
  <si>
    <t>moth</t>
  </si>
  <si>
    <t>Noctuidae sp.07</t>
  </si>
  <si>
    <t>Araneae</t>
  </si>
  <si>
    <t>Diptera sp.10</t>
  </si>
  <si>
    <t>beetle</t>
  </si>
  <si>
    <t>Coleoptera sp.04</t>
  </si>
  <si>
    <t>wrong times?</t>
  </si>
  <si>
    <t>wrong time of departure?</t>
  </si>
  <si>
    <t>Diptera sp.05</t>
  </si>
  <si>
    <t>nothing</t>
  </si>
  <si>
    <t>wrong times? All rows from the sunrise are suspicious, times look random, and visitors are probably missing</t>
  </si>
  <si>
    <t>nothing?</t>
  </si>
  <si>
    <t>Anthomyia sp.02</t>
  </si>
  <si>
    <t>Syrphidae sp.02</t>
  </si>
  <si>
    <t>Tachinidae sp.05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</si>
</sst>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1">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0" fillId="18" borderId="23" xfId="0" applyFill="1" applyBorder="1" applyAlignment="1">
      <alignment horizontal="center" vertical="center"/>
    </xf>
    <xf numFmtId="0" fontId="0" fillId="19" borderId="23" xfId="0" applyFill="1" applyBorder="1" applyAlignment="1">
      <alignment horizontal="center" vertical="center"/>
    </xf>
    <xf numFmtId="164" fontId="0" fillId="19" borderId="23" xfId="0" applyNumberFormat="1" applyFill="1" applyBorder="1" applyAlignment="1">
      <alignment horizontal="center" vertical="center"/>
    </xf>
    <xf numFmtId="164" fontId="3" fillId="19" borderId="23" xfId="0" applyNumberFormat="1" applyFont="1" applyFill="1" applyBorder="1" applyAlignment="1">
      <alignment horizontal="center" vertical="center"/>
    </xf>
    <xf numFmtId="164" fontId="1" fillId="19" borderId="24" xfId="0" applyNumberFormat="1" applyFont="1" applyFill="1" applyBorder="1" applyAlignment="1">
      <alignment horizontal="center" vertical="center"/>
    </xf>
    <xf numFmtId="165" fontId="8" fillId="19" borderId="23" xfId="0" applyNumberFormat="1" applyFont="1" applyFill="1" applyBorder="1" applyAlignment="1">
      <alignment horizontal="center" vertical="center"/>
    </xf>
    <xf numFmtId="164" fontId="0" fillId="18" borderId="24" xfId="0" applyNumberFormat="1" applyFill="1" applyBorder="1" applyAlignment="1">
      <alignment horizontal="center" vertical="center"/>
    </xf>
    <xf numFmtId="164" fontId="0" fillId="18" borderId="23" xfId="0" applyNumberFormat="1" applyFill="1" applyBorder="1" applyAlignment="1">
      <alignment horizontal="center" vertical="center"/>
    </xf>
    <xf numFmtId="165" fontId="8" fillId="18" borderId="23" xfId="0" applyNumberFormat="1" applyFont="1" applyFill="1" applyBorder="1" applyAlignment="1">
      <alignment horizontal="center" vertical="center"/>
    </xf>
    <xf numFmtId="0" fontId="0" fillId="20" borderId="23" xfId="0" applyFill="1" applyBorder="1" applyAlignment="1">
      <alignment horizontal="center" vertical="center"/>
    </xf>
    <xf numFmtId="164" fontId="0" fillId="20" borderId="24" xfId="0" applyNumberFormat="1" applyFill="1" applyBorder="1" applyAlignment="1">
      <alignment horizontal="center" vertical="center"/>
    </xf>
    <xf numFmtId="164" fontId="0" fillId="20"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7"/>
  <sheetViews>
    <sheetView tabSelected="1" zoomScale="85" zoomScaleNormal="85" workbookViewId="0">
      <pane xSplit="6" ySplit="2" topLeftCell="M20" activePane="bottomRight" state="frozen"/>
      <selection pane="topRight" activeCell="G1" sqref="G1"/>
      <selection pane="bottomLeft" activeCell="A3" sqref="A3"/>
      <selection pane="bottomRight" activeCell="Y1444" sqref="Y144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45" max="45" width="58" customWidth="1"/>
  </cols>
  <sheetData>
    <row r="1" spans="1:52" s="9" customFormat="1" ht="15" thickBot="1" x14ac:dyDescent="0.4">
      <c r="A1" s="143" t="s">
        <v>10</v>
      </c>
      <c r="B1" s="144"/>
      <c r="C1" s="144"/>
      <c r="D1" s="144"/>
      <c r="E1" s="144"/>
      <c r="F1" s="145"/>
      <c r="G1" s="5"/>
      <c r="H1" s="146" t="s">
        <v>11</v>
      </c>
      <c r="I1" s="147"/>
      <c r="J1" s="148" t="s">
        <v>12</v>
      </c>
      <c r="K1" s="149"/>
      <c r="L1" s="149"/>
      <c r="M1" s="149"/>
      <c r="N1" s="150"/>
      <c r="O1" s="6"/>
      <c r="P1" s="151" t="s">
        <v>13</v>
      </c>
      <c r="Q1" s="152"/>
      <c r="R1" s="152"/>
      <c r="S1" s="152"/>
      <c r="T1" s="152"/>
      <c r="U1" s="152"/>
      <c r="V1" s="152"/>
      <c r="W1" s="152"/>
      <c r="X1" s="152"/>
      <c r="Y1" s="152"/>
      <c r="Z1" s="152"/>
      <c r="AA1" s="152"/>
      <c r="AB1" s="153"/>
      <c r="AC1" s="7"/>
      <c r="AD1" s="151" t="s">
        <v>14</v>
      </c>
      <c r="AE1" s="152"/>
      <c r="AF1" s="152"/>
      <c r="AG1" s="152"/>
      <c r="AH1" s="152"/>
      <c r="AI1" s="152"/>
      <c r="AJ1" s="152"/>
      <c r="AK1" s="152"/>
      <c r="AL1" s="152"/>
      <c r="AM1" s="152"/>
      <c r="AN1" s="152"/>
      <c r="AO1" s="152"/>
      <c r="AP1" s="152"/>
      <c r="AQ1" s="152"/>
      <c r="AR1" s="152"/>
      <c r="AS1" s="152"/>
      <c r="AT1" s="152"/>
      <c r="AU1" s="153"/>
      <c r="AV1" s="8"/>
      <c r="AW1" s="141" t="s">
        <v>15</v>
      </c>
      <c r="AX1" s="142"/>
      <c r="AY1" s="142"/>
      <c r="AZ1" s="142"/>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5" t="s">
        <v>28</v>
      </c>
      <c r="N2" s="135"/>
      <c r="O2" s="17" t="s">
        <v>29</v>
      </c>
      <c r="P2" s="18" t="s">
        <v>30</v>
      </c>
      <c r="Q2" s="19" t="s">
        <v>31</v>
      </c>
      <c r="R2" s="20" t="s">
        <v>32</v>
      </c>
      <c r="S2" s="20" t="s">
        <v>33</v>
      </c>
      <c r="T2" s="136" t="s">
        <v>34</v>
      </c>
      <c r="U2" s="137"/>
      <c r="V2" s="138"/>
      <c r="W2" s="21" t="s">
        <v>35</v>
      </c>
      <c r="X2" s="20" t="s">
        <v>36</v>
      </c>
      <c r="Y2" s="20" t="s">
        <v>68</v>
      </c>
      <c r="Z2" s="20"/>
      <c r="AA2" s="20" t="s">
        <v>37</v>
      </c>
      <c r="AB2" s="20" t="s">
        <v>38</v>
      </c>
      <c r="AC2" s="22"/>
      <c r="AD2" s="139" t="s">
        <v>39</v>
      </c>
      <c r="AE2" s="140"/>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55</v>
      </c>
      <c r="C3" s="33">
        <v>14</v>
      </c>
      <c r="D3" s="34">
        <v>16</v>
      </c>
      <c r="E3" s="35">
        <v>0</v>
      </c>
      <c r="F3" s="36"/>
      <c r="G3" s="37"/>
      <c r="H3" s="38" t="str">
        <f>CONCATENATE(LEFT(J3,3),LEFT(K3,3),L3,"_",A3,TEXT(MONTH(DATEVALUE(B3&amp;" 1")),"00"),TEXT(IF(AND(E3&lt;G3, D3=0), C3-1, C3),"00"),"_",TEXT(IF(E3&lt;G3, IF(D3-1=-1, 23, D3-1), D3), "00"),"_",TEXT(G3,"00"))</f>
        <v>Clesim6_20211114_16_00</v>
      </c>
      <c r="I3" s="39">
        <v>1</v>
      </c>
      <c r="J3" s="40" t="s">
        <v>56</v>
      </c>
      <c r="K3" s="41" t="s">
        <v>57</v>
      </c>
      <c r="L3" s="42">
        <v>6</v>
      </c>
      <c r="M3" s="42">
        <v>20</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v>
      </c>
      <c r="C4" s="63">
        <f>IF(AND(D4=0, E4=0), IF(TEXT(C3,"dd")=TEXT(EOMONTH(DATE(A3,MONTH(DATEVALUE(B3&amp;"1")),C3),0), "dd"), 1, C3+1), C3)</f>
        <v>14</v>
      </c>
      <c r="D4" s="64">
        <f t="shared" ref="D4:D67" si="7">IF(IF(E3=59,D3+1,D3)=24,0,IF(E3=59,D3+1,D3))</f>
        <v>16</v>
      </c>
      <c r="E4" s="65">
        <f t="shared" ref="E4:E67" si="8">IF(E3&lt;59,E3+1,0)</f>
        <v>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Clesim6_20211114_16_00</v>
      </c>
      <c r="I4" s="69">
        <f>I3</f>
        <v>1</v>
      </c>
      <c r="J4" s="70" t="str">
        <f t="shared" ref="J4:N19" si="9">J3</f>
        <v>Clematis</v>
      </c>
      <c r="K4" s="70" t="str">
        <f t="shared" si="9"/>
        <v>simense</v>
      </c>
      <c r="L4" s="71">
        <f t="shared" si="9"/>
        <v>6</v>
      </c>
      <c r="M4" s="71">
        <f t="shared" si="9"/>
        <v>20</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v>
      </c>
      <c r="C5" s="73">
        <f t="shared" ref="C5:C68" si="25">IF(AND(D5=0, E5=0), IF(TEXT(C4,"dd")=TEXT(EOMONTH(DATE(A4,MONTH(DATEVALUE(B4&amp;"1")),C4),0), "dd"), 1, C4+1), C4)</f>
        <v>14</v>
      </c>
      <c r="D5" s="74">
        <f t="shared" si="7"/>
        <v>16</v>
      </c>
      <c r="E5" s="75">
        <f t="shared" si="8"/>
        <v>2</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Clesim6_20211114_16_00</v>
      </c>
      <c r="I5" s="69">
        <f t="shared" ref="I5:N20" si="27">I4</f>
        <v>1</v>
      </c>
      <c r="J5" s="76" t="str">
        <f t="shared" si="9"/>
        <v>Clematis</v>
      </c>
      <c r="K5" s="76" t="str">
        <f t="shared" si="9"/>
        <v>simense</v>
      </c>
      <c r="L5" s="77">
        <f t="shared" si="9"/>
        <v>6</v>
      </c>
      <c r="M5" s="77">
        <f t="shared" si="9"/>
        <v>20</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v>
      </c>
      <c r="C6" s="73">
        <f t="shared" si="25"/>
        <v>14</v>
      </c>
      <c r="D6" s="74">
        <f t="shared" si="7"/>
        <v>16</v>
      </c>
      <c r="E6" s="75">
        <f t="shared" si="8"/>
        <v>3</v>
      </c>
      <c r="F6" s="66"/>
      <c r="G6" s="67"/>
      <c r="H6" s="68" t="str">
        <f t="shared" si="26"/>
        <v>Clesim6_20211114_16_00</v>
      </c>
      <c r="I6" s="69">
        <f t="shared" si="27"/>
        <v>1</v>
      </c>
      <c r="J6" s="76" t="str">
        <f t="shared" si="9"/>
        <v>Clematis</v>
      </c>
      <c r="K6" s="76" t="str">
        <f t="shared" si="9"/>
        <v>simense</v>
      </c>
      <c r="L6" s="77">
        <f t="shared" si="9"/>
        <v>6</v>
      </c>
      <c r="M6" s="77">
        <f t="shared" si="9"/>
        <v>20</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v>
      </c>
      <c r="C7" s="73">
        <f t="shared" si="25"/>
        <v>14</v>
      </c>
      <c r="D7" s="74">
        <f t="shared" si="7"/>
        <v>16</v>
      </c>
      <c r="E7" s="75">
        <f t="shared" si="8"/>
        <v>4</v>
      </c>
      <c r="F7" s="66"/>
      <c r="G7" s="67"/>
      <c r="H7" s="68" t="str">
        <f t="shared" si="26"/>
        <v>Clesim6_20211114_16_00</v>
      </c>
      <c r="I7" s="69">
        <f t="shared" si="27"/>
        <v>1</v>
      </c>
      <c r="J7" s="76" t="str">
        <f t="shared" si="9"/>
        <v>Clematis</v>
      </c>
      <c r="K7" s="76" t="str">
        <f t="shared" si="9"/>
        <v>simense</v>
      </c>
      <c r="L7" s="77">
        <f t="shared" si="9"/>
        <v>6</v>
      </c>
      <c r="M7" s="77">
        <f t="shared" si="9"/>
        <v>20</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v>
      </c>
      <c r="C8" s="73">
        <f t="shared" si="25"/>
        <v>14</v>
      </c>
      <c r="D8" s="74">
        <f t="shared" si="7"/>
        <v>16</v>
      </c>
      <c r="E8" s="75">
        <f t="shared" si="8"/>
        <v>5</v>
      </c>
      <c r="F8" s="66"/>
      <c r="G8" s="78"/>
      <c r="H8" s="68" t="str">
        <f t="shared" si="26"/>
        <v>Clesim6_20211114_16_00</v>
      </c>
      <c r="I8" s="69">
        <f t="shared" si="27"/>
        <v>1</v>
      </c>
      <c r="J8" s="76" t="str">
        <f t="shared" si="9"/>
        <v>Clematis</v>
      </c>
      <c r="K8" s="76" t="str">
        <f t="shared" si="9"/>
        <v>simense</v>
      </c>
      <c r="L8" s="77">
        <f t="shared" si="9"/>
        <v>6</v>
      </c>
      <c r="M8" s="77">
        <f t="shared" si="9"/>
        <v>20</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v>
      </c>
      <c r="C9" s="73">
        <f t="shared" si="25"/>
        <v>14</v>
      </c>
      <c r="D9" s="74">
        <f t="shared" si="7"/>
        <v>16</v>
      </c>
      <c r="E9" s="75">
        <f t="shared" si="8"/>
        <v>6</v>
      </c>
      <c r="F9" s="79"/>
      <c r="G9" s="80"/>
      <c r="H9" s="68" t="str">
        <f t="shared" si="26"/>
        <v>Clesim6_20211114_16_00</v>
      </c>
      <c r="I9" s="69">
        <f t="shared" si="27"/>
        <v>1</v>
      </c>
      <c r="J9" s="76" t="str">
        <f t="shared" si="9"/>
        <v>Clematis</v>
      </c>
      <c r="K9" s="76" t="str">
        <f t="shared" si="9"/>
        <v>simense</v>
      </c>
      <c r="L9" s="77">
        <f t="shared" si="9"/>
        <v>6</v>
      </c>
      <c r="M9" s="77">
        <f t="shared" si="9"/>
        <v>20</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2021</v>
      </c>
      <c r="B10" s="72" t="str">
        <f t="shared" si="6"/>
        <v>Nov</v>
      </c>
      <c r="C10" s="73">
        <f t="shared" si="25"/>
        <v>14</v>
      </c>
      <c r="D10" s="74">
        <f t="shared" si="7"/>
        <v>16</v>
      </c>
      <c r="E10" s="75">
        <f t="shared" si="8"/>
        <v>7</v>
      </c>
      <c r="F10" s="79"/>
      <c r="G10" s="81"/>
      <c r="H10" s="68" t="str">
        <f t="shared" si="26"/>
        <v>Clesim6_20211114_16_00</v>
      </c>
      <c r="I10" s="69">
        <f t="shared" si="27"/>
        <v>1</v>
      </c>
      <c r="J10" s="76" t="str">
        <f t="shared" si="9"/>
        <v>Clematis</v>
      </c>
      <c r="K10" s="76" t="str">
        <f t="shared" si="9"/>
        <v>simense</v>
      </c>
      <c r="L10" s="77">
        <f t="shared" si="9"/>
        <v>6</v>
      </c>
      <c r="M10" s="77">
        <f t="shared" si="9"/>
        <v>20</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v>
      </c>
      <c r="C11" s="73">
        <f t="shared" si="25"/>
        <v>14</v>
      </c>
      <c r="D11" s="74">
        <f t="shared" si="7"/>
        <v>16</v>
      </c>
      <c r="E11" s="75">
        <f t="shared" si="8"/>
        <v>8</v>
      </c>
      <c r="F11" s="79"/>
      <c r="G11" s="82"/>
      <c r="H11" s="68" t="str">
        <f t="shared" si="26"/>
        <v>Clesim6_20211114_16_00</v>
      </c>
      <c r="I11" s="69">
        <f t="shared" si="27"/>
        <v>1</v>
      </c>
      <c r="J11" s="76" t="str">
        <f t="shared" si="9"/>
        <v>Clematis</v>
      </c>
      <c r="K11" s="76" t="str">
        <f t="shared" si="9"/>
        <v>simense</v>
      </c>
      <c r="L11" s="77">
        <f t="shared" si="9"/>
        <v>6</v>
      </c>
      <c r="M11" s="77">
        <f t="shared" si="9"/>
        <v>20</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v>
      </c>
      <c r="C12" s="73">
        <f t="shared" si="25"/>
        <v>14</v>
      </c>
      <c r="D12" s="74">
        <f t="shared" si="7"/>
        <v>16</v>
      </c>
      <c r="E12" s="75">
        <f t="shared" si="8"/>
        <v>9</v>
      </c>
      <c r="F12" s="79"/>
      <c r="G12" s="82"/>
      <c r="H12" s="68" t="str">
        <f t="shared" si="26"/>
        <v>Clesim6_20211114_16_00</v>
      </c>
      <c r="I12" s="69">
        <f t="shared" si="27"/>
        <v>1</v>
      </c>
      <c r="J12" s="76" t="str">
        <f t="shared" si="9"/>
        <v>Clematis</v>
      </c>
      <c r="K12" s="76" t="str">
        <f t="shared" si="9"/>
        <v>simense</v>
      </c>
      <c r="L12" s="77">
        <f t="shared" si="9"/>
        <v>6</v>
      </c>
      <c r="M12" s="77">
        <f t="shared" si="9"/>
        <v>20</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2021</v>
      </c>
      <c r="B13" s="72" t="str">
        <f t="shared" si="6"/>
        <v>Nov</v>
      </c>
      <c r="C13" s="73">
        <f t="shared" si="25"/>
        <v>14</v>
      </c>
      <c r="D13" s="74">
        <f t="shared" si="7"/>
        <v>16</v>
      </c>
      <c r="E13" s="75">
        <f t="shared" si="8"/>
        <v>10</v>
      </c>
      <c r="F13" s="79"/>
      <c r="G13" s="82"/>
      <c r="H13" s="68" t="str">
        <f t="shared" si="26"/>
        <v>Clesim6_20211114_16_00</v>
      </c>
      <c r="I13" s="69">
        <f t="shared" si="27"/>
        <v>1</v>
      </c>
      <c r="J13" s="76" t="str">
        <f t="shared" si="9"/>
        <v>Clematis</v>
      </c>
      <c r="K13" s="76" t="str">
        <f t="shared" si="9"/>
        <v>simense</v>
      </c>
      <c r="L13" s="77">
        <f t="shared" si="9"/>
        <v>6</v>
      </c>
      <c r="M13" s="77">
        <f t="shared" si="9"/>
        <v>20</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2021</v>
      </c>
      <c r="B14" s="72" t="str">
        <f t="shared" si="6"/>
        <v>Nov</v>
      </c>
      <c r="C14" s="73">
        <f t="shared" si="25"/>
        <v>14</v>
      </c>
      <c r="D14" s="74">
        <f t="shared" si="7"/>
        <v>16</v>
      </c>
      <c r="E14" s="75">
        <f t="shared" si="8"/>
        <v>11</v>
      </c>
      <c r="F14" s="79"/>
      <c r="G14" s="82"/>
      <c r="H14" s="68" t="str">
        <f t="shared" si="26"/>
        <v>Clesim6_20211114_16_00</v>
      </c>
      <c r="I14" s="69">
        <f t="shared" si="27"/>
        <v>1</v>
      </c>
      <c r="J14" s="76" t="str">
        <f t="shared" si="9"/>
        <v>Clematis</v>
      </c>
      <c r="K14" s="76" t="str">
        <f t="shared" si="9"/>
        <v>simense</v>
      </c>
      <c r="L14" s="77">
        <f t="shared" si="9"/>
        <v>6</v>
      </c>
      <c r="M14" s="77">
        <f t="shared" si="9"/>
        <v>20</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v>
      </c>
      <c r="C15" s="73">
        <f t="shared" si="25"/>
        <v>14</v>
      </c>
      <c r="D15" s="74">
        <f t="shared" si="7"/>
        <v>16</v>
      </c>
      <c r="E15" s="75">
        <f t="shared" si="8"/>
        <v>12</v>
      </c>
      <c r="F15" s="79"/>
      <c r="G15" s="82"/>
      <c r="H15" s="68" t="str">
        <f t="shared" si="26"/>
        <v>Clesim6_20211114_16_00</v>
      </c>
      <c r="I15" s="69">
        <f t="shared" si="27"/>
        <v>1</v>
      </c>
      <c r="J15" s="76" t="str">
        <f t="shared" si="9"/>
        <v>Clematis</v>
      </c>
      <c r="K15" s="76" t="str">
        <f t="shared" si="9"/>
        <v>simense</v>
      </c>
      <c r="L15" s="77">
        <f t="shared" si="9"/>
        <v>6</v>
      </c>
      <c r="M15" s="77">
        <f t="shared" si="9"/>
        <v>20</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v>
      </c>
      <c r="C16" s="73">
        <f t="shared" si="25"/>
        <v>14</v>
      </c>
      <c r="D16" s="74">
        <f t="shared" si="7"/>
        <v>16</v>
      </c>
      <c r="E16" s="75">
        <f t="shared" si="8"/>
        <v>13</v>
      </c>
      <c r="F16" s="79"/>
      <c r="G16" s="82"/>
      <c r="H16" s="68" t="str">
        <f t="shared" si="26"/>
        <v>Clesim6_20211114_16_00</v>
      </c>
      <c r="I16" s="69">
        <f t="shared" si="27"/>
        <v>1</v>
      </c>
      <c r="J16" s="76" t="str">
        <f t="shared" si="9"/>
        <v>Clematis</v>
      </c>
      <c r="K16" s="76" t="str">
        <f t="shared" si="9"/>
        <v>simense</v>
      </c>
      <c r="L16" s="77">
        <f t="shared" si="9"/>
        <v>6</v>
      </c>
      <c r="M16" s="77">
        <f t="shared" si="9"/>
        <v>20</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v>
      </c>
      <c r="C17" s="73">
        <f t="shared" si="25"/>
        <v>14</v>
      </c>
      <c r="D17" s="74">
        <f t="shared" si="7"/>
        <v>16</v>
      </c>
      <c r="E17" s="75">
        <f t="shared" si="8"/>
        <v>14</v>
      </c>
      <c r="F17" s="79"/>
      <c r="G17" s="82"/>
      <c r="H17" s="68" t="str">
        <f t="shared" si="26"/>
        <v>Clesim6_20211114_16_00</v>
      </c>
      <c r="I17" s="69">
        <f t="shared" si="27"/>
        <v>1</v>
      </c>
      <c r="J17" s="76" t="str">
        <f t="shared" si="9"/>
        <v>Clematis</v>
      </c>
      <c r="K17" s="76" t="str">
        <f t="shared" si="9"/>
        <v>simense</v>
      </c>
      <c r="L17" s="77">
        <f t="shared" si="9"/>
        <v>6</v>
      </c>
      <c r="M17" s="77">
        <f t="shared" si="9"/>
        <v>20</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v>
      </c>
      <c r="C18" s="73">
        <f t="shared" si="25"/>
        <v>14</v>
      </c>
      <c r="D18" s="74">
        <f t="shared" si="7"/>
        <v>16</v>
      </c>
      <c r="E18" s="75">
        <f t="shared" si="8"/>
        <v>15</v>
      </c>
      <c r="F18" s="79"/>
      <c r="G18" s="82"/>
      <c r="H18" s="68" t="str">
        <f t="shared" si="26"/>
        <v>Clesim6_20211114_16_00</v>
      </c>
      <c r="I18" s="69">
        <f t="shared" si="27"/>
        <v>1</v>
      </c>
      <c r="J18" s="76" t="str">
        <f t="shared" si="9"/>
        <v>Clematis</v>
      </c>
      <c r="K18" s="76" t="str">
        <f t="shared" si="9"/>
        <v>simense</v>
      </c>
      <c r="L18" s="77">
        <f t="shared" si="9"/>
        <v>6</v>
      </c>
      <c r="M18" s="77">
        <f t="shared" si="9"/>
        <v>20</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v>
      </c>
      <c r="C19" s="73">
        <f t="shared" si="25"/>
        <v>14</v>
      </c>
      <c r="D19" s="74">
        <f t="shared" si="7"/>
        <v>16</v>
      </c>
      <c r="E19" s="75">
        <f t="shared" si="8"/>
        <v>16</v>
      </c>
      <c r="F19" s="79"/>
      <c r="G19" s="82"/>
      <c r="H19" s="68" t="str">
        <f t="shared" si="26"/>
        <v>Clesim6_20211114_16_00</v>
      </c>
      <c r="I19" s="69">
        <f t="shared" si="27"/>
        <v>1</v>
      </c>
      <c r="J19" s="76" t="str">
        <f t="shared" si="9"/>
        <v>Clematis</v>
      </c>
      <c r="K19" s="76" t="str">
        <f t="shared" si="9"/>
        <v>simense</v>
      </c>
      <c r="L19" s="77">
        <f t="shared" si="9"/>
        <v>6</v>
      </c>
      <c r="M19" s="77">
        <f t="shared" si="9"/>
        <v>20</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2021</v>
      </c>
      <c r="B20" s="72" t="str">
        <f t="shared" si="6"/>
        <v>Nov</v>
      </c>
      <c r="C20" s="73">
        <f t="shared" si="25"/>
        <v>14</v>
      </c>
      <c r="D20" s="74">
        <f t="shared" si="7"/>
        <v>16</v>
      </c>
      <c r="E20" s="75">
        <f t="shared" si="8"/>
        <v>17</v>
      </c>
      <c r="F20" s="79">
        <v>33</v>
      </c>
      <c r="G20" s="82"/>
      <c r="H20" s="68" t="str">
        <f t="shared" si="26"/>
        <v>Clesim6_20211114_16_00</v>
      </c>
      <c r="I20" s="69">
        <f t="shared" si="27"/>
        <v>1</v>
      </c>
      <c r="J20" s="76" t="str">
        <f t="shared" si="27"/>
        <v>Clematis</v>
      </c>
      <c r="K20" s="76" t="str">
        <f t="shared" si="27"/>
        <v>simense</v>
      </c>
      <c r="L20" s="77">
        <f t="shared" si="27"/>
        <v>6</v>
      </c>
      <c r="M20" s="77">
        <f t="shared" si="27"/>
        <v>20</v>
      </c>
      <c r="N20" s="71">
        <f t="shared" si="27"/>
        <v>0</v>
      </c>
      <c r="O20" s="44"/>
      <c r="P20" s="45">
        <f t="shared" si="10"/>
        <v>1</v>
      </c>
      <c r="Q20" s="46" t="str">
        <f t="shared" si="11"/>
        <v>16:17:33</v>
      </c>
      <c r="R20" s="47" t="str">
        <f t="shared" si="12"/>
        <v>17:33</v>
      </c>
      <c r="S20" s="48">
        <f t="shared" si="0"/>
        <v>160</v>
      </c>
      <c r="T20" s="47" t="str">
        <f t="shared" si="13"/>
        <v>16</v>
      </c>
      <c r="U20" s="49">
        <v>20</v>
      </c>
      <c r="V20" s="50">
        <v>13</v>
      </c>
      <c r="W20" s="51" t="str">
        <f t="shared" si="14"/>
        <v>20:13</v>
      </c>
      <c r="X20" s="123" t="s">
        <v>69</v>
      </c>
      <c r="Y20" s="52" t="s">
        <v>84</v>
      </c>
      <c r="Z20" s="52"/>
      <c r="AA20" s="47" t="s">
        <v>67</v>
      </c>
      <c r="AB20" s="47" t="str">
        <f t="shared" si="15"/>
        <v>NA</v>
      </c>
      <c r="AC20" s="53" t="str">
        <f t="shared" si="16"/>
        <v/>
      </c>
      <c r="AD20" s="54">
        <v>2</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f t="shared" si="1"/>
        <v>0</v>
      </c>
      <c r="AX20" s="61" t="str">
        <f t="shared" si="2"/>
        <v/>
      </c>
      <c r="AY20" s="60">
        <f t="shared" si="3"/>
        <v>0</v>
      </c>
      <c r="AZ20" s="61" t="str">
        <f t="shared" si="4"/>
        <v/>
      </c>
    </row>
    <row r="21" spans="1:52" s="3" customFormat="1" hidden="1" x14ac:dyDescent="0.35">
      <c r="A21" s="72">
        <f t="shared" si="5"/>
        <v>2021</v>
      </c>
      <c r="B21" s="72" t="str">
        <f t="shared" si="6"/>
        <v>Nov</v>
      </c>
      <c r="C21" s="73">
        <f t="shared" si="25"/>
        <v>14</v>
      </c>
      <c r="D21" s="74">
        <f t="shared" si="7"/>
        <v>16</v>
      </c>
      <c r="E21" s="75">
        <f t="shared" si="8"/>
        <v>18</v>
      </c>
      <c r="F21" s="79"/>
      <c r="G21" s="82"/>
      <c r="H21" s="68" t="str">
        <f t="shared" si="26"/>
        <v>Clesim6_20211114_16_00</v>
      </c>
      <c r="I21" s="69">
        <f t="shared" ref="I21:N36" si="28">I20</f>
        <v>1</v>
      </c>
      <c r="J21" s="76" t="str">
        <f t="shared" si="28"/>
        <v>Clematis</v>
      </c>
      <c r="K21" s="76" t="str">
        <f t="shared" si="28"/>
        <v>simense</v>
      </c>
      <c r="L21" s="77">
        <f t="shared" si="28"/>
        <v>6</v>
      </c>
      <c r="M21" s="77">
        <f t="shared" si="28"/>
        <v>20</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v>
      </c>
      <c r="C22" s="73">
        <f t="shared" si="25"/>
        <v>14</v>
      </c>
      <c r="D22" s="74">
        <f t="shared" si="7"/>
        <v>16</v>
      </c>
      <c r="E22" s="75">
        <f t="shared" si="8"/>
        <v>19</v>
      </c>
      <c r="F22" s="79"/>
      <c r="G22" s="82"/>
      <c r="H22" s="68" t="str">
        <f t="shared" si="26"/>
        <v>Clesim6_20211114_16_00</v>
      </c>
      <c r="I22" s="69">
        <f t="shared" si="28"/>
        <v>1</v>
      </c>
      <c r="J22" s="76" t="str">
        <f t="shared" si="28"/>
        <v>Clematis</v>
      </c>
      <c r="K22" s="76" t="str">
        <f t="shared" si="28"/>
        <v>simense</v>
      </c>
      <c r="L22" s="77">
        <f t="shared" si="28"/>
        <v>6</v>
      </c>
      <c r="M22" s="77">
        <f t="shared" si="28"/>
        <v>20</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v>
      </c>
      <c r="C23" s="73">
        <f t="shared" si="25"/>
        <v>14</v>
      </c>
      <c r="D23" s="74">
        <f t="shared" si="7"/>
        <v>16</v>
      </c>
      <c r="E23" s="75">
        <f t="shared" si="8"/>
        <v>20</v>
      </c>
      <c r="F23" s="79"/>
      <c r="G23" s="82"/>
      <c r="H23" s="68" t="str">
        <f t="shared" si="26"/>
        <v>Clesim6_20211114_16_00</v>
      </c>
      <c r="I23" s="69">
        <f t="shared" si="28"/>
        <v>1</v>
      </c>
      <c r="J23" s="76" t="str">
        <f t="shared" si="28"/>
        <v>Clematis</v>
      </c>
      <c r="K23" s="76" t="str">
        <f t="shared" si="28"/>
        <v>simense</v>
      </c>
      <c r="L23" s="77">
        <f t="shared" si="28"/>
        <v>6</v>
      </c>
      <c r="M23" s="77">
        <f t="shared" si="28"/>
        <v>20</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v>
      </c>
      <c r="C24" s="73">
        <f t="shared" si="25"/>
        <v>14</v>
      </c>
      <c r="D24" s="74">
        <f t="shared" si="7"/>
        <v>16</v>
      </c>
      <c r="E24" s="75">
        <f t="shared" si="8"/>
        <v>21</v>
      </c>
      <c r="F24" s="79"/>
      <c r="G24" s="82"/>
      <c r="H24" s="68" t="str">
        <f t="shared" si="26"/>
        <v>Clesim6_20211114_16_00</v>
      </c>
      <c r="I24" s="69">
        <f t="shared" si="28"/>
        <v>1</v>
      </c>
      <c r="J24" s="76" t="str">
        <f t="shared" si="28"/>
        <v>Clematis</v>
      </c>
      <c r="K24" s="76" t="str">
        <f t="shared" si="28"/>
        <v>simense</v>
      </c>
      <c r="L24" s="77">
        <f t="shared" si="28"/>
        <v>6</v>
      </c>
      <c r="M24" s="77">
        <f t="shared" si="28"/>
        <v>20</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v>
      </c>
      <c r="C25" s="73">
        <f t="shared" si="25"/>
        <v>14</v>
      </c>
      <c r="D25" s="74">
        <f t="shared" si="7"/>
        <v>16</v>
      </c>
      <c r="E25" s="75">
        <f t="shared" si="8"/>
        <v>22</v>
      </c>
      <c r="F25" s="79"/>
      <c r="G25" s="82"/>
      <c r="H25" s="68" t="str">
        <f t="shared" si="26"/>
        <v>Clesim6_20211114_16_00</v>
      </c>
      <c r="I25" s="69">
        <f t="shared" si="28"/>
        <v>1</v>
      </c>
      <c r="J25" s="76" t="str">
        <f t="shared" si="28"/>
        <v>Clematis</v>
      </c>
      <c r="K25" s="76" t="str">
        <f t="shared" si="28"/>
        <v>simense</v>
      </c>
      <c r="L25" s="77">
        <f t="shared" si="28"/>
        <v>6</v>
      </c>
      <c r="M25" s="77">
        <f t="shared" si="28"/>
        <v>20</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v>
      </c>
      <c r="C26" s="73">
        <f t="shared" si="25"/>
        <v>14</v>
      </c>
      <c r="D26" s="74">
        <f t="shared" si="7"/>
        <v>16</v>
      </c>
      <c r="E26" s="75">
        <f t="shared" si="8"/>
        <v>23</v>
      </c>
      <c r="F26" s="79"/>
      <c r="G26" s="82"/>
      <c r="H26" s="68" t="str">
        <f t="shared" si="26"/>
        <v>Clesim6_20211114_16_00</v>
      </c>
      <c r="I26" s="69">
        <f t="shared" si="28"/>
        <v>1</v>
      </c>
      <c r="J26" s="76" t="str">
        <f t="shared" si="28"/>
        <v>Clematis</v>
      </c>
      <c r="K26" s="76" t="str">
        <f t="shared" si="28"/>
        <v>simense</v>
      </c>
      <c r="L26" s="77">
        <f t="shared" si="28"/>
        <v>6</v>
      </c>
      <c r="M26" s="77">
        <f t="shared" si="28"/>
        <v>20</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v>
      </c>
      <c r="C27" s="73">
        <f t="shared" si="25"/>
        <v>14</v>
      </c>
      <c r="D27" s="74">
        <f t="shared" si="7"/>
        <v>16</v>
      </c>
      <c r="E27" s="75">
        <f t="shared" si="8"/>
        <v>24</v>
      </c>
      <c r="F27" s="79"/>
      <c r="G27" s="82"/>
      <c r="H27" s="68" t="str">
        <f t="shared" si="26"/>
        <v>Clesim6_20211114_16_00</v>
      </c>
      <c r="I27" s="69">
        <f t="shared" si="28"/>
        <v>1</v>
      </c>
      <c r="J27" s="76" t="str">
        <f t="shared" si="28"/>
        <v>Clematis</v>
      </c>
      <c r="K27" s="76" t="str">
        <f t="shared" si="28"/>
        <v>simense</v>
      </c>
      <c r="L27" s="77">
        <f t="shared" si="28"/>
        <v>6</v>
      </c>
      <c r="M27" s="77">
        <f t="shared" si="28"/>
        <v>20</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v>
      </c>
      <c r="C28" s="73">
        <f t="shared" si="25"/>
        <v>14</v>
      </c>
      <c r="D28" s="74">
        <f t="shared" si="7"/>
        <v>16</v>
      </c>
      <c r="E28" s="75">
        <f t="shared" si="8"/>
        <v>25</v>
      </c>
      <c r="F28" s="79"/>
      <c r="G28" s="82"/>
      <c r="H28" s="68" t="str">
        <f t="shared" si="26"/>
        <v>Clesim6_20211114_16_00</v>
      </c>
      <c r="I28" s="69">
        <f t="shared" si="28"/>
        <v>1</v>
      </c>
      <c r="J28" s="76" t="str">
        <f t="shared" si="28"/>
        <v>Clematis</v>
      </c>
      <c r="K28" s="76" t="str">
        <f t="shared" si="28"/>
        <v>simense</v>
      </c>
      <c r="L28" s="77">
        <f t="shared" si="28"/>
        <v>6</v>
      </c>
      <c r="M28" s="77">
        <f t="shared" si="28"/>
        <v>20</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2021</v>
      </c>
      <c r="B29" s="72" t="str">
        <f t="shared" si="6"/>
        <v>Nov</v>
      </c>
      <c r="C29" s="73">
        <f t="shared" si="25"/>
        <v>14</v>
      </c>
      <c r="D29" s="74">
        <f t="shared" si="7"/>
        <v>16</v>
      </c>
      <c r="E29" s="75">
        <f t="shared" si="8"/>
        <v>26</v>
      </c>
      <c r="F29" s="79">
        <v>33</v>
      </c>
      <c r="G29" s="82"/>
      <c r="H29" s="68" t="str">
        <f t="shared" si="26"/>
        <v>Clesim6_20211114_16_00</v>
      </c>
      <c r="I29" s="69">
        <f t="shared" si="28"/>
        <v>1</v>
      </c>
      <c r="J29" s="76" t="str">
        <f t="shared" si="28"/>
        <v>Clematis</v>
      </c>
      <c r="K29" s="76" t="str">
        <f t="shared" si="28"/>
        <v>simense</v>
      </c>
      <c r="L29" s="77">
        <f t="shared" si="28"/>
        <v>6</v>
      </c>
      <c r="M29" s="77">
        <f t="shared" si="28"/>
        <v>20</v>
      </c>
      <c r="N29" s="71">
        <f t="shared" si="28"/>
        <v>0</v>
      </c>
      <c r="O29" s="44"/>
      <c r="P29" s="45">
        <f t="shared" si="10"/>
        <v>1</v>
      </c>
      <c r="Q29" s="46" t="str">
        <f t="shared" si="11"/>
        <v>16:26:33</v>
      </c>
      <c r="R29" s="47" t="str">
        <f t="shared" si="12"/>
        <v>26:33</v>
      </c>
      <c r="S29" s="48">
        <f t="shared" si="0"/>
        <v>49</v>
      </c>
      <c r="T29" s="47" t="str">
        <f t="shared" si="13"/>
        <v>16</v>
      </c>
      <c r="U29" s="49">
        <v>27</v>
      </c>
      <c r="V29" s="50">
        <v>22</v>
      </c>
      <c r="W29" s="51" t="str">
        <f t="shared" si="14"/>
        <v>27:22</v>
      </c>
      <c r="X29" s="123" t="s">
        <v>69</v>
      </c>
      <c r="Y29" s="52" t="s">
        <v>70</v>
      </c>
      <c r="Z29" s="52"/>
      <c r="AA29" s="47" t="s">
        <v>67</v>
      </c>
      <c r="AB29" s="47" t="str">
        <f t="shared" si="15"/>
        <v>NA</v>
      </c>
      <c r="AC29" s="53" t="str">
        <f t="shared" si="16"/>
        <v/>
      </c>
      <c r="AD29" s="54">
        <v>3</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f t="shared" si="1"/>
        <v>0</v>
      </c>
      <c r="AX29" s="61" t="str">
        <f t="shared" si="2"/>
        <v/>
      </c>
      <c r="AY29" s="60">
        <f t="shared" si="3"/>
        <v>0</v>
      </c>
      <c r="AZ29" s="61" t="str">
        <f t="shared" si="4"/>
        <v/>
      </c>
    </row>
    <row r="30" spans="1:52" s="3" customFormat="1" hidden="1" x14ac:dyDescent="0.35">
      <c r="A30" s="72">
        <f t="shared" si="5"/>
        <v>2021</v>
      </c>
      <c r="B30" s="72" t="str">
        <f t="shared" si="6"/>
        <v>Nov</v>
      </c>
      <c r="C30" s="73">
        <f t="shared" si="25"/>
        <v>14</v>
      </c>
      <c r="D30" s="74">
        <f t="shared" si="7"/>
        <v>16</v>
      </c>
      <c r="E30" s="75">
        <f t="shared" si="8"/>
        <v>27</v>
      </c>
      <c r="F30" s="79"/>
      <c r="G30" s="82"/>
      <c r="H30" s="68" t="str">
        <f t="shared" si="26"/>
        <v>Clesim6_20211114_16_00</v>
      </c>
      <c r="I30" s="69">
        <f t="shared" si="28"/>
        <v>1</v>
      </c>
      <c r="J30" s="76" t="str">
        <f t="shared" si="28"/>
        <v>Clematis</v>
      </c>
      <c r="K30" s="76" t="str">
        <f t="shared" si="28"/>
        <v>simense</v>
      </c>
      <c r="L30" s="77">
        <f t="shared" si="28"/>
        <v>6</v>
      </c>
      <c r="M30" s="77">
        <f t="shared" si="28"/>
        <v>20</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2021</v>
      </c>
      <c r="B31" s="72" t="str">
        <f t="shared" si="6"/>
        <v>Nov</v>
      </c>
      <c r="C31" s="73">
        <f t="shared" si="25"/>
        <v>14</v>
      </c>
      <c r="D31" s="74">
        <f t="shared" si="7"/>
        <v>16</v>
      </c>
      <c r="E31" s="75">
        <f t="shared" si="8"/>
        <v>28</v>
      </c>
      <c r="F31" s="79"/>
      <c r="G31" s="82"/>
      <c r="H31" s="68" t="str">
        <f t="shared" si="26"/>
        <v>Clesim6_20211114_16_00</v>
      </c>
      <c r="I31" s="69">
        <f t="shared" si="28"/>
        <v>1</v>
      </c>
      <c r="J31" s="76" t="str">
        <f t="shared" si="28"/>
        <v>Clematis</v>
      </c>
      <c r="K31" s="76" t="str">
        <f t="shared" si="28"/>
        <v>simense</v>
      </c>
      <c r="L31" s="77">
        <f t="shared" si="28"/>
        <v>6</v>
      </c>
      <c r="M31" s="77">
        <f t="shared" si="28"/>
        <v>20</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v>
      </c>
      <c r="C32" s="73">
        <f t="shared" si="25"/>
        <v>14</v>
      </c>
      <c r="D32" s="74">
        <f t="shared" si="7"/>
        <v>16</v>
      </c>
      <c r="E32" s="75">
        <f t="shared" si="8"/>
        <v>29</v>
      </c>
      <c r="F32" s="79"/>
      <c r="G32" s="82"/>
      <c r="H32" s="68" t="str">
        <f t="shared" si="26"/>
        <v>Clesim6_20211114_16_00</v>
      </c>
      <c r="I32" s="69">
        <f t="shared" si="28"/>
        <v>1</v>
      </c>
      <c r="J32" s="76" t="str">
        <f t="shared" si="28"/>
        <v>Clematis</v>
      </c>
      <c r="K32" s="76" t="str">
        <f t="shared" si="28"/>
        <v>simense</v>
      </c>
      <c r="L32" s="77">
        <f t="shared" si="28"/>
        <v>6</v>
      </c>
      <c r="M32" s="77">
        <f t="shared" si="28"/>
        <v>20</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v>
      </c>
      <c r="C33" s="73">
        <f t="shared" si="25"/>
        <v>14</v>
      </c>
      <c r="D33" s="74">
        <f t="shared" si="7"/>
        <v>16</v>
      </c>
      <c r="E33" s="75">
        <f t="shared" si="8"/>
        <v>30</v>
      </c>
      <c r="F33" s="79"/>
      <c r="G33" s="82"/>
      <c r="H33" s="68" t="str">
        <f t="shared" si="26"/>
        <v>Clesim6_20211114_16_00</v>
      </c>
      <c r="I33" s="69">
        <f t="shared" si="28"/>
        <v>1</v>
      </c>
      <c r="J33" s="76" t="str">
        <f t="shared" si="28"/>
        <v>Clematis</v>
      </c>
      <c r="K33" s="76" t="str">
        <f t="shared" si="28"/>
        <v>simense</v>
      </c>
      <c r="L33" s="77">
        <f t="shared" si="28"/>
        <v>6</v>
      </c>
      <c r="M33" s="77">
        <f t="shared" si="28"/>
        <v>20</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v>
      </c>
      <c r="C34" s="73">
        <f t="shared" si="25"/>
        <v>14</v>
      </c>
      <c r="D34" s="74">
        <f t="shared" si="7"/>
        <v>16</v>
      </c>
      <c r="E34" s="75">
        <f t="shared" si="8"/>
        <v>31</v>
      </c>
      <c r="F34" s="79"/>
      <c r="G34" s="82"/>
      <c r="H34" s="68" t="str">
        <f t="shared" si="26"/>
        <v>Clesim6_20211114_16_00</v>
      </c>
      <c r="I34" s="69">
        <f t="shared" si="28"/>
        <v>1</v>
      </c>
      <c r="J34" s="76" t="str">
        <f t="shared" si="28"/>
        <v>Clematis</v>
      </c>
      <c r="K34" s="76" t="str">
        <f t="shared" si="28"/>
        <v>simense</v>
      </c>
      <c r="L34" s="77">
        <f t="shared" si="28"/>
        <v>6</v>
      </c>
      <c r="M34" s="77">
        <f t="shared" si="28"/>
        <v>20</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v>
      </c>
      <c r="C35" s="73">
        <f t="shared" si="25"/>
        <v>14</v>
      </c>
      <c r="D35" s="74">
        <f t="shared" si="7"/>
        <v>16</v>
      </c>
      <c r="E35" s="75">
        <f t="shared" si="8"/>
        <v>32</v>
      </c>
      <c r="F35" s="79"/>
      <c r="G35" s="82"/>
      <c r="H35" s="68" t="str">
        <f t="shared" si="26"/>
        <v>Clesim6_20211114_16_00</v>
      </c>
      <c r="I35" s="69">
        <f t="shared" si="28"/>
        <v>1</v>
      </c>
      <c r="J35" s="76" t="str">
        <f t="shared" si="28"/>
        <v>Clematis</v>
      </c>
      <c r="K35" s="76" t="str">
        <f t="shared" si="28"/>
        <v>simense</v>
      </c>
      <c r="L35" s="77">
        <f t="shared" si="28"/>
        <v>6</v>
      </c>
      <c r="M35" s="77">
        <f t="shared" si="28"/>
        <v>20</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v>
      </c>
      <c r="C36" s="73">
        <f t="shared" si="25"/>
        <v>14</v>
      </c>
      <c r="D36" s="74">
        <f t="shared" si="7"/>
        <v>16</v>
      </c>
      <c r="E36" s="75">
        <f t="shared" si="8"/>
        <v>33</v>
      </c>
      <c r="F36" s="79"/>
      <c r="G36" s="82"/>
      <c r="H36" s="68" t="str">
        <f t="shared" si="26"/>
        <v>Clesim6_20211114_16_00</v>
      </c>
      <c r="I36" s="69">
        <f t="shared" si="28"/>
        <v>1</v>
      </c>
      <c r="J36" s="76" t="str">
        <f t="shared" si="28"/>
        <v>Clematis</v>
      </c>
      <c r="K36" s="76" t="str">
        <f t="shared" si="28"/>
        <v>simense</v>
      </c>
      <c r="L36" s="77">
        <f t="shared" si="28"/>
        <v>6</v>
      </c>
      <c r="M36" s="77">
        <f t="shared" si="28"/>
        <v>20</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v>
      </c>
      <c r="C37" s="73">
        <f t="shared" si="25"/>
        <v>14</v>
      </c>
      <c r="D37" s="74">
        <f t="shared" si="7"/>
        <v>16</v>
      </c>
      <c r="E37" s="75">
        <f t="shared" si="8"/>
        <v>34</v>
      </c>
      <c r="F37" s="79"/>
      <c r="G37" s="82"/>
      <c r="H37" s="68" t="str">
        <f t="shared" si="26"/>
        <v>Clesim6_20211114_16_00</v>
      </c>
      <c r="I37" s="69">
        <f t="shared" ref="I37:N52" si="29">I36</f>
        <v>1</v>
      </c>
      <c r="J37" s="76" t="str">
        <f t="shared" si="29"/>
        <v>Clematis</v>
      </c>
      <c r="K37" s="76" t="str">
        <f t="shared" si="29"/>
        <v>simense</v>
      </c>
      <c r="L37" s="77">
        <f t="shared" si="29"/>
        <v>6</v>
      </c>
      <c r="M37" s="77">
        <f t="shared" si="29"/>
        <v>20</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v>
      </c>
      <c r="C38" s="73">
        <f t="shared" si="25"/>
        <v>14</v>
      </c>
      <c r="D38" s="74">
        <f t="shared" si="7"/>
        <v>16</v>
      </c>
      <c r="E38" s="75">
        <f t="shared" si="8"/>
        <v>35</v>
      </c>
      <c r="F38" s="79"/>
      <c r="G38" s="82"/>
      <c r="H38" s="68" t="str">
        <f t="shared" si="26"/>
        <v>Clesim6_20211114_16_00</v>
      </c>
      <c r="I38" s="69">
        <f t="shared" si="29"/>
        <v>1</v>
      </c>
      <c r="J38" s="76" t="str">
        <f t="shared" si="29"/>
        <v>Clematis</v>
      </c>
      <c r="K38" s="76" t="str">
        <f t="shared" si="29"/>
        <v>simense</v>
      </c>
      <c r="L38" s="77">
        <f t="shared" si="29"/>
        <v>6</v>
      </c>
      <c r="M38" s="77">
        <f t="shared" si="29"/>
        <v>20</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v>
      </c>
      <c r="C39" s="73">
        <f t="shared" si="25"/>
        <v>14</v>
      </c>
      <c r="D39" s="74">
        <f t="shared" si="7"/>
        <v>16</v>
      </c>
      <c r="E39" s="75">
        <f t="shared" si="8"/>
        <v>36</v>
      </c>
      <c r="F39" s="79"/>
      <c r="G39" s="82"/>
      <c r="H39" s="68" t="str">
        <f t="shared" si="26"/>
        <v>Clesim6_20211114_16_00</v>
      </c>
      <c r="I39" s="69">
        <f t="shared" si="29"/>
        <v>1</v>
      </c>
      <c r="J39" s="76" t="str">
        <f t="shared" si="29"/>
        <v>Clematis</v>
      </c>
      <c r="K39" s="76" t="str">
        <f t="shared" si="29"/>
        <v>simense</v>
      </c>
      <c r="L39" s="77">
        <f t="shared" si="29"/>
        <v>6</v>
      </c>
      <c r="M39" s="77">
        <f t="shared" si="29"/>
        <v>20</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v>
      </c>
      <c r="C40" s="73">
        <f t="shared" si="25"/>
        <v>14</v>
      </c>
      <c r="D40" s="74">
        <f t="shared" si="7"/>
        <v>16</v>
      </c>
      <c r="E40" s="75">
        <f t="shared" si="8"/>
        <v>37</v>
      </c>
      <c r="F40" s="79"/>
      <c r="G40" s="82"/>
      <c r="H40" s="68" t="str">
        <f t="shared" si="26"/>
        <v>Clesim6_20211114_16_00</v>
      </c>
      <c r="I40" s="69">
        <f t="shared" si="29"/>
        <v>1</v>
      </c>
      <c r="J40" s="76" t="str">
        <f t="shared" si="29"/>
        <v>Clematis</v>
      </c>
      <c r="K40" s="76" t="str">
        <f t="shared" si="29"/>
        <v>simense</v>
      </c>
      <c r="L40" s="77">
        <f t="shared" si="29"/>
        <v>6</v>
      </c>
      <c r="M40" s="77">
        <f t="shared" si="29"/>
        <v>20</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v>
      </c>
      <c r="C41" s="73">
        <f t="shared" si="25"/>
        <v>14</v>
      </c>
      <c r="D41" s="74">
        <f t="shared" si="7"/>
        <v>16</v>
      </c>
      <c r="E41" s="75">
        <f t="shared" si="8"/>
        <v>38</v>
      </c>
      <c r="F41" s="79"/>
      <c r="G41" s="82"/>
      <c r="H41" s="68" t="str">
        <f t="shared" si="26"/>
        <v>Clesim6_20211114_16_00</v>
      </c>
      <c r="I41" s="69">
        <f t="shared" si="29"/>
        <v>1</v>
      </c>
      <c r="J41" s="76" t="str">
        <f t="shared" si="29"/>
        <v>Clematis</v>
      </c>
      <c r="K41" s="76" t="str">
        <f t="shared" si="29"/>
        <v>simense</v>
      </c>
      <c r="L41" s="77">
        <f t="shared" si="29"/>
        <v>6</v>
      </c>
      <c r="M41" s="77">
        <f t="shared" si="29"/>
        <v>20</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v>
      </c>
      <c r="C42" s="73">
        <f t="shared" si="25"/>
        <v>14</v>
      </c>
      <c r="D42" s="74">
        <f t="shared" si="7"/>
        <v>16</v>
      </c>
      <c r="E42" s="75">
        <f t="shared" si="8"/>
        <v>39</v>
      </c>
      <c r="F42" s="79"/>
      <c r="G42" s="82"/>
      <c r="H42" s="68" t="str">
        <f t="shared" si="26"/>
        <v>Clesim6_20211114_16_00</v>
      </c>
      <c r="I42" s="69">
        <f t="shared" si="29"/>
        <v>1</v>
      </c>
      <c r="J42" s="76" t="str">
        <f t="shared" si="29"/>
        <v>Clematis</v>
      </c>
      <c r="K42" s="76" t="str">
        <f t="shared" si="29"/>
        <v>simense</v>
      </c>
      <c r="L42" s="77">
        <f t="shared" si="29"/>
        <v>6</v>
      </c>
      <c r="M42" s="77">
        <f t="shared" si="29"/>
        <v>20</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2021</v>
      </c>
      <c r="B43" s="72" t="str">
        <f t="shared" si="6"/>
        <v>Nov</v>
      </c>
      <c r="C43" s="73">
        <f t="shared" si="25"/>
        <v>14</v>
      </c>
      <c r="D43" s="74">
        <f t="shared" si="7"/>
        <v>16</v>
      </c>
      <c r="E43" s="75">
        <f t="shared" si="8"/>
        <v>40</v>
      </c>
      <c r="F43" s="79">
        <v>35</v>
      </c>
      <c r="G43" s="82"/>
      <c r="H43" s="68" t="str">
        <f t="shared" si="26"/>
        <v>Clesim6_20211114_16_00</v>
      </c>
      <c r="I43" s="69">
        <f t="shared" si="29"/>
        <v>1</v>
      </c>
      <c r="J43" s="76" t="str">
        <f t="shared" si="29"/>
        <v>Clematis</v>
      </c>
      <c r="K43" s="76" t="str">
        <f t="shared" si="29"/>
        <v>simense</v>
      </c>
      <c r="L43" s="77">
        <f t="shared" si="29"/>
        <v>6</v>
      </c>
      <c r="M43" s="77">
        <f t="shared" si="29"/>
        <v>20</v>
      </c>
      <c r="N43" s="71">
        <f t="shared" si="29"/>
        <v>0</v>
      </c>
      <c r="O43" s="44"/>
      <c r="P43" s="45">
        <f t="shared" si="10"/>
        <v>1</v>
      </c>
      <c r="Q43" s="46" t="str">
        <f t="shared" si="11"/>
        <v>16:40:35</v>
      </c>
      <c r="R43" s="47" t="str">
        <f t="shared" si="12"/>
        <v>40:35</v>
      </c>
      <c r="S43" s="48">
        <f t="shared" si="0"/>
        <v>130</v>
      </c>
      <c r="T43" s="47" t="str">
        <f t="shared" si="13"/>
        <v>16</v>
      </c>
      <c r="U43" s="49">
        <v>42</v>
      </c>
      <c r="V43" s="50">
        <v>45</v>
      </c>
      <c r="W43" s="51" t="str">
        <f t="shared" si="14"/>
        <v>42:45</v>
      </c>
      <c r="X43" s="123" t="s">
        <v>69</v>
      </c>
      <c r="Y43" s="52" t="s">
        <v>70</v>
      </c>
      <c r="Z43" s="52"/>
      <c r="AA43" s="47" t="s">
        <v>67</v>
      </c>
      <c r="AB43" s="47" t="str">
        <f t="shared" si="15"/>
        <v>NA</v>
      </c>
      <c r="AC43" s="53" t="str">
        <f t="shared" si="16"/>
        <v/>
      </c>
      <c r="AD43" s="54">
        <v>3</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f t="shared" si="1"/>
        <v>0</v>
      </c>
      <c r="AX43" s="61" t="str">
        <f t="shared" si="2"/>
        <v/>
      </c>
      <c r="AY43" s="60">
        <f t="shared" si="3"/>
        <v>0</v>
      </c>
      <c r="AZ43" s="61" t="str">
        <f t="shared" si="4"/>
        <v/>
      </c>
    </row>
    <row r="44" spans="1:52" s="3" customFormat="1" hidden="1" x14ac:dyDescent="0.35">
      <c r="A44" s="72">
        <f t="shared" si="5"/>
        <v>2021</v>
      </c>
      <c r="B44" s="72" t="str">
        <f t="shared" si="6"/>
        <v>Nov</v>
      </c>
      <c r="C44" s="73">
        <f t="shared" si="25"/>
        <v>14</v>
      </c>
      <c r="D44" s="74">
        <f t="shared" si="7"/>
        <v>16</v>
      </c>
      <c r="E44" s="75">
        <f t="shared" si="8"/>
        <v>41</v>
      </c>
      <c r="F44" s="79"/>
      <c r="G44" s="82"/>
      <c r="H44" s="68" t="str">
        <f t="shared" si="26"/>
        <v>Clesim6_20211114_16_00</v>
      </c>
      <c r="I44" s="69">
        <f t="shared" si="29"/>
        <v>1</v>
      </c>
      <c r="J44" s="76" t="str">
        <f t="shared" si="29"/>
        <v>Clematis</v>
      </c>
      <c r="K44" s="76" t="str">
        <f t="shared" si="29"/>
        <v>simense</v>
      </c>
      <c r="L44" s="77">
        <f t="shared" si="29"/>
        <v>6</v>
      </c>
      <c r="M44" s="77">
        <f t="shared" si="29"/>
        <v>20</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v>
      </c>
      <c r="C45" s="73">
        <f t="shared" si="25"/>
        <v>14</v>
      </c>
      <c r="D45" s="74">
        <f t="shared" si="7"/>
        <v>16</v>
      </c>
      <c r="E45" s="75">
        <f t="shared" si="8"/>
        <v>42</v>
      </c>
      <c r="F45" s="79"/>
      <c r="G45" s="82"/>
      <c r="H45" s="68" t="str">
        <f t="shared" si="26"/>
        <v>Clesim6_20211114_16_00</v>
      </c>
      <c r="I45" s="69">
        <f t="shared" si="29"/>
        <v>1</v>
      </c>
      <c r="J45" s="76" t="str">
        <f t="shared" si="29"/>
        <v>Clematis</v>
      </c>
      <c r="K45" s="76" t="str">
        <f t="shared" si="29"/>
        <v>simense</v>
      </c>
      <c r="L45" s="77">
        <f t="shared" si="29"/>
        <v>6</v>
      </c>
      <c r="M45" s="77">
        <f t="shared" si="29"/>
        <v>20</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v>
      </c>
      <c r="C46" s="73">
        <f t="shared" si="25"/>
        <v>14</v>
      </c>
      <c r="D46" s="74">
        <f t="shared" si="7"/>
        <v>16</v>
      </c>
      <c r="E46" s="75">
        <f t="shared" si="8"/>
        <v>43</v>
      </c>
      <c r="F46" s="79"/>
      <c r="G46" s="82"/>
      <c r="H46" s="68" t="str">
        <f t="shared" si="26"/>
        <v>Clesim6_20211114_16_00</v>
      </c>
      <c r="I46" s="69">
        <f t="shared" si="29"/>
        <v>1</v>
      </c>
      <c r="J46" s="76" t="str">
        <f t="shared" si="29"/>
        <v>Clematis</v>
      </c>
      <c r="K46" s="76" t="str">
        <f t="shared" si="29"/>
        <v>simense</v>
      </c>
      <c r="L46" s="77">
        <f t="shared" si="29"/>
        <v>6</v>
      </c>
      <c r="M46" s="77">
        <f t="shared" si="29"/>
        <v>20</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v>
      </c>
      <c r="C47" s="73">
        <f t="shared" si="25"/>
        <v>14</v>
      </c>
      <c r="D47" s="74">
        <f t="shared" si="7"/>
        <v>16</v>
      </c>
      <c r="E47" s="75">
        <f t="shared" si="8"/>
        <v>44</v>
      </c>
      <c r="F47" s="79"/>
      <c r="G47" s="82"/>
      <c r="H47" s="68" t="str">
        <f t="shared" si="26"/>
        <v>Clesim6_20211114_16_00</v>
      </c>
      <c r="I47" s="69">
        <f t="shared" si="29"/>
        <v>1</v>
      </c>
      <c r="J47" s="76" t="str">
        <f t="shared" si="29"/>
        <v>Clematis</v>
      </c>
      <c r="K47" s="76" t="str">
        <f t="shared" si="29"/>
        <v>simense</v>
      </c>
      <c r="L47" s="77">
        <f t="shared" si="29"/>
        <v>6</v>
      </c>
      <c r="M47" s="77">
        <f t="shared" si="29"/>
        <v>20</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v>
      </c>
      <c r="C48" s="73">
        <f t="shared" si="25"/>
        <v>14</v>
      </c>
      <c r="D48" s="74">
        <f t="shared" si="7"/>
        <v>16</v>
      </c>
      <c r="E48" s="75">
        <f t="shared" si="8"/>
        <v>45</v>
      </c>
      <c r="F48" s="79"/>
      <c r="G48" s="82"/>
      <c r="H48" s="68" t="str">
        <f t="shared" si="26"/>
        <v>Clesim6_20211114_16_00</v>
      </c>
      <c r="I48" s="69">
        <f t="shared" si="29"/>
        <v>1</v>
      </c>
      <c r="J48" s="76" t="str">
        <f t="shared" si="29"/>
        <v>Clematis</v>
      </c>
      <c r="K48" s="76" t="str">
        <f t="shared" si="29"/>
        <v>simense</v>
      </c>
      <c r="L48" s="77">
        <f t="shared" si="29"/>
        <v>6</v>
      </c>
      <c r="M48" s="77">
        <f t="shared" si="29"/>
        <v>20</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v>
      </c>
      <c r="C49" s="73">
        <f t="shared" si="25"/>
        <v>14</v>
      </c>
      <c r="D49" s="74">
        <f t="shared" si="7"/>
        <v>16</v>
      </c>
      <c r="E49" s="75">
        <f t="shared" si="8"/>
        <v>46</v>
      </c>
      <c r="F49" s="79"/>
      <c r="G49" s="82"/>
      <c r="H49" s="68" t="str">
        <f t="shared" si="26"/>
        <v>Clesim6_20211114_16_00</v>
      </c>
      <c r="I49" s="69">
        <f t="shared" si="29"/>
        <v>1</v>
      </c>
      <c r="J49" s="76" t="str">
        <f t="shared" si="29"/>
        <v>Clematis</v>
      </c>
      <c r="K49" s="76" t="str">
        <f t="shared" si="29"/>
        <v>simense</v>
      </c>
      <c r="L49" s="77">
        <f t="shared" si="29"/>
        <v>6</v>
      </c>
      <c r="M49" s="77">
        <f t="shared" si="29"/>
        <v>20</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v>
      </c>
      <c r="C50" s="73">
        <f t="shared" si="25"/>
        <v>14</v>
      </c>
      <c r="D50" s="74">
        <f t="shared" si="7"/>
        <v>16</v>
      </c>
      <c r="E50" s="75">
        <f t="shared" si="8"/>
        <v>47</v>
      </c>
      <c r="F50" s="79"/>
      <c r="G50" s="82"/>
      <c r="H50" s="68" t="str">
        <f t="shared" si="26"/>
        <v>Clesim6_20211114_16_00</v>
      </c>
      <c r="I50" s="69">
        <f t="shared" si="29"/>
        <v>1</v>
      </c>
      <c r="J50" s="76" t="str">
        <f t="shared" si="29"/>
        <v>Clematis</v>
      </c>
      <c r="K50" s="76" t="str">
        <f t="shared" si="29"/>
        <v>simense</v>
      </c>
      <c r="L50" s="77">
        <f t="shared" si="29"/>
        <v>6</v>
      </c>
      <c r="M50" s="77">
        <f t="shared" si="29"/>
        <v>20</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v>
      </c>
      <c r="C51" s="73">
        <f t="shared" si="25"/>
        <v>14</v>
      </c>
      <c r="D51" s="74">
        <f t="shared" si="7"/>
        <v>16</v>
      </c>
      <c r="E51" s="75">
        <f t="shared" si="8"/>
        <v>48</v>
      </c>
      <c r="F51" s="79"/>
      <c r="G51" s="82"/>
      <c r="H51" s="68" t="str">
        <f t="shared" si="26"/>
        <v>Clesim6_20211114_16_00</v>
      </c>
      <c r="I51" s="69">
        <f t="shared" si="29"/>
        <v>1</v>
      </c>
      <c r="J51" s="76" t="str">
        <f t="shared" si="29"/>
        <v>Clematis</v>
      </c>
      <c r="K51" s="76" t="str">
        <f t="shared" si="29"/>
        <v>simense</v>
      </c>
      <c r="L51" s="77">
        <f t="shared" si="29"/>
        <v>6</v>
      </c>
      <c r="M51" s="77">
        <f t="shared" si="29"/>
        <v>20</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v>
      </c>
      <c r="C52" s="73">
        <f t="shared" si="25"/>
        <v>14</v>
      </c>
      <c r="D52" s="74">
        <f t="shared" si="7"/>
        <v>16</v>
      </c>
      <c r="E52" s="75">
        <f t="shared" si="8"/>
        <v>49</v>
      </c>
      <c r="F52" s="79"/>
      <c r="G52" s="82"/>
      <c r="H52" s="68" t="str">
        <f t="shared" si="26"/>
        <v>Clesim6_20211114_16_00</v>
      </c>
      <c r="I52" s="69">
        <f t="shared" si="29"/>
        <v>1</v>
      </c>
      <c r="J52" s="76" t="str">
        <f t="shared" si="29"/>
        <v>Clematis</v>
      </c>
      <c r="K52" s="76" t="str">
        <f t="shared" si="29"/>
        <v>simense</v>
      </c>
      <c r="L52" s="77">
        <f t="shared" si="29"/>
        <v>6</v>
      </c>
      <c r="M52" s="77">
        <f t="shared" si="29"/>
        <v>20</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v>
      </c>
      <c r="C53" s="73">
        <f t="shared" si="25"/>
        <v>14</v>
      </c>
      <c r="D53" s="74">
        <f t="shared" si="7"/>
        <v>16</v>
      </c>
      <c r="E53" s="75">
        <f t="shared" si="8"/>
        <v>50</v>
      </c>
      <c r="F53" s="79"/>
      <c r="G53" s="82"/>
      <c r="H53" s="68" t="str">
        <f t="shared" si="26"/>
        <v>Clesim6_20211114_16_00</v>
      </c>
      <c r="I53" s="69">
        <f t="shared" ref="I53:N68" si="30">I52</f>
        <v>1</v>
      </c>
      <c r="J53" s="76" t="str">
        <f t="shared" si="30"/>
        <v>Clematis</v>
      </c>
      <c r="K53" s="76" t="str">
        <f t="shared" si="30"/>
        <v>simense</v>
      </c>
      <c r="L53" s="77">
        <f t="shared" si="30"/>
        <v>6</v>
      </c>
      <c r="M53" s="77">
        <f t="shared" si="30"/>
        <v>20</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v>
      </c>
      <c r="C54" s="73">
        <f t="shared" si="25"/>
        <v>14</v>
      </c>
      <c r="D54" s="74">
        <f t="shared" si="7"/>
        <v>16</v>
      </c>
      <c r="E54" s="75">
        <f t="shared" si="8"/>
        <v>51</v>
      </c>
      <c r="F54" s="79"/>
      <c r="G54" s="82"/>
      <c r="H54" s="68" t="str">
        <f t="shared" si="26"/>
        <v>Clesim6_20211114_16_00</v>
      </c>
      <c r="I54" s="69">
        <f t="shared" si="30"/>
        <v>1</v>
      </c>
      <c r="J54" s="76" t="str">
        <f t="shared" si="30"/>
        <v>Clematis</v>
      </c>
      <c r="K54" s="76" t="str">
        <f t="shared" si="30"/>
        <v>simense</v>
      </c>
      <c r="L54" s="77">
        <f t="shared" si="30"/>
        <v>6</v>
      </c>
      <c r="M54" s="77">
        <f t="shared" si="30"/>
        <v>20</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v>
      </c>
      <c r="C55" s="73">
        <f t="shared" si="25"/>
        <v>14</v>
      </c>
      <c r="D55" s="74">
        <f t="shared" si="7"/>
        <v>16</v>
      </c>
      <c r="E55" s="75">
        <f t="shared" si="8"/>
        <v>52</v>
      </c>
      <c r="F55" s="79"/>
      <c r="G55" s="82"/>
      <c r="H55" s="68" t="str">
        <f t="shared" si="26"/>
        <v>Clesim6_20211114_16_00</v>
      </c>
      <c r="I55" s="69">
        <f t="shared" si="30"/>
        <v>1</v>
      </c>
      <c r="J55" s="76" t="str">
        <f t="shared" si="30"/>
        <v>Clematis</v>
      </c>
      <c r="K55" s="76" t="str">
        <f t="shared" si="30"/>
        <v>simense</v>
      </c>
      <c r="L55" s="77">
        <f t="shared" si="30"/>
        <v>6</v>
      </c>
      <c r="M55" s="77">
        <f t="shared" si="30"/>
        <v>20</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v>
      </c>
      <c r="C56" s="73">
        <f t="shared" si="25"/>
        <v>14</v>
      </c>
      <c r="D56" s="74">
        <f t="shared" si="7"/>
        <v>16</v>
      </c>
      <c r="E56" s="75">
        <f t="shared" si="8"/>
        <v>53</v>
      </c>
      <c r="F56" s="79"/>
      <c r="G56" s="82"/>
      <c r="H56" s="68" t="str">
        <f t="shared" si="26"/>
        <v>Clesim6_20211114_16_00</v>
      </c>
      <c r="I56" s="69">
        <f t="shared" si="30"/>
        <v>1</v>
      </c>
      <c r="J56" s="76" t="str">
        <f t="shared" si="30"/>
        <v>Clematis</v>
      </c>
      <c r="K56" s="76" t="str">
        <f t="shared" si="30"/>
        <v>simense</v>
      </c>
      <c r="L56" s="77">
        <f t="shared" si="30"/>
        <v>6</v>
      </c>
      <c r="M56" s="77">
        <f t="shared" si="30"/>
        <v>20</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v>
      </c>
      <c r="C57" s="73">
        <f t="shared" si="25"/>
        <v>14</v>
      </c>
      <c r="D57" s="74">
        <f t="shared" si="7"/>
        <v>16</v>
      </c>
      <c r="E57" s="75">
        <f t="shared" si="8"/>
        <v>54</v>
      </c>
      <c r="F57" s="79"/>
      <c r="G57" s="82"/>
      <c r="H57" s="68" t="str">
        <f t="shared" si="26"/>
        <v>Clesim6_20211114_16_00</v>
      </c>
      <c r="I57" s="69">
        <f t="shared" si="30"/>
        <v>1</v>
      </c>
      <c r="J57" s="76" t="str">
        <f t="shared" si="30"/>
        <v>Clematis</v>
      </c>
      <c r="K57" s="76" t="str">
        <f t="shared" si="30"/>
        <v>simense</v>
      </c>
      <c r="L57" s="77">
        <f t="shared" si="30"/>
        <v>6</v>
      </c>
      <c r="M57" s="77">
        <f t="shared" si="30"/>
        <v>20</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v>
      </c>
      <c r="C58" s="73">
        <f t="shared" si="25"/>
        <v>14</v>
      </c>
      <c r="D58" s="74">
        <f t="shared" si="7"/>
        <v>16</v>
      </c>
      <c r="E58" s="75">
        <f t="shared" si="8"/>
        <v>55</v>
      </c>
      <c r="F58" s="79"/>
      <c r="G58" s="82"/>
      <c r="H58" s="68" t="str">
        <f t="shared" si="26"/>
        <v>Clesim6_20211114_16_00</v>
      </c>
      <c r="I58" s="69">
        <f t="shared" si="30"/>
        <v>1</v>
      </c>
      <c r="J58" s="76" t="str">
        <f t="shared" si="30"/>
        <v>Clematis</v>
      </c>
      <c r="K58" s="76" t="str">
        <f t="shared" si="30"/>
        <v>simense</v>
      </c>
      <c r="L58" s="77">
        <f t="shared" si="30"/>
        <v>6</v>
      </c>
      <c r="M58" s="77">
        <f t="shared" si="30"/>
        <v>20</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v>
      </c>
      <c r="C59" s="73">
        <f t="shared" si="25"/>
        <v>14</v>
      </c>
      <c r="D59" s="74">
        <f t="shared" si="7"/>
        <v>16</v>
      </c>
      <c r="E59" s="75">
        <f t="shared" si="8"/>
        <v>56</v>
      </c>
      <c r="F59" s="79"/>
      <c r="G59" s="82"/>
      <c r="H59" s="68" t="str">
        <f t="shared" si="26"/>
        <v>Clesim6_20211114_16_00</v>
      </c>
      <c r="I59" s="69">
        <f t="shared" si="30"/>
        <v>1</v>
      </c>
      <c r="J59" s="76" t="str">
        <f t="shared" si="30"/>
        <v>Clematis</v>
      </c>
      <c r="K59" s="76" t="str">
        <f t="shared" si="30"/>
        <v>simense</v>
      </c>
      <c r="L59" s="77">
        <f t="shared" si="30"/>
        <v>6</v>
      </c>
      <c r="M59" s="77">
        <f t="shared" si="30"/>
        <v>20</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v>
      </c>
      <c r="C60" s="73">
        <f t="shared" si="25"/>
        <v>14</v>
      </c>
      <c r="D60" s="74">
        <f t="shared" si="7"/>
        <v>16</v>
      </c>
      <c r="E60" s="75">
        <f t="shared" si="8"/>
        <v>57</v>
      </c>
      <c r="F60" s="79"/>
      <c r="G60" s="82"/>
      <c r="H60" s="68" t="str">
        <f t="shared" si="26"/>
        <v>Clesim6_20211114_16_00</v>
      </c>
      <c r="I60" s="69">
        <f t="shared" si="30"/>
        <v>1</v>
      </c>
      <c r="J60" s="76" t="str">
        <f t="shared" si="30"/>
        <v>Clematis</v>
      </c>
      <c r="K60" s="76" t="str">
        <f t="shared" si="30"/>
        <v>simense</v>
      </c>
      <c r="L60" s="77">
        <f t="shared" si="30"/>
        <v>6</v>
      </c>
      <c r="M60" s="77">
        <f t="shared" si="30"/>
        <v>20</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v>
      </c>
      <c r="C61" s="73">
        <f t="shared" si="25"/>
        <v>14</v>
      </c>
      <c r="D61" s="74">
        <f t="shared" si="7"/>
        <v>16</v>
      </c>
      <c r="E61" s="75">
        <f t="shared" si="8"/>
        <v>58</v>
      </c>
      <c r="F61" s="79"/>
      <c r="G61" s="82"/>
      <c r="H61" s="68" t="str">
        <f t="shared" si="26"/>
        <v>Clesim6_20211114_16_00</v>
      </c>
      <c r="I61" s="69">
        <f t="shared" si="30"/>
        <v>1</v>
      </c>
      <c r="J61" s="76" t="str">
        <f t="shared" si="30"/>
        <v>Clematis</v>
      </c>
      <c r="K61" s="76" t="str">
        <f t="shared" si="30"/>
        <v>simense</v>
      </c>
      <c r="L61" s="77">
        <f t="shared" si="30"/>
        <v>6</v>
      </c>
      <c r="M61" s="77">
        <f t="shared" si="30"/>
        <v>20</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v>
      </c>
      <c r="C62" s="73">
        <f t="shared" si="25"/>
        <v>14</v>
      </c>
      <c r="D62" s="74">
        <f t="shared" si="7"/>
        <v>16</v>
      </c>
      <c r="E62" s="75">
        <f t="shared" si="8"/>
        <v>59</v>
      </c>
      <c r="F62" s="79"/>
      <c r="G62" s="82"/>
      <c r="H62" s="68" t="str">
        <f t="shared" si="26"/>
        <v>Clesim6_20211114_16_00</v>
      </c>
      <c r="I62" s="69">
        <f t="shared" si="30"/>
        <v>1</v>
      </c>
      <c r="J62" s="76" t="str">
        <f t="shared" si="30"/>
        <v>Clematis</v>
      </c>
      <c r="K62" s="76" t="str">
        <f t="shared" si="30"/>
        <v>simense</v>
      </c>
      <c r="L62" s="77">
        <f t="shared" si="30"/>
        <v>6</v>
      </c>
      <c r="M62" s="77">
        <f t="shared" si="30"/>
        <v>20</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v>
      </c>
      <c r="C63" s="73">
        <f t="shared" si="25"/>
        <v>14</v>
      </c>
      <c r="D63" s="74">
        <f t="shared" si="7"/>
        <v>17</v>
      </c>
      <c r="E63" s="75">
        <f t="shared" si="8"/>
        <v>0</v>
      </c>
      <c r="F63" s="79"/>
      <c r="G63" s="82"/>
      <c r="H63" s="68" t="str">
        <f t="shared" si="26"/>
        <v>Clesim6_20211114_17_00</v>
      </c>
      <c r="I63" s="69">
        <f t="shared" si="30"/>
        <v>1</v>
      </c>
      <c r="J63" s="76" t="str">
        <f t="shared" si="30"/>
        <v>Clematis</v>
      </c>
      <c r="K63" s="76" t="str">
        <f t="shared" si="30"/>
        <v>simense</v>
      </c>
      <c r="L63" s="77">
        <f t="shared" si="30"/>
        <v>6</v>
      </c>
      <c r="M63" s="77">
        <f t="shared" si="30"/>
        <v>20</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v>
      </c>
      <c r="C64" s="73">
        <f t="shared" si="25"/>
        <v>14</v>
      </c>
      <c r="D64" s="74">
        <f t="shared" si="7"/>
        <v>17</v>
      </c>
      <c r="E64" s="75">
        <f t="shared" si="8"/>
        <v>1</v>
      </c>
      <c r="F64" s="79"/>
      <c r="G64" s="82"/>
      <c r="H64" s="68" t="str">
        <f t="shared" si="26"/>
        <v>Clesim6_20211114_17_00</v>
      </c>
      <c r="I64" s="69">
        <f t="shared" si="30"/>
        <v>1</v>
      </c>
      <c r="J64" s="76" t="str">
        <f t="shared" si="30"/>
        <v>Clematis</v>
      </c>
      <c r="K64" s="76" t="str">
        <f t="shared" si="30"/>
        <v>simense</v>
      </c>
      <c r="L64" s="77">
        <f t="shared" si="30"/>
        <v>6</v>
      </c>
      <c r="M64" s="77">
        <f t="shared" si="30"/>
        <v>20</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v>
      </c>
      <c r="C65" s="73">
        <f t="shared" si="25"/>
        <v>14</v>
      </c>
      <c r="D65" s="74">
        <f t="shared" si="7"/>
        <v>17</v>
      </c>
      <c r="E65" s="75">
        <f t="shared" si="8"/>
        <v>2</v>
      </c>
      <c r="F65" s="79"/>
      <c r="G65" s="82"/>
      <c r="H65" s="68" t="str">
        <f t="shared" si="26"/>
        <v>Clesim6_20211114_17_00</v>
      </c>
      <c r="I65" s="69">
        <f t="shared" si="30"/>
        <v>1</v>
      </c>
      <c r="J65" s="76" t="str">
        <f t="shared" si="30"/>
        <v>Clematis</v>
      </c>
      <c r="K65" s="76" t="str">
        <f t="shared" si="30"/>
        <v>simense</v>
      </c>
      <c r="L65" s="77">
        <f t="shared" si="30"/>
        <v>6</v>
      </c>
      <c r="M65" s="77">
        <f t="shared" si="30"/>
        <v>20</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2021</v>
      </c>
      <c r="B66" s="72" t="str">
        <f t="shared" si="6"/>
        <v>Nov</v>
      </c>
      <c r="C66" s="73">
        <f t="shared" si="25"/>
        <v>14</v>
      </c>
      <c r="D66" s="74">
        <f t="shared" si="7"/>
        <v>17</v>
      </c>
      <c r="E66" s="75">
        <f t="shared" si="8"/>
        <v>3</v>
      </c>
      <c r="F66" s="79">
        <v>50</v>
      </c>
      <c r="G66" s="82"/>
      <c r="H66" s="68" t="str">
        <f t="shared" si="26"/>
        <v>Clesim6_20211114_17_00</v>
      </c>
      <c r="I66" s="69">
        <f t="shared" si="30"/>
        <v>1</v>
      </c>
      <c r="J66" s="76" t="str">
        <f t="shared" si="30"/>
        <v>Clematis</v>
      </c>
      <c r="K66" s="76" t="str">
        <f t="shared" si="30"/>
        <v>simense</v>
      </c>
      <c r="L66" s="77">
        <f t="shared" si="30"/>
        <v>6</v>
      </c>
      <c r="M66" s="77">
        <f t="shared" si="30"/>
        <v>20</v>
      </c>
      <c r="N66" s="71">
        <f t="shared" si="30"/>
        <v>0</v>
      </c>
      <c r="O66" s="44"/>
      <c r="P66" s="45">
        <f t="shared" si="10"/>
        <v>1</v>
      </c>
      <c r="Q66" s="46" t="str">
        <f t="shared" si="11"/>
        <v>17:03:50</v>
      </c>
      <c r="R66" s="47" t="str">
        <f t="shared" si="12"/>
        <v>03:50</v>
      </c>
      <c r="S66" s="48">
        <f t="shared" si="0"/>
        <v>258</v>
      </c>
      <c r="T66" s="47" t="str">
        <f t="shared" si="13"/>
        <v>17</v>
      </c>
      <c r="U66" s="49">
        <v>8</v>
      </c>
      <c r="V66" s="50">
        <v>8</v>
      </c>
      <c r="W66" s="51" t="str">
        <f t="shared" si="14"/>
        <v>08:08</v>
      </c>
      <c r="X66" s="123" t="s">
        <v>69</v>
      </c>
      <c r="Y66" s="52" t="s">
        <v>84</v>
      </c>
      <c r="Z66" s="52"/>
      <c r="AA66" s="47" t="s">
        <v>67</v>
      </c>
      <c r="AB66" s="47" t="str">
        <f t="shared" si="15"/>
        <v>NA</v>
      </c>
      <c r="AC66" s="53" t="str">
        <f t="shared" si="16"/>
        <v/>
      </c>
      <c r="AD66" s="54">
        <v>2</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f t="shared" si="1"/>
        <v>0</v>
      </c>
      <c r="AX66" s="61" t="str">
        <f t="shared" si="2"/>
        <v/>
      </c>
      <c r="AY66" s="60">
        <f t="shared" si="3"/>
        <v>0</v>
      </c>
      <c r="AZ66" s="61" t="str">
        <f t="shared" si="4"/>
        <v/>
      </c>
    </row>
    <row r="67" spans="1:52" s="3" customFormat="1" hidden="1" x14ac:dyDescent="0.35">
      <c r="A67" s="72">
        <f t="shared" si="5"/>
        <v>2021</v>
      </c>
      <c r="B67" s="72" t="str">
        <f t="shared" si="6"/>
        <v>Nov</v>
      </c>
      <c r="C67" s="73">
        <f t="shared" si="25"/>
        <v>14</v>
      </c>
      <c r="D67" s="74">
        <f t="shared" si="7"/>
        <v>17</v>
      </c>
      <c r="E67" s="75">
        <f t="shared" si="8"/>
        <v>4</v>
      </c>
      <c r="F67" s="79"/>
      <c r="G67" s="82"/>
      <c r="H67" s="68" t="str">
        <f t="shared" si="26"/>
        <v>Clesim6_20211114_17_00</v>
      </c>
      <c r="I67" s="69">
        <f t="shared" si="30"/>
        <v>1</v>
      </c>
      <c r="J67" s="76" t="str">
        <f t="shared" si="30"/>
        <v>Clematis</v>
      </c>
      <c r="K67" s="76" t="str">
        <f t="shared" si="30"/>
        <v>simense</v>
      </c>
      <c r="L67" s="77">
        <f t="shared" si="30"/>
        <v>6</v>
      </c>
      <c r="M67" s="77">
        <f t="shared" si="30"/>
        <v>20</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v>
      </c>
      <c r="C68" s="73">
        <f t="shared" si="25"/>
        <v>14</v>
      </c>
      <c r="D68" s="74">
        <f t="shared" ref="D68:D131" si="38">IF(IF(E67=59,D67+1,D67)=24,0,IF(E67=59,D67+1,D67))</f>
        <v>17</v>
      </c>
      <c r="E68" s="75">
        <f t="shared" ref="E68:E131" si="39">IF(E67&lt;59,E67+1,0)</f>
        <v>5</v>
      </c>
      <c r="F68" s="79"/>
      <c r="G68" s="82"/>
      <c r="H68" s="68" t="str">
        <f t="shared" si="26"/>
        <v>Clesim6_20211114_17_00</v>
      </c>
      <c r="I68" s="69">
        <f t="shared" si="30"/>
        <v>1</v>
      </c>
      <c r="J68" s="76" t="str">
        <f t="shared" si="30"/>
        <v>Clematis</v>
      </c>
      <c r="K68" s="76" t="str">
        <f t="shared" si="30"/>
        <v>simense</v>
      </c>
      <c r="L68" s="77">
        <f t="shared" si="30"/>
        <v>6</v>
      </c>
      <c r="M68" s="77">
        <f t="shared" si="30"/>
        <v>20</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v>
      </c>
      <c r="C69" s="73">
        <f t="shared" ref="C69:C132" si="55">IF(AND(D69=0, E69=0), IF(TEXT(C68,"dd")=TEXT(EOMONTH(DATE(A68,MONTH(DATEVALUE(B68&amp;"1")),C68),0), "dd"), 1, C68+1), C68)</f>
        <v>14</v>
      </c>
      <c r="D69" s="74">
        <f t="shared" si="38"/>
        <v>17</v>
      </c>
      <c r="E69" s="75">
        <f t="shared" si="39"/>
        <v>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Clesim6_20211114_17_00</v>
      </c>
      <c r="I69" s="69">
        <f t="shared" ref="I69:N84" si="57">I68</f>
        <v>1</v>
      </c>
      <c r="J69" s="76" t="str">
        <f t="shared" si="57"/>
        <v>Clematis</v>
      </c>
      <c r="K69" s="76" t="str">
        <f t="shared" si="57"/>
        <v>simense</v>
      </c>
      <c r="L69" s="77">
        <f t="shared" si="57"/>
        <v>6</v>
      </c>
      <c r="M69" s="77">
        <f t="shared" si="57"/>
        <v>20</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v>
      </c>
      <c r="C70" s="73">
        <f t="shared" si="55"/>
        <v>14</v>
      </c>
      <c r="D70" s="74">
        <f t="shared" si="38"/>
        <v>17</v>
      </c>
      <c r="E70" s="75">
        <f t="shared" si="39"/>
        <v>7</v>
      </c>
      <c r="F70" s="79"/>
      <c r="G70" s="82"/>
      <c r="H70" s="68" t="str">
        <f t="shared" si="56"/>
        <v>Clesim6_20211114_17_00</v>
      </c>
      <c r="I70" s="69">
        <f t="shared" si="57"/>
        <v>1</v>
      </c>
      <c r="J70" s="76" t="str">
        <f t="shared" si="57"/>
        <v>Clematis</v>
      </c>
      <c r="K70" s="76" t="str">
        <f t="shared" si="57"/>
        <v>simense</v>
      </c>
      <c r="L70" s="77">
        <f t="shared" si="57"/>
        <v>6</v>
      </c>
      <c r="M70" s="77">
        <f t="shared" si="57"/>
        <v>20</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v>
      </c>
      <c r="C71" s="73">
        <f t="shared" si="55"/>
        <v>14</v>
      </c>
      <c r="D71" s="74">
        <f t="shared" si="38"/>
        <v>17</v>
      </c>
      <c r="E71" s="75">
        <f t="shared" si="39"/>
        <v>8</v>
      </c>
      <c r="F71" s="79"/>
      <c r="G71" s="82"/>
      <c r="H71" s="68" t="str">
        <f t="shared" si="56"/>
        <v>Clesim6_20211114_17_00</v>
      </c>
      <c r="I71" s="69">
        <f t="shared" si="57"/>
        <v>1</v>
      </c>
      <c r="J71" s="76" t="str">
        <f t="shared" si="57"/>
        <v>Clematis</v>
      </c>
      <c r="K71" s="76" t="str">
        <f t="shared" si="57"/>
        <v>simense</v>
      </c>
      <c r="L71" s="77">
        <f t="shared" si="57"/>
        <v>6</v>
      </c>
      <c r="M71" s="77">
        <f t="shared" si="57"/>
        <v>20</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v>
      </c>
      <c r="C72" s="73">
        <f t="shared" si="55"/>
        <v>14</v>
      </c>
      <c r="D72" s="74">
        <f t="shared" si="38"/>
        <v>17</v>
      </c>
      <c r="E72" s="75">
        <f t="shared" si="39"/>
        <v>9</v>
      </c>
      <c r="F72" s="79"/>
      <c r="G72" s="82"/>
      <c r="H72" s="68" t="str">
        <f t="shared" si="56"/>
        <v>Clesim6_20211114_17_00</v>
      </c>
      <c r="I72" s="69">
        <f t="shared" si="57"/>
        <v>1</v>
      </c>
      <c r="J72" s="76" t="str">
        <f t="shared" si="57"/>
        <v>Clematis</v>
      </c>
      <c r="K72" s="76" t="str">
        <f t="shared" si="57"/>
        <v>simense</v>
      </c>
      <c r="L72" s="77">
        <f t="shared" si="57"/>
        <v>6</v>
      </c>
      <c r="M72" s="77">
        <f t="shared" si="57"/>
        <v>20</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v>
      </c>
      <c r="C73" s="73">
        <f t="shared" si="55"/>
        <v>14</v>
      </c>
      <c r="D73" s="74">
        <f t="shared" si="38"/>
        <v>17</v>
      </c>
      <c r="E73" s="75">
        <f t="shared" si="39"/>
        <v>10</v>
      </c>
      <c r="F73" s="79"/>
      <c r="G73" s="82"/>
      <c r="H73" s="68" t="str">
        <f t="shared" si="56"/>
        <v>Clesim6_20211114_17_00</v>
      </c>
      <c r="I73" s="69">
        <f t="shared" si="57"/>
        <v>1</v>
      </c>
      <c r="J73" s="76" t="str">
        <f t="shared" si="57"/>
        <v>Clematis</v>
      </c>
      <c r="K73" s="76" t="str">
        <f t="shared" si="57"/>
        <v>simense</v>
      </c>
      <c r="L73" s="77">
        <f t="shared" si="57"/>
        <v>6</v>
      </c>
      <c r="M73" s="77">
        <f t="shared" si="57"/>
        <v>20</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v>
      </c>
      <c r="C74" s="73">
        <f t="shared" si="55"/>
        <v>14</v>
      </c>
      <c r="D74" s="74">
        <f t="shared" si="38"/>
        <v>17</v>
      </c>
      <c r="E74" s="75">
        <f t="shared" si="39"/>
        <v>11</v>
      </c>
      <c r="F74" s="79"/>
      <c r="G74" s="82"/>
      <c r="H74" s="68" t="str">
        <f t="shared" si="56"/>
        <v>Clesim6_20211114_17_00</v>
      </c>
      <c r="I74" s="69">
        <f t="shared" si="57"/>
        <v>1</v>
      </c>
      <c r="J74" s="76" t="str">
        <f t="shared" si="57"/>
        <v>Clematis</v>
      </c>
      <c r="K74" s="76" t="str">
        <f t="shared" si="57"/>
        <v>simense</v>
      </c>
      <c r="L74" s="77">
        <f t="shared" si="57"/>
        <v>6</v>
      </c>
      <c r="M74" s="77">
        <f t="shared" si="57"/>
        <v>20</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2021</v>
      </c>
      <c r="B75" s="72" t="str">
        <f t="shared" si="37"/>
        <v>Nov</v>
      </c>
      <c r="C75" s="73">
        <f t="shared" si="55"/>
        <v>14</v>
      </c>
      <c r="D75" s="74">
        <f t="shared" si="38"/>
        <v>17</v>
      </c>
      <c r="E75" s="75">
        <f t="shared" si="39"/>
        <v>12</v>
      </c>
      <c r="F75" s="79"/>
      <c r="G75" s="82"/>
      <c r="H75" s="68" t="str">
        <f t="shared" si="56"/>
        <v>Clesim6_20211114_17_00</v>
      </c>
      <c r="I75" s="69">
        <f t="shared" si="57"/>
        <v>1</v>
      </c>
      <c r="J75" s="76" t="str">
        <f t="shared" si="57"/>
        <v>Clematis</v>
      </c>
      <c r="K75" s="76" t="str">
        <f t="shared" si="57"/>
        <v>simense</v>
      </c>
      <c r="L75" s="77">
        <f t="shared" si="57"/>
        <v>6</v>
      </c>
      <c r="M75" s="77">
        <f t="shared" si="57"/>
        <v>20</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v>
      </c>
      <c r="C76" s="73">
        <f t="shared" si="55"/>
        <v>14</v>
      </c>
      <c r="D76" s="74">
        <f t="shared" si="38"/>
        <v>17</v>
      </c>
      <c r="E76" s="75">
        <f t="shared" si="39"/>
        <v>13</v>
      </c>
      <c r="F76" s="79"/>
      <c r="G76" s="82"/>
      <c r="H76" s="68" t="str">
        <f t="shared" si="56"/>
        <v>Clesim6_20211114_17_00</v>
      </c>
      <c r="I76" s="69">
        <f t="shared" si="57"/>
        <v>1</v>
      </c>
      <c r="J76" s="76" t="str">
        <f t="shared" si="57"/>
        <v>Clematis</v>
      </c>
      <c r="K76" s="76" t="str">
        <f t="shared" si="57"/>
        <v>simense</v>
      </c>
      <c r="L76" s="77">
        <f t="shared" si="57"/>
        <v>6</v>
      </c>
      <c r="M76" s="77">
        <f t="shared" si="57"/>
        <v>20</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v>
      </c>
      <c r="C77" s="73">
        <f t="shared" si="55"/>
        <v>14</v>
      </c>
      <c r="D77" s="74">
        <f t="shared" si="38"/>
        <v>17</v>
      </c>
      <c r="E77" s="75">
        <f t="shared" si="39"/>
        <v>14</v>
      </c>
      <c r="F77" s="79"/>
      <c r="G77" s="82"/>
      <c r="H77" s="68" t="str">
        <f t="shared" si="56"/>
        <v>Clesim6_20211114_17_00</v>
      </c>
      <c r="I77" s="69">
        <f t="shared" si="57"/>
        <v>1</v>
      </c>
      <c r="J77" s="76" t="str">
        <f t="shared" si="57"/>
        <v>Clematis</v>
      </c>
      <c r="K77" s="76" t="str">
        <f t="shared" si="57"/>
        <v>simense</v>
      </c>
      <c r="L77" s="77">
        <f t="shared" si="57"/>
        <v>6</v>
      </c>
      <c r="M77" s="77">
        <f t="shared" si="57"/>
        <v>20</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v>
      </c>
      <c r="C78" s="73">
        <f t="shared" si="55"/>
        <v>14</v>
      </c>
      <c r="D78" s="74">
        <f t="shared" si="38"/>
        <v>17</v>
      </c>
      <c r="E78" s="75">
        <f t="shared" si="39"/>
        <v>15</v>
      </c>
      <c r="F78" s="79"/>
      <c r="G78" s="82"/>
      <c r="H78" s="68" t="str">
        <f t="shared" si="56"/>
        <v>Clesim6_20211114_17_00</v>
      </c>
      <c r="I78" s="69">
        <f t="shared" si="57"/>
        <v>1</v>
      </c>
      <c r="J78" s="76" t="str">
        <f t="shared" si="57"/>
        <v>Clematis</v>
      </c>
      <c r="K78" s="76" t="str">
        <f t="shared" si="57"/>
        <v>simense</v>
      </c>
      <c r="L78" s="77">
        <f t="shared" si="57"/>
        <v>6</v>
      </c>
      <c r="M78" s="77">
        <f t="shared" si="57"/>
        <v>20</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v>
      </c>
      <c r="C79" s="73">
        <f t="shared" si="55"/>
        <v>14</v>
      </c>
      <c r="D79" s="74">
        <f t="shared" si="38"/>
        <v>17</v>
      </c>
      <c r="E79" s="75">
        <f t="shared" si="39"/>
        <v>16</v>
      </c>
      <c r="F79" s="79"/>
      <c r="G79" s="82"/>
      <c r="H79" s="68" t="str">
        <f t="shared" si="56"/>
        <v>Clesim6_20211114_17_00</v>
      </c>
      <c r="I79" s="69">
        <f t="shared" si="57"/>
        <v>1</v>
      </c>
      <c r="J79" s="76" t="str">
        <f t="shared" si="57"/>
        <v>Clematis</v>
      </c>
      <c r="K79" s="76" t="str">
        <f t="shared" si="57"/>
        <v>simense</v>
      </c>
      <c r="L79" s="77">
        <f t="shared" si="57"/>
        <v>6</v>
      </c>
      <c r="M79" s="77">
        <f t="shared" si="57"/>
        <v>20</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v>
      </c>
      <c r="C80" s="73">
        <f t="shared" si="55"/>
        <v>14</v>
      </c>
      <c r="D80" s="74">
        <f t="shared" si="38"/>
        <v>17</v>
      </c>
      <c r="E80" s="75">
        <f t="shared" si="39"/>
        <v>17</v>
      </c>
      <c r="F80" s="79"/>
      <c r="G80" s="82"/>
      <c r="H80" s="68" t="str">
        <f t="shared" si="56"/>
        <v>Clesim6_20211114_17_00</v>
      </c>
      <c r="I80" s="69">
        <f t="shared" si="57"/>
        <v>1</v>
      </c>
      <c r="J80" s="76" t="str">
        <f t="shared" si="57"/>
        <v>Clematis</v>
      </c>
      <c r="K80" s="76" t="str">
        <f t="shared" si="57"/>
        <v>simense</v>
      </c>
      <c r="L80" s="77">
        <f t="shared" si="57"/>
        <v>6</v>
      </c>
      <c r="M80" s="77">
        <f t="shared" si="57"/>
        <v>20</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2021</v>
      </c>
      <c r="B81" s="72" t="str">
        <f t="shared" si="37"/>
        <v>Nov</v>
      </c>
      <c r="C81" s="73">
        <f t="shared" si="55"/>
        <v>14</v>
      </c>
      <c r="D81" s="74">
        <f t="shared" si="38"/>
        <v>17</v>
      </c>
      <c r="E81" s="75">
        <f t="shared" si="39"/>
        <v>18</v>
      </c>
      <c r="F81" s="79"/>
      <c r="G81" s="82"/>
      <c r="H81" s="68" t="str">
        <f t="shared" si="56"/>
        <v>Clesim6_20211114_17_00</v>
      </c>
      <c r="I81" s="69">
        <f t="shared" si="57"/>
        <v>1</v>
      </c>
      <c r="J81" s="76" t="str">
        <f t="shared" si="57"/>
        <v>Clematis</v>
      </c>
      <c r="K81" s="76" t="str">
        <f t="shared" si="57"/>
        <v>simense</v>
      </c>
      <c r="L81" s="77">
        <f t="shared" si="57"/>
        <v>6</v>
      </c>
      <c r="M81" s="77">
        <f t="shared" si="57"/>
        <v>20</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v>
      </c>
      <c r="C82" s="73">
        <f t="shared" si="55"/>
        <v>14</v>
      </c>
      <c r="D82" s="74">
        <f t="shared" si="38"/>
        <v>17</v>
      </c>
      <c r="E82" s="75">
        <f t="shared" si="39"/>
        <v>19</v>
      </c>
      <c r="F82" s="79"/>
      <c r="G82" s="82"/>
      <c r="H82" s="68" t="str">
        <f t="shared" si="56"/>
        <v>Clesim6_20211114_17_00</v>
      </c>
      <c r="I82" s="69">
        <f t="shared" si="57"/>
        <v>1</v>
      </c>
      <c r="J82" s="76" t="str">
        <f t="shared" si="57"/>
        <v>Clematis</v>
      </c>
      <c r="K82" s="76" t="str">
        <f t="shared" si="57"/>
        <v>simense</v>
      </c>
      <c r="L82" s="77">
        <f t="shared" si="57"/>
        <v>6</v>
      </c>
      <c r="M82" s="77">
        <f t="shared" si="57"/>
        <v>20</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v>
      </c>
      <c r="C83" s="73">
        <f t="shared" si="55"/>
        <v>14</v>
      </c>
      <c r="D83" s="74">
        <f t="shared" si="38"/>
        <v>17</v>
      </c>
      <c r="E83" s="75">
        <f t="shared" si="39"/>
        <v>20</v>
      </c>
      <c r="F83" s="79"/>
      <c r="G83" s="82"/>
      <c r="H83" s="68" t="str">
        <f t="shared" si="56"/>
        <v>Clesim6_20211114_17_00</v>
      </c>
      <c r="I83" s="69">
        <f t="shared" si="57"/>
        <v>1</v>
      </c>
      <c r="J83" s="76" t="str">
        <f t="shared" si="57"/>
        <v>Clematis</v>
      </c>
      <c r="K83" s="76" t="str">
        <f t="shared" si="57"/>
        <v>simense</v>
      </c>
      <c r="L83" s="77">
        <f t="shared" si="57"/>
        <v>6</v>
      </c>
      <c r="M83" s="77">
        <f t="shared" si="57"/>
        <v>20</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v>
      </c>
      <c r="C84" s="73">
        <f t="shared" si="55"/>
        <v>14</v>
      </c>
      <c r="D84" s="74">
        <f t="shared" si="38"/>
        <v>17</v>
      </c>
      <c r="E84" s="75">
        <f t="shared" si="39"/>
        <v>21</v>
      </c>
      <c r="F84" s="79"/>
      <c r="G84" s="82"/>
      <c r="H84" s="68" t="str">
        <f t="shared" si="56"/>
        <v>Clesim6_20211114_17_00</v>
      </c>
      <c r="I84" s="69">
        <f t="shared" si="57"/>
        <v>1</v>
      </c>
      <c r="J84" s="76" t="str">
        <f t="shared" si="57"/>
        <v>Clematis</v>
      </c>
      <c r="K84" s="76" t="str">
        <f t="shared" si="57"/>
        <v>simense</v>
      </c>
      <c r="L84" s="77">
        <f t="shared" si="57"/>
        <v>6</v>
      </c>
      <c r="M84" s="77">
        <f t="shared" si="57"/>
        <v>20</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v>
      </c>
      <c r="C85" s="73">
        <f t="shared" si="55"/>
        <v>14</v>
      </c>
      <c r="D85" s="74">
        <f t="shared" si="38"/>
        <v>17</v>
      </c>
      <c r="E85" s="75">
        <f t="shared" si="39"/>
        <v>22</v>
      </c>
      <c r="F85" s="79"/>
      <c r="G85" s="82"/>
      <c r="H85" s="68" t="str">
        <f t="shared" si="56"/>
        <v>Clesim6_20211114_17_00</v>
      </c>
      <c r="I85" s="69">
        <f t="shared" ref="I85:N100" si="58">I84</f>
        <v>1</v>
      </c>
      <c r="J85" s="76" t="str">
        <f t="shared" si="58"/>
        <v>Clematis</v>
      </c>
      <c r="K85" s="76" t="str">
        <f t="shared" si="58"/>
        <v>simense</v>
      </c>
      <c r="L85" s="77">
        <f t="shared" si="58"/>
        <v>6</v>
      </c>
      <c r="M85" s="77">
        <f t="shared" si="58"/>
        <v>20</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v>
      </c>
      <c r="C86" s="73">
        <f t="shared" si="55"/>
        <v>14</v>
      </c>
      <c r="D86" s="74">
        <f t="shared" si="38"/>
        <v>17</v>
      </c>
      <c r="E86" s="75">
        <f t="shared" si="39"/>
        <v>23</v>
      </c>
      <c r="F86" s="79"/>
      <c r="G86" s="82"/>
      <c r="H86" s="68" t="str">
        <f t="shared" si="56"/>
        <v>Clesim6_20211114_17_00</v>
      </c>
      <c r="I86" s="69">
        <f t="shared" si="58"/>
        <v>1</v>
      </c>
      <c r="J86" s="76" t="str">
        <f t="shared" si="58"/>
        <v>Clematis</v>
      </c>
      <c r="K86" s="76" t="str">
        <f t="shared" si="58"/>
        <v>simense</v>
      </c>
      <c r="L86" s="77">
        <f t="shared" si="58"/>
        <v>6</v>
      </c>
      <c r="M86" s="77">
        <f t="shared" si="58"/>
        <v>20</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v>
      </c>
      <c r="C87" s="73">
        <f t="shared" si="55"/>
        <v>14</v>
      </c>
      <c r="D87" s="74">
        <f t="shared" si="38"/>
        <v>17</v>
      </c>
      <c r="E87" s="75">
        <f t="shared" si="39"/>
        <v>24</v>
      </c>
      <c r="F87" s="79"/>
      <c r="G87" s="82"/>
      <c r="H87" s="68" t="str">
        <f t="shared" si="56"/>
        <v>Clesim6_20211114_17_00</v>
      </c>
      <c r="I87" s="69">
        <f t="shared" si="58"/>
        <v>1</v>
      </c>
      <c r="J87" s="76" t="str">
        <f t="shared" si="58"/>
        <v>Clematis</v>
      </c>
      <c r="K87" s="76" t="str">
        <f t="shared" si="58"/>
        <v>simense</v>
      </c>
      <c r="L87" s="77">
        <f t="shared" si="58"/>
        <v>6</v>
      </c>
      <c r="M87" s="77">
        <f t="shared" si="58"/>
        <v>20</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v>
      </c>
      <c r="C88" s="73">
        <f t="shared" si="55"/>
        <v>14</v>
      </c>
      <c r="D88" s="74">
        <f t="shared" si="38"/>
        <v>17</v>
      </c>
      <c r="E88" s="75">
        <f t="shared" si="39"/>
        <v>25</v>
      </c>
      <c r="F88" s="79"/>
      <c r="G88" s="82"/>
      <c r="H88" s="68" t="str">
        <f t="shared" si="56"/>
        <v>Clesim6_20211114_17_00</v>
      </c>
      <c r="I88" s="69">
        <f t="shared" si="58"/>
        <v>1</v>
      </c>
      <c r="J88" s="76" t="str">
        <f t="shared" si="58"/>
        <v>Clematis</v>
      </c>
      <c r="K88" s="76" t="str">
        <f t="shared" si="58"/>
        <v>simense</v>
      </c>
      <c r="L88" s="77">
        <f t="shared" si="58"/>
        <v>6</v>
      </c>
      <c r="M88" s="77">
        <f t="shared" si="58"/>
        <v>20</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v>
      </c>
      <c r="C89" s="73">
        <f t="shared" si="55"/>
        <v>14</v>
      </c>
      <c r="D89" s="74">
        <f t="shared" si="38"/>
        <v>17</v>
      </c>
      <c r="E89" s="75">
        <f t="shared" si="39"/>
        <v>26</v>
      </c>
      <c r="F89" s="79"/>
      <c r="G89" s="82"/>
      <c r="H89" s="68" t="str">
        <f t="shared" si="56"/>
        <v>Clesim6_20211114_17_00</v>
      </c>
      <c r="I89" s="69">
        <f t="shared" si="58"/>
        <v>1</v>
      </c>
      <c r="J89" s="76" t="str">
        <f t="shared" si="58"/>
        <v>Clematis</v>
      </c>
      <c r="K89" s="76" t="str">
        <f t="shared" si="58"/>
        <v>simense</v>
      </c>
      <c r="L89" s="77">
        <f t="shared" si="58"/>
        <v>6</v>
      </c>
      <c r="M89" s="77">
        <f t="shared" si="58"/>
        <v>20</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v>
      </c>
      <c r="C90" s="73">
        <f t="shared" si="55"/>
        <v>14</v>
      </c>
      <c r="D90" s="74">
        <f t="shared" si="38"/>
        <v>17</v>
      </c>
      <c r="E90" s="75">
        <f t="shared" si="39"/>
        <v>27</v>
      </c>
      <c r="F90" s="79"/>
      <c r="G90" s="82"/>
      <c r="H90" s="68" t="str">
        <f t="shared" si="56"/>
        <v>Clesim6_20211114_17_00</v>
      </c>
      <c r="I90" s="69">
        <f t="shared" si="58"/>
        <v>1</v>
      </c>
      <c r="J90" s="76" t="str">
        <f t="shared" si="58"/>
        <v>Clematis</v>
      </c>
      <c r="K90" s="76" t="str">
        <f t="shared" si="58"/>
        <v>simense</v>
      </c>
      <c r="L90" s="77">
        <f t="shared" si="58"/>
        <v>6</v>
      </c>
      <c r="M90" s="77">
        <f t="shared" si="58"/>
        <v>20</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v>
      </c>
      <c r="C91" s="73">
        <f t="shared" si="55"/>
        <v>14</v>
      </c>
      <c r="D91" s="74">
        <f t="shared" si="38"/>
        <v>17</v>
      </c>
      <c r="E91" s="75">
        <f t="shared" si="39"/>
        <v>28</v>
      </c>
      <c r="F91" s="79"/>
      <c r="G91" s="82"/>
      <c r="H91" s="68" t="str">
        <f t="shared" si="56"/>
        <v>Clesim6_20211114_17_00</v>
      </c>
      <c r="I91" s="69">
        <f t="shared" si="58"/>
        <v>1</v>
      </c>
      <c r="J91" s="76" t="str">
        <f t="shared" si="58"/>
        <v>Clematis</v>
      </c>
      <c r="K91" s="76" t="str">
        <f t="shared" si="58"/>
        <v>simense</v>
      </c>
      <c r="L91" s="77">
        <f t="shared" si="58"/>
        <v>6</v>
      </c>
      <c r="M91" s="77">
        <f t="shared" si="58"/>
        <v>20</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v>
      </c>
      <c r="C92" s="73">
        <f t="shared" si="55"/>
        <v>14</v>
      </c>
      <c r="D92" s="74">
        <f t="shared" si="38"/>
        <v>17</v>
      </c>
      <c r="E92" s="75">
        <f t="shared" si="39"/>
        <v>29</v>
      </c>
      <c r="F92" s="79"/>
      <c r="G92" s="82"/>
      <c r="H92" s="68" t="str">
        <f t="shared" si="56"/>
        <v>Clesim6_20211114_17_00</v>
      </c>
      <c r="I92" s="69">
        <f t="shared" si="58"/>
        <v>1</v>
      </c>
      <c r="J92" s="76" t="str">
        <f t="shared" si="58"/>
        <v>Clematis</v>
      </c>
      <c r="K92" s="76" t="str">
        <f t="shared" si="58"/>
        <v>simense</v>
      </c>
      <c r="L92" s="77">
        <f t="shared" si="58"/>
        <v>6</v>
      </c>
      <c r="M92" s="77">
        <f t="shared" si="58"/>
        <v>20</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v>
      </c>
      <c r="C93" s="73">
        <f t="shared" si="55"/>
        <v>14</v>
      </c>
      <c r="D93" s="74">
        <f t="shared" si="38"/>
        <v>17</v>
      </c>
      <c r="E93" s="75">
        <f t="shared" si="39"/>
        <v>30</v>
      </c>
      <c r="F93" s="79"/>
      <c r="G93" s="82"/>
      <c r="H93" s="68" t="str">
        <f t="shared" si="56"/>
        <v>Clesim6_20211114_17_00</v>
      </c>
      <c r="I93" s="69">
        <f t="shared" si="58"/>
        <v>1</v>
      </c>
      <c r="J93" s="76" t="str">
        <f t="shared" si="58"/>
        <v>Clematis</v>
      </c>
      <c r="K93" s="76" t="str">
        <f t="shared" si="58"/>
        <v>simense</v>
      </c>
      <c r="L93" s="77">
        <f t="shared" si="58"/>
        <v>6</v>
      </c>
      <c r="M93" s="77">
        <f t="shared" si="58"/>
        <v>20</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v>
      </c>
      <c r="C94" s="73">
        <f t="shared" si="55"/>
        <v>14</v>
      </c>
      <c r="D94" s="74">
        <f t="shared" si="38"/>
        <v>17</v>
      </c>
      <c r="E94" s="75">
        <f t="shared" si="39"/>
        <v>31</v>
      </c>
      <c r="F94" s="79"/>
      <c r="G94" s="82"/>
      <c r="H94" s="68" t="str">
        <f t="shared" si="56"/>
        <v>Clesim6_20211114_17_00</v>
      </c>
      <c r="I94" s="69">
        <f t="shared" si="58"/>
        <v>1</v>
      </c>
      <c r="J94" s="76" t="str">
        <f t="shared" si="58"/>
        <v>Clematis</v>
      </c>
      <c r="K94" s="76" t="str">
        <f t="shared" si="58"/>
        <v>simense</v>
      </c>
      <c r="L94" s="77">
        <f t="shared" si="58"/>
        <v>6</v>
      </c>
      <c r="M94" s="77">
        <f t="shared" si="58"/>
        <v>20</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v>
      </c>
      <c r="C95" s="73">
        <f t="shared" si="55"/>
        <v>14</v>
      </c>
      <c r="D95" s="74">
        <f t="shared" si="38"/>
        <v>17</v>
      </c>
      <c r="E95" s="75">
        <f t="shared" si="39"/>
        <v>32</v>
      </c>
      <c r="F95" s="79"/>
      <c r="G95" s="82"/>
      <c r="H95" s="68" t="str">
        <f t="shared" si="56"/>
        <v>Clesim6_20211114_17_00</v>
      </c>
      <c r="I95" s="69">
        <f t="shared" si="58"/>
        <v>1</v>
      </c>
      <c r="J95" s="76" t="str">
        <f t="shared" si="58"/>
        <v>Clematis</v>
      </c>
      <c r="K95" s="76" t="str">
        <f t="shared" si="58"/>
        <v>simense</v>
      </c>
      <c r="L95" s="77">
        <f t="shared" si="58"/>
        <v>6</v>
      </c>
      <c r="M95" s="77">
        <f t="shared" si="58"/>
        <v>20</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v>
      </c>
      <c r="C96" s="73">
        <f t="shared" si="55"/>
        <v>14</v>
      </c>
      <c r="D96" s="74">
        <f t="shared" si="38"/>
        <v>17</v>
      </c>
      <c r="E96" s="75">
        <f t="shared" si="39"/>
        <v>33</v>
      </c>
      <c r="F96" s="79"/>
      <c r="G96" s="82"/>
      <c r="H96" s="68" t="str">
        <f t="shared" si="56"/>
        <v>Clesim6_20211114_17_00</v>
      </c>
      <c r="I96" s="69">
        <f t="shared" si="58"/>
        <v>1</v>
      </c>
      <c r="J96" s="76" t="str">
        <f t="shared" si="58"/>
        <v>Clematis</v>
      </c>
      <c r="K96" s="76" t="str">
        <f t="shared" si="58"/>
        <v>simense</v>
      </c>
      <c r="L96" s="77">
        <f t="shared" si="58"/>
        <v>6</v>
      </c>
      <c r="M96" s="77">
        <f t="shared" si="58"/>
        <v>20</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v>
      </c>
      <c r="C97" s="73">
        <f t="shared" si="55"/>
        <v>14</v>
      </c>
      <c r="D97" s="74">
        <f t="shared" si="38"/>
        <v>17</v>
      </c>
      <c r="E97" s="75">
        <f t="shared" si="39"/>
        <v>34</v>
      </c>
      <c r="F97" s="79"/>
      <c r="G97" s="82"/>
      <c r="H97" s="68" t="str">
        <f t="shared" si="56"/>
        <v>Clesim6_20211114_17_00</v>
      </c>
      <c r="I97" s="69">
        <f t="shared" si="58"/>
        <v>1</v>
      </c>
      <c r="J97" s="76" t="str">
        <f t="shared" si="58"/>
        <v>Clematis</v>
      </c>
      <c r="K97" s="76" t="str">
        <f t="shared" si="58"/>
        <v>simense</v>
      </c>
      <c r="L97" s="77">
        <f t="shared" si="58"/>
        <v>6</v>
      </c>
      <c r="M97" s="77">
        <f t="shared" si="58"/>
        <v>20</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2021</v>
      </c>
      <c r="B98" s="72" t="str">
        <f t="shared" si="37"/>
        <v>Nov</v>
      </c>
      <c r="C98" s="73">
        <f t="shared" si="55"/>
        <v>14</v>
      </c>
      <c r="D98" s="74">
        <f t="shared" si="38"/>
        <v>17</v>
      </c>
      <c r="E98" s="75">
        <f t="shared" si="39"/>
        <v>35</v>
      </c>
      <c r="F98" s="79">
        <v>10</v>
      </c>
      <c r="G98" s="82"/>
      <c r="H98" s="68" t="str">
        <f t="shared" si="56"/>
        <v>Clesim6_20211114_17_00</v>
      </c>
      <c r="I98" s="69">
        <f t="shared" si="58"/>
        <v>1</v>
      </c>
      <c r="J98" s="76" t="str">
        <f t="shared" si="58"/>
        <v>Clematis</v>
      </c>
      <c r="K98" s="76" t="str">
        <f t="shared" si="58"/>
        <v>simense</v>
      </c>
      <c r="L98" s="77">
        <f t="shared" si="58"/>
        <v>6</v>
      </c>
      <c r="M98" s="77">
        <f t="shared" si="58"/>
        <v>20</v>
      </c>
      <c r="N98" s="71">
        <f t="shared" si="58"/>
        <v>0</v>
      </c>
      <c r="O98" s="44"/>
      <c r="P98" s="45">
        <f t="shared" si="40"/>
        <v>1</v>
      </c>
      <c r="Q98" s="46" t="str">
        <f t="shared" si="41"/>
        <v>17:35:10</v>
      </c>
      <c r="R98" s="47" t="str">
        <f t="shared" si="42"/>
        <v>35:10</v>
      </c>
      <c r="S98" s="48">
        <f t="shared" si="31"/>
        <v>747</v>
      </c>
      <c r="T98" s="47" t="str">
        <f t="shared" si="43"/>
        <v>17</v>
      </c>
      <c r="U98" s="49">
        <v>47</v>
      </c>
      <c r="V98" s="50">
        <v>37</v>
      </c>
      <c r="W98" s="51" t="str">
        <f t="shared" si="44"/>
        <v>47:37</v>
      </c>
      <c r="X98" s="123" t="s">
        <v>69</v>
      </c>
      <c r="Y98" s="52" t="s">
        <v>84</v>
      </c>
      <c r="Z98" s="52"/>
      <c r="AA98" s="47" t="s">
        <v>67</v>
      </c>
      <c r="AB98" s="47" t="str">
        <f t="shared" si="45"/>
        <v>NA</v>
      </c>
      <c r="AC98" s="53" t="str">
        <f t="shared" si="46"/>
        <v/>
      </c>
      <c r="AD98" s="54">
        <f t="shared" si="47"/>
        <v>1</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f t="shared" si="32"/>
        <v>0</v>
      </c>
      <c r="AX98" s="61" t="str">
        <f t="shared" si="33"/>
        <v/>
      </c>
      <c r="AY98" s="60">
        <f t="shared" si="34"/>
        <v>0</v>
      </c>
      <c r="AZ98" s="61" t="str">
        <f t="shared" si="35"/>
        <v/>
      </c>
    </row>
    <row r="99" spans="1:52" s="3" customFormat="1" hidden="1" x14ac:dyDescent="0.35">
      <c r="A99" s="72">
        <f t="shared" si="36"/>
        <v>2021</v>
      </c>
      <c r="B99" s="72" t="str">
        <f t="shared" si="37"/>
        <v>Nov</v>
      </c>
      <c r="C99" s="73">
        <f t="shared" si="55"/>
        <v>14</v>
      </c>
      <c r="D99" s="74">
        <f t="shared" si="38"/>
        <v>17</v>
      </c>
      <c r="E99" s="75">
        <f t="shared" si="39"/>
        <v>36</v>
      </c>
      <c r="F99" s="79"/>
      <c r="G99" s="82"/>
      <c r="H99" s="68" t="str">
        <f t="shared" si="56"/>
        <v>Clesim6_20211114_17_00</v>
      </c>
      <c r="I99" s="69">
        <f t="shared" si="58"/>
        <v>1</v>
      </c>
      <c r="J99" s="76" t="str">
        <f t="shared" si="58"/>
        <v>Clematis</v>
      </c>
      <c r="K99" s="76" t="str">
        <f t="shared" si="58"/>
        <v>simense</v>
      </c>
      <c r="L99" s="77">
        <f t="shared" si="58"/>
        <v>6</v>
      </c>
      <c r="M99" s="77">
        <f t="shared" si="58"/>
        <v>20</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v>
      </c>
      <c r="C100" s="73">
        <f t="shared" si="55"/>
        <v>14</v>
      </c>
      <c r="D100" s="74">
        <f t="shared" si="38"/>
        <v>17</v>
      </c>
      <c r="E100" s="75">
        <f t="shared" si="39"/>
        <v>37</v>
      </c>
      <c r="F100" s="79"/>
      <c r="G100" s="82"/>
      <c r="H100" s="68" t="str">
        <f t="shared" si="56"/>
        <v>Clesim6_20211114_17_00</v>
      </c>
      <c r="I100" s="69">
        <f t="shared" si="58"/>
        <v>1</v>
      </c>
      <c r="J100" s="76" t="str">
        <f t="shared" si="58"/>
        <v>Clematis</v>
      </c>
      <c r="K100" s="76" t="str">
        <f t="shared" si="58"/>
        <v>simense</v>
      </c>
      <c r="L100" s="77">
        <f t="shared" si="58"/>
        <v>6</v>
      </c>
      <c r="M100" s="77">
        <f t="shared" si="58"/>
        <v>20</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v>
      </c>
      <c r="C101" s="73">
        <f t="shared" si="55"/>
        <v>14</v>
      </c>
      <c r="D101" s="74">
        <f t="shared" si="38"/>
        <v>17</v>
      </c>
      <c r="E101" s="75">
        <f t="shared" si="39"/>
        <v>38</v>
      </c>
      <c r="F101" s="79"/>
      <c r="G101" s="82"/>
      <c r="H101" s="68" t="str">
        <f t="shared" si="56"/>
        <v>Clesim6_20211114_17_00</v>
      </c>
      <c r="I101" s="69">
        <f t="shared" ref="I101:N116" si="59">I100</f>
        <v>1</v>
      </c>
      <c r="J101" s="76" t="str">
        <f t="shared" si="59"/>
        <v>Clematis</v>
      </c>
      <c r="K101" s="76" t="str">
        <f t="shared" si="59"/>
        <v>simense</v>
      </c>
      <c r="L101" s="77">
        <f t="shared" si="59"/>
        <v>6</v>
      </c>
      <c r="M101" s="77">
        <f t="shared" si="59"/>
        <v>20</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2021</v>
      </c>
      <c r="B102" s="72" t="str">
        <f t="shared" si="37"/>
        <v>Nov</v>
      </c>
      <c r="C102" s="73">
        <f t="shared" si="55"/>
        <v>14</v>
      </c>
      <c r="D102" s="74">
        <f t="shared" si="38"/>
        <v>17</v>
      </c>
      <c r="E102" s="75">
        <f t="shared" si="39"/>
        <v>39</v>
      </c>
      <c r="F102" s="79"/>
      <c r="G102" s="82"/>
      <c r="H102" s="68" t="str">
        <f t="shared" si="56"/>
        <v>Clesim6_20211114_17_00</v>
      </c>
      <c r="I102" s="69">
        <f t="shared" si="59"/>
        <v>1</v>
      </c>
      <c r="J102" s="76" t="str">
        <f t="shared" si="59"/>
        <v>Clematis</v>
      </c>
      <c r="K102" s="76" t="str">
        <f t="shared" si="59"/>
        <v>simense</v>
      </c>
      <c r="L102" s="77">
        <f t="shared" si="59"/>
        <v>6</v>
      </c>
      <c r="M102" s="77">
        <f t="shared" si="59"/>
        <v>20</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v>
      </c>
      <c r="C103" s="73">
        <f t="shared" si="55"/>
        <v>14</v>
      </c>
      <c r="D103" s="74">
        <f t="shared" si="38"/>
        <v>17</v>
      </c>
      <c r="E103" s="75">
        <f t="shared" si="39"/>
        <v>40</v>
      </c>
      <c r="F103" s="79"/>
      <c r="G103" s="82"/>
      <c r="H103" s="68" t="str">
        <f t="shared" si="56"/>
        <v>Clesim6_20211114_17_00</v>
      </c>
      <c r="I103" s="69">
        <f t="shared" si="59"/>
        <v>1</v>
      </c>
      <c r="J103" s="76" t="str">
        <f t="shared" si="59"/>
        <v>Clematis</v>
      </c>
      <c r="K103" s="76" t="str">
        <f t="shared" si="59"/>
        <v>simense</v>
      </c>
      <c r="L103" s="77">
        <f t="shared" si="59"/>
        <v>6</v>
      </c>
      <c r="M103" s="77">
        <f t="shared" si="59"/>
        <v>20</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v>
      </c>
      <c r="C104" s="73">
        <f t="shared" si="55"/>
        <v>14</v>
      </c>
      <c r="D104" s="74">
        <f t="shared" si="38"/>
        <v>17</v>
      </c>
      <c r="E104" s="75">
        <f t="shared" si="39"/>
        <v>41</v>
      </c>
      <c r="F104" s="79"/>
      <c r="G104" s="82"/>
      <c r="H104" s="68" t="str">
        <f t="shared" si="56"/>
        <v>Clesim6_20211114_17_00</v>
      </c>
      <c r="I104" s="69">
        <f t="shared" si="59"/>
        <v>1</v>
      </c>
      <c r="J104" s="76" t="str">
        <f t="shared" si="59"/>
        <v>Clematis</v>
      </c>
      <c r="K104" s="76" t="str">
        <f t="shared" si="59"/>
        <v>simense</v>
      </c>
      <c r="L104" s="77">
        <f t="shared" si="59"/>
        <v>6</v>
      </c>
      <c r="M104" s="77">
        <f t="shared" si="59"/>
        <v>20</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v>
      </c>
      <c r="C105" s="73">
        <f t="shared" si="55"/>
        <v>14</v>
      </c>
      <c r="D105" s="74">
        <f t="shared" si="38"/>
        <v>17</v>
      </c>
      <c r="E105" s="75">
        <f t="shared" si="39"/>
        <v>42</v>
      </c>
      <c r="F105" s="79"/>
      <c r="G105" s="82"/>
      <c r="H105" s="68" t="str">
        <f t="shared" si="56"/>
        <v>Clesim6_20211114_17_00</v>
      </c>
      <c r="I105" s="69">
        <f t="shared" si="59"/>
        <v>1</v>
      </c>
      <c r="J105" s="76" t="str">
        <f t="shared" si="59"/>
        <v>Clematis</v>
      </c>
      <c r="K105" s="76" t="str">
        <f t="shared" si="59"/>
        <v>simense</v>
      </c>
      <c r="L105" s="77">
        <f t="shared" si="59"/>
        <v>6</v>
      </c>
      <c r="M105" s="77">
        <f t="shared" si="59"/>
        <v>20</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v>
      </c>
      <c r="C106" s="73">
        <f t="shared" si="55"/>
        <v>14</v>
      </c>
      <c r="D106" s="74">
        <f t="shared" si="38"/>
        <v>17</v>
      </c>
      <c r="E106" s="75">
        <f t="shared" si="39"/>
        <v>43</v>
      </c>
      <c r="F106" s="79"/>
      <c r="G106" s="82"/>
      <c r="H106" s="68" t="str">
        <f t="shared" si="56"/>
        <v>Clesim6_20211114_17_00</v>
      </c>
      <c r="I106" s="69">
        <f t="shared" si="59"/>
        <v>1</v>
      </c>
      <c r="J106" s="76" t="str">
        <f t="shared" si="59"/>
        <v>Clematis</v>
      </c>
      <c r="K106" s="76" t="str">
        <f t="shared" si="59"/>
        <v>simense</v>
      </c>
      <c r="L106" s="77">
        <f t="shared" si="59"/>
        <v>6</v>
      </c>
      <c r="M106" s="77">
        <f t="shared" si="59"/>
        <v>20</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v>
      </c>
      <c r="C107" s="73">
        <f t="shared" si="55"/>
        <v>14</v>
      </c>
      <c r="D107" s="74">
        <f t="shared" si="38"/>
        <v>17</v>
      </c>
      <c r="E107" s="75">
        <f t="shared" si="39"/>
        <v>44</v>
      </c>
      <c r="F107" s="79"/>
      <c r="G107" s="82"/>
      <c r="H107" s="68" t="str">
        <f t="shared" si="56"/>
        <v>Clesim6_20211114_17_00</v>
      </c>
      <c r="I107" s="69">
        <f t="shared" si="59"/>
        <v>1</v>
      </c>
      <c r="J107" s="76" t="str">
        <f t="shared" si="59"/>
        <v>Clematis</v>
      </c>
      <c r="K107" s="76" t="str">
        <f t="shared" si="59"/>
        <v>simense</v>
      </c>
      <c r="L107" s="77">
        <f t="shared" si="59"/>
        <v>6</v>
      </c>
      <c r="M107" s="77">
        <f t="shared" si="59"/>
        <v>20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v>
      </c>
      <c r="C108" s="73">
        <f t="shared" si="55"/>
        <v>14</v>
      </c>
      <c r="D108" s="74">
        <f t="shared" si="38"/>
        <v>17</v>
      </c>
      <c r="E108" s="75">
        <f t="shared" si="39"/>
        <v>45</v>
      </c>
      <c r="F108" s="79"/>
      <c r="G108" s="82"/>
      <c r="H108" s="68" t="str">
        <f t="shared" si="56"/>
        <v>Clesim6_20211114_17_00</v>
      </c>
      <c r="I108" s="69">
        <f t="shared" si="59"/>
        <v>1</v>
      </c>
      <c r="J108" s="76" t="str">
        <f t="shared" si="59"/>
        <v>Clematis</v>
      </c>
      <c r="K108" s="76" t="str">
        <f t="shared" si="59"/>
        <v>simense</v>
      </c>
      <c r="L108" s="77">
        <f t="shared" si="59"/>
        <v>6</v>
      </c>
      <c r="M108" s="77">
        <f t="shared" si="59"/>
        <v>20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v>
      </c>
      <c r="C109" s="73">
        <f t="shared" si="55"/>
        <v>14</v>
      </c>
      <c r="D109" s="74">
        <f t="shared" si="38"/>
        <v>17</v>
      </c>
      <c r="E109" s="75">
        <f t="shared" si="39"/>
        <v>46</v>
      </c>
      <c r="F109" s="79"/>
      <c r="G109" s="82"/>
      <c r="H109" s="68" t="str">
        <f t="shared" si="56"/>
        <v>Clesim6_20211114_17_00</v>
      </c>
      <c r="I109" s="69">
        <f t="shared" si="59"/>
        <v>1</v>
      </c>
      <c r="J109" s="76" t="str">
        <f t="shared" si="59"/>
        <v>Clematis</v>
      </c>
      <c r="K109" s="76" t="str">
        <f t="shared" si="59"/>
        <v>simense</v>
      </c>
      <c r="L109" s="77">
        <f t="shared" si="59"/>
        <v>6</v>
      </c>
      <c r="M109" s="77">
        <f t="shared" si="59"/>
        <v>20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v>
      </c>
      <c r="C110" s="73">
        <f t="shared" si="55"/>
        <v>14</v>
      </c>
      <c r="D110" s="74">
        <f t="shared" si="38"/>
        <v>17</v>
      </c>
      <c r="E110" s="75">
        <f t="shared" si="39"/>
        <v>47</v>
      </c>
      <c r="F110" s="79"/>
      <c r="G110" s="82"/>
      <c r="H110" s="68" t="str">
        <f t="shared" si="56"/>
        <v>Clesim6_20211114_17_00</v>
      </c>
      <c r="I110" s="69">
        <f t="shared" si="59"/>
        <v>1</v>
      </c>
      <c r="J110" s="76" t="str">
        <f t="shared" si="59"/>
        <v>Clematis</v>
      </c>
      <c r="K110" s="76" t="str">
        <f t="shared" si="59"/>
        <v>simense</v>
      </c>
      <c r="L110" s="77">
        <f t="shared" si="59"/>
        <v>6</v>
      </c>
      <c r="M110" s="77">
        <f t="shared" si="59"/>
        <v>20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v>
      </c>
      <c r="C111" s="73">
        <f t="shared" si="55"/>
        <v>14</v>
      </c>
      <c r="D111" s="74">
        <f t="shared" si="38"/>
        <v>17</v>
      </c>
      <c r="E111" s="75">
        <f t="shared" si="39"/>
        <v>48</v>
      </c>
      <c r="F111" s="79"/>
      <c r="G111" s="82"/>
      <c r="H111" s="68" t="str">
        <f t="shared" si="56"/>
        <v>Clesim6_20211114_17_00</v>
      </c>
      <c r="I111" s="69">
        <f t="shared" si="59"/>
        <v>1</v>
      </c>
      <c r="J111" s="76" t="str">
        <f t="shared" si="59"/>
        <v>Clematis</v>
      </c>
      <c r="K111" s="76" t="str">
        <f t="shared" si="59"/>
        <v>simense</v>
      </c>
      <c r="L111" s="77">
        <f t="shared" si="59"/>
        <v>6</v>
      </c>
      <c r="M111" s="77">
        <f t="shared" si="59"/>
        <v>20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2021</v>
      </c>
      <c r="B112" s="72" t="str">
        <f t="shared" si="37"/>
        <v>Nov</v>
      </c>
      <c r="C112" s="73">
        <f t="shared" si="55"/>
        <v>14</v>
      </c>
      <c r="D112" s="74">
        <f t="shared" si="38"/>
        <v>17</v>
      </c>
      <c r="E112" s="75">
        <f t="shared" si="39"/>
        <v>49</v>
      </c>
      <c r="F112" s="79">
        <v>35</v>
      </c>
      <c r="G112" s="82"/>
      <c r="H112" s="68" t="str">
        <f t="shared" si="56"/>
        <v>Clesim6_20211114_17_00</v>
      </c>
      <c r="I112" s="69">
        <f t="shared" si="59"/>
        <v>1</v>
      </c>
      <c r="J112" s="76" t="str">
        <f t="shared" si="59"/>
        <v>Clematis</v>
      </c>
      <c r="K112" s="76" t="str">
        <f t="shared" si="59"/>
        <v>simense</v>
      </c>
      <c r="L112" s="77">
        <f t="shared" si="59"/>
        <v>6</v>
      </c>
      <c r="M112" s="77">
        <f t="shared" si="59"/>
        <v>20</v>
      </c>
      <c r="N112" s="71">
        <f t="shared" si="59"/>
        <v>0</v>
      </c>
      <c r="O112" s="44"/>
      <c r="P112" s="45">
        <f t="shared" si="40"/>
        <v>1</v>
      </c>
      <c r="Q112" s="46" t="str">
        <f t="shared" si="41"/>
        <v>17:49:35</v>
      </c>
      <c r="R112" s="47" t="str">
        <f t="shared" si="42"/>
        <v>49:35</v>
      </c>
      <c r="S112" s="48">
        <f t="shared" si="31"/>
        <v>26</v>
      </c>
      <c r="T112" s="47" t="str">
        <f t="shared" si="43"/>
        <v>17</v>
      </c>
      <c r="U112" s="49">
        <v>50</v>
      </c>
      <c r="V112" s="50">
        <v>1</v>
      </c>
      <c r="W112" s="51" t="str">
        <f t="shared" si="44"/>
        <v>50:01</v>
      </c>
      <c r="X112" s="123" t="s">
        <v>69</v>
      </c>
      <c r="Y112" s="52" t="s">
        <v>84</v>
      </c>
      <c r="Z112" s="52"/>
      <c r="AA112" s="47" t="s">
        <v>67</v>
      </c>
      <c r="AB112" s="47" t="str">
        <f t="shared" si="45"/>
        <v>NA</v>
      </c>
      <c r="AC112" s="53" t="str">
        <f t="shared" si="46"/>
        <v/>
      </c>
      <c r="AD112" s="54">
        <v>2</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f t="shared" si="32"/>
        <v>0</v>
      </c>
      <c r="AX112" s="61" t="str">
        <f t="shared" si="33"/>
        <v/>
      </c>
      <c r="AY112" s="60">
        <f t="shared" si="34"/>
        <v>0</v>
      </c>
      <c r="AZ112" s="61" t="str">
        <f t="shared" si="35"/>
        <v/>
      </c>
    </row>
    <row r="113" spans="1:52" s="3" customFormat="1" hidden="1" x14ac:dyDescent="0.35">
      <c r="A113" s="72">
        <f t="shared" si="36"/>
        <v>2021</v>
      </c>
      <c r="B113" s="72" t="str">
        <f t="shared" si="37"/>
        <v>Nov</v>
      </c>
      <c r="C113" s="73">
        <f t="shared" si="55"/>
        <v>14</v>
      </c>
      <c r="D113" s="74">
        <f t="shared" si="38"/>
        <v>17</v>
      </c>
      <c r="E113" s="75">
        <f t="shared" si="39"/>
        <v>50</v>
      </c>
      <c r="F113" s="79"/>
      <c r="G113" s="82"/>
      <c r="H113" s="68" t="str">
        <f t="shared" si="56"/>
        <v>Clesim6_20211114_17_00</v>
      </c>
      <c r="I113" s="69">
        <f t="shared" si="59"/>
        <v>1</v>
      </c>
      <c r="J113" s="76" t="str">
        <f t="shared" si="59"/>
        <v>Clematis</v>
      </c>
      <c r="K113" s="76" t="str">
        <f t="shared" si="59"/>
        <v>simense</v>
      </c>
      <c r="L113" s="77">
        <f t="shared" si="59"/>
        <v>6</v>
      </c>
      <c r="M113" s="77">
        <f t="shared" si="59"/>
        <v>20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v>
      </c>
      <c r="C114" s="73">
        <f t="shared" si="55"/>
        <v>14</v>
      </c>
      <c r="D114" s="74">
        <f t="shared" si="38"/>
        <v>17</v>
      </c>
      <c r="E114" s="75">
        <f t="shared" si="39"/>
        <v>51</v>
      </c>
      <c r="F114" s="79"/>
      <c r="G114" s="82"/>
      <c r="H114" s="68" t="str">
        <f t="shared" si="56"/>
        <v>Clesim6_20211114_17_00</v>
      </c>
      <c r="I114" s="69">
        <f t="shared" si="59"/>
        <v>1</v>
      </c>
      <c r="J114" s="76" t="str">
        <f t="shared" si="59"/>
        <v>Clematis</v>
      </c>
      <c r="K114" s="76" t="str">
        <f t="shared" si="59"/>
        <v>simense</v>
      </c>
      <c r="L114" s="77">
        <f t="shared" si="59"/>
        <v>6</v>
      </c>
      <c r="M114" s="77">
        <f t="shared" si="59"/>
        <v>20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v>
      </c>
      <c r="C115" s="73">
        <f t="shared" si="55"/>
        <v>14</v>
      </c>
      <c r="D115" s="74">
        <f t="shared" si="38"/>
        <v>17</v>
      </c>
      <c r="E115" s="75">
        <f t="shared" si="39"/>
        <v>52</v>
      </c>
      <c r="F115" s="79"/>
      <c r="G115" s="82"/>
      <c r="H115" s="68" t="str">
        <f t="shared" si="56"/>
        <v>Clesim6_20211114_17_00</v>
      </c>
      <c r="I115" s="69">
        <f t="shared" si="59"/>
        <v>1</v>
      </c>
      <c r="J115" s="76" t="str">
        <f t="shared" si="59"/>
        <v>Clematis</v>
      </c>
      <c r="K115" s="76" t="str">
        <f t="shared" si="59"/>
        <v>simense</v>
      </c>
      <c r="L115" s="77">
        <f t="shared" si="59"/>
        <v>6</v>
      </c>
      <c r="M115" s="77">
        <f t="shared" si="59"/>
        <v>20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v>
      </c>
      <c r="C116" s="73">
        <f t="shared" si="55"/>
        <v>14</v>
      </c>
      <c r="D116" s="74">
        <f t="shared" si="38"/>
        <v>17</v>
      </c>
      <c r="E116" s="75">
        <f t="shared" si="39"/>
        <v>53</v>
      </c>
      <c r="F116" s="79"/>
      <c r="G116" s="82"/>
      <c r="H116" s="68" t="str">
        <f t="shared" si="56"/>
        <v>Clesim6_20211114_17_00</v>
      </c>
      <c r="I116" s="69">
        <f t="shared" si="59"/>
        <v>1</v>
      </c>
      <c r="J116" s="76" t="str">
        <f t="shared" si="59"/>
        <v>Clematis</v>
      </c>
      <c r="K116" s="76" t="str">
        <f t="shared" si="59"/>
        <v>simense</v>
      </c>
      <c r="L116" s="77">
        <f t="shared" si="59"/>
        <v>6</v>
      </c>
      <c r="M116" s="77">
        <f t="shared" si="59"/>
        <v>20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v>
      </c>
      <c r="C117" s="73">
        <f t="shared" si="55"/>
        <v>14</v>
      </c>
      <c r="D117" s="74">
        <f t="shared" si="38"/>
        <v>17</v>
      </c>
      <c r="E117" s="75">
        <f t="shared" si="39"/>
        <v>54</v>
      </c>
      <c r="F117" s="79"/>
      <c r="G117" s="82"/>
      <c r="H117" s="68" t="str">
        <f t="shared" si="56"/>
        <v>Clesim6_20211114_17_00</v>
      </c>
      <c r="I117" s="69">
        <f t="shared" ref="I117:N132" si="60">I116</f>
        <v>1</v>
      </c>
      <c r="J117" s="76" t="str">
        <f t="shared" si="60"/>
        <v>Clematis</v>
      </c>
      <c r="K117" s="76" t="str">
        <f t="shared" si="60"/>
        <v>simense</v>
      </c>
      <c r="L117" s="77">
        <f t="shared" si="60"/>
        <v>6</v>
      </c>
      <c r="M117" s="77">
        <f t="shared" si="60"/>
        <v>20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v>
      </c>
      <c r="C118" s="73">
        <f t="shared" si="55"/>
        <v>14</v>
      </c>
      <c r="D118" s="74">
        <f t="shared" si="38"/>
        <v>17</v>
      </c>
      <c r="E118" s="75">
        <f t="shared" si="39"/>
        <v>55</v>
      </c>
      <c r="F118" s="79"/>
      <c r="G118" s="82"/>
      <c r="H118" s="68" t="str">
        <f t="shared" si="56"/>
        <v>Clesim6_20211114_17_00</v>
      </c>
      <c r="I118" s="69">
        <f t="shared" si="60"/>
        <v>1</v>
      </c>
      <c r="J118" s="76" t="str">
        <f t="shared" si="60"/>
        <v>Clematis</v>
      </c>
      <c r="K118" s="76" t="str">
        <f t="shared" si="60"/>
        <v>simense</v>
      </c>
      <c r="L118" s="77">
        <f t="shared" si="60"/>
        <v>6</v>
      </c>
      <c r="M118" s="77">
        <f t="shared" si="60"/>
        <v>20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v>
      </c>
      <c r="C119" s="73">
        <f t="shared" si="55"/>
        <v>14</v>
      </c>
      <c r="D119" s="74">
        <f t="shared" si="38"/>
        <v>17</v>
      </c>
      <c r="E119" s="75">
        <f t="shared" si="39"/>
        <v>56</v>
      </c>
      <c r="F119" s="79"/>
      <c r="G119" s="82"/>
      <c r="H119" s="68" t="str">
        <f t="shared" si="56"/>
        <v>Clesim6_20211114_17_00</v>
      </c>
      <c r="I119" s="69">
        <f t="shared" si="60"/>
        <v>1</v>
      </c>
      <c r="J119" s="76" t="str">
        <f t="shared" si="60"/>
        <v>Clematis</v>
      </c>
      <c r="K119" s="76" t="str">
        <f t="shared" si="60"/>
        <v>simense</v>
      </c>
      <c r="L119" s="77">
        <f t="shared" si="60"/>
        <v>6</v>
      </c>
      <c r="M119" s="77">
        <f t="shared" si="60"/>
        <v>20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v>
      </c>
      <c r="C120" s="73">
        <f t="shared" si="55"/>
        <v>14</v>
      </c>
      <c r="D120" s="74">
        <f t="shared" si="38"/>
        <v>17</v>
      </c>
      <c r="E120" s="75">
        <f t="shared" si="39"/>
        <v>57</v>
      </c>
      <c r="F120" s="79"/>
      <c r="G120" s="82"/>
      <c r="H120" s="68" t="str">
        <f t="shared" si="56"/>
        <v>Clesim6_20211114_17_00</v>
      </c>
      <c r="I120" s="69">
        <f t="shared" si="60"/>
        <v>1</v>
      </c>
      <c r="J120" s="76" t="str">
        <f t="shared" si="60"/>
        <v>Clematis</v>
      </c>
      <c r="K120" s="76" t="str">
        <f t="shared" si="60"/>
        <v>simense</v>
      </c>
      <c r="L120" s="77">
        <f t="shared" si="60"/>
        <v>6</v>
      </c>
      <c r="M120" s="77">
        <f t="shared" si="60"/>
        <v>20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2021</v>
      </c>
      <c r="B121" s="72" t="str">
        <f t="shared" si="37"/>
        <v>Nov</v>
      </c>
      <c r="C121" s="73">
        <f t="shared" si="55"/>
        <v>14</v>
      </c>
      <c r="D121" s="74">
        <f t="shared" si="38"/>
        <v>17</v>
      </c>
      <c r="E121" s="75">
        <f t="shared" si="39"/>
        <v>58</v>
      </c>
      <c r="F121" s="79">
        <v>13</v>
      </c>
      <c r="G121" s="82"/>
      <c r="H121" s="68" t="str">
        <f t="shared" si="56"/>
        <v>Clesim6_20211114_17_00</v>
      </c>
      <c r="I121" s="69">
        <f t="shared" si="60"/>
        <v>1</v>
      </c>
      <c r="J121" s="76" t="str">
        <f t="shared" si="60"/>
        <v>Clematis</v>
      </c>
      <c r="K121" s="76" t="str">
        <f t="shared" si="60"/>
        <v>simense</v>
      </c>
      <c r="L121" s="77">
        <f t="shared" si="60"/>
        <v>6</v>
      </c>
      <c r="M121" s="77">
        <f t="shared" si="60"/>
        <v>20</v>
      </c>
      <c r="N121" s="71">
        <f t="shared" si="60"/>
        <v>0</v>
      </c>
      <c r="O121" s="44"/>
      <c r="P121" s="45">
        <f t="shared" si="40"/>
        <v>1</v>
      </c>
      <c r="Q121" s="46" t="str">
        <f t="shared" si="41"/>
        <v>17:58:13</v>
      </c>
      <c r="R121" s="47" t="str">
        <f t="shared" si="42"/>
        <v>58:13</v>
      </c>
      <c r="S121" s="48">
        <f t="shared" si="31"/>
        <v>670</v>
      </c>
      <c r="T121" s="47">
        <v>18</v>
      </c>
      <c r="U121" s="49">
        <v>9</v>
      </c>
      <c r="V121" s="50">
        <v>23</v>
      </c>
      <c r="W121" s="51" t="str">
        <f t="shared" si="44"/>
        <v>09:23</v>
      </c>
      <c r="X121" s="123" t="s">
        <v>69</v>
      </c>
      <c r="Y121" s="52" t="s">
        <v>71</v>
      </c>
      <c r="Z121" s="52"/>
      <c r="AA121" s="47" t="s">
        <v>67</v>
      </c>
      <c r="AB121" s="47" t="str">
        <f t="shared" si="45"/>
        <v>NA</v>
      </c>
      <c r="AC121" s="53" t="str">
        <f t="shared" si="46"/>
        <v/>
      </c>
      <c r="AD121" s="54">
        <f t="shared" si="47"/>
        <v>1</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f t="shared" si="32"/>
        <v>0</v>
      </c>
      <c r="AX121" s="61" t="str">
        <f t="shared" si="33"/>
        <v/>
      </c>
      <c r="AY121" s="60">
        <f t="shared" si="34"/>
        <v>0</v>
      </c>
      <c r="AZ121" s="61" t="str">
        <f t="shared" si="35"/>
        <v/>
      </c>
    </row>
    <row r="122" spans="1:52" s="3" customFormat="1" hidden="1" x14ac:dyDescent="0.35">
      <c r="A122" s="72">
        <f t="shared" si="36"/>
        <v>2021</v>
      </c>
      <c r="B122" s="72" t="str">
        <f t="shared" si="37"/>
        <v>Nov</v>
      </c>
      <c r="C122" s="73">
        <f t="shared" si="55"/>
        <v>14</v>
      </c>
      <c r="D122" s="74">
        <f t="shared" si="38"/>
        <v>17</v>
      </c>
      <c r="E122" s="75">
        <f t="shared" si="39"/>
        <v>59</v>
      </c>
      <c r="F122" s="79"/>
      <c r="G122" s="82"/>
      <c r="H122" s="68" t="str">
        <f t="shared" si="56"/>
        <v>Clesim6_20211114_17_00</v>
      </c>
      <c r="I122" s="69">
        <f t="shared" si="60"/>
        <v>1</v>
      </c>
      <c r="J122" s="76" t="str">
        <f t="shared" si="60"/>
        <v>Clematis</v>
      </c>
      <c r="K122" s="76" t="str">
        <f t="shared" si="60"/>
        <v>simense</v>
      </c>
      <c r="L122" s="77">
        <f t="shared" si="60"/>
        <v>6</v>
      </c>
      <c r="M122" s="77">
        <f t="shared" si="60"/>
        <v>20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2021</v>
      </c>
      <c r="B123" s="72" t="str">
        <f t="shared" si="37"/>
        <v>Nov</v>
      </c>
      <c r="C123" s="73">
        <f t="shared" si="55"/>
        <v>14</v>
      </c>
      <c r="D123" s="74">
        <f t="shared" si="38"/>
        <v>18</v>
      </c>
      <c r="E123" s="75">
        <f t="shared" si="39"/>
        <v>0</v>
      </c>
      <c r="F123" s="79"/>
      <c r="G123" s="82"/>
      <c r="H123" s="68" t="str">
        <f t="shared" si="56"/>
        <v>Clesim6_20211114_18_00</v>
      </c>
      <c r="I123" s="69">
        <f t="shared" si="60"/>
        <v>1</v>
      </c>
      <c r="J123" s="76" t="str">
        <f t="shared" si="60"/>
        <v>Clematis</v>
      </c>
      <c r="K123" s="76" t="str">
        <f t="shared" si="60"/>
        <v>simense</v>
      </c>
      <c r="L123" s="77">
        <f t="shared" si="60"/>
        <v>6</v>
      </c>
      <c r="M123" s="77">
        <f t="shared" si="60"/>
        <v>20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v>
      </c>
      <c r="C124" s="73">
        <f t="shared" si="55"/>
        <v>14</v>
      </c>
      <c r="D124" s="74">
        <f t="shared" si="38"/>
        <v>18</v>
      </c>
      <c r="E124" s="75">
        <f t="shared" si="39"/>
        <v>1</v>
      </c>
      <c r="F124" s="79"/>
      <c r="G124" s="82"/>
      <c r="H124" s="68" t="str">
        <f t="shared" si="56"/>
        <v>Clesim6_20211114_18_00</v>
      </c>
      <c r="I124" s="69">
        <f t="shared" si="60"/>
        <v>1</v>
      </c>
      <c r="J124" s="76" t="str">
        <f t="shared" si="60"/>
        <v>Clematis</v>
      </c>
      <c r="K124" s="76" t="str">
        <f t="shared" si="60"/>
        <v>simense</v>
      </c>
      <c r="L124" s="77">
        <f t="shared" si="60"/>
        <v>6</v>
      </c>
      <c r="M124" s="77">
        <f t="shared" si="60"/>
        <v>20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v>
      </c>
      <c r="C125" s="73">
        <f t="shared" si="55"/>
        <v>14</v>
      </c>
      <c r="D125" s="74">
        <f t="shared" si="38"/>
        <v>18</v>
      </c>
      <c r="E125" s="75">
        <f t="shared" si="39"/>
        <v>2</v>
      </c>
      <c r="F125" s="79"/>
      <c r="G125" s="82"/>
      <c r="H125" s="68" t="str">
        <f t="shared" si="56"/>
        <v>Clesim6_20211114_18_00</v>
      </c>
      <c r="I125" s="69">
        <f t="shared" si="60"/>
        <v>1</v>
      </c>
      <c r="J125" s="76" t="str">
        <f t="shared" si="60"/>
        <v>Clematis</v>
      </c>
      <c r="K125" s="76" t="str">
        <f t="shared" si="60"/>
        <v>simense</v>
      </c>
      <c r="L125" s="77">
        <f t="shared" si="60"/>
        <v>6</v>
      </c>
      <c r="M125" s="77">
        <f t="shared" si="60"/>
        <v>20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v>
      </c>
      <c r="C126" s="73">
        <f t="shared" si="55"/>
        <v>14</v>
      </c>
      <c r="D126" s="74">
        <f t="shared" si="38"/>
        <v>18</v>
      </c>
      <c r="E126" s="75">
        <f t="shared" si="39"/>
        <v>3</v>
      </c>
      <c r="F126" s="79"/>
      <c r="G126" s="82"/>
      <c r="H126" s="68" t="str">
        <f t="shared" si="56"/>
        <v>Clesim6_20211114_18_00</v>
      </c>
      <c r="I126" s="69">
        <f t="shared" si="60"/>
        <v>1</v>
      </c>
      <c r="J126" s="76" t="str">
        <f t="shared" si="60"/>
        <v>Clematis</v>
      </c>
      <c r="K126" s="76" t="str">
        <f t="shared" si="60"/>
        <v>simense</v>
      </c>
      <c r="L126" s="77">
        <f t="shared" si="60"/>
        <v>6</v>
      </c>
      <c r="M126" s="77">
        <f t="shared" si="60"/>
        <v>20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v>
      </c>
      <c r="C127" s="73">
        <f t="shared" si="55"/>
        <v>14</v>
      </c>
      <c r="D127" s="74">
        <f t="shared" si="38"/>
        <v>18</v>
      </c>
      <c r="E127" s="75">
        <f t="shared" si="39"/>
        <v>4</v>
      </c>
      <c r="F127" s="79"/>
      <c r="G127" s="82"/>
      <c r="H127" s="68" t="str">
        <f t="shared" si="56"/>
        <v>Clesim6_20211114_18_00</v>
      </c>
      <c r="I127" s="69">
        <f t="shared" si="60"/>
        <v>1</v>
      </c>
      <c r="J127" s="76" t="str">
        <f t="shared" si="60"/>
        <v>Clematis</v>
      </c>
      <c r="K127" s="76" t="str">
        <f t="shared" si="60"/>
        <v>simense</v>
      </c>
      <c r="L127" s="77">
        <f t="shared" si="60"/>
        <v>6</v>
      </c>
      <c r="M127" s="77">
        <f t="shared" si="60"/>
        <v>20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v>
      </c>
      <c r="C128" s="73">
        <f t="shared" si="55"/>
        <v>14</v>
      </c>
      <c r="D128" s="74">
        <f t="shared" si="38"/>
        <v>18</v>
      </c>
      <c r="E128" s="75">
        <f t="shared" si="39"/>
        <v>5</v>
      </c>
      <c r="F128" s="79"/>
      <c r="G128" s="82"/>
      <c r="H128" s="68" t="str">
        <f t="shared" si="56"/>
        <v>Clesim6_20211114_18_00</v>
      </c>
      <c r="I128" s="69">
        <f t="shared" si="60"/>
        <v>1</v>
      </c>
      <c r="J128" s="76" t="str">
        <f t="shared" si="60"/>
        <v>Clematis</v>
      </c>
      <c r="K128" s="76" t="str">
        <f t="shared" si="60"/>
        <v>simense</v>
      </c>
      <c r="L128" s="77">
        <f t="shared" si="60"/>
        <v>6</v>
      </c>
      <c r="M128" s="77">
        <f t="shared" si="60"/>
        <v>20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v>
      </c>
      <c r="C129" s="73">
        <f t="shared" si="55"/>
        <v>14</v>
      </c>
      <c r="D129" s="74">
        <f t="shared" si="38"/>
        <v>18</v>
      </c>
      <c r="E129" s="75">
        <f t="shared" si="39"/>
        <v>6</v>
      </c>
      <c r="F129" s="79"/>
      <c r="G129" s="82"/>
      <c r="H129" s="68" t="str">
        <f t="shared" si="56"/>
        <v>Clesim6_20211114_18_00</v>
      </c>
      <c r="I129" s="69">
        <f t="shared" si="60"/>
        <v>1</v>
      </c>
      <c r="J129" s="76" t="str">
        <f t="shared" si="60"/>
        <v>Clematis</v>
      </c>
      <c r="K129" s="76" t="str">
        <f t="shared" si="60"/>
        <v>simense</v>
      </c>
      <c r="L129" s="77">
        <f t="shared" si="60"/>
        <v>6</v>
      </c>
      <c r="M129" s="77">
        <f t="shared" si="60"/>
        <v>20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v>
      </c>
      <c r="C130" s="73">
        <f t="shared" si="55"/>
        <v>14</v>
      </c>
      <c r="D130" s="74">
        <f t="shared" si="38"/>
        <v>18</v>
      </c>
      <c r="E130" s="75">
        <f t="shared" si="39"/>
        <v>7</v>
      </c>
      <c r="F130" s="79"/>
      <c r="G130" s="82"/>
      <c r="H130" s="68" t="str">
        <f t="shared" si="56"/>
        <v>Clesim6_20211114_18_00</v>
      </c>
      <c r="I130" s="69">
        <f t="shared" si="60"/>
        <v>1</v>
      </c>
      <c r="J130" s="76" t="str">
        <f t="shared" si="60"/>
        <v>Clematis</v>
      </c>
      <c r="K130" s="76" t="str">
        <f t="shared" si="60"/>
        <v>simense</v>
      </c>
      <c r="L130" s="77">
        <f t="shared" si="60"/>
        <v>6</v>
      </c>
      <c r="M130" s="77">
        <f t="shared" si="60"/>
        <v>20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v>
      </c>
      <c r="C131" s="73">
        <f t="shared" si="55"/>
        <v>14</v>
      </c>
      <c r="D131" s="74">
        <f t="shared" si="38"/>
        <v>18</v>
      </c>
      <c r="E131" s="75">
        <f t="shared" si="39"/>
        <v>8</v>
      </c>
      <c r="F131" s="79"/>
      <c r="G131" s="82"/>
      <c r="H131" s="68" t="str">
        <f t="shared" si="56"/>
        <v>Clesim6_20211114_18_00</v>
      </c>
      <c r="I131" s="69">
        <f t="shared" si="60"/>
        <v>1</v>
      </c>
      <c r="J131" s="76" t="str">
        <f t="shared" si="60"/>
        <v>Clematis</v>
      </c>
      <c r="K131" s="76" t="str">
        <f t="shared" si="60"/>
        <v>simense</v>
      </c>
      <c r="L131" s="77">
        <f t="shared" si="60"/>
        <v>6</v>
      </c>
      <c r="M131" s="77">
        <f t="shared" si="60"/>
        <v>20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v>
      </c>
      <c r="C132" s="73">
        <f t="shared" si="55"/>
        <v>14</v>
      </c>
      <c r="D132" s="74">
        <f t="shared" ref="D132:D195" si="68">IF(IF(E131=59,D131+1,D131)=24,0,IF(E131=59,D131+1,D131))</f>
        <v>18</v>
      </c>
      <c r="E132" s="75">
        <f t="shared" ref="E132:E195" si="69">IF(E131&lt;59,E131+1,0)</f>
        <v>9</v>
      </c>
      <c r="F132" s="79"/>
      <c r="G132" s="82"/>
      <c r="H132" s="68" t="str">
        <f t="shared" si="56"/>
        <v>Clesim6_20211114_18_00</v>
      </c>
      <c r="I132" s="69">
        <f t="shared" si="60"/>
        <v>1</v>
      </c>
      <c r="J132" s="76" t="str">
        <f t="shared" si="60"/>
        <v>Clematis</v>
      </c>
      <c r="K132" s="76" t="str">
        <f t="shared" si="60"/>
        <v>simense</v>
      </c>
      <c r="L132" s="77">
        <f t="shared" si="60"/>
        <v>6</v>
      </c>
      <c r="M132" s="77">
        <f t="shared" si="60"/>
        <v>20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v>
      </c>
      <c r="C133" s="73">
        <f t="shared" ref="C133:C196" si="85">IF(AND(D133=0, E133=0), IF(TEXT(C132,"dd")=TEXT(EOMONTH(DATE(A132,MONTH(DATEVALUE(B132&amp;"1")),C132),0), "dd"), 1, C132+1), C132)</f>
        <v>14</v>
      </c>
      <c r="D133" s="74">
        <f t="shared" si="68"/>
        <v>18</v>
      </c>
      <c r="E133" s="75">
        <f t="shared" si="69"/>
        <v>10</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Clesim6_20211114_18_00</v>
      </c>
      <c r="I133" s="69">
        <f t="shared" ref="I133:N148" si="87">I132</f>
        <v>1</v>
      </c>
      <c r="J133" s="76" t="str">
        <f t="shared" si="87"/>
        <v>Clematis</v>
      </c>
      <c r="K133" s="76" t="str">
        <f t="shared" si="87"/>
        <v>simense</v>
      </c>
      <c r="L133" s="77">
        <f t="shared" si="87"/>
        <v>6</v>
      </c>
      <c r="M133" s="77">
        <f t="shared" si="87"/>
        <v>20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v>
      </c>
      <c r="C134" s="73">
        <f t="shared" si="85"/>
        <v>14</v>
      </c>
      <c r="D134" s="74">
        <f t="shared" si="68"/>
        <v>18</v>
      </c>
      <c r="E134" s="75">
        <f t="shared" si="69"/>
        <v>11</v>
      </c>
      <c r="F134" s="79"/>
      <c r="G134" s="82"/>
      <c r="H134" s="68" t="str">
        <f t="shared" si="86"/>
        <v>Clesim6_20211114_18_00</v>
      </c>
      <c r="I134" s="69">
        <f t="shared" si="87"/>
        <v>1</v>
      </c>
      <c r="J134" s="76" t="str">
        <f t="shared" si="87"/>
        <v>Clematis</v>
      </c>
      <c r="K134" s="76" t="str">
        <f t="shared" si="87"/>
        <v>simense</v>
      </c>
      <c r="L134" s="77">
        <f t="shared" si="87"/>
        <v>6</v>
      </c>
      <c r="M134" s="77">
        <f t="shared" si="87"/>
        <v>20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v>
      </c>
      <c r="C135" s="73">
        <f t="shared" si="85"/>
        <v>14</v>
      </c>
      <c r="D135" s="74">
        <f t="shared" si="68"/>
        <v>18</v>
      </c>
      <c r="E135" s="75">
        <f t="shared" si="69"/>
        <v>12</v>
      </c>
      <c r="F135" s="79"/>
      <c r="G135" s="82"/>
      <c r="H135" s="68" t="str">
        <f t="shared" si="86"/>
        <v>Clesim6_20211114_18_00</v>
      </c>
      <c r="I135" s="69">
        <f t="shared" si="87"/>
        <v>1</v>
      </c>
      <c r="J135" s="76" t="str">
        <f t="shared" si="87"/>
        <v>Clematis</v>
      </c>
      <c r="K135" s="76" t="str">
        <f t="shared" si="87"/>
        <v>simense</v>
      </c>
      <c r="L135" s="77">
        <f t="shared" si="87"/>
        <v>6</v>
      </c>
      <c r="M135" s="77">
        <f t="shared" si="87"/>
        <v>20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v>
      </c>
      <c r="C136" s="73">
        <f t="shared" si="85"/>
        <v>14</v>
      </c>
      <c r="D136" s="74">
        <f t="shared" si="68"/>
        <v>18</v>
      </c>
      <c r="E136" s="75">
        <f t="shared" si="69"/>
        <v>13</v>
      </c>
      <c r="F136" s="79"/>
      <c r="G136" s="82"/>
      <c r="H136" s="68" t="str">
        <f t="shared" si="86"/>
        <v>Clesim6_20211114_18_00</v>
      </c>
      <c r="I136" s="69">
        <f t="shared" si="87"/>
        <v>1</v>
      </c>
      <c r="J136" s="76" t="str">
        <f t="shared" si="87"/>
        <v>Clematis</v>
      </c>
      <c r="K136" s="76" t="str">
        <f t="shared" si="87"/>
        <v>simense</v>
      </c>
      <c r="L136" s="77">
        <f t="shared" si="87"/>
        <v>6</v>
      </c>
      <c r="M136" s="77">
        <f t="shared" si="87"/>
        <v>20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v>
      </c>
      <c r="C137" s="73">
        <f t="shared" si="85"/>
        <v>14</v>
      </c>
      <c r="D137" s="74">
        <f t="shared" si="68"/>
        <v>18</v>
      </c>
      <c r="E137" s="75">
        <f t="shared" si="69"/>
        <v>14</v>
      </c>
      <c r="F137" s="79"/>
      <c r="G137" s="82"/>
      <c r="H137" s="68" t="str">
        <f t="shared" si="86"/>
        <v>Clesim6_20211114_18_00</v>
      </c>
      <c r="I137" s="69">
        <f t="shared" si="87"/>
        <v>1</v>
      </c>
      <c r="J137" s="76" t="str">
        <f t="shared" si="87"/>
        <v>Clematis</v>
      </c>
      <c r="K137" s="76" t="str">
        <f t="shared" si="87"/>
        <v>simense</v>
      </c>
      <c r="L137" s="77">
        <f t="shared" si="87"/>
        <v>6</v>
      </c>
      <c r="M137" s="77">
        <f t="shared" si="87"/>
        <v>20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v>
      </c>
      <c r="C138" s="73">
        <f t="shared" si="85"/>
        <v>14</v>
      </c>
      <c r="D138" s="74">
        <f t="shared" si="68"/>
        <v>18</v>
      </c>
      <c r="E138" s="75">
        <f t="shared" si="69"/>
        <v>15</v>
      </c>
      <c r="F138" s="79"/>
      <c r="G138" s="82"/>
      <c r="H138" s="68" t="str">
        <f t="shared" si="86"/>
        <v>Clesim6_20211114_18_00</v>
      </c>
      <c r="I138" s="69">
        <f t="shared" si="87"/>
        <v>1</v>
      </c>
      <c r="J138" s="76" t="str">
        <f t="shared" si="87"/>
        <v>Clematis</v>
      </c>
      <c r="K138" s="76" t="str">
        <f t="shared" si="87"/>
        <v>simense</v>
      </c>
      <c r="L138" s="77">
        <f t="shared" si="87"/>
        <v>6</v>
      </c>
      <c r="M138" s="77">
        <f t="shared" si="87"/>
        <v>20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v>
      </c>
      <c r="C139" s="73">
        <f t="shared" si="85"/>
        <v>14</v>
      </c>
      <c r="D139" s="74">
        <f t="shared" si="68"/>
        <v>18</v>
      </c>
      <c r="E139" s="75">
        <f t="shared" si="69"/>
        <v>16</v>
      </c>
      <c r="F139" s="79"/>
      <c r="G139" s="82"/>
      <c r="H139" s="68" t="str">
        <f t="shared" si="86"/>
        <v>Clesim6_20211114_18_00</v>
      </c>
      <c r="I139" s="69">
        <f t="shared" si="87"/>
        <v>1</v>
      </c>
      <c r="J139" s="76" t="str">
        <f t="shared" si="87"/>
        <v>Clematis</v>
      </c>
      <c r="K139" s="76" t="str">
        <f t="shared" si="87"/>
        <v>simense</v>
      </c>
      <c r="L139" s="77">
        <f t="shared" si="87"/>
        <v>6</v>
      </c>
      <c r="M139" s="77">
        <f t="shared" si="87"/>
        <v>20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v>
      </c>
      <c r="C140" s="73">
        <f t="shared" si="85"/>
        <v>14</v>
      </c>
      <c r="D140" s="74">
        <f t="shared" si="68"/>
        <v>18</v>
      </c>
      <c r="E140" s="75">
        <f t="shared" si="69"/>
        <v>17</v>
      </c>
      <c r="F140" s="79"/>
      <c r="G140" s="82"/>
      <c r="H140" s="68" t="str">
        <f t="shared" si="86"/>
        <v>Clesim6_20211114_18_00</v>
      </c>
      <c r="I140" s="69">
        <f t="shared" si="87"/>
        <v>1</v>
      </c>
      <c r="J140" s="76" t="str">
        <f t="shared" si="87"/>
        <v>Clematis</v>
      </c>
      <c r="K140" s="76" t="str">
        <f t="shared" si="87"/>
        <v>simense</v>
      </c>
      <c r="L140" s="77">
        <f t="shared" si="87"/>
        <v>6</v>
      </c>
      <c r="M140" s="77">
        <f t="shared" si="87"/>
        <v>20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v>
      </c>
      <c r="C141" s="73">
        <f t="shared" si="85"/>
        <v>14</v>
      </c>
      <c r="D141" s="74">
        <f t="shared" si="68"/>
        <v>18</v>
      </c>
      <c r="E141" s="75">
        <f t="shared" si="69"/>
        <v>18</v>
      </c>
      <c r="F141" s="79"/>
      <c r="G141" s="82"/>
      <c r="H141" s="68" t="str">
        <f t="shared" si="86"/>
        <v>Clesim6_20211114_18_00</v>
      </c>
      <c r="I141" s="69">
        <f t="shared" si="87"/>
        <v>1</v>
      </c>
      <c r="J141" s="76" t="str">
        <f t="shared" si="87"/>
        <v>Clematis</v>
      </c>
      <c r="K141" s="76" t="str">
        <f t="shared" si="87"/>
        <v>simense</v>
      </c>
      <c r="L141" s="77">
        <f t="shared" si="87"/>
        <v>6</v>
      </c>
      <c r="M141" s="77">
        <f t="shared" si="87"/>
        <v>20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2021</v>
      </c>
      <c r="B142" s="72" t="str">
        <f t="shared" si="67"/>
        <v>Nov</v>
      </c>
      <c r="C142" s="73">
        <f t="shared" si="85"/>
        <v>14</v>
      </c>
      <c r="D142" s="74">
        <f t="shared" si="68"/>
        <v>18</v>
      </c>
      <c r="E142" s="75">
        <f t="shared" si="69"/>
        <v>19</v>
      </c>
      <c r="F142" s="79"/>
      <c r="G142" s="82"/>
      <c r="H142" s="68" t="str">
        <f t="shared" si="86"/>
        <v>Clesim6_20211114_18_00</v>
      </c>
      <c r="I142" s="69">
        <f t="shared" si="87"/>
        <v>1</v>
      </c>
      <c r="J142" s="76" t="str">
        <f t="shared" si="87"/>
        <v>Clematis</v>
      </c>
      <c r="K142" s="76" t="str">
        <f t="shared" si="87"/>
        <v>simense</v>
      </c>
      <c r="L142" s="77">
        <f t="shared" si="87"/>
        <v>6</v>
      </c>
      <c r="M142" s="77">
        <f t="shared" si="87"/>
        <v>20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v>
      </c>
      <c r="C143" s="73">
        <f t="shared" si="85"/>
        <v>14</v>
      </c>
      <c r="D143" s="74">
        <f t="shared" si="68"/>
        <v>18</v>
      </c>
      <c r="E143" s="75">
        <f t="shared" si="69"/>
        <v>20</v>
      </c>
      <c r="F143" s="79"/>
      <c r="G143" s="82"/>
      <c r="H143" s="68" t="str">
        <f t="shared" si="86"/>
        <v>Clesim6_20211114_18_00</v>
      </c>
      <c r="I143" s="69">
        <f t="shared" si="87"/>
        <v>1</v>
      </c>
      <c r="J143" s="76" t="str">
        <f t="shared" si="87"/>
        <v>Clematis</v>
      </c>
      <c r="K143" s="76" t="str">
        <f t="shared" si="87"/>
        <v>simense</v>
      </c>
      <c r="L143" s="77">
        <f t="shared" si="87"/>
        <v>6</v>
      </c>
      <c r="M143" s="77">
        <f t="shared" si="87"/>
        <v>20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v>
      </c>
      <c r="C144" s="73">
        <f t="shared" si="85"/>
        <v>14</v>
      </c>
      <c r="D144" s="74">
        <f t="shared" si="68"/>
        <v>18</v>
      </c>
      <c r="E144" s="75">
        <f t="shared" si="69"/>
        <v>21</v>
      </c>
      <c r="F144" s="79"/>
      <c r="G144" s="82"/>
      <c r="H144" s="68" t="str">
        <f t="shared" si="86"/>
        <v>Clesim6_20211114_18_00</v>
      </c>
      <c r="I144" s="69">
        <f t="shared" si="87"/>
        <v>1</v>
      </c>
      <c r="J144" s="76" t="str">
        <f t="shared" si="87"/>
        <v>Clematis</v>
      </c>
      <c r="K144" s="76" t="str">
        <f t="shared" si="87"/>
        <v>simense</v>
      </c>
      <c r="L144" s="77">
        <f t="shared" si="87"/>
        <v>6</v>
      </c>
      <c r="M144" s="77">
        <f t="shared" si="87"/>
        <v>20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v>
      </c>
      <c r="C145" s="73">
        <f t="shared" si="85"/>
        <v>14</v>
      </c>
      <c r="D145" s="74">
        <f t="shared" si="68"/>
        <v>18</v>
      </c>
      <c r="E145" s="75">
        <f t="shared" si="69"/>
        <v>22</v>
      </c>
      <c r="F145" s="79"/>
      <c r="G145" s="82"/>
      <c r="H145" s="68" t="str">
        <f t="shared" si="86"/>
        <v>Clesim6_20211114_18_00</v>
      </c>
      <c r="I145" s="69">
        <f t="shared" si="87"/>
        <v>1</v>
      </c>
      <c r="J145" s="76" t="str">
        <f t="shared" si="87"/>
        <v>Clematis</v>
      </c>
      <c r="K145" s="76" t="str">
        <f t="shared" si="87"/>
        <v>simense</v>
      </c>
      <c r="L145" s="77">
        <f t="shared" si="87"/>
        <v>6</v>
      </c>
      <c r="M145" s="77">
        <f t="shared" si="87"/>
        <v>20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v>
      </c>
      <c r="C146" s="73">
        <f t="shared" si="85"/>
        <v>14</v>
      </c>
      <c r="D146" s="74">
        <f t="shared" si="68"/>
        <v>18</v>
      </c>
      <c r="E146" s="75">
        <f t="shared" si="69"/>
        <v>23</v>
      </c>
      <c r="F146" s="79"/>
      <c r="G146" s="82"/>
      <c r="H146" s="68" t="str">
        <f t="shared" si="86"/>
        <v>Clesim6_20211114_18_00</v>
      </c>
      <c r="I146" s="69">
        <f t="shared" si="87"/>
        <v>1</v>
      </c>
      <c r="J146" s="76" t="str">
        <f t="shared" si="87"/>
        <v>Clematis</v>
      </c>
      <c r="K146" s="76" t="str">
        <f t="shared" si="87"/>
        <v>simense</v>
      </c>
      <c r="L146" s="77">
        <f t="shared" si="87"/>
        <v>6</v>
      </c>
      <c r="M146" s="77">
        <f t="shared" si="87"/>
        <v>20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v>
      </c>
      <c r="C147" s="73">
        <f t="shared" si="85"/>
        <v>14</v>
      </c>
      <c r="D147" s="74">
        <f t="shared" si="68"/>
        <v>18</v>
      </c>
      <c r="E147" s="75">
        <f t="shared" si="69"/>
        <v>24</v>
      </c>
      <c r="F147" s="79"/>
      <c r="G147" s="82"/>
      <c r="H147" s="68" t="str">
        <f t="shared" si="86"/>
        <v>Clesim6_20211114_18_00</v>
      </c>
      <c r="I147" s="69">
        <f t="shared" si="87"/>
        <v>1</v>
      </c>
      <c r="J147" s="76" t="str">
        <f t="shared" si="87"/>
        <v>Clematis</v>
      </c>
      <c r="K147" s="76" t="str">
        <f t="shared" si="87"/>
        <v>simense</v>
      </c>
      <c r="L147" s="77">
        <f t="shared" si="87"/>
        <v>6</v>
      </c>
      <c r="M147" s="77">
        <f t="shared" si="87"/>
        <v>20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v>
      </c>
      <c r="C148" s="73">
        <f t="shared" si="85"/>
        <v>14</v>
      </c>
      <c r="D148" s="74">
        <f t="shared" si="68"/>
        <v>18</v>
      </c>
      <c r="E148" s="75">
        <f t="shared" si="69"/>
        <v>25</v>
      </c>
      <c r="F148" s="79"/>
      <c r="G148" s="82"/>
      <c r="H148" s="68" t="str">
        <f t="shared" si="86"/>
        <v>Clesim6_20211114_18_00</v>
      </c>
      <c r="I148" s="69">
        <f t="shared" si="87"/>
        <v>1</v>
      </c>
      <c r="J148" s="76" t="str">
        <f t="shared" si="87"/>
        <v>Clematis</v>
      </c>
      <c r="K148" s="76" t="str">
        <f t="shared" si="87"/>
        <v>simense</v>
      </c>
      <c r="L148" s="77">
        <f t="shared" si="87"/>
        <v>6</v>
      </c>
      <c r="M148" s="77">
        <f t="shared" si="87"/>
        <v>20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v>
      </c>
      <c r="C149" s="73">
        <f t="shared" si="85"/>
        <v>14</v>
      </c>
      <c r="D149" s="74">
        <f t="shared" si="68"/>
        <v>18</v>
      </c>
      <c r="E149" s="75">
        <f t="shared" si="69"/>
        <v>26</v>
      </c>
      <c r="F149" s="79"/>
      <c r="G149" s="82"/>
      <c r="H149" s="68" t="str">
        <f t="shared" si="86"/>
        <v>Clesim6_20211114_18_00</v>
      </c>
      <c r="I149" s="69">
        <f t="shared" ref="I149:N164" si="88">I148</f>
        <v>1</v>
      </c>
      <c r="J149" s="76" t="str">
        <f t="shared" si="88"/>
        <v>Clematis</v>
      </c>
      <c r="K149" s="76" t="str">
        <f t="shared" si="88"/>
        <v>simense</v>
      </c>
      <c r="L149" s="77">
        <f t="shared" si="88"/>
        <v>6</v>
      </c>
      <c r="M149" s="77">
        <f t="shared" si="88"/>
        <v>20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v>
      </c>
      <c r="C150" s="73">
        <f t="shared" si="85"/>
        <v>14</v>
      </c>
      <c r="D150" s="74">
        <f t="shared" si="68"/>
        <v>18</v>
      </c>
      <c r="E150" s="75">
        <f t="shared" si="69"/>
        <v>27</v>
      </c>
      <c r="F150" s="79"/>
      <c r="G150" s="82"/>
      <c r="H150" s="68" t="str">
        <f t="shared" si="86"/>
        <v>Clesim6_20211114_18_00</v>
      </c>
      <c r="I150" s="69">
        <f t="shared" si="88"/>
        <v>1</v>
      </c>
      <c r="J150" s="76" t="str">
        <f t="shared" si="88"/>
        <v>Clematis</v>
      </c>
      <c r="K150" s="76" t="str">
        <f t="shared" si="88"/>
        <v>simense</v>
      </c>
      <c r="L150" s="77">
        <f t="shared" si="88"/>
        <v>6</v>
      </c>
      <c r="M150" s="77">
        <f t="shared" si="88"/>
        <v>20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v>
      </c>
      <c r="C151" s="73">
        <f t="shared" si="85"/>
        <v>14</v>
      </c>
      <c r="D151" s="74">
        <f t="shared" si="68"/>
        <v>18</v>
      </c>
      <c r="E151" s="75">
        <f t="shared" si="69"/>
        <v>28</v>
      </c>
      <c r="F151" s="79"/>
      <c r="G151" s="82"/>
      <c r="H151" s="68" t="str">
        <f t="shared" si="86"/>
        <v>Clesim6_20211114_18_00</v>
      </c>
      <c r="I151" s="69">
        <f t="shared" si="88"/>
        <v>1</v>
      </c>
      <c r="J151" s="76" t="str">
        <f t="shared" si="88"/>
        <v>Clematis</v>
      </c>
      <c r="K151" s="76" t="str">
        <f t="shared" si="88"/>
        <v>simense</v>
      </c>
      <c r="L151" s="77">
        <f t="shared" si="88"/>
        <v>6</v>
      </c>
      <c r="M151" s="77">
        <f t="shared" si="88"/>
        <v>20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v>
      </c>
      <c r="C152" s="73">
        <f t="shared" si="85"/>
        <v>14</v>
      </c>
      <c r="D152" s="74">
        <f t="shared" si="68"/>
        <v>18</v>
      </c>
      <c r="E152" s="75">
        <f t="shared" si="69"/>
        <v>29</v>
      </c>
      <c r="F152" s="79"/>
      <c r="G152" s="82"/>
      <c r="H152" s="68" t="str">
        <f t="shared" si="86"/>
        <v>Clesim6_20211114_18_00</v>
      </c>
      <c r="I152" s="69">
        <f t="shared" si="88"/>
        <v>1</v>
      </c>
      <c r="J152" s="76" t="str">
        <f t="shared" si="88"/>
        <v>Clematis</v>
      </c>
      <c r="K152" s="76" t="str">
        <f t="shared" si="88"/>
        <v>simense</v>
      </c>
      <c r="L152" s="77">
        <f t="shared" si="88"/>
        <v>6</v>
      </c>
      <c r="M152" s="77">
        <f t="shared" si="88"/>
        <v>20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v>
      </c>
      <c r="C153" s="73">
        <f t="shared" si="85"/>
        <v>14</v>
      </c>
      <c r="D153" s="74">
        <f t="shared" si="68"/>
        <v>18</v>
      </c>
      <c r="E153" s="75">
        <f t="shared" si="69"/>
        <v>30</v>
      </c>
      <c r="F153" s="79"/>
      <c r="G153" s="82"/>
      <c r="H153" s="68" t="str">
        <f t="shared" si="86"/>
        <v>Clesim6_20211114_18_00</v>
      </c>
      <c r="I153" s="69">
        <f t="shared" si="88"/>
        <v>1</v>
      </c>
      <c r="J153" s="76" t="str">
        <f t="shared" si="88"/>
        <v>Clematis</v>
      </c>
      <c r="K153" s="76" t="str">
        <f t="shared" si="88"/>
        <v>simense</v>
      </c>
      <c r="L153" s="77">
        <f t="shared" si="88"/>
        <v>6</v>
      </c>
      <c r="M153" s="77">
        <f t="shared" si="88"/>
        <v>20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2021</v>
      </c>
      <c r="B154" s="72" t="str">
        <f t="shared" si="67"/>
        <v>Nov</v>
      </c>
      <c r="C154" s="73">
        <f t="shared" si="85"/>
        <v>14</v>
      </c>
      <c r="D154" s="74">
        <f t="shared" si="68"/>
        <v>18</v>
      </c>
      <c r="E154" s="75">
        <f t="shared" si="69"/>
        <v>31</v>
      </c>
      <c r="F154" s="79">
        <v>44</v>
      </c>
      <c r="G154" s="82"/>
      <c r="H154" s="68" t="str">
        <f t="shared" si="86"/>
        <v>Clesim6_20211114_18_00</v>
      </c>
      <c r="I154" s="69">
        <f t="shared" si="88"/>
        <v>1</v>
      </c>
      <c r="J154" s="76" t="str">
        <f t="shared" si="88"/>
        <v>Clematis</v>
      </c>
      <c r="K154" s="76" t="str">
        <f t="shared" si="88"/>
        <v>simense</v>
      </c>
      <c r="L154" s="77">
        <f t="shared" si="88"/>
        <v>6</v>
      </c>
      <c r="M154" s="77">
        <f t="shared" si="88"/>
        <v>20</v>
      </c>
      <c r="N154" s="71">
        <f t="shared" si="88"/>
        <v>0</v>
      </c>
      <c r="O154" s="44"/>
      <c r="P154" s="45">
        <f t="shared" si="70"/>
        <v>1</v>
      </c>
      <c r="Q154" s="46" t="str">
        <f t="shared" si="71"/>
        <v>18:31:44</v>
      </c>
      <c r="R154" s="47" t="str">
        <f t="shared" si="72"/>
        <v>31:44</v>
      </c>
      <c r="S154" s="48">
        <f t="shared" si="61"/>
        <v>65</v>
      </c>
      <c r="T154" s="47" t="str">
        <f t="shared" si="73"/>
        <v>18</v>
      </c>
      <c r="U154" s="49">
        <v>32</v>
      </c>
      <c r="V154" s="50">
        <v>49</v>
      </c>
      <c r="W154" s="51" t="str">
        <f t="shared" si="74"/>
        <v>32:49</v>
      </c>
      <c r="X154" s="52" t="s">
        <v>59</v>
      </c>
      <c r="Y154" s="52" t="s">
        <v>72</v>
      </c>
      <c r="Z154" s="52"/>
      <c r="AA154" s="47" t="s">
        <v>60</v>
      </c>
      <c r="AB154" s="47" t="str">
        <f t="shared" si="75"/>
        <v>NA</v>
      </c>
      <c r="AC154" s="53" t="str">
        <f t="shared" si="76"/>
        <v/>
      </c>
      <c r="AD154" s="54">
        <f t="shared" si="77"/>
        <v>1</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f t="shared" si="62"/>
        <v>0</v>
      </c>
      <c r="AX154" s="61" t="str">
        <f t="shared" si="63"/>
        <v/>
      </c>
      <c r="AY154" s="60">
        <f t="shared" si="64"/>
        <v>0</v>
      </c>
      <c r="AZ154" s="61" t="str">
        <f t="shared" si="65"/>
        <v/>
      </c>
    </row>
    <row r="155" spans="1:52" s="3" customFormat="1" hidden="1" x14ac:dyDescent="0.35">
      <c r="A155" s="72">
        <f t="shared" si="66"/>
        <v>2021</v>
      </c>
      <c r="B155" s="72" t="str">
        <f t="shared" si="67"/>
        <v>Nov</v>
      </c>
      <c r="C155" s="73">
        <f t="shared" si="85"/>
        <v>14</v>
      </c>
      <c r="D155" s="74">
        <f t="shared" si="68"/>
        <v>18</v>
      </c>
      <c r="E155" s="75">
        <f t="shared" si="69"/>
        <v>32</v>
      </c>
      <c r="F155" s="79"/>
      <c r="G155" s="82"/>
      <c r="H155" s="68" t="str">
        <f t="shared" si="86"/>
        <v>Clesim6_20211114_18_00</v>
      </c>
      <c r="I155" s="69">
        <f t="shared" si="88"/>
        <v>1</v>
      </c>
      <c r="J155" s="76" t="str">
        <f t="shared" si="88"/>
        <v>Clematis</v>
      </c>
      <c r="K155" s="76" t="str">
        <f t="shared" si="88"/>
        <v>simense</v>
      </c>
      <c r="L155" s="77">
        <f t="shared" si="88"/>
        <v>6</v>
      </c>
      <c r="M155" s="77">
        <f t="shared" si="88"/>
        <v>20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v>
      </c>
      <c r="C156" s="73">
        <f t="shared" si="85"/>
        <v>14</v>
      </c>
      <c r="D156" s="74">
        <f t="shared" si="68"/>
        <v>18</v>
      </c>
      <c r="E156" s="75">
        <f t="shared" si="69"/>
        <v>33</v>
      </c>
      <c r="F156" s="79"/>
      <c r="G156" s="82"/>
      <c r="H156" s="68" t="str">
        <f t="shared" si="86"/>
        <v>Clesim6_20211114_18_00</v>
      </c>
      <c r="I156" s="69">
        <f t="shared" si="88"/>
        <v>1</v>
      </c>
      <c r="J156" s="76" t="str">
        <f t="shared" si="88"/>
        <v>Clematis</v>
      </c>
      <c r="K156" s="76" t="str">
        <f t="shared" si="88"/>
        <v>simense</v>
      </c>
      <c r="L156" s="77">
        <f t="shared" si="88"/>
        <v>6</v>
      </c>
      <c r="M156" s="77">
        <f t="shared" si="88"/>
        <v>20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v>
      </c>
      <c r="C157" s="73">
        <f t="shared" si="85"/>
        <v>14</v>
      </c>
      <c r="D157" s="74">
        <f t="shared" si="68"/>
        <v>18</v>
      </c>
      <c r="E157" s="75">
        <f t="shared" si="69"/>
        <v>34</v>
      </c>
      <c r="F157" s="79"/>
      <c r="G157" s="82"/>
      <c r="H157" s="68" t="str">
        <f t="shared" si="86"/>
        <v>Clesim6_20211114_18_00</v>
      </c>
      <c r="I157" s="69">
        <f t="shared" si="88"/>
        <v>1</v>
      </c>
      <c r="J157" s="76" t="str">
        <f t="shared" si="88"/>
        <v>Clematis</v>
      </c>
      <c r="K157" s="76" t="str">
        <f t="shared" si="88"/>
        <v>simense</v>
      </c>
      <c r="L157" s="77">
        <f t="shared" si="88"/>
        <v>6</v>
      </c>
      <c r="M157" s="77">
        <f t="shared" si="88"/>
        <v>20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v>
      </c>
      <c r="C158" s="73">
        <f t="shared" si="85"/>
        <v>14</v>
      </c>
      <c r="D158" s="74">
        <f t="shared" si="68"/>
        <v>18</v>
      </c>
      <c r="E158" s="75">
        <f t="shared" si="69"/>
        <v>35</v>
      </c>
      <c r="F158" s="79"/>
      <c r="G158" s="82"/>
      <c r="H158" s="68" t="str">
        <f t="shared" si="86"/>
        <v>Clesim6_20211114_18_00</v>
      </c>
      <c r="I158" s="69">
        <f t="shared" si="88"/>
        <v>1</v>
      </c>
      <c r="J158" s="76" t="str">
        <f t="shared" si="88"/>
        <v>Clematis</v>
      </c>
      <c r="K158" s="76" t="str">
        <f t="shared" si="88"/>
        <v>simense</v>
      </c>
      <c r="L158" s="77">
        <f t="shared" si="88"/>
        <v>6</v>
      </c>
      <c r="M158" s="77">
        <f t="shared" si="88"/>
        <v>20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2021</v>
      </c>
      <c r="B159" s="72" t="str">
        <f t="shared" si="67"/>
        <v>Nov</v>
      </c>
      <c r="C159" s="73">
        <f t="shared" si="85"/>
        <v>14</v>
      </c>
      <c r="D159" s="74">
        <f t="shared" si="68"/>
        <v>18</v>
      </c>
      <c r="E159" s="75">
        <f t="shared" si="69"/>
        <v>36</v>
      </c>
      <c r="F159" s="79">
        <v>15</v>
      </c>
      <c r="G159" s="82"/>
      <c r="H159" s="68" t="str">
        <f t="shared" si="86"/>
        <v>Clesim6_20211114_18_00</v>
      </c>
      <c r="I159" s="69">
        <f t="shared" si="88"/>
        <v>1</v>
      </c>
      <c r="J159" s="76" t="str">
        <f t="shared" si="88"/>
        <v>Clematis</v>
      </c>
      <c r="K159" s="76" t="str">
        <f t="shared" si="88"/>
        <v>simense</v>
      </c>
      <c r="L159" s="77">
        <f t="shared" si="88"/>
        <v>6</v>
      </c>
      <c r="M159" s="77">
        <f t="shared" si="88"/>
        <v>20</v>
      </c>
      <c r="N159" s="71">
        <f t="shared" si="88"/>
        <v>0</v>
      </c>
      <c r="O159" s="44"/>
      <c r="P159" s="45">
        <f t="shared" si="70"/>
        <v>1</v>
      </c>
      <c r="Q159" s="46" t="str">
        <f t="shared" si="71"/>
        <v>18:36:15</v>
      </c>
      <c r="R159" s="47" t="str">
        <f t="shared" si="72"/>
        <v>36:15</v>
      </c>
      <c r="S159" s="48">
        <f t="shared" si="61"/>
        <v>255</v>
      </c>
      <c r="T159" s="47" t="str">
        <f t="shared" si="73"/>
        <v>18</v>
      </c>
      <c r="U159" s="49">
        <v>40</v>
      </c>
      <c r="V159" s="50">
        <v>30</v>
      </c>
      <c r="W159" s="51" t="str">
        <f t="shared" si="74"/>
        <v>40:30</v>
      </c>
      <c r="X159" s="52" t="s">
        <v>59</v>
      </c>
      <c r="Y159" s="52" t="s">
        <v>72</v>
      </c>
      <c r="Z159" s="52"/>
      <c r="AA159" s="47" t="s">
        <v>60</v>
      </c>
      <c r="AB159" s="47" t="str">
        <f t="shared" si="75"/>
        <v>NA</v>
      </c>
      <c r="AC159" s="53" t="str">
        <f t="shared" si="76"/>
        <v/>
      </c>
      <c r="AD159" s="54">
        <v>5</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f t="shared" si="62"/>
        <v>0</v>
      </c>
      <c r="AX159" s="61" t="str">
        <f t="shared" si="63"/>
        <v/>
      </c>
      <c r="AY159" s="60">
        <f t="shared" si="64"/>
        <v>0</v>
      </c>
      <c r="AZ159" s="61" t="str">
        <f t="shared" si="65"/>
        <v/>
      </c>
    </row>
    <row r="160" spans="1:52" s="3" customFormat="1" hidden="1" x14ac:dyDescent="0.35">
      <c r="A160" s="72">
        <f t="shared" si="66"/>
        <v>2021</v>
      </c>
      <c r="B160" s="72" t="str">
        <f t="shared" si="67"/>
        <v>Nov</v>
      </c>
      <c r="C160" s="73">
        <f t="shared" si="85"/>
        <v>14</v>
      </c>
      <c r="D160" s="74">
        <f t="shared" si="68"/>
        <v>18</v>
      </c>
      <c r="E160" s="75">
        <f t="shared" si="69"/>
        <v>37</v>
      </c>
      <c r="F160" s="79"/>
      <c r="G160" s="82"/>
      <c r="H160" s="68" t="str">
        <f t="shared" si="86"/>
        <v>Clesim6_20211114_18_00</v>
      </c>
      <c r="I160" s="69">
        <f t="shared" si="88"/>
        <v>1</v>
      </c>
      <c r="J160" s="76" t="str">
        <f t="shared" si="88"/>
        <v>Clematis</v>
      </c>
      <c r="K160" s="76" t="str">
        <f t="shared" si="88"/>
        <v>simense</v>
      </c>
      <c r="L160" s="77">
        <f t="shared" si="88"/>
        <v>6</v>
      </c>
      <c r="M160" s="77">
        <f t="shared" si="88"/>
        <v>20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v>
      </c>
      <c r="C161" s="73">
        <f t="shared" si="85"/>
        <v>14</v>
      </c>
      <c r="D161" s="74">
        <f t="shared" si="68"/>
        <v>18</v>
      </c>
      <c r="E161" s="75">
        <f t="shared" si="69"/>
        <v>38</v>
      </c>
      <c r="F161" s="79"/>
      <c r="G161" s="82"/>
      <c r="H161" s="68" t="str">
        <f t="shared" si="86"/>
        <v>Clesim6_20211114_18_00</v>
      </c>
      <c r="I161" s="69">
        <f t="shared" si="88"/>
        <v>1</v>
      </c>
      <c r="J161" s="76" t="str">
        <f t="shared" si="88"/>
        <v>Clematis</v>
      </c>
      <c r="K161" s="76" t="str">
        <f t="shared" si="88"/>
        <v>simense</v>
      </c>
      <c r="L161" s="77">
        <f t="shared" si="88"/>
        <v>6</v>
      </c>
      <c r="M161" s="77">
        <f t="shared" si="88"/>
        <v>20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v>
      </c>
      <c r="C162" s="73">
        <f t="shared" si="85"/>
        <v>14</v>
      </c>
      <c r="D162" s="74">
        <f t="shared" si="68"/>
        <v>18</v>
      </c>
      <c r="E162" s="75">
        <f t="shared" si="69"/>
        <v>39</v>
      </c>
      <c r="F162" s="79"/>
      <c r="G162" s="82"/>
      <c r="H162" s="68" t="str">
        <f t="shared" si="86"/>
        <v>Clesim6_20211114_18_00</v>
      </c>
      <c r="I162" s="69">
        <f t="shared" si="88"/>
        <v>1</v>
      </c>
      <c r="J162" s="76" t="str">
        <f t="shared" si="88"/>
        <v>Clematis</v>
      </c>
      <c r="K162" s="76" t="str">
        <f t="shared" si="88"/>
        <v>simense</v>
      </c>
      <c r="L162" s="77">
        <f t="shared" si="88"/>
        <v>6</v>
      </c>
      <c r="M162" s="77">
        <f t="shared" si="88"/>
        <v>20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v>
      </c>
      <c r="C163" s="73">
        <f t="shared" si="85"/>
        <v>14</v>
      </c>
      <c r="D163" s="74">
        <f t="shared" si="68"/>
        <v>18</v>
      </c>
      <c r="E163" s="75">
        <f t="shared" si="69"/>
        <v>40</v>
      </c>
      <c r="F163" s="79"/>
      <c r="G163" s="82"/>
      <c r="H163" s="68" t="str">
        <f t="shared" si="86"/>
        <v>Clesim6_20211114_18_00</v>
      </c>
      <c r="I163" s="69">
        <f t="shared" si="88"/>
        <v>1</v>
      </c>
      <c r="J163" s="76" t="str">
        <f t="shared" si="88"/>
        <v>Clematis</v>
      </c>
      <c r="K163" s="76" t="str">
        <f t="shared" si="88"/>
        <v>simense</v>
      </c>
      <c r="L163" s="77">
        <f t="shared" si="88"/>
        <v>6</v>
      </c>
      <c r="M163" s="77">
        <f t="shared" si="88"/>
        <v>20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v>
      </c>
      <c r="C164" s="73">
        <f t="shared" si="85"/>
        <v>14</v>
      </c>
      <c r="D164" s="74">
        <f t="shared" si="68"/>
        <v>18</v>
      </c>
      <c r="E164" s="75">
        <f t="shared" si="69"/>
        <v>41</v>
      </c>
      <c r="F164" s="79"/>
      <c r="G164" s="82"/>
      <c r="H164" s="68" t="str">
        <f t="shared" si="86"/>
        <v>Clesim6_20211114_18_00</v>
      </c>
      <c r="I164" s="69">
        <f t="shared" si="88"/>
        <v>1</v>
      </c>
      <c r="J164" s="76" t="str">
        <f t="shared" si="88"/>
        <v>Clematis</v>
      </c>
      <c r="K164" s="76" t="str">
        <f t="shared" si="88"/>
        <v>simense</v>
      </c>
      <c r="L164" s="77">
        <f t="shared" si="88"/>
        <v>6</v>
      </c>
      <c r="M164" s="77">
        <f t="shared" si="88"/>
        <v>20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v>
      </c>
      <c r="C165" s="73">
        <f t="shared" si="85"/>
        <v>14</v>
      </c>
      <c r="D165" s="74">
        <f t="shared" si="68"/>
        <v>18</v>
      </c>
      <c r="E165" s="75">
        <f t="shared" si="69"/>
        <v>42</v>
      </c>
      <c r="F165" s="79"/>
      <c r="G165" s="82"/>
      <c r="H165" s="68" t="str">
        <f t="shared" si="86"/>
        <v>Clesim6_20211114_18_00</v>
      </c>
      <c r="I165" s="69">
        <f t="shared" ref="I165:N180" si="89">I164</f>
        <v>1</v>
      </c>
      <c r="J165" s="76" t="str">
        <f t="shared" si="89"/>
        <v>Clematis</v>
      </c>
      <c r="K165" s="76" t="str">
        <f t="shared" si="89"/>
        <v>simense</v>
      </c>
      <c r="L165" s="77">
        <f t="shared" si="89"/>
        <v>6</v>
      </c>
      <c r="M165" s="77">
        <f t="shared" si="89"/>
        <v>20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v>
      </c>
      <c r="C166" s="73">
        <f t="shared" si="85"/>
        <v>14</v>
      </c>
      <c r="D166" s="74">
        <f t="shared" si="68"/>
        <v>18</v>
      </c>
      <c r="E166" s="75">
        <f t="shared" si="69"/>
        <v>43</v>
      </c>
      <c r="F166" s="79"/>
      <c r="G166" s="82"/>
      <c r="H166" s="68" t="str">
        <f t="shared" si="86"/>
        <v>Clesim6_20211114_18_00</v>
      </c>
      <c r="I166" s="69">
        <f t="shared" si="89"/>
        <v>1</v>
      </c>
      <c r="J166" s="76" t="str">
        <f t="shared" si="89"/>
        <v>Clematis</v>
      </c>
      <c r="K166" s="76" t="str">
        <f t="shared" si="89"/>
        <v>simense</v>
      </c>
      <c r="L166" s="77">
        <f t="shared" si="89"/>
        <v>6</v>
      </c>
      <c r="M166" s="77">
        <f t="shared" si="89"/>
        <v>20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v>
      </c>
      <c r="C167" s="73">
        <f t="shared" si="85"/>
        <v>14</v>
      </c>
      <c r="D167" s="74">
        <f t="shared" si="68"/>
        <v>18</v>
      </c>
      <c r="E167" s="75">
        <f t="shared" si="69"/>
        <v>44</v>
      </c>
      <c r="F167" s="79"/>
      <c r="G167" s="82"/>
      <c r="H167" s="68" t="str">
        <f t="shared" si="86"/>
        <v>Clesim6_20211114_18_00</v>
      </c>
      <c r="I167" s="69">
        <f t="shared" si="89"/>
        <v>1</v>
      </c>
      <c r="J167" s="76" t="str">
        <f t="shared" si="89"/>
        <v>Clematis</v>
      </c>
      <c r="K167" s="76" t="str">
        <f t="shared" si="89"/>
        <v>simense</v>
      </c>
      <c r="L167" s="77">
        <f t="shared" si="89"/>
        <v>6</v>
      </c>
      <c r="M167" s="77">
        <f t="shared" si="89"/>
        <v>20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2021</v>
      </c>
      <c r="B168" s="72" t="str">
        <f t="shared" si="67"/>
        <v>Nov</v>
      </c>
      <c r="C168" s="73">
        <f t="shared" si="85"/>
        <v>14</v>
      </c>
      <c r="D168" s="74">
        <f t="shared" si="68"/>
        <v>18</v>
      </c>
      <c r="E168" s="75">
        <f t="shared" si="69"/>
        <v>45</v>
      </c>
      <c r="F168" s="79">
        <v>14</v>
      </c>
      <c r="G168" s="82"/>
      <c r="H168" s="68" t="str">
        <f t="shared" si="86"/>
        <v>Clesim6_20211114_18_00</v>
      </c>
      <c r="I168" s="69">
        <f t="shared" si="89"/>
        <v>1</v>
      </c>
      <c r="J168" s="76" t="str">
        <f t="shared" si="89"/>
        <v>Clematis</v>
      </c>
      <c r="K168" s="76" t="str">
        <f t="shared" si="89"/>
        <v>simense</v>
      </c>
      <c r="L168" s="77">
        <f t="shared" si="89"/>
        <v>6</v>
      </c>
      <c r="M168" s="77">
        <f t="shared" si="89"/>
        <v>20</v>
      </c>
      <c r="N168" s="71">
        <f t="shared" si="89"/>
        <v>0</v>
      </c>
      <c r="O168" s="44"/>
      <c r="P168" s="45">
        <f t="shared" si="70"/>
        <v>1</v>
      </c>
      <c r="Q168" s="46" t="str">
        <f t="shared" si="71"/>
        <v>18:45:14</v>
      </c>
      <c r="R168" s="47" t="str">
        <f t="shared" si="72"/>
        <v>45:14</v>
      </c>
      <c r="S168" s="48">
        <f t="shared" si="61"/>
        <v>152</v>
      </c>
      <c r="T168" s="47" t="str">
        <f t="shared" si="73"/>
        <v>18</v>
      </c>
      <c r="U168" s="49">
        <v>47</v>
      </c>
      <c r="V168" s="50">
        <v>46</v>
      </c>
      <c r="W168" s="51" t="str">
        <f t="shared" si="74"/>
        <v>47:46</v>
      </c>
      <c r="X168" s="52" t="s">
        <v>61</v>
      </c>
      <c r="Y168" s="52" t="s">
        <v>73</v>
      </c>
      <c r="Z168" s="52"/>
      <c r="AA168" s="47" t="s">
        <v>62</v>
      </c>
      <c r="AB168" s="47" t="str">
        <f t="shared" si="75"/>
        <v>NA</v>
      </c>
      <c r="AC168" s="53" t="str">
        <f t="shared" si="76"/>
        <v/>
      </c>
      <c r="AD168" s="54">
        <f t="shared" si="77"/>
        <v>1</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f t="shared" si="62"/>
        <v>0</v>
      </c>
      <c r="AX168" s="61" t="str">
        <f t="shared" si="63"/>
        <v/>
      </c>
      <c r="AY168" s="60">
        <f t="shared" si="64"/>
        <v>0</v>
      </c>
      <c r="AZ168" s="61" t="str">
        <f t="shared" si="65"/>
        <v/>
      </c>
    </row>
    <row r="169" spans="1:52" s="3" customFormat="1" hidden="1" x14ac:dyDescent="0.35">
      <c r="A169" s="72">
        <f t="shared" si="66"/>
        <v>2021</v>
      </c>
      <c r="B169" s="72" t="str">
        <f t="shared" si="67"/>
        <v>Nov</v>
      </c>
      <c r="C169" s="73">
        <f t="shared" si="85"/>
        <v>14</v>
      </c>
      <c r="D169" s="74">
        <f t="shared" si="68"/>
        <v>18</v>
      </c>
      <c r="E169" s="75">
        <f t="shared" si="69"/>
        <v>46</v>
      </c>
      <c r="F169" s="79"/>
      <c r="G169" s="82"/>
      <c r="H169" s="68" t="str">
        <f t="shared" si="86"/>
        <v>Clesim6_20211114_18_00</v>
      </c>
      <c r="I169" s="69">
        <f t="shared" si="89"/>
        <v>1</v>
      </c>
      <c r="J169" s="76" t="str">
        <f t="shared" si="89"/>
        <v>Clematis</v>
      </c>
      <c r="K169" s="76" t="str">
        <f t="shared" si="89"/>
        <v>simense</v>
      </c>
      <c r="L169" s="77">
        <f t="shared" si="89"/>
        <v>6</v>
      </c>
      <c r="M169" s="77">
        <f t="shared" si="89"/>
        <v>20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v>
      </c>
      <c r="C170" s="73">
        <f t="shared" si="85"/>
        <v>14</v>
      </c>
      <c r="D170" s="74">
        <f t="shared" si="68"/>
        <v>18</v>
      </c>
      <c r="E170" s="75">
        <f t="shared" si="69"/>
        <v>47</v>
      </c>
      <c r="F170" s="79"/>
      <c r="G170" s="82"/>
      <c r="H170" s="68" t="str">
        <f t="shared" si="86"/>
        <v>Clesim6_20211114_18_00</v>
      </c>
      <c r="I170" s="69">
        <f t="shared" si="89"/>
        <v>1</v>
      </c>
      <c r="J170" s="76" t="str">
        <f t="shared" si="89"/>
        <v>Clematis</v>
      </c>
      <c r="K170" s="76" t="str">
        <f t="shared" si="89"/>
        <v>simense</v>
      </c>
      <c r="L170" s="77">
        <f t="shared" si="89"/>
        <v>6</v>
      </c>
      <c r="M170" s="77">
        <f t="shared" si="89"/>
        <v>20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v>
      </c>
      <c r="C171" s="73">
        <f t="shared" si="85"/>
        <v>14</v>
      </c>
      <c r="D171" s="74">
        <f t="shared" si="68"/>
        <v>18</v>
      </c>
      <c r="E171" s="75">
        <f t="shared" si="69"/>
        <v>48</v>
      </c>
      <c r="F171" s="79"/>
      <c r="G171" s="82"/>
      <c r="H171" s="68" t="str">
        <f t="shared" si="86"/>
        <v>Clesim6_20211114_18_00</v>
      </c>
      <c r="I171" s="69">
        <f t="shared" si="89"/>
        <v>1</v>
      </c>
      <c r="J171" s="76" t="str">
        <f t="shared" si="89"/>
        <v>Clematis</v>
      </c>
      <c r="K171" s="76" t="str">
        <f t="shared" si="89"/>
        <v>simense</v>
      </c>
      <c r="L171" s="77">
        <f t="shared" si="89"/>
        <v>6</v>
      </c>
      <c r="M171" s="77">
        <f t="shared" si="89"/>
        <v>20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v>
      </c>
      <c r="C172" s="73">
        <f t="shared" si="85"/>
        <v>14</v>
      </c>
      <c r="D172" s="74">
        <f t="shared" si="68"/>
        <v>18</v>
      </c>
      <c r="E172" s="75">
        <f t="shared" si="69"/>
        <v>49</v>
      </c>
      <c r="F172" s="79"/>
      <c r="G172" s="82"/>
      <c r="H172" s="68" t="str">
        <f t="shared" si="86"/>
        <v>Clesim6_20211114_18_00</v>
      </c>
      <c r="I172" s="69">
        <f t="shared" si="89"/>
        <v>1</v>
      </c>
      <c r="J172" s="76" t="str">
        <f t="shared" si="89"/>
        <v>Clematis</v>
      </c>
      <c r="K172" s="76" t="str">
        <f t="shared" si="89"/>
        <v>simense</v>
      </c>
      <c r="L172" s="77">
        <f t="shared" si="89"/>
        <v>6</v>
      </c>
      <c r="M172" s="77">
        <f t="shared" si="89"/>
        <v>20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v>
      </c>
      <c r="C173" s="73">
        <f t="shared" si="85"/>
        <v>14</v>
      </c>
      <c r="D173" s="74">
        <f t="shared" si="68"/>
        <v>18</v>
      </c>
      <c r="E173" s="75">
        <f t="shared" si="69"/>
        <v>50</v>
      </c>
      <c r="F173" s="79"/>
      <c r="G173" s="82"/>
      <c r="H173" s="68" t="str">
        <f t="shared" si="86"/>
        <v>Clesim6_20211114_18_00</v>
      </c>
      <c r="I173" s="69">
        <f t="shared" si="89"/>
        <v>1</v>
      </c>
      <c r="J173" s="76" t="str">
        <f t="shared" si="89"/>
        <v>Clematis</v>
      </c>
      <c r="K173" s="76" t="str">
        <f t="shared" si="89"/>
        <v>simense</v>
      </c>
      <c r="L173" s="77">
        <f t="shared" si="89"/>
        <v>6</v>
      </c>
      <c r="M173" s="77">
        <f t="shared" si="89"/>
        <v>20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v>
      </c>
      <c r="C174" s="73">
        <f t="shared" si="85"/>
        <v>14</v>
      </c>
      <c r="D174" s="74">
        <f t="shared" si="68"/>
        <v>18</v>
      </c>
      <c r="E174" s="75">
        <f t="shared" si="69"/>
        <v>51</v>
      </c>
      <c r="F174" s="79"/>
      <c r="G174" s="82"/>
      <c r="H174" s="68" t="str">
        <f t="shared" si="86"/>
        <v>Clesim6_20211114_18_00</v>
      </c>
      <c r="I174" s="69">
        <f t="shared" si="89"/>
        <v>1</v>
      </c>
      <c r="J174" s="76" t="str">
        <f t="shared" si="89"/>
        <v>Clematis</v>
      </c>
      <c r="K174" s="76" t="str">
        <f t="shared" si="89"/>
        <v>simense</v>
      </c>
      <c r="L174" s="77">
        <f t="shared" si="89"/>
        <v>6</v>
      </c>
      <c r="M174" s="77">
        <f t="shared" si="89"/>
        <v>20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v>
      </c>
      <c r="C175" s="73">
        <f t="shared" si="85"/>
        <v>14</v>
      </c>
      <c r="D175" s="74">
        <f t="shared" si="68"/>
        <v>18</v>
      </c>
      <c r="E175" s="75">
        <f t="shared" si="69"/>
        <v>52</v>
      </c>
      <c r="F175" s="79"/>
      <c r="G175" s="82"/>
      <c r="H175" s="68" t="str">
        <f t="shared" si="86"/>
        <v>Clesim6_20211114_18_00</v>
      </c>
      <c r="I175" s="69">
        <f t="shared" si="89"/>
        <v>1</v>
      </c>
      <c r="J175" s="76" t="str">
        <f t="shared" si="89"/>
        <v>Clematis</v>
      </c>
      <c r="K175" s="76" t="str">
        <f t="shared" si="89"/>
        <v>simense</v>
      </c>
      <c r="L175" s="77">
        <f t="shared" si="89"/>
        <v>6</v>
      </c>
      <c r="M175" s="77">
        <f t="shared" si="89"/>
        <v>20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v>
      </c>
      <c r="C176" s="73">
        <f t="shared" si="85"/>
        <v>14</v>
      </c>
      <c r="D176" s="74">
        <f t="shared" si="68"/>
        <v>18</v>
      </c>
      <c r="E176" s="75">
        <f t="shared" si="69"/>
        <v>53</v>
      </c>
      <c r="F176" s="79"/>
      <c r="G176" s="82"/>
      <c r="H176" s="68" t="str">
        <f t="shared" si="86"/>
        <v>Clesim6_20211114_18_00</v>
      </c>
      <c r="I176" s="69">
        <f t="shared" si="89"/>
        <v>1</v>
      </c>
      <c r="J176" s="76" t="str">
        <f t="shared" si="89"/>
        <v>Clematis</v>
      </c>
      <c r="K176" s="76" t="str">
        <f t="shared" si="89"/>
        <v>simense</v>
      </c>
      <c r="L176" s="77">
        <f t="shared" si="89"/>
        <v>6</v>
      </c>
      <c r="M176" s="77">
        <f t="shared" si="89"/>
        <v>20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v>
      </c>
      <c r="C177" s="73">
        <f t="shared" si="85"/>
        <v>14</v>
      </c>
      <c r="D177" s="74">
        <f t="shared" si="68"/>
        <v>18</v>
      </c>
      <c r="E177" s="75">
        <f t="shared" si="69"/>
        <v>54</v>
      </c>
      <c r="F177" s="79"/>
      <c r="G177" s="82"/>
      <c r="H177" s="68" t="str">
        <f t="shared" si="86"/>
        <v>Clesim6_20211114_18_00</v>
      </c>
      <c r="I177" s="69">
        <f t="shared" si="89"/>
        <v>1</v>
      </c>
      <c r="J177" s="76" t="str">
        <f t="shared" si="89"/>
        <v>Clematis</v>
      </c>
      <c r="K177" s="76" t="str">
        <f t="shared" si="89"/>
        <v>simense</v>
      </c>
      <c r="L177" s="77">
        <f t="shared" si="89"/>
        <v>6</v>
      </c>
      <c r="M177" s="77">
        <f t="shared" si="89"/>
        <v>20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v>
      </c>
      <c r="C178" s="73">
        <f t="shared" si="85"/>
        <v>14</v>
      </c>
      <c r="D178" s="74">
        <f t="shared" si="68"/>
        <v>18</v>
      </c>
      <c r="E178" s="75">
        <f t="shared" si="69"/>
        <v>55</v>
      </c>
      <c r="F178" s="79"/>
      <c r="G178" s="82"/>
      <c r="H178" s="68" t="str">
        <f t="shared" si="86"/>
        <v>Clesim6_20211114_18_00</v>
      </c>
      <c r="I178" s="69">
        <f t="shared" si="89"/>
        <v>1</v>
      </c>
      <c r="J178" s="76" t="str">
        <f t="shared" si="89"/>
        <v>Clematis</v>
      </c>
      <c r="K178" s="76" t="str">
        <f t="shared" si="89"/>
        <v>simense</v>
      </c>
      <c r="L178" s="77">
        <f t="shared" si="89"/>
        <v>6</v>
      </c>
      <c r="M178" s="77">
        <f t="shared" si="89"/>
        <v>20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v>
      </c>
      <c r="C179" s="73">
        <f t="shared" si="85"/>
        <v>14</v>
      </c>
      <c r="D179" s="74">
        <f t="shared" si="68"/>
        <v>18</v>
      </c>
      <c r="E179" s="75">
        <f t="shared" si="69"/>
        <v>56</v>
      </c>
      <c r="F179" s="79"/>
      <c r="G179" s="82"/>
      <c r="H179" s="68" t="str">
        <f t="shared" si="86"/>
        <v>Clesim6_20211114_18_00</v>
      </c>
      <c r="I179" s="69">
        <f t="shared" si="89"/>
        <v>1</v>
      </c>
      <c r="J179" s="76" t="str">
        <f t="shared" si="89"/>
        <v>Clematis</v>
      </c>
      <c r="K179" s="76" t="str">
        <f t="shared" si="89"/>
        <v>simense</v>
      </c>
      <c r="L179" s="77">
        <f t="shared" si="89"/>
        <v>6</v>
      </c>
      <c r="M179" s="77">
        <f t="shared" si="89"/>
        <v>20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v>
      </c>
      <c r="C180" s="73">
        <f t="shared" si="85"/>
        <v>14</v>
      </c>
      <c r="D180" s="74">
        <f t="shared" si="68"/>
        <v>18</v>
      </c>
      <c r="E180" s="75">
        <f t="shared" si="69"/>
        <v>57</v>
      </c>
      <c r="F180" s="79"/>
      <c r="G180" s="82"/>
      <c r="H180" s="68" t="str">
        <f t="shared" si="86"/>
        <v>Clesim6_20211114_18_00</v>
      </c>
      <c r="I180" s="69">
        <f t="shared" si="89"/>
        <v>1</v>
      </c>
      <c r="J180" s="76" t="str">
        <f t="shared" si="89"/>
        <v>Clematis</v>
      </c>
      <c r="K180" s="76" t="str">
        <f t="shared" si="89"/>
        <v>simense</v>
      </c>
      <c r="L180" s="77">
        <f t="shared" si="89"/>
        <v>6</v>
      </c>
      <c r="M180" s="77">
        <f t="shared" si="89"/>
        <v>20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v>
      </c>
      <c r="C181" s="73">
        <f t="shared" si="85"/>
        <v>14</v>
      </c>
      <c r="D181" s="74">
        <f t="shared" si="68"/>
        <v>18</v>
      </c>
      <c r="E181" s="75">
        <f t="shared" si="69"/>
        <v>58</v>
      </c>
      <c r="F181" s="79"/>
      <c r="G181" s="82"/>
      <c r="H181" s="68" t="str">
        <f t="shared" si="86"/>
        <v>Clesim6_20211114_18_00</v>
      </c>
      <c r="I181" s="69">
        <f t="shared" ref="I181:N196" si="90">I180</f>
        <v>1</v>
      </c>
      <c r="J181" s="76" t="str">
        <f t="shared" si="90"/>
        <v>Clematis</v>
      </c>
      <c r="K181" s="76" t="str">
        <f t="shared" si="90"/>
        <v>simense</v>
      </c>
      <c r="L181" s="77">
        <f t="shared" si="90"/>
        <v>6</v>
      </c>
      <c r="M181" s="77">
        <f t="shared" si="90"/>
        <v>20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v>
      </c>
      <c r="C182" s="73">
        <f t="shared" si="85"/>
        <v>14</v>
      </c>
      <c r="D182" s="74">
        <f t="shared" si="68"/>
        <v>18</v>
      </c>
      <c r="E182" s="75">
        <f t="shared" si="69"/>
        <v>59</v>
      </c>
      <c r="F182" s="79"/>
      <c r="G182" s="82"/>
      <c r="H182" s="68" t="str">
        <f t="shared" si="86"/>
        <v>Clesim6_20211114_18_00</v>
      </c>
      <c r="I182" s="69">
        <f t="shared" si="90"/>
        <v>1</v>
      </c>
      <c r="J182" s="76" t="str">
        <f t="shared" si="90"/>
        <v>Clematis</v>
      </c>
      <c r="K182" s="76" t="str">
        <f t="shared" si="90"/>
        <v>simense</v>
      </c>
      <c r="L182" s="77">
        <f t="shared" si="90"/>
        <v>6</v>
      </c>
      <c r="M182" s="77">
        <f t="shared" si="90"/>
        <v>20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v>
      </c>
      <c r="C183" s="73">
        <f t="shared" si="85"/>
        <v>14</v>
      </c>
      <c r="D183" s="74">
        <f t="shared" si="68"/>
        <v>19</v>
      </c>
      <c r="E183" s="75">
        <f t="shared" si="69"/>
        <v>0</v>
      </c>
      <c r="F183" s="79"/>
      <c r="G183" s="82"/>
      <c r="H183" s="68" t="str">
        <f t="shared" si="86"/>
        <v>Clesim6_20211114_19_00</v>
      </c>
      <c r="I183" s="69">
        <f t="shared" si="90"/>
        <v>1</v>
      </c>
      <c r="J183" s="76" t="str">
        <f t="shared" si="90"/>
        <v>Clematis</v>
      </c>
      <c r="K183" s="76" t="str">
        <f t="shared" si="90"/>
        <v>simense</v>
      </c>
      <c r="L183" s="77">
        <f t="shared" si="90"/>
        <v>6</v>
      </c>
      <c r="M183" s="77">
        <f t="shared" si="90"/>
        <v>20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2021</v>
      </c>
      <c r="B184" s="72" t="str">
        <f t="shared" si="67"/>
        <v>Nov</v>
      </c>
      <c r="C184" s="73">
        <f t="shared" si="85"/>
        <v>14</v>
      </c>
      <c r="D184" s="74">
        <f t="shared" si="68"/>
        <v>19</v>
      </c>
      <c r="E184" s="75">
        <f t="shared" si="69"/>
        <v>1</v>
      </c>
      <c r="F184" s="79"/>
      <c r="G184" s="82"/>
      <c r="H184" s="68" t="str">
        <f t="shared" si="86"/>
        <v>Clesim6_20211114_19_00</v>
      </c>
      <c r="I184" s="69">
        <f t="shared" si="90"/>
        <v>1</v>
      </c>
      <c r="J184" s="76" t="str">
        <f t="shared" si="90"/>
        <v>Clematis</v>
      </c>
      <c r="K184" s="76" t="str">
        <f t="shared" si="90"/>
        <v>simense</v>
      </c>
      <c r="L184" s="77">
        <f t="shared" si="90"/>
        <v>6</v>
      </c>
      <c r="M184" s="77">
        <f t="shared" si="90"/>
        <v>20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v>
      </c>
      <c r="C185" s="73">
        <f t="shared" si="85"/>
        <v>14</v>
      </c>
      <c r="D185" s="74">
        <f t="shared" si="68"/>
        <v>19</v>
      </c>
      <c r="E185" s="75">
        <f t="shared" si="69"/>
        <v>2</v>
      </c>
      <c r="F185" s="79"/>
      <c r="G185" s="82"/>
      <c r="H185" s="68" t="str">
        <f t="shared" si="86"/>
        <v>Clesim6_20211114_19_00</v>
      </c>
      <c r="I185" s="69">
        <f t="shared" si="90"/>
        <v>1</v>
      </c>
      <c r="J185" s="76" t="str">
        <f t="shared" si="90"/>
        <v>Clematis</v>
      </c>
      <c r="K185" s="76" t="str">
        <f t="shared" si="90"/>
        <v>simense</v>
      </c>
      <c r="L185" s="77">
        <f t="shared" si="90"/>
        <v>6</v>
      </c>
      <c r="M185" s="77">
        <f t="shared" si="90"/>
        <v>20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v>
      </c>
      <c r="C186" s="73">
        <f t="shared" si="85"/>
        <v>14</v>
      </c>
      <c r="D186" s="74">
        <f t="shared" si="68"/>
        <v>19</v>
      </c>
      <c r="E186" s="75">
        <f t="shared" si="69"/>
        <v>3</v>
      </c>
      <c r="F186" s="79"/>
      <c r="G186" s="82"/>
      <c r="H186" s="68" t="str">
        <f t="shared" si="86"/>
        <v>Clesim6_20211114_19_00</v>
      </c>
      <c r="I186" s="69">
        <f t="shared" si="90"/>
        <v>1</v>
      </c>
      <c r="J186" s="76" t="str">
        <f t="shared" si="90"/>
        <v>Clematis</v>
      </c>
      <c r="K186" s="76" t="str">
        <f t="shared" si="90"/>
        <v>simense</v>
      </c>
      <c r="L186" s="77">
        <f t="shared" si="90"/>
        <v>6</v>
      </c>
      <c r="M186" s="77">
        <f t="shared" si="90"/>
        <v>20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v>
      </c>
      <c r="C187" s="73">
        <f t="shared" si="85"/>
        <v>14</v>
      </c>
      <c r="D187" s="74">
        <f t="shared" si="68"/>
        <v>19</v>
      </c>
      <c r="E187" s="75">
        <f t="shared" si="69"/>
        <v>4</v>
      </c>
      <c r="F187" s="79"/>
      <c r="G187" s="82"/>
      <c r="H187" s="68" t="str">
        <f t="shared" si="86"/>
        <v>Clesim6_20211114_19_00</v>
      </c>
      <c r="I187" s="69">
        <f t="shared" si="90"/>
        <v>1</v>
      </c>
      <c r="J187" s="76" t="str">
        <f t="shared" si="90"/>
        <v>Clematis</v>
      </c>
      <c r="K187" s="76" t="str">
        <f t="shared" si="90"/>
        <v>simense</v>
      </c>
      <c r="L187" s="77">
        <f t="shared" si="90"/>
        <v>6</v>
      </c>
      <c r="M187" s="77">
        <f t="shared" si="90"/>
        <v>20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v>
      </c>
      <c r="C188" s="73">
        <f t="shared" si="85"/>
        <v>14</v>
      </c>
      <c r="D188" s="74">
        <f t="shared" si="68"/>
        <v>19</v>
      </c>
      <c r="E188" s="75">
        <f t="shared" si="69"/>
        <v>5</v>
      </c>
      <c r="F188" s="79"/>
      <c r="G188" s="82"/>
      <c r="H188" s="68" t="str">
        <f t="shared" si="86"/>
        <v>Clesim6_20211114_19_00</v>
      </c>
      <c r="I188" s="69">
        <f t="shared" si="90"/>
        <v>1</v>
      </c>
      <c r="J188" s="76" t="str">
        <f t="shared" si="90"/>
        <v>Clematis</v>
      </c>
      <c r="K188" s="76" t="str">
        <f t="shared" si="90"/>
        <v>simense</v>
      </c>
      <c r="L188" s="77">
        <f t="shared" si="90"/>
        <v>6</v>
      </c>
      <c r="M188" s="77">
        <f t="shared" si="90"/>
        <v>20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v>
      </c>
      <c r="C189" s="73">
        <f t="shared" si="85"/>
        <v>14</v>
      </c>
      <c r="D189" s="74">
        <f t="shared" si="68"/>
        <v>19</v>
      </c>
      <c r="E189" s="75">
        <f t="shared" si="69"/>
        <v>6</v>
      </c>
      <c r="F189" s="79"/>
      <c r="G189" s="82"/>
      <c r="H189" s="68" t="str">
        <f t="shared" si="86"/>
        <v>Clesim6_20211114_19_00</v>
      </c>
      <c r="I189" s="69">
        <f t="shared" si="90"/>
        <v>1</v>
      </c>
      <c r="J189" s="76" t="str">
        <f t="shared" si="90"/>
        <v>Clematis</v>
      </c>
      <c r="K189" s="76" t="str">
        <f t="shared" si="90"/>
        <v>simense</v>
      </c>
      <c r="L189" s="77">
        <f t="shared" si="90"/>
        <v>6</v>
      </c>
      <c r="M189" s="77">
        <f t="shared" si="90"/>
        <v>20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v>
      </c>
      <c r="C190" s="73">
        <f t="shared" si="85"/>
        <v>14</v>
      </c>
      <c r="D190" s="74">
        <f t="shared" si="68"/>
        <v>19</v>
      </c>
      <c r="E190" s="75">
        <f t="shared" si="69"/>
        <v>7</v>
      </c>
      <c r="F190" s="79"/>
      <c r="G190" s="82"/>
      <c r="H190" s="68" t="str">
        <f t="shared" si="86"/>
        <v>Clesim6_20211114_19_00</v>
      </c>
      <c r="I190" s="69">
        <f t="shared" si="90"/>
        <v>1</v>
      </c>
      <c r="J190" s="76" t="str">
        <f t="shared" si="90"/>
        <v>Clematis</v>
      </c>
      <c r="K190" s="76" t="str">
        <f t="shared" si="90"/>
        <v>simense</v>
      </c>
      <c r="L190" s="77">
        <f t="shared" si="90"/>
        <v>6</v>
      </c>
      <c r="M190" s="77">
        <f t="shared" si="90"/>
        <v>20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v>
      </c>
      <c r="C191" s="73">
        <f t="shared" si="85"/>
        <v>14</v>
      </c>
      <c r="D191" s="74">
        <f t="shared" si="68"/>
        <v>19</v>
      </c>
      <c r="E191" s="75">
        <f t="shared" si="69"/>
        <v>8</v>
      </c>
      <c r="F191" s="79"/>
      <c r="G191" s="82"/>
      <c r="H191" s="68" t="str">
        <f t="shared" si="86"/>
        <v>Clesim6_20211114_19_00</v>
      </c>
      <c r="I191" s="69">
        <f t="shared" si="90"/>
        <v>1</v>
      </c>
      <c r="J191" s="76" t="str">
        <f t="shared" si="90"/>
        <v>Clematis</v>
      </c>
      <c r="K191" s="76" t="str">
        <f t="shared" si="90"/>
        <v>simense</v>
      </c>
      <c r="L191" s="77">
        <f t="shared" si="90"/>
        <v>6</v>
      </c>
      <c r="M191" s="77">
        <f t="shared" si="90"/>
        <v>20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v>
      </c>
      <c r="C192" s="73">
        <f t="shared" si="85"/>
        <v>14</v>
      </c>
      <c r="D192" s="74">
        <f t="shared" si="68"/>
        <v>19</v>
      </c>
      <c r="E192" s="75">
        <f t="shared" si="69"/>
        <v>9</v>
      </c>
      <c r="F192" s="79"/>
      <c r="G192" s="82"/>
      <c r="H192" s="68" t="str">
        <f t="shared" si="86"/>
        <v>Clesim6_20211114_19_00</v>
      </c>
      <c r="I192" s="69">
        <f t="shared" si="90"/>
        <v>1</v>
      </c>
      <c r="J192" s="76" t="str">
        <f t="shared" si="90"/>
        <v>Clematis</v>
      </c>
      <c r="K192" s="76" t="str">
        <f t="shared" si="90"/>
        <v>simense</v>
      </c>
      <c r="L192" s="77">
        <f t="shared" si="90"/>
        <v>6</v>
      </c>
      <c r="M192" s="77">
        <f t="shared" si="90"/>
        <v>20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v>
      </c>
      <c r="C193" s="73">
        <f t="shared" si="85"/>
        <v>14</v>
      </c>
      <c r="D193" s="74">
        <f t="shared" si="68"/>
        <v>19</v>
      </c>
      <c r="E193" s="75">
        <f t="shared" si="69"/>
        <v>10</v>
      </c>
      <c r="F193" s="79"/>
      <c r="G193" s="82"/>
      <c r="H193" s="68" t="str">
        <f t="shared" si="86"/>
        <v>Clesim6_20211114_19_00</v>
      </c>
      <c r="I193" s="69">
        <f t="shared" si="90"/>
        <v>1</v>
      </c>
      <c r="J193" s="76" t="str">
        <f t="shared" si="90"/>
        <v>Clematis</v>
      </c>
      <c r="K193" s="76" t="str">
        <f t="shared" si="90"/>
        <v>simense</v>
      </c>
      <c r="L193" s="77">
        <f t="shared" si="90"/>
        <v>6</v>
      </c>
      <c r="M193" s="77">
        <f t="shared" si="90"/>
        <v>20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v>
      </c>
      <c r="C194" s="73">
        <f t="shared" si="85"/>
        <v>14</v>
      </c>
      <c r="D194" s="74">
        <f t="shared" si="68"/>
        <v>19</v>
      </c>
      <c r="E194" s="75">
        <f t="shared" si="69"/>
        <v>11</v>
      </c>
      <c r="F194" s="79"/>
      <c r="G194" s="82"/>
      <c r="H194" s="68" t="str">
        <f t="shared" si="86"/>
        <v>Clesim6_20211114_19_00</v>
      </c>
      <c r="I194" s="69">
        <f t="shared" si="90"/>
        <v>1</v>
      </c>
      <c r="J194" s="76" t="str">
        <f t="shared" si="90"/>
        <v>Clematis</v>
      </c>
      <c r="K194" s="76" t="str">
        <f t="shared" si="90"/>
        <v>simense</v>
      </c>
      <c r="L194" s="77">
        <f t="shared" si="90"/>
        <v>6</v>
      </c>
      <c r="M194" s="77">
        <f t="shared" si="90"/>
        <v>20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v>
      </c>
      <c r="C195" s="73">
        <f t="shared" si="85"/>
        <v>14</v>
      </c>
      <c r="D195" s="74">
        <f t="shared" si="68"/>
        <v>19</v>
      </c>
      <c r="E195" s="75">
        <f t="shared" si="69"/>
        <v>12</v>
      </c>
      <c r="F195" s="79"/>
      <c r="G195" s="82"/>
      <c r="H195" s="68" t="str">
        <f t="shared" si="86"/>
        <v>Clesim6_20211114_19_00</v>
      </c>
      <c r="I195" s="69">
        <f t="shared" si="90"/>
        <v>1</v>
      </c>
      <c r="J195" s="76" t="str">
        <f t="shared" si="90"/>
        <v>Clematis</v>
      </c>
      <c r="K195" s="76" t="str">
        <f t="shared" si="90"/>
        <v>simense</v>
      </c>
      <c r="L195" s="77">
        <f t="shared" si="90"/>
        <v>6</v>
      </c>
      <c r="M195" s="77">
        <f t="shared" si="90"/>
        <v>20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v>
      </c>
      <c r="C196" s="73">
        <f t="shared" si="85"/>
        <v>14</v>
      </c>
      <c r="D196" s="74">
        <f t="shared" ref="D196:D259" si="98">IF(IF(E195=59,D195+1,D195)=24,0,IF(E195=59,D195+1,D195))</f>
        <v>19</v>
      </c>
      <c r="E196" s="75">
        <f t="shared" ref="E196:E259" si="99">IF(E195&lt;59,E195+1,0)</f>
        <v>13</v>
      </c>
      <c r="F196" s="79"/>
      <c r="G196" s="82"/>
      <c r="H196" s="68" t="str">
        <f t="shared" si="86"/>
        <v>Clesim6_20211114_19_00</v>
      </c>
      <c r="I196" s="69">
        <f t="shared" si="90"/>
        <v>1</v>
      </c>
      <c r="J196" s="76" t="str">
        <f t="shared" si="90"/>
        <v>Clematis</v>
      </c>
      <c r="K196" s="76" t="str">
        <f t="shared" si="90"/>
        <v>simense</v>
      </c>
      <c r="L196" s="77">
        <f t="shared" si="90"/>
        <v>6</v>
      </c>
      <c r="M196" s="77">
        <f t="shared" si="90"/>
        <v>20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v>
      </c>
      <c r="C197" s="73">
        <f t="shared" ref="C197:C260" si="115">IF(AND(D197=0, E197=0), IF(TEXT(C196,"dd")=TEXT(EOMONTH(DATE(A196,MONTH(DATEVALUE(B196&amp;"1")),C196),0), "dd"), 1, C196+1), C196)</f>
        <v>14</v>
      </c>
      <c r="D197" s="74">
        <f t="shared" si="98"/>
        <v>19</v>
      </c>
      <c r="E197" s="75">
        <f t="shared" si="99"/>
        <v>14</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Clesim6_20211114_19_00</v>
      </c>
      <c r="I197" s="69">
        <f t="shared" ref="I197:N212" si="117">I196</f>
        <v>1</v>
      </c>
      <c r="J197" s="76" t="str">
        <f t="shared" si="117"/>
        <v>Clematis</v>
      </c>
      <c r="K197" s="76" t="str">
        <f t="shared" si="117"/>
        <v>simense</v>
      </c>
      <c r="L197" s="77">
        <f t="shared" si="117"/>
        <v>6</v>
      </c>
      <c r="M197" s="77">
        <f t="shared" si="117"/>
        <v>20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v>
      </c>
      <c r="C198" s="73">
        <f t="shared" si="115"/>
        <v>14</v>
      </c>
      <c r="D198" s="74">
        <f t="shared" si="98"/>
        <v>19</v>
      </c>
      <c r="E198" s="75">
        <f t="shared" si="99"/>
        <v>15</v>
      </c>
      <c r="F198" s="79"/>
      <c r="G198" s="82"/>
      <c r="H198" s="68" t="str">
        <f t="shared" si="116"/>
        <v>Clesim6_20211114_19_00</v>
      </c>
      <c r="I198" s="69">
        <f t="shared" si="117"/>
        <v>1</v>
      </c>
      <c r="J198" s="76" t="str">
        <f t="shared" si="117"/>
        <v>Clematis</v>
      </c>
      <c r="K198" s="76" t="str">
        <f t="shared" si="117"/>
        <v>simense</v>
      </c>
      <c r="L198" s="77">
        <f t="shared" si="117"/>
        <v>6</v>
      </c>
      <c r="M198" s="77">
        <f t="shared" si="117"/>
        <v>20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v>
      </c>
      <c r="C199" s="73">
        <f t="shared" si="115"/>
        <v>14</v>
      </c>
      <c r="D199" s="74">
        <f t="shared" si="98"/>
        <v>19</v>
      </c>
      <c r="E199" s="75">
        <f t="shared" si="99"/>
        <v>16</v>
      </c>
      <c r="F199" s="79"/>
      <c r="G199" s="82"/>
      <c r="H199" s="68" t="str">
        <f t="shared" si="116"/>
        <v>Clesim6_20211114_19_00</v>
      </c>
      <c r="I199" s="69">
        <f t="shared" si="117"/>
        <v>1</v>
      </c>
      <c r="J199" s="76" t="str">
        <f t="shared" si="117"/>
        <v>Clematis</v>
      </c>
      <c r="K199" s="76" t="str">
        <f t="shared" si="117"/>
        <v>simense</v>
      </c>
      <c r="L199" s="77">
        <f t="shared" si="117"/>
        <v>6</v>
      </c>
      <c r="M199" s="77">
        <f t="shared" si="117"/>
        <v>20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v>
      </c>
      <c r="C200" s="73">
        <f t="shared" si="115"/>
        <v>14</v>
      </c>
      <c r="D200" s="74">
        <f t="shared" si="98"/>
        <v>19</v>
      </c>
      <c r="E200" s="75">
        <f t="shared" si="99"/>
        <v>17</v>
      </c>
      <c r="F200" s="79"/>
      <c r="G200" s="82"/>
      <c r="H200" s="68" t="str">
        <f t="shared" si="116"/>
        <v>Clesim6_20211114_19_00</v>
      </c>
      <c r="I200" s="69">
        <f t="shared" si="117"/>
        <v>1</v>
      </c>
      <c r="J200" s="76" t="str">
        <f t="shared" si="117"/>
        <v>Clematis</v>
      </c>
      <c r="K200" s="76" t="str">
        <f t="shared" si="117"/>
        <v>simense</v>
      </c>
      <c r="L200" s="77">
        <f t="shared" si="117"/>
        <v>6</v>
      </c>
      <c r="M200" s="77">
        <f t="shared" si="117"/>
        <v>20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v>
      </c>
      <c r="C201" s="73">
        <f t="shared" si="115"/>
        <v>14</v>
      </c>
      <c r="D201" s="74">
        <f t="shared" si="98"/>
        <v>19</v>
      </c>
      <c r="E201" s="75">
        <f t="shared" si="99"/>
        <v>18</v>
      </c>
      <c r="F201" s="79"/>
      <c r="G201" s="82"/>
      <c r="H201" s="68" t="str">
        <f t="shared" si="116"/>
        <v>Clesim6_20211114_19_00</v>
      </c>
      <c r="I201" s="69">
        <f t="shared" si="117"/>
        <v>1</v>
      </c>
      <c r="J201" s="76" t="str">
        <f t="shared" si="117"/>
        <v>Clematis</v>
      </c>
      <c r="K201" s="76" t="str">
        <f t="shared" si="117"/>
        <v>simense</v>
      </c>
      <c r="L201" s="77">
        <f t="shared" si="117"/>
        <v>6</v>
      </c>
      <c r="M201" s="77">
        <f t="shared" si="117"/>
        <v>20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2021</v>
      </c>
      <c r="B202" s="72" t="str">
        <f t="shared" si="97"/>
        <v>Nov</v>
      </c>
      <c r="C202" s="73">
        <f t="shared" si="115"/>
        <v>14</v>
      </c>
      <c r="D202" s="74">
        <f t="shared" si="98"/>
        <v>19</v>
      </c>
      <c r="E202" s="75">
        <f t="shared" si="99"/>
        <v>19</v>
      </c>
      <c r="F202" s="79">
        <v>3</v>
      </c>
      <c r="G202" s="82"/>
      <c r="H202" s="68" t="str">
        <f t="shared" si="116"/>
        <v>Clesim6_20211114_19_00</v>
      </c>
      <c r="I202" s="69">
        <f t="shared" si="117"/>
        <v>1</v>
      </c>
      <c r="J202" s="76" t="str">
        <f t="shared" si="117"/>
        <v>Clematis</v>
      </c>
      <c r="K202" s="76" t="str">
        <f t="shared" si="117"/>
        <v>simense</v>
      </c>
      <c r="L202" s="77">
        <f t="shared" si="117"/>
        <v>6</v>
      </c>
      <c r="M202" s="77">
        <f t="shared" si="117"/>
        <v>20</v>
      </c>
      <c r="N202" s="71">
        <f t="shared" si="117"/>
        <v>0</v>
      </c>
      <c r="O202" s="44"/>
      <c r="P202" s="45">
        <f t="shared" si="100"/>
        <v>1</v>
      </c>
      <c r="Q202" s="46" t="str">
        <f t="shared" si="101"/>
        <v>19:19:03</v>
      </c>
      <c r="R202" s="47" t="str">
        <f t="shared" si="102"/>
        <v>19:03</v>
      </c>
      <c r="S202" s="48">
        <f t="shared" si="91"/>
        <v>273</v>
      </c>
      <c r="T202" s="47" t="str">
        <f t="shared" si="103"/>
        <v>19</v>
      </c>
      <c r="U202" s="49">
        <v>23</v>
      </c>
      <c r="V202" s="50">
        <v>36</v>
      </c>
      <c r="W202" s="51" t="str">
        <f t="shared" si="104"/>
        <v>23:36</v>
      </c>
      <c r="X202" s="123" t="s">
        <v>59</v>
      </c>
      <c r="Y202" s="52" t="s">
        <v>74</v>
      </c>
      <c r="Z202" s="52"/>
      <c r="AA202" s="47" t="s">
        <v>60</v>
      </c>
      <c r="AB202" s="47" t="str">
        <f t="shared" si="105"/>
        <v>NA</v>
      </c>
      <c r="AC202" s="53" t="str">
        <f t="shared" si="106"/>
        <v/>
      </c>
      <c r="AD202" s="54">
        <v>2</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f t="shared" si="92"/>
        <v>0</v>
      </c>
      <c r="AX202" s="61" t="str">
        <f t="shared" si="93"/>
        <v/>
      </c>
      <c r="AY202" s="60">
        <f t="shared" si="94"/>
        <v>0</v>
      </c>
      <c r="AZ202" s="61" t="str">
        <f t="shared" si="95"/>
        <v/>
      </c>
    </row>
    <row r="203" spans="1:52" s="3" customFormat="1" hidden="1" x14ac:dyDescent="0.35">
      <c r="A203" s="72">
        <f t="shared" si="96"/>
        <v>2021</v>
      </c>
      <c r="B203" s="72" t="str">
        <f t="shared" si="97"/>
        <v>Nov</v>
      </c>
      <c r="C203" s="73">
        <f t="shared" si="115"/>
        <v>14</v>
      </c>
      <c r="D203" s="74">
        <f t="shared" si="98"/>
        <v>19</v>
      </c>
      <c r="E203" s="75">
        <f t="shared" si="99"/>
        <v>20</v>
      </c>
      <c r="F203" s="79"/>
      <c r="G203" s="82"/>
      <c r="H203" s="68" t="str">
        <f t="shared" si="116"/>
        <v>Clesim6_20211114_19_00</v>
      </c>
      <c r="I203" s="69">
        <f t="shared" si="117"/>
        <v>1</v>
      </c>
      <c r="J203" s="76" t="str">
        <f t="shared" si="117"/>
        <v>Clematis</v>
      </c>
      <c r="K203" s="76" t="str">
        <f t="shared" si="117"/>
        <v>simense</v>
      </c>
      <c r="L203" s="77">
        <f t="shared" si="117"/>
        <v>6</v>
      </c>
      <c r="M203" s="77">
        <f t="shared" si="117"/>
        <v>20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v>
      </c>
      <c r="C204" s="73">
        <f t="shared" si="115"/>
        <v>14</v>
      </c>
      <c r="D204" s="74">
        <f t="shared" si="98"/>
        <v>19</v>
      </c>
      <c r="E204" s="75">
        <f t="shared" si="99"/>
        <v>21</v>
      </c>
      <c r="F204" s="79"/>
      <c r="G204" s="82"/>
      <c r="H204" s="68" t="str">
        <f t="shared" si="116"/>
        <v>Clesim6_20211114_19_00</v>
      </c>
      <c r="I204" s="69">
        <f t="shared" si="117"/>
        <v>1</v>
      </c>
      <c r="J204" s="76" t="str">
        <f t="shared" si="117"/>
        <v>Clematis</v>
      </c>
      <c r="K204" s="76" t="str">
        <f t="shared" si="117"/>
        <v>simense</v>
      </c>
      <c r="L204" s="77">
        <f t="shared" si="117"/>
        <v>6</v>
      </c>
      <c r="M204" s="77">
        <f t="shared" si="117"/>
        <v>20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v>
      </c>
      <c r="C205" s="73">
        <f t="shared" si="115"/>
        <v>14</v>
      </c>
      <c r="D205" s="74">
        <f t="shared" si="98"/>
        <v>19</v>
      </c>
      <c r="E205" s="75">
        <f t="shared" si="99"/>
        <v>22</v>
      </c>
      <c r="F205" s="79"/>
      <c r="G205" s="82"/>
      <c r="H205" s="68" t="str">
        <f t="shared" si="116"/>
        <v>Clesim6_20211114_19_00</v>
      </c>
      <c r="I205" s="69">
        <f t="shared" si="117"/>
        <v>1</v>
      </c>
      <c r="J205" s="76" t="str">
        <f t="shared" si="117"/>
        <v>Clematis</v>
      </c>
      <c r="K205" s="76" t="str">
        <f t="shared" si="117"/>
        <v>simense</v>
      </c>
      <c r="L205" s="77">
        <f t="shared" si="117"/>
        <v>6</v>
      </c>
      <c r="M205" s="77">
        <f t="shared" si="117"/>
        <v>20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v>
      </c>
      <c r="C206" s="73">
        <f t="shared" si="115"/>
        <v>14</v>
      </c>
      <c r="D206" s="74">
        <f t="shared" si="98"/>
        <v>19</v>
      </c>
      <c r="E206" s="75">
        <f t="shared" si="99"/>
        <v>23</v>
      </c>
      <c r="F206" s="79"/>
      <c r="G206" s="82"/>
      <c r="H206" s="68" t="str">
        <f t="shared" si="116"/>
        <v>Clesim6_20211114_19_00</v>
      </c>
      <c r="I206" s="69">
        <f t="shared" si="117"/>
        <v>1</v>
      </c>
      <c r="J206" s="76" t="str">
        <f t="shared" si="117"/>
        <v>Clematis</v>
      </c>
      <c r="K206" s="76" t="str">
        <f t="shared" si="117"/>
        <v>simense</v>
      </c>
      <c r="L206" s="77">
        <f t="shared" si="117"/>
        <v>6</v>
      </c>
      <c r="M206" s="77">
        <f t="shared" si="117"/>
        <v>20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v>
      </c>
      <c r="C207" s="73">
        <f t="shared" si="115"/>
        <v>14</v>
      </c>
      <c r="D207" s="74">
        <f t="shared" si="98"/>
        <v>19</v>
      </c>
      <c r="E207" s="75">
        <f t="shared" si="99"/>
        <v>24</v>
      </c>
      <c r="F207" s="79"/>
      <c r="G207" s="82"/>
      <c r="H207" s="68" t="str">
        <f t="shared" si="116"/>
        <v>Clesim6_20211114_19_00</v>
      </c>
      <c r="I207" s="69">
        <f t="shared" si="117"/>
        <v>1</v>
      </c>
      <c r="J207" s="76" t="str">
        <f t="shared" si="117"/>
        <v>Clematis</v>
      </c>
      <c r="K207" s="76" t="str">
        <f t="shared" si="117"/>
        <v>simense</v>
      </c>
      <c r="L207" s="77">
        <f t="shared" si="117"/>
        <v>6</v>
      </c>
      <c r="M207" s="77">
        <f t="shared" si="117"/>
        <v>20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v>
      </c>
      <c r="C208" s="73">
        <f t="shared" si="115"/>
        <v>14</v>
      </c>
      <c r="D208" s="74">
        <f t="shared" si="98"/>
        <v>19</v>
      </c>
      <c r="E208" s="75">
        <f t="shared" si="99"/>
        <v>25</v>
      </c>
      <c r="F208" s="79"/>
      <c r="G208" s="82"/>
      <c r="H208" s="68" t="str">
        <f t="shared" si="116"/>
        <v>Clesim6_20211114_19_00</v>
      </c>
      <c r="I208" s="69">
        <f t="shared" si="117"/>
        <v>1</v>
      </c>
      <c r="J208" s="76" t="str">
        <f t="shared" si="117"/>
        <v>Clematis</v>
      </c>
      <c r="K208" s="76" t="str">
        <f t="shared" si="117"/>
        <v>simense</v>
      </c>
      <c r="L208" s="77">
        <f t="shared" si="117"/>
        <v>6</v>
      </c>
      <c r="M208" s="77">
        <f t="shared" si="117"/>
        <v>20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v>
      </c>
      <c r="C209" s="73">
        <f t="shared" si="115"/>
        <v>14</v>
      </c>
      <c r="D209" s="74">
        <f t="shared" si="98"/>
        <v>19</v>
      </c>
      <c r="E209" s="75">
        <f t="shared" si="99"/>
        <v>26</v>
      </c>
      <c r="F209" s="79"/>
      <c r="G209" s="82"/>
      <c r="H209" s="68" t="str">
        <f t="shared" si="116"/>
        <v>Clesim6_20211114_19_00</v>
      </c>
      <c r="I209" s="69">
        <f t="shared" si="117"/>
        <v>1</v>
      </c>
      <c r="J209" s="76" t="str">
        <f t="shared" si="117"/>
        <v>Clematis</v>
      </c>
      <c r="K209" s="76" t="str">
        <f t="shared" si="117"/>
        <v>simense</v>
      </c>
      <c r="L209" s="77">
        <f t="shared" si="117"/>
        <v>6</v>
      </c>
      <c r="M209" s="77">
        <f t="shared" si="117"/>
        <v>20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v>
      </c>
      <c r="C210" s="73">
        <f t="shared" si="115"/>
        <v>14</v>
      </c>
      <c r="D210" s="74">
        <f t="shared" si="98"/>
        <v>19</v>
      </c>
      <c r="E210" s="75">
        <f t="shared" si="99"/>
        <v>27</v>
      </c>
      <c r="F210" s="79"/>
      <c r="G210" s="82"/>
      <c r="H210" s="68" t="str">
        <f t="shared" si="116"/>
        <v>Clesim6_20211114_19_00</v>
      </c>
      <c r="I210" s="69">
        <f t="shared" si="117"/>
        <v>1</v>
      </c>
      <c r="J210" s="76" t="str">
        <f t="shared" si="117"/>
        <v>Clematis</v>
      </c>
      <c r="K210" s="76" t="str">
        <f t="shared" si="117"/>
        <v>simense</v>
      </c>
      <c r="L210" s="77">
        <f t="shared" si="117"/>
        <v>6</v>
      </c>
      <c r="M210" s="77">
        <f t="shared" si="117"/>
        <v>20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v>
      </c>
      <c r="C211" s="73">
        <f t="shared" si="115"/>
        <v>14</v>
      </c>
      <c r="D211" s="74">
        <f t="shared" si="98"/>
        <v>19</v>
      </c>
      <c r="E211" s="75">
        <f t="shared" si="99"/>
        <v>28</v>
      </c>
      <c r="F211" s="79"/>
      <c r="G211" s="82"/>
      <c r="H211" s="68" t="str">
        <f t="shared" si="116"/>
        <v>Clesim6_20211114_19_00</v>
      </c>
      <c r="I211" s="69">
        <f t="shared" si="117"/>
        <v>1</v>
      </c>
      <c r="J211" s="76" t="str">
        <f t="shared" si="117"/>
        <v>Clematis</v>
      </c>
      <c r="K211" s="76" t="str">
        <f t="shared" si="117"/>
        <v>simense</v>
      </c>
      <c r="L211" s="77">
        <f t="shared" si="117"/>
        <v>6</v>
      </c>
      <c r="M211" s="77">
        <f t="shared" si="117"/>
        <v>20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v>
      </c>
      <c r="C212" s="73">
        <f t="shared" si="115"/>
        <v>14</v>
      </c>
      <c r="D212" s="74">
        <f t="shared" si="98"/>
        <v>19</v>
      </c>
      <c r="E212" s="75">
        <f t="shared" si="99"/>
        <v>29</v>
      </c>
      <c r="F212" s="79"/>
      <c r="G212" s="82"/>
      <c r="H212" s="68" t="str">
        <f t="shared" si="116"/>
        <v>Clesim6_20211114_19_00</v>
      </c>
      <c r="I212" s="69">
        <f t="shared" si="117"/>
        <v>1</v>
      </c>
      <c r="J212" s="76" t="str">
        <f t="shared" si="117"/>
        <v>Clematis</v>
      </c>
      <c r="K212" s="76" t="str">
        <f t="shared" si="117"/>
        <v>simense</v>
      </c>
      <c r="L212" s="77">
        <f t="shared" si="117"/>
        <v>6</v>
      </c>
      <c r="M212" s="77">
        <f t="shared" si="117"/>
        <v>20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v>
      </c>
      <c r="C213" s="73">
        <f t="shared" si="115"/>
        <v>14</v>
      </c>
      <c r="D213" s="74">
        <f t="shared" si="98"/>
        <v>19</v>
      </c>
      <c r="E213" s="75">
        <f t="shared" si="99"/>
        <v>30</v>
      </c>
      <c r="F213" s="79"/>
      <c r="G213" s="82"/>
      <c r="H213" s="68" t="str">
        <f t="shared" si="116"/>
        <v>Clesim6_20211114_19_00</v>
      </c>
      <c r="I213" s="69">
        <f t="shared" ref="I213:N228" si="118">I212</f>
        <v>1</v>
      </c>
      <c r="J213" s="76" t="str">
        <f t="shared" si="118"/>
        <v>Clematis</v>
      </c>
      <c r="K213" s="76" t="str">
        <f t="shared" si="118"/>
        <v>simense</v>
      </c>
      <c r="L213" s="77">
        <f t="shared" si="118"/>
        <v>6</v>
      </c>
      <c r="M213" s="77">
        <f t="shared" si="118"/>
        <v>20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2021</v>
      </c>
      <c r="B214" s="72" t="str">
        <f t="shared" si="97"/>
        <v>Nov</v>
      </c>
      <c r="C214" s="73">
        <f t="shared" si="115"/>
        <v>14</v>
      </c>
      <c r="D214" s="74">
        <f t="shared" si="98"/>
        <v>19</v>
      </c>
      <c r="E214" s="75">
        <f t="shared" si="99"/>
        <v>31</v>
      </c>
      <c r="F214" s="79">
        <v>52</v>
      </c>
      <c r="G214" s="82"/>
      <c r="H214" s="68" t="str">
        <f t="shared" si="116"/>
        <v>Clesim6_20211114_19_00</v>
      </c>
      <c r="I214" s="69">
        <f t="shared" si="118"/>
        <v>1</v>
      </c>
      <c r="J214" s="76" t="str">
        <f t="shared" si="118"/>
        <v>Clematis</v>
      </c>
      <c r="K214" s="76" t="str">
        <f t="shared" si="118"/>
        <v>simense</v>
      </c>
      <c r="L214" s="77">
        <f t="shared" si="118"/>
        <v>6</v>
      </c>
      <c r="M214" s="77">
        <f t="shared" si="118"/>
        <v>20</v>
      </c>
      <c r="N214" s="71">
        <f t="shared" si="118"/>
        <v>0</v>
      </c>
      <c r="O214" s="44"/>
      <c r="P214" s="45">
        <f t="shared" si="100"/>
        <v>1</v>
      </c>
      <c r="Q214" s="46" t="str">
        <f t="shared" si="101"/>
        <v>19:31:52</v>
      </c>
      <c r="R214" s="47" t="str">
        <f t="shared" si="102"/>
        <v>31:52</v>
      </c>
      <c r="S214" s="48">
        <f t="shared" si="91"/>
        <v>191</v>
      </c>
      <c r="T214" s="47" t="str">
        <f t="shared" si="103"/>
        <v>19</v>
      </c>
      <c r="U214" s="49">
        <v>35</v>
      </c>
      <c r="V214" s="50">
        <v>3</v>
      </c>
      <c r="W214" s="51" t="str">
        <f t="shared" si="104"/>
        <v>35:03</v>
      </c>
      <c r="X214" s="123" t="s">
        <v>69</v>
      </c>
      <c r="Y214" s="52" t="s">
        <v>70</v>
      </c>
      <c r="Z214" s="52"/>
      <c r="AA214" s="47" t="s">
        <v>67</v>
      </c>
      <c r="AB214" s="47" t="str">
        <f t="shared" si="105"/>
        <v>NA</v>
      </c>
      <c r="AC214" s="53" t="str">
        <f t="shared" si="106"/>
        <v/>
      </c>
      <c r="AD214" s="54">
        <v>2</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f t="shared" si="92"/>
        <v>0</v>
      </c>
      <c r="AX214" s="61" t="str">
        <f t="shared" si="93"/>
        <v/>
      </c>
      <c r="AY214" s="60">
        <f t="shared" si="94"/>
        <v>0</v>
      </c>
      <c r="AZ214" s="61" t="str">
        <f t="shared" si="95"/>
        <v/>
      </c>
    </row>
    <row r="215" spans="1:52" s="3" customFormat="1" hidden="1" x14ac:dyDescent="0.35">
      <c r="A215" s="72">
        <f t="shared" si="96"/>
        <v>2021</v>
      </c>
      <c r="B215" s="72" t="str">
        <f t="shared" si="97"/>
        <v>Nov</v>
      </c>
      <c r="C215" s="73">
        <f t="shared" si="115"/>
        <v>14</v>
      </c>
      <c r="D215" s="74">
        <f t="shared" si="98"/>
        <v>19</v>
      </c>
      <c r="E215" s="75">
        <f t="shared" si="99"/>
        <v>32</v>
      </c>
      <c r="F215" s="79"/>
      <c r="G215" s="82"/>
      <c r="H215" s="68" t="str">
        <f t="shared" si="116"/>
        <v>Clesim6_20211114_19_00</v>
      </c>
      <c r="I215" s="69">
        <f t="shared" si="118"/>
        <v>1</v>
      </c>
      <c r="J215" s="76" t="str">
        <f t="shared" si="118"/>
        <v>Clematis</v>
      </c>
      <c r="K215" s="76" t="str">
        <f t="shared" si="118"/>
        <v>simense</v>
      </c>
      <c r="L215" s="77">
        <f t="shared" si="118"/>
        <v>6</v>
      </c>
      <c r="M215" s="77">
        <f t="shared" si="118"/>
        <v>20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v>
      </c>
      <c r="C216" s="73">
        <f t="shared" si="115"/>
        <v>14</v>
      </c>
      <c r="D216" s="74">
        <f t="shared" si="98"/>
        <v>19</v>
      </c>
      <c r="E216" s="75">
        <f t="shared" si="99"/>
        <v>33</v>
      </c>
      <c r="F216" s="79"/>
      <c r="G216" s="82"/>
      <c r="H216" s="68" t="str">
        <f t="shared" si="116"/>
        <v>Clesim6_20211114_19_00</v>
      </c>
      <c r="I216" s="69">
        <f t="shared" si="118"/>
        <v>1</v>
      </c>
      <c r="J216" s="76" t="str">
        <f t="shared" si="118"/>
        <v>Clematis</v>
      </c>
      <c r="K216" s="76" t="str">
        <f t="shared" si="118"/>
        <v>simense</v>
      </c>
      <c r="L216" s="77">
        <f t="shared" si="118"/>
        <v>6</v>
      </c>
      <c r="M216" s="77">
        <f t="shared" si="118"/>
        <v>20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v>
      </c>
      <c r="C217" s="73">
        <f t="shared" si="115"/>
        <v>14</v>
      </c>
      <c r="D217" s="74">
        <f t="shared" si="98"/>
        <v>19</v>
      </c>
      <c r="E217" s="75">
        <f t="shared" si="99"/>
        <v>34</v>
      </c>
      <c r="F217" s="79"/>
      <c r="G217" s="82"/>
      <c r="H217" s="68" t="str">
        <f t="shared" si="116"/>
        <v>Clesim6_20211114_19_00</v>
      </c>
      <c r="I217" s="69">
        <f t="shared" si="118"/>
        <v>1</v>
      </c>
      <c r="J217" s="76" t="str">
        <f t="shared" si="118"/>
        <v>Clematis</v>
      </c>
      <c r="K217" s="76" t="str">
        <f t="shared" si="118"/>
        <v>simense</v>
      </c>
      <c r="L217" s="77">
        <f t="shared" si="118"/>
        <v>6</v>
      </c>
      <c r="M217" s="77">
        <f t="shared" si="118"/>
        <v>20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v>
      </c>
      <c r="C218" s="73">
        <f t="shared" si="115"/>
        <v>14</v>
      </c>
      <c r="D218" s="74">
        <f t="shared" si="98"/>
        <v>19</v>
      </c>
      <c r="E218" s="75">
        <f t="shared" si="99"/>
        <v>35</v>
      </c>
      <c r="F218" s="79"/>
      <c r="G218" s="82"/>
      <c r="H218" s="68" t="str">
        <f t="shared" si="116"/>
        <v>Clesim6_20211114_19_00</v>
      </c>
      <c r="I218" s="69">
        <f t="shared" si="118"/>
        <v>1</v>
      </c>
      <c r="J218" s="76" t="str">
        <f t="shared" si="118"/>
        <v>Clematis</v>
      </c>
      <c r="K218" s="76" t="str">
        <f t="shared" si="118"/>
        <v>simense</v>
      </c>
      <c r="L218" s="77">
        <f t="shared" si="118"/>
        <v>6</v>
      </c>
      <c r="M218" s="77">
        <f t="shared" si="118"/>
        <v>20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v>
      </c>
      <c r="C219" s="73">
        <f t="shared" si="115"/>
        <v>14</v>
      </c>
      <c r="D219" s="74">
        <f t="shared" si="98"/>
        <v>19</v>
      </c>
      <c r="E219" s="75">
        <f t="shared" si="99"/>
        <v>36</v>
      </c>
      <c r="F219" s="79"/>
      <c r="G219" s="82"/>
      <c r="H219" s="68" t="str">
        <f t="shared" si="116"/>
        <v>Clesim6_20211114_19_00</v>
      </c>
      <c r="I219" s="69">
        <f t="shared" si="118"/>
        <v>1</v>
      </c>
      <c r="J219" s="76" t="str">
        <f t="shared" si="118"/>
        <v>Clematis</v>
      </c>
      <c r="K219" s="76" t="str">
        <f t="shared" si="118"/>
        <v>simense</v>
      </c>
      <c r="L219" s="77">
        <f t="shared" si="118"/>
        <v>6</v>
      </c>
      <c r="M219" s="77">
        <f t="shared" si="118"/>
        <v>20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v>
      </c>
      <c r="C220" s="73">
        <f t="shared" si="115"/>
        <v>14</v>
      </c>
      <c r="D220" s="74">
        <f t="shared" si="98"/>
        <v>19</v>
      </c>
      <c r="E220" s="75">
        <f t="shared" si="99"/>
        <v>37</v>
      </c>
      <c r="F220" s="79"/>
      <c r="G220" s="82"/>
      <c r="H220" s="68" t="str">
        <f t="shared" si="116"/>
        <v>Clesim6_20211114_19_00</v>
      </c>
      <c r="I220" s="69">
        <f t="shared" si="118"/>
        <v>1</v>
      </c>
      <c r="J220" s="76" t="str">
        <f t="shared" si="118"/>
        <v>Clematis</v>
      </c>
      <c r="K220" s="76" t="str">
        <f t="shared" si="118"/>
        <v>simense</v>
      </c>
      <c r="L220" s="77">
        <f t="shared" si="118"/>
        <v>6</v>
      </c>
      <c r="M220" s="77">
        <f t="shared" si="118"/>
        <v>20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v>
      </c>
      <c r="C221" s="73">
        <f t="shared" si="115"/>
        <v>14</v>
      </c>
      <c r="D221" s="74">
        <f t="shared" si="98"/>
        <v>19</v>
      </c>
      <c r="E221" s="75">
        <f t="shared" si="99"/>
        <v>38</v>
      </c>
      <c r="F221" s="79"/>
      <c r="G221" s="82"/>
      <c r="H221" s="68" t="str">
        <f t="shared" si="116"/>
        <v>Clesim6_20211114_19_00</v>
      </c>
      <c r="I221" s="69">
        <f t="shared" si="118"/>
        <v>1</v>
      </c>
      <c r="J221" s="76" t="str">
        <f t="shared" si="118"/>
        <v>Clematis</v>
      </c>
      <c r="K221" s="76" t="str">
        <f t="shared" si="118"/>
        <v>simense</v>
      </c>
      <c r="L221" s="77">
        <f t="shared" si="118"/>
        <v>6</v>
      </c>
      <c r="M221" s="77">
        <f t="shared" si="118"/>
        <v>20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2021</v>
      </c>
      <c r="B222" s="72" t="str">
        <f t="shared" si="97"/>
        <v>Nov</v>
      </c>
      <c r="C222" s="73">
        <f t="shared" si="115"/>
        <v>14</v>
      </c>
      <c r="D222" s="74">
        <f t="shared" si="98"/>
        <v>19</v>
      </c>
      <c r="E222" s="75">
        <f t="shared" si="99"/>
        <v>39</v>
      </c>
      <c r="F222" s="79"/>
      <c r="G222" s="82"/>
      <c r="H222" s="68" t="str">
        <f t="shared" si="116"/>
        <v>Clesim6_20211114_19_00</v>
      </c>
      <c r="I222" s="69">
        <f t="shared" si="118"/>
        <v>1</v>
      </c>
      <c r="J222" s="76" t="str">
        <f t="shared" si="118"/>
        <v>Clematis</v>
      </c>
      <c r="K222" s="76" t="str">
        <f t="shared" si="118"/>
        <v>simense</v>
      </c>
      <c r="L222" s="77">
        <f t="shared" si="118"/>
        <v>6</v>
      </c>
      <c r="M222" s="77">
        <f t="shared" si="118"/>
        <v>20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v>
      </c>
      <c r="C223" s="73">
        <f t="shared" si="115"/>
        <v>14</v>
      </c>
      <c r="D223" s="74">
        <f t="shared" si="98"/>
        <v>19</v>
      </c>
      <c r="E223" s="75">
        <f t="shared" si="99"/>
        <v>40</v>
      </c>
      <c r="F223" s="79"/>
      <c r="G223" s="82"/>
      <c r="H223" s="68" t="str">
        <f t="shared" si="116"/>
        <v>Clesim6_20211114_19_00</v>
      </c>
      <c r="I223" s="69">
        <f t="shared" si="118"/>
        <v>1</v>
      </c>
      <c r="J223" s="76" t="str">
        <f t="shared" si="118"/>
        <v>Clematis</v>
      </c>
      <c r="K223" s="76" t="str">
        <f t="shared" si="118"/>
        <v>simense</v>
      </c>
      <c r="L223" s="77">
        <f t="shared" si="118"/>
        <v>6</v>
      </c>
      <c r="M223" s="77">
        <f t="shared" si="118"/>
        <v>20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v>
      </c>
      <c r="C224" s="73">
        <f t="shared" si="115"/>
        <v>14</v>
      </c>
      <c r="D224" s="74">
        <f t="shared" si="98"/>
        <v>19</v>
      </c>
      <c r="E224" s="75">
        <f t="shared" si="99"/>
        <v>41</v>
      </c>
      <c r="F224" s="79"/>
      <c r="G224" s="82"/>
      <c r="H224" s="68" t="str">
        <f t="shared" si="116"/>
        <v>Clesim6_20211114_19_00</v>
      </c>
      <c r="I224" s="69">
        <f t="shared" si="118"/>
        <v>1</v>
      </c>
      <c r="J224" s="76" t="str">
        <f t="shared" si="118"/>
        <v>Clematis</v>
      </c>
      <c r="K224" s="76" t="str">
        <f t="shared" si="118"/>
        <v>simense</v>
      </c>
      <c r="L224" s="77">
        <f t="shared" si="118"/>
        <v>6</v>
      </c>
      <c r="M224" s="77">
        <f t="shared" si="118"/>
        <v>20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v>
      </c>
      <c r="C225" s="73">
        <f t="shared" si="115"/>
        <v>14</v>
      </c>
      <c r="D225" s="74">
        <f t="shared" si="98"/>
        <v>19</v>
      </c>
      <c r="E225" s="75">
        <f t="shared" si="99"/>
        <v>42</v>
      </c>
      <c r="F225" s="79"/>
      <c r="G225" s="82"/>
      <c r="H225" s="68" t="str">
        <f t="shared" si="116"/>
        <v>Clesim6_20211114_19_00</v>
      </c>
      <c r="I225" s="69">
        <f t="shared" si="118"/>
        <v>1</v>
      </c>
      <c r="J225" s="76" t="str">
        <f t="shared" si="118"/>
        <v>Clematis</v>
      </c>
      <c r="K225" s="76" t="str">
        <f t="shared" si="118"/>
        <v>simense</v>
      </c>
      <c r="L225" s="77">
        <f t="shared" si="118"/>
        <v>6</v>
      </c>
      <c r="M225" s="77">
        <f t="shared" si="118"/>
        <v>20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v>
      </c>
      <c r="C226" s="73">
        <f t="shared" si="115"/>
        <v>14</v>
      </c>
      <c r="D226" s="74">
        <f t="shared" si="98"/>
        <v>19</v>
      </c>
      <c r="E226" s="75">
        <f t="shared" si="99"/>
        <v>43</v>
      </c>
      <c r="F226" s="79"/>
      <c r="G226" s="82"/>
      <c r="H226" s="68" t="str">
        <f t="shared" si="116"/>
        <v>Clesim6_20211114_19_00</v>
      </c>
      <c r="I226" s="69">
        <f t="shared" si="118"/>
        <v>1</v>
      </c>
      <c r="J226" s="76" t="str">
        <f t="shared" si="118"/>
        <v>Clematis</v>
      </c>
      <c r="K226" s="76" t="str">
        <f t="shared" si="118"/>
        <v>simense</v>
      </c>
      <c r="L226" s="77">
        <f t="shared" si="118"/>
        <v>6</v>
      </c>
      <c r="M226" s="77">
        <f t="shared" si="118"/>
        <v>20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v>
      </c>
      <c r="C227" s="73">
        <f t="shared" si="115"/>
        <v>14</v>
      </c>
      <c r="D227" s="74">
        <f t="shared" si="98"/>
        <v>19</v>
      </c>
      <c r="E227" s="75">
        <f t="shared" si="99"/>
        <v>44</v>
      </c>
      <c r="F227" s="79"/>
      <c r="G227" s="82"/>
      <c r="H227" s="68" t="str">
        <f t="shared" si="116"/>
        <v>Clesim6_20211114_19_00</v>
      </c>
      <c r="I227" s="69">
        <f t="shared" si="118"/>
        <v>1</v>
      </c>
      <c r="J227" s="76" t="str">
        <f t="shared" si="118"/>
        <v>Clematis</v>
      </c>
      <c r="K227" s="76" t="str">
        <f t="shared" si="118"/>
        <v>simense</v>
      </c>
      <c r="L227" s="77">
        <f t="shared" si="118"/>
        <v>6</v>
      </c>
      <c r="M227" s="77">
        <f t="shared" si="118"/>
        <v>20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v>
      </c>
      <c r="C228" s="73">
        <f t="shared" si="115"/>
        <v>14</v>
      </c>
      <c r="D228" s="74">
        <f t="shared" si="98"/>
        <v>19</v>
      </c>
      <c r="E228" s="75">
        <f t="shared" si="99"/>
        <v>45</v>
      </c>
      <c r="F228" s="79"/>
      <c r="G228" s="82"/>
      <c r="H228" s="68" t="str">
        <f t="shared" si="116"/>
        <v>Clesim6_20211114_19_00</v>
      </c>
      <c r="I228" s="69">
        <f t="shared" si="118"/>
        <v>1</v>
      </c>
      <c r="J228" s="76" t="str">
        <f t="shared" si="118"/>
        <v>Clematis</v>
      </c>
      <c r="K228" s="76" t="str">
        <f t="shared" si="118"/>
        <v>simense</v>
      </c>
      <c r="L228" s="77">
        <f t="shared" si="118"/>
        <v>6</v>
      </c>
      <c r="M228" s="77">
        <f t="shared" si="118"/>
        <v>20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v>
      </c>
      <c r="C229" s="73">
        <f t="shared" si="115"/>
        <v>14</v>
      </c>
      <c r="D229" s="74">
        <f t="shared" si="98"/>
        <v>19</v>
      </c>
      <c r="E229" s="75">
        <f t="shared" si="99"/>
        <v>46</v>
      </c>
      <c r="F229" s="79"/>
      <c r="G229" s="82"/>
      <c r="H229" s="68" t="str">
        <f t="shared" si="116"/>
        <v>Clesim6_20211114_19_00</v>
      </c>
      <c r="I229" s="69">
        <f t="shared" ref="I229:N244" si="119">I228</f>
        <v>1</v>
      </c>
      <c r="J229" s="76" t="str">
        <f t="shared" si="119"/>
        <v>Clematis</v>
      </c>
      <c r="K229" s="76" t="str">
        <f t="shared" si="119"/>
        <v>simense</v>
      </c>
      <c r="L229" s="77">
        <f t="shared" si="119"/>
        <v>6</v>
      </c>
      <c r="M229" s="77">
        <f t="shared" si="119"/>
        <v>20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v>
      </c>
      <c r="C230" s="73">
        <f t="shared" si="115"/>
        <v>14</v>
      </c>
      <c r="D230" s="74">
        <f t="shared" si="98"/>
        <v>19</v>
      </c>
      <c r="E230" s="75">
        <f t="shared" si="99"/>
        <v>47</v>
      </c>
      <c r="F230" s="79"/>
      <c r="G230" s="82"/>
      <c r="H230" s="68" t="str">
        <f t="shared" si="116"/>
        <v>Clesim6_20211114_19_00</v>
      </c>
      <c r="I230" s="69">
        <f t="shared" si="119"/>
        <v>1</v>
      </c>
      <c r="J230" s="76" t="str">
        <f t="shared" si="119"/>
        <v>Clematis</v>
      </c>
      <c r="K230" s="76" t="str">
        <f t="shared" si="119"/>
        <v>simense</v>
      </c>
      <c r="L230" s="77">
        <f t="shared" si="119"/>
        <v>6</v>
      </c>
      <c r="M230" s="77">
        <f t="shared" si="119"/>
        <v>20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v>
      </c>
      <c r="C231" s="73">
        <f t="shared" si="115"/>
        <v>14</v>
      </c>
      <c r="D231" s="74">
        <f t="shared" si="98"/>
        <v>19</v>
      </c>
      <c r="E231" s="75">
        <f t="shared" si="99"/>
        <v>48</v>
      </c>
      <c r="F231" s="79"/>
      <c r="G231" s="82"/>
      <c r="H231" s="68" t="str">
        <f t="shared" si="116"/>
        <v>Clesim6_20211114_19_00</v>
      </c>
      <c r="I231" s="69">
        <f t="shared" si="119"/>
        <v>1</v>
      </c>
      <c r="J231" s="76" t="str">
        <f t="shared" si="119"/>
        <v>Clematis</v>
      </c>
      <c r="K231" s="76" t="str">
        <f t="shared" si="119"/>
        <v>simense</v>
      </c>
      <c r="L231" s="77">
        <f t="shared" si="119"/>
        <v>6</v>
      </c>
      <c r="M231" s="77">
        <f t="shared" si="119"/>
        <v>20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v>
      </c>
      <c r="C232" s="73">
        <f t="shared" si="115"/>
        <v>14</v>
      </c>
      <c r="D232" s="74">
        <f t="shared" si="98"/>
        <v>19</v>
      </c>
      <c r="E232" s="75">
        <f t="shared" si="99"/>
        <v>49</v>
      </c>
      <c r="F232" s="79"/>
      <c r="G232" s="82"/>
      <c r="H232" s="68" t="str">
        <f t="shared" si="116"/>
        <v>Clesim6_20211114_19_00</v>
      </c>
      <c r="I232" s="69">
        <f t="shared" si="119"/>
        <v>1</v>
      </c>
      <c r="J232" s="76" t="str">
        <f t="shared" si="119"/>
        <v>Clematis</v>
      </c>
      <c r="K232" s="76" t="str">
        <f t="shared" si="119"/>
        <v>simense</v>
      </c>
      <c r="L232" s="77">
        <f t="shared" si="119"/>
        <v>6</v>
      </c>
      <c r="M232" s="77">
        <f t="shared" si="119"/>
        <v>20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v>
      </c>
      <c r="C233" s="73">
        <f t="shared" si="115"/>
        <v>14</v>
      </c>
      <c r="D233" s="74">
        <f t="shared" si="98"/>
        <v>19</v>
      </c>
      <c r="E233" s="75">
        <f t="shared" si="99"/>
        <v>50</v>
      </c>
      <c r="F233" s="79"/>
      <c r="G233" s="82"/>
      <c r="H233" s="68" t="str">
        <f t="shared" si="116"/>
        <v>Clesim6_20211114_19_00</v>
      </c>
      <c r="I233" s="69">
        <f t="shared" si="119"/>
        <v>1</v>
      </c>
      <c r="J233" s="76" t="str">
        <f t="shared" si="119"/>
        <v>Clematis</v>
      </c>
      <c r="K233" s="76" t="str">
        <f t="shared" si="119"/>
        <v>simense</v>
      </c>
      <c r="L233" s="77">
        <f t="shared" si="119"/>
        <v>6</v>
      </c>
      <c r="M233" s="77">
        <f t="shared" si="119"/>
        <v>20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v>
      </c>
      <c r="C234" s="73">
        <f t="shared" si="115"/>
        <v>14</v>
      </c>
      <c r="D234" s="74">
        <f t="shared" si="98"/>
        <v>19</v>
      </c>
      <c r="E234" s="75">
        <f t="shared" si="99"/>
        <v>51</v>
      </c>
      <c r="F234" s="79"/>
      <c r="G234" s="82"/>
      <c r="H234" s="68" t="str">
        <f t="shared" si="116"/>
        <v>Clesim6_20211114_19_00</v>
      </c>
      <c r="I234" s="69">
        <f t="shared" si="119"/>
        <v>1</v>
      </c>
      <c r="J234" s="76" t="str">
        <f t="shared" si="119"/>
        <v>Clematis</v>
      </c>
      <c r="K234" s="76" t="str">
        <f t="shared" si="119"/>
        <v>simense</v>
      </c>
      <c r="L234" s="77">
        <f t="shared" si="119"/>
        <v>6</v>
      </c>
      <c r="M234" s="77">
        <f t="shared" si="119"/>
        <v>20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v>
      </c>
      <c r="C235" s="73">
        <f t="shared" si="115"/>
        <v>14</v>
      </c>
      <c r="D235" s="74">
        <f t="shared" si="98"/>
        <v>19</v>
      </c>
      <c r="E235" s="75">
        <f t="shared" si="99"/>
        <v>52</v>
      </c>
      <c r="F235" s="79"/>
      <c r="G235" s="82"/>
      <c r="H235" s="68" t="str">
        <f t="shared" si="116"/>
        <v>Clesim6_20211114_19_00</v>
      </c>
      <c r="I235" s="69">
        <f t="shared" si="119"/>
        <v>1</v>
      </c>
      <c r="J235" s="76" t="str">
        <f t="shared" si="119"/>
        <v>Clematis</v>
      </c>
      <c r="K235" s="76" t="str">
        <f t="shared" si="119"/>
        <v>simense</v>
      </c>
      <c r="L235" s="77">
        <f t="shared" si="119"/>
        <v>6</v>
      </c>
      <c r="M235" s="77">
        <f t="shared" si="119"/>
        <v>20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v>
      </c>
      <c r="C236" s="73">
        <f t="shared" si="115"/>
        <v>14</v>
      </c>
      <c r="D236" s="74">
        <f t="shared" si="98"/>
        <v>19</v>
      </c>
      <c r="E236" s="75">
        <f t="shared" si="99"/>
        <v>53</v>
      </c>
      <c r="F236" s="79"/>
      <c r="G236" s="82"/>
      <c r="H236" s="68" t="str">
        <f t="shared" si="116"/>
        <v>Clesim6_20211114_19_00</v>
      </c>
      <c r="I236" s="69">
        <f t="shared" si="119"/>
        <v>1</v>
      </c>
      <c r="J236" s="76" t="str">
        <f t="shared" si="119"/>
        <v>Clematis</v>
      </c>
      <c r="K236" s="76" t="str">
        <f t="shared" si="119"/>
        <v>simense</v>
      </c>
      <c r="L236" s="77">
        <f t="shared" si="119"/>
        <v>6</v>
      </c>
      <c r="M236" s="77">
        <f t="shared" si="119"/>
        <v>20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v>
      </c>
      <c r="C237" s="73">
        <f t="shared" si="115"/>
        <v>14</v>
      </c>
      <c r="D237" s="74">
        <f t="shared" si="98"/>
        <v>19</v>
      </c>
      <c r="E237" s="75">
        <f t="shared" si="99"/>
        <v>54</v>
      </c>
      <c r="F237" s="79"/>
      <c r="G237" s="82"/>
      <c r="H237" s="68" t="str">
        <f t="shared" si="116"/>
        <v>Clesim6_20211114_19_00</v>
      </c>
      <c r="I237" s="69">
        <f t="shared" si="119"/>
        <v>1</v>
      </c>
      <c r="J237" s="76" t="str">
        <f t="shared" si="119"/>
        <v>Clematis</v>
      </c>
      <c r="K237" s="76" t="str">
        <f t="shared" si="119"/>
        <v>simense</v>
      </c>
      <c r="L237" s="77">
        <f t="shared" si="119"/>
        <v>6</v>
      </c>
      <c r="M237" s="77">
        <f t="shared" si="119"/>
        <v>20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v>
      </c>
      <c r="C238" s="73">
        <f t="shared" si="115"/>
        <v>14</v>
      </c>
      <c r="D238" s="74">
        <f t="shared" si="98"/>
        <v>19</v>
      </c>
      <c r="E238" s="75">
        <f t="shared" si="99"/>
        <v>55</v>
      </c>
      <c r="F238" s="79"/>
      <c r="G238" s="82"/>
      <c r="H238" s="68" t="str">
        <f t="shared" si="116"/>
        <v>Clesim6_20211114_19_00</v>
      </c>
      <c r="I238" s="69">
        <f t="shared" si="119"/>
        <v>1</v>
      </c>
      <c r="J238" s="76" t="str">
        <f t="shared" si="119"/>
        <v>Clematis</v>
      </c>
      <c r="K238" s="76" t="str">
        <f t="shared" si="119"/>
        <v>simense</v>
      </c>
      <c r="L238" s="77">
        <f t="shared" si="119"/>
        <v>6</v>
      </c>
      <c r="M238" s="77">
        <f t="shared" si="119"/>
        <v>20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v>
      </c>
      <c r="C239" s="73">
        <f t="shared" si="115"/>
        <v>14</v>
      </c>
      <c r="D239" s="74">
        <f t="shared" si="98"/>
        <v>19</v>
      </c>
      <c r="E239" s="75">
        <f t="shared" si="99"/>
        <v>56</v>
      </c>
      <c r="F239" s="79"/>
      <c r="G239" s="82"/>
      <c r="H239" s="68" t="str">
        <f t="shared" si="116"/>
        <v>Clesim6_20211114_19_00</v>
      </c>
      <c r="I239" s="69">
        <f t="shared" si="119"/>
        <v>1</v>
      </c>
      <c r="J239" s="76" t="str">
        <f t="shared" si="119"/>
        <v>Clematis</v>
      </c>
      <c r="K239" s="76" t="str">
        <f t="shared" si="119"/>
        <v>simense</v>
      </c>
      <c r="L239" s="77">
        <f t="shared" si="119"/>
        <v>6</v>
      </c>
      <c r="M239" s="77">
        <f t="shared" si="119"/>
        <v>20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v>
      </c>
      <c r="C240" s="73">
        <f t="shared" si="115"/>
        <v>14</v>
      </c>
      <c r="D240" s="74">
        <f t="shared" si="98"/>
        <v>19</v>
      </c>
      <c r="E240" s="75">
        <f t="shared" si="99"/>
        <v>57</v>
      </c>
      <c r="F240" s="79"/>
      <c r="G240" s="82"/>
      <c r="H240" s="68" t="str">
        <f t="shared" si="116"/>
        <v>Clesim6_20211114_19_00</v>
      </c>
      <c r="I240" s="69">
        <f t="shared" si="119"/>
        <v>1</v>
      </c>
      <c r="J240" s="76" t="str">
        <f t="shared" si="119"/>
        <v>Clematis</v>
      </c>
      <c r="K240" s="76" t="str">
        <f t="shared" si="119"/>
        <v>simense</v>
      </c>
      <c r="L240" s="77">
        <f t="shared" si="119"/>
        <v>6</v>
      </c>
      <c r="M240" s="77">
        <f t="shared" si="119"/>
        <v>20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v>
      </c>
      <c r="C241" s="73">
        <f t="shared" si="115"/>
        <v>14</v>
      </c>
      <c r="D241" s="74">
        <f t="shared" si="98"/>
        <v>19</v>
      </c>
      <c r="E241" s="75">
        <f t="shared" si="99"/>
        <v>58</v>
      </c>
      <c r="F241" s="79"/>
      <c r="G241" s="82"/>
      <c r="H241" s="68" t="str">
        <f t="shared" si="116"/>
        <v>Clesim6_20211114_19_00</v>
      </c>
      <c r="I241" s="69">
        <f t="shared" si="119"/>
        <v>1</v>
      </c>
      <c r="J241" s="76" t="str">
        <f t="shared" si="119"/>
        <v>Clematis</v>
      </c>
      <c r="K241" s="76" t="str">
        <f t="shared" si="119"/>
        <v>simense</v>
      </c>
      <c r="L241" s="77">
        <f t="shared" si="119"/>
        <v>6</v>
      </c>
      <c r="M241" s="77">
        <f t="shared" si="119"/>
        <v>20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v>
      </c>
      <c r="C242" s="73">
        <f t="shared" si="115"/>
        <v>14</v>
      </c>
      <c r="D242" s="74">
        <f t="shared" si="98"/>
        <v>19</v>
      </c>
      <c r="E242" s="75">
        <f t="shared" si="99"/>
        <v>59</v>
      </c>
      <c r="F242" s="79"/>
      <c r="G242" s="82"/>
      <c r="H242" s="68" t="str">
        <f t="shared" si="116"/>
        <v>Clesim6_20211114_19_00</v>
      </c>
      <c r="I242" s="69">
        <f t="shared" si="119"/>
        <v>1</v>
      </c>
      <c r="J242" s="76" t="str">
        <f t="shared" si="119"/>
        <v>Clematis</v>
      </c>
      <c r="K242" s="76" t="str">
        <f t="shared" si="119"/>
        <v>simense</v>
      </c>
      <c r="L242" s="77">
        <f t="shared" si="119"/>
        <v>6</v>
      </c>
      <c r="M242" s="77">
        <f t="shared" si="119"/>
        <v>20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v>
      </c>
      <c r="C243" s="73">
        <f t="shared" si="115"/>
        <v>14</v>
      </c>
      <c r="D243" s="74">
        <f t="shared" si="98"/>
        <v>20</v>
      </c>
      <c r="E243" s="75">
        <f t="shared" si="99"/>
        <v>0</v>
      </c>
      <c r="F243" s="79"/>
      <c r="G243" s="82"/>
      <c r="H243" s="68" t="str">
        <f t="shared" si="116"/>
        <v>Clesim6_20211114_20_00</v>
      </c>
      <c r="I243" s="69">
        <f t="shared" si="119"/>
        <v>1</v>
      </c>
      <c r="J243" s="76" t="str">
        <f t="shared" si="119"/>
        <v>Clematis</v>
      </c>
      <c r="K243" s="76" t="str">
        <f t="shared" si="119"/>
        <v>simense</v>
      </c>
      <c r="L243" s="77">
        <f t="shared" si="119"/>
        <v>6</v>
      </c>
      <c r="M243" s="77">
        <f t="shared" si="119"/>
        <v>20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v>
      </c>
      <c r="C244" s="73">
        <f t="shared" si="115"/>
        <v>14</v>
      </c>
      <c r="D244" s="74">
        <f t="shared" si="98"/>
        <v>20</v>
      </c>
      <c r="E244" s="75">
        <f t="shared" si="99"/>
        <v>1</v>
      </c>
      <c r="F244" s="79"/>
      <c r="G244" s="82"/>
      <c r="H244" s="68" t="str">
        <f t="shared" si="116"/>
        <v>Clesim6_20211114_20_00</v>
      </c>
      <c r="I244" s="69">
        <f t="shared" si="119"/>
        <v>1</v>
      </c>
      <c r="J244" s="76" t="str">
        <f t="shared" si="119"/>
        <v>Clematis</v>
      </c>
      <c r="K244" s="76" t="str">
        <f t="shared" si="119"/>
        <v>simense</v>
      </c>
      <c r="L244" s="77">
        <f t="shared" si="119"/>
        <v>6</v>
      </c>
      <c r="M244" s="77">
        <f t="shared" si="119"/>
        <v>20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v>
      </c>
      <c r="C245" s="73">
        <f t="shared" si="115"/>
        <v>14</v>
      </c>
      <c r="D245" s="74">
        <f t="shared" si="98"/>
        <v>20</v>
      </c>
      <c r="E245" s="75">
        <f t="shared" si="99"/>
        <v>2</v>
      </c>
      <c r="F245" s="79"/>
      <c r="G245" s="82"/>
      <c r="H245" s="68" t="str">
        <f t="shared" si="116"/>
        <v>Clesim6_20211114_20_00</v>
      </c>
      <c r="I245" s="69">
        <f t="shared" ref="I245:N260" si="120">I244</f>
        <v>1</v>
      </c>
      <c r="J245" s="76" t="str">
        <f t="shared" si="120"/>
        <v>Clematis</v>
      </c>
      <c r="K245" s="76" t="str">
        <f t="shared" si="120"/>
        <v>simense</v>
      </c>
      <c r="L245" s="77">
        <f t="shared" si="120"/>
        <v>6</v>
      </c>
      <c r="M245" s="77">
        <f t="shared" si="120"/>
        <v>20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v>
      </c>
      <c r="C246" s="73">
        <f t="shared" si="115"/>
        <v>14</v>
      </c>
      <c r="D246" s="74">
        <f t="shared" si="98"/>
        <v>20</v>
      </c>
      <c r="E246" s="75">
        <f t="shared" si="99"/>
        <v>3</v>
      </c>
      <c r="F246" s="79"/>
      <c r="G246" s="82"/>
      <c r="H246" s="68" t="str">
        <f t="shared" si="116"/>
        <v>Clesim6_20211114_20_00</v>
      </c>
      <c r="I246" s="69">
        <f t="shared" si="120"/>
        <v>1</v>
      </c>
      <c r="J246" s="76" t="str">
        <f t="shared" si="120"/>
        <v>Clematis</v>
      </c>
      <c r="K246" s="76" t="str">
        <f t="shared" si="120"/>
        <v>simense</v>
      </c>
      <c r="L246" s="77">
        <f t="shared" si="120"/>
        <v>6</v>
      </c>
      <c r="M246" s="77">
        <f t="shared" si="120"/>
        <v>20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v>
      </c>
      <c r="C247" s="73">
        <f t="shared" si="115"/>
        <v>14</v>
      </c>
      <c r="D247" s="74">
        <f t="shared" si="98"/>
        <v>20</v>
      </c>
      <c r="E247" s="75">
        <f t="shared" si="99"/>
        <v>4</v>
      </c>
      <c r="F247" s="79"/>
      <c r="G247" s="82"/>
      <c r="H247" s="68" t="str">
        <f t="shared" si="116"/>
        <v>Clesim6_20211114_20_00</v>
      </c>
      <c r="I247" s="69">
        <f t="shared" si="120"/>
        <v>1</v>
      </c>
      <c r="J247" s="76" t="str">
        <f t="shared" si="120"/>
        <v>Clematis</v>
      </c>
      <c r="K247" s="76" t="str">
        <f t="shared" si="120"/>
        <v>simense</v>
      </c>
      <c r="L247" s="77">
        <f t="shared" si="120"/>
        <v>6</v>
      </c>
      <c r="M247" s="77">
        <f t="shared" si="120"/>
        <v>20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v>
      </c>
      <c r="C248" s="73">
        <f t="shared" si="115"/>
        <v>14</v>
      </c>
      <c r="D248" s="74">
        <f t="shared" si="98"/>
        <v>20</v>
      </c>
      <c r="E248" s="75">
        <f t="shared" si="99"/>
        <v>5</v>
      </c>
      <c r="F248" s="79"/>
      <c r="G248" s="82"/>
      <c r="H248" s="68" t="str">
        <f t="shared" si="116"/>
        <v>Clesim6_20211114_20_00</v>
      </c>
      <c r="I248" s="69">
        <f t="shared" si="120"/>
        <v>1</v>
      </c>
      <c r="J248" s="76" t="str">
        <f t="shared" si="120"/>
        <v>Clematis</v>
      </c>
      <c r="K248" s="76" t="str">
        <f t="shared" si="120"/>
        <v>simense</v>
      </c>
      <c r="L248" s="77">
        <f t="shared" si="120"/>
        <v>6</v>
      </c>
      <c r="M248" s="77">
        <f t="shared" si="120"/>
        <v>20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v>
      </c>
      <c r="C249" s="73">
        <f t="shared" si="115"/>
        <v>14</v>
      </c>
      <c r="D249" s="74">
        <f t="shared" si="98"/>
        <v>20</v>
      </c>
      <c r="E249" s="75">
        <f t="shared" si="99"/>
        <v>6</v>
      </c>
      <c r="F249" s="79"/>
      <c r="G249" s="82"/>
      <c r="H249" s="68" t="str">
        <f t="shared" si="116"/>
        <v>Clesim6_20211114_20_00</v>
      </c>
      <c r="I249" s="69">
        <f t="shared" si="120"/>
        <v>1</v>
      </c>
      <c r="J249" s="76" t="str">
        <f t="shared" si="120"/>
        <v>Clematis</v>
      </c>
      <c r="K249" s="76" t="str">
        <f t="shared" si="120"/>
        <v>simense</v>
      </c>
      <c r="L249" s="77">
        <f t="shared" si="120"/>
        <v>6</v>
      </c>
      <c r="M249" s="77">
        <f t="shared" si="120"/>
        <v>20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v>
      </c>
      <c r="C250" s="73">
        <f t="shared" si="115"/>
        <v>14</v>
      </c>
      <c r="D250" s="74">
        <f t="shared" si="98"/>
        <v>20</v>
      </c>
      <c r="E250" s="75">
        <f t="shared" si="99"/>
        <v>7</v>
      </c>
      <c r="F250" s="79"/>
      <c r="G250" s="82"/>
      <c r="H250" s="68" t="str">
        <f t="shared" si="116"/>
        <v>Clesim6_20211114_20_00</v>
      </c>
      <c r="I250" s="69">
        <f t="shared" si="120"/>
        <v>1</v>
      </c>
      <c r="J250" s="76" t="str">
        <f t="shared" si="120"/>
        <v>Clematis</v>
      </c>
      <c r="K250" s="76" t="str">
        <f t="shared" si="120"/>
        <v>simense</v>
      </c>
      <c r="L250" s="77">
        <f t="shared" si="120"/>
        <v>6</v>
      </c>
      <c r="M250" s="77">
        <f t="shared" si="120"/>
        <v>20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v>
      </c>
      <c r="C251" s="73">
        <f t="shared" si="115"/>
        <v>14</v>
      </c>
      <c r="D251" s="74">
        <f t="shared" si="98"/>
        <v>20</v>
      </c>
      <c r="E251" s="75">
        <f t="shared" si="99"/>
        <v>8</v>
      </c>
      <c r="F251" s="79"/>
      <c r="G251" s="82"/>
      <c r="H251" s="68" t="str">
        <f t="shared" si="116"/>
        <v>Clesim6_20211114_20_00</v>
      </c>
      <c r="I251" s="69">
        <f t="shared" si="120"/>
        <v>1</v>
      </c>
      <c r="J251" s="76" t="str">
        <f t="shared" si="120"/>
        <v>Clematis</v>
      </c>
      <c r="K251" s="76" t="str">
        <f t="shared" si="120"/>
        <v>simense</v>
      </c>
      <c r="L251" s="77">
        <f t="shared" si="120"/>
        <v>6</v>
      </c>
      <c r="M251" s="77">
        <f t="shared" si="120"/>
        <v>20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IF(SUM(AH251,AJ251,AL251,AN251,AP251,AR251)=S251,,"")</f>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v>
      </c>
      <c r="C252" s="73">
        <f t="shared" si="115"/>
        <v>14</v>
      </c>
      <c r="D252" s="74">
        <f t="shared" si="98"/>
        <v>20</v>
      </c>
      <c r="E252" s="75">
        <f t="shared" si="99"/>
        <v>9</v>
      </c>
      <c r="F252" s="79"/>
      <c r="G252" s="82"/>
      <c r="H252" s="68" t="str">
        <f t="shared" si="116"/>
        <v>Clesim6_20211114_20_00</v>
      </c>
      <c r="I252" s="69">
        <f t="shared" si="120"/>
        <v>1</v>
      </c>
      <c r="J252" s="76" t="str">
        <f t="shared" si="120"/>
        <v>Clematis</v>
      </c>
      <c r="K252" s="76" t="str">
        <f t="shared" si="120"/>
        <v>simense</v>
      </c>
      <c r="L252" s="77">
        <f t="shared" si="120"/>
        <v>6</v>
      </c>
      <c r="M252" s="77">
        <f t="shared" si="120"/>
        <v>20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2021</v>
      </c>
      <c r="B253" s="72" t="str">
        <f t="shared" si="97"/>
        <v>Nov</v>
      </c>
      <c r="C253" s="73">
        <f t="shared" si="115"/>
        <v>14</v>
      </c>
      <c r="D253" s="74">
        <f t="shared" si="98"/>
        <v>20</v>
      </c>
      <c r="E253" s="75">
        <f t="shared" si="99"/>
        <v>10</v>
      </c>
      <c r="F253" s="79">
        <v>8</v>
      </c>
      <c r="G253" s="82"/>
      <c r="H253" s="68" t="str">
        <f t="shared" si="116"/>
        <v>Clesim6_20211114_20_00</v>
      </c>
      <c r="I253" s="69">
        <f t="shared" si="120"/>
        <v>1</v>
      </c>
      <c r="J253" s="76" t="str">
        <f t="shared" si="120"/>
        <v>Clematis</v>
      </c>
      <c r="K253" s="76" t="str">
        <f t="shared" si="120"/>
        <v>simense</v>
      </c>
      <c r="L253" s="77">
        <f t="shared" si="120"/>
        <v>6</v>
      </c>
      <c r="M253" s="77">
        <f t="shared" si="120"/>
        <v>20</v>
      </c>
      <c r="N253" s="71">
        <f t="shared" si="120"/>
        <v>0</v>
      </c>
      <c r="O253" s="44"/>
      <c r="P253" s="45">
        <f t="shared" si="100"/>
        <v>1</v>
      </c>
      <c r="Q253" s="46" t="str">
        <f t="shared" si="101"/>
        <v>20:10:08</v>
      </c>
      <c r="R253" s="47" t="str">
        <f t="shared" si="102"/>
        <v>10:08</v>
      </c>
      <c r="S253" s="48">
        <f t="shared" si="91"/>
        <v>434</v>
      </c>
      <c r="T253" s="47" t="str">
        <f t="shared" si="103"/>
        <v>20</v>
      </c>
      <c r="U253" s="49">
        <v>17</v>
      </c>
      <c r="V253" s="50">
        <v>22</v>
      </c>
      <c r="W253" s="51" t="str">
        <f t="shared" si="104"/>
        <v>17:22</v>
      </c>
      <c r="X253" s="123" t="s">
        <v>61</v>
      </c>
      <c r="Y253" s="52" t="s">
        <v>75</v>
      </c>
      <c r="Z253" s="52" t="s">
        <v>76</v>
      </c>
      <c r="AA253" s="47" t="s">
        <v>62</v>
      </c>
      <c r="AB253" s="47" t="str">
        <f t="shared" si="105"/>
        <v>NA</v>
      </c>
      <c r="AC253" s="53" t="str">
        <f>IF(SUM(AH253,AJ253,AL253,AN253,AP253,AR253)=S253,,"")</f>
        <v/>
      </c>
      <c r="AD253" s="54">
        <v>1</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f t="shared" si="92"/>
        <v>0</v>
      </c>
      <c r="AX253" s="61" t="str">
        <f t="shared" si="93"/>
        <v/>
      </c>
      <c r="AY253" s="60">
        <f t="shared" si="94"/>
        <v>0</v>
      </c>
      <c r="AZ253" s="61" t="str">
        <f t="shared" si="95"/>
        <v/>
      </c>
    </row>
    <row r="254" spans="1:52" s="3" customFormat="1" hidden="1" x14ac:dyDescent="0.35">
      <c r="A254" s="72">
        <f t="shared" si="96"/>
        <v>2021</v>
      </c>
      <c r="B254" s="72" t="str">
        <f t="shared" si="97"/>
        <v>Nov</v>
      </c>
      <c r="C254" s="73">
        <f t="shared" si="115"/>
        <v>14</v>
      </c>
      <c r="D254" s="74">
        <f t="shared" si="98"/>
        <v>20</v>
      </c>
      <c r="E254" s="75">
        <f t="shared" si="99"/>
        <v>11</v>
      </c>
      <c r="F254" s="79"/>
      <c r="G254" s="82"/>
      <c r="H254" s="68" t="str">
        <f t="shared" si="116"/>
        <v>Clesim6_20211114_20_00</v>
      </c>
      <c r="I254" s="69">
        <f t="shared" si="120"/>
        <v>1</v>
      </c>
      <c r="J254" s="76" t="str">
        <f t="shared" si="120"/>
        <v>Clematis</v>
      </c>
      <c r="K254" s="76" t="str">
        <f t="shared" si="120"/>
        <v>simense</v>
      </c>
      <c r="L254" s="77">
        <f t="shared" si="120"/>
        <v>6</v>
      </c>
      <c r="M254" s="77">
        <f t="shared" si="120"/>
        <v>20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v>
      </c>
      <c r="C255" s="73">
        <f t="shared" si="115"/>
        <v>14</v>
      </c>
      <c r="D255" s="74">
        <f t="shared" si="98"/>
        <v>20</v>
      </c>
      <c r="E255" s="75">
        <f t="shared" si="99"/>
        <v>12</v>
      </c>
      <c r="F255" s="79"/>
      <c r="G255" s="82"/>
      <c r="H255" s="68" t="str">
        <f t="shared" si="116"/>
        <v>Clesim6_20211114_20_00</v>
      </c>
      <c r="I255" s="69">
        <f t="shared" si="120"/>
        <v>1</v>
      </c>
      <c r="J255" s="76" t="str">
        <f t="shared" si="120"/>
        <v>Clematis</v>
      </c>
      <c r="K255" s="76" t="str">
        <f t="shared" si="120"/>
        <v>simense</v>
      </c>
      <c r="L255" s="77">
        <f t="shared" si="120"/>
        <v>6</v>
      </c>
      <c r="M255" s="77">
        <f t="shared" si="120"/>
        <v>20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v>
      </c>
      <c r="C256" s="73">
        <f t="shared" si="115"/>
        <v>14</v>
      </c>
      <c r="D256" s="74">
        <f t="shared" si="98"/>
        <v>20</v>
      </c>
      <c r="E256" s="75">
        <f t="shared" si="99"/>
        <v>13</v>
      </c>
      <c r="F256" s="79"/>
      <c r="G256" s="82"/>
      <c r="H256" s="68" t="str">
        <f t="shared" si="116"/>
        <v>Clesim6_20211114_20_00</v>
      </c>
      <c r="I256" s="69">
        <f t="shared" si="120"/>
        <v>1</v>
      </c>
      <c r="J256" s="76" t="str">
        <f t="shared" si="120"/>
        <v>Clematis</v>
      </c>
      <c r="K256" s="76" t="str">
        <f t="shared" si="120"/>
        <v>simense</v>
      </c>
      <c r="L256" s="77">
        <f t="shared" si="120"/>
        <v>6</v>
      </c>
      <c r="M256" s="77">
        <f t="shared" si="120"/>
        <v>20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v>
      </c>
      <c r="C257" s="73">
        <f t="shared" si="115"/>
        <v>14</v>
      </c>
      <c r="D257" s="74">
        <f t="shared" si="98"/>
        <v>20</v>
      </c>
      <c r="E257" s="75">
        <f t="shared" si="99"/>
        <v>14</v>
      </c>
      <c r="F257" s="79"/>
      <c r="G257" s="82"/>
      <c r="H257" s="68" t="str">
        <f t="shared" si="116"/>
        <v>Clesim6_20211114_20_00</v>
      </c>
      <c r="I257" s="69">
        <f t="shared" si="120"/>
        <v>1</v>
      </c>
      <c r="J257" s="76" t="str">
        <f t="shared" si="120"/>
        <v>Clematis</v>
      </c>
      <c r="K257" s="76" t="str">
        <f t="shared" si="120"/>
        <v>simense</v>
      </c>
      <c r="L257" s="77">
        <f t="shared" si="120"/>
        <v>6</v>
      </c>
      <c r="M257" s="77">
        <f t="shared" si="120"/>
        <v>20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v>
      </c>
      <c r="C258" s="73">
        <f t="shared" si="115"/>
        <v>14</v>
      </c>
      <c r="D258" s="74">
        <f t="shared" si="98"/>
        <v>20</v>
      </c>
      <c r="E258" s="75">
        <f t="shared" si="99"/>
        <v>15</v>
      </c>
      <c r="F258" s="79"/>
      <c r="G258" s="82"/>
      <c r="H258" s="68" t="str">
        <f t="shared" si="116"/>
        <v>Clesim6_20211114_20_00</v>
      </c>
      <c r="I258" s="69">
        <f t="shared" si="120"/>
        <v>1</v>
      </c>
      <c r="J258" s="76" t="str">
        <f t="shared" si="120"/>
        <v>Clematis</v>
      </c>
      <c r="K258" s="76" t="str">
        <f t="shared" si="120"/>
        <v>simense</v>
      </c>
      <c r="L258" s="77">
        <f t="shared" si="120"/>
        <v>6</v>
      </c>
      <c r="M258" s="77">
        <f t="shared" si="120"/>
        <v>20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v>
      </c>
      <c r="C259" s="73">
        <f t="shared" si="115"/>
        <v>14</v>
      </c>
      <c r="D259" s="74">
        <f t="shared" si="98"/>
        <v>20</v>
      </c>
      <c r="E259" s="75">
        <f t="shared" si="99"/>
        <v>16</v>
      </c>
      <c r="F259" s="79"/>
      <c r="G259" s="82"/>
      <c r="H259" s="68" t="str">
        <f t="shared" si="116"/>
        <v>Clesim6_20211114_20_00</v>
      </c>
      <c r="I259" s="69">
        <f t="shared" si="120"/>
        <v>1</v>
      </c>
      <c r="J259" s="76" t="str">
        <f t="shared" si="120"/>
        <v>Clematis</v>
      </c>
      <c r="K259" s="76" t="str">
        <f t="shared" si="120"/>
        <v>simense</v>
      </c>
      <c r="L259" s="77">
        <f t="shared" si="120"/>
        <v>6</v>
      </c>
      <c r="M259" s="77">
        <f t="shared" si="120"/>
        <v>20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v>
      </c>
      <c r="C260" s="73">
        <f t="shared" si="115"/>
        <v>14</v>
      </c>
      <c r="D260" s="74">
        <f t="shared" ref="D260:D323" si="128">IF(IF(E259=59,D259+1,D259)=24,0,IF(E259=59,D259+1,D259))</f>
        <v>20</v>
      </c>
      <c r="E260" s="75">
        <f t="shared" ref="E260:E323" si="129">IF(E259&lt;59,E259+1,0)</f>
        <v>17</v>
      </c>
      <c r="F260" s="79"/>
      <c r="G260" s="82"/>
      <c r="H260" s="68" t="str">
        <f t="shared" si="116"/>
        <v>Clesim6_20211114_20_00</v>
      </c>
      <c r="I260" s="69">
        <f t="shared" si="120"/>
        <v>1</v>
      </c>
      <c r="J260" s="76" t="str">
        <f t="shared" si="120"/>
        <v>Clematis</v>
      </c>
      <c r="K260" s="76" t="str">
        <f t="shared" si="120"/>
        <v>simense</v>
      </c>
      <c r="L260" s="77">
        <f t="shared" si="120"/>
        <v>6</v>
      </c>
      <c r="M260" s="77">
        <f t="shared" si="120"/>
        <v>20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v>
      </c>
      <c r="C261" s="73">
        <f t="shared" ref="C261:C324" si="145">IF(AND(D261=0, E261=0), IF(TEXT(C260,"dd")=TEXT(EOMONTH(DATE(A260,MONTH(DATEVALUE(B260&amp;"1")),C260),0), "dd"), 1, C260+1), C260)</f>
        <v>14</v>
      </c>
      <c r="D261" s="74">
        <f t="shared" si="128"/>
        <v>20</v>
      </c>
      <c r="E261" s="75">
        <f t="shared" si="129"/>
        <v>18</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Clesim6_20211114_20_00</v>
      </c>
      <c r="I261" s="69">
        <f t="shared" ref="I261:N276" si="147">I260</f>
        <v>1</v>
      </c>
      <c r="J261" s="76" t="str">
        <f t="shared" si="147"/>
        <v>Clematis</v>
      </c>
      <c r="K261" s="76" t="str">
        <f t="shared" si="147"/>
        <v>simense</v>
      </c>
      <c r="L261" s="77">
        <f t="shared" si="147"/>
        <v>6</v>
      </c>
      <c r="M261" s="77">
        <f t="shared" si="147"/>
        <v>20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v>
      </c>
      <c r="C262" s="73">
        <f t="shared" si="145"/>
        <v>14</v>
      </c>
      <c r="D262" s="74">
        <f t="shared" si="128"/>
        <v>20</v>
      </c>
      <c r="E262" s="75">
        <f t="shared" si="129"/>
        <v>19</v>
      </c>
      <c r="F262" s="79"/>
      <c r="G262" s="82"/>
      <c r="H262" s="68" t="str">
        <f t="shared" si="146"/>
        <v>Clesim6_20211114_20_00</v>
      </c>
      <c r="I262" s="69">
        <f t="shared" si="147"/>
        <v>1</v>
      </c>
      <c r="J262" s="76" t="str">
        <f t="shared" si="147"/>
        <v>Clematis</v>
      </c>
      <c r="K262" s="76" t="str">
        <f t="shared" si="147"/>
        <v>simense</v>
      </c>
      <c r="L262" s="77">
        <f t="shared" si="147"/>
        <v>6</v>
      </c>
      <c r="M262" s="77">
        <f t="shared" si="147"/>
        <v>20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v>
      </c>
      <c r="C263" s="73">
        <f t="shared" si="145"/>
        <v>14</v>
      </c>
      <c r="D263" s="74">
        <f t="shared" si="128"/>
        <v>20</v>
      </c>
      <c r="E263" s="75">
        <f t="shared" si="129"/>
        <v>20</v>
      </c>
      <c r="F263" s="79"/>
      <c r="G263" s="82"/>
      <c r="H263" s="68" t="str">
        <f t="shared" si="146"/>
        <v>Clesim6_20211114_20_00</v>
      </c>
      <c r="I263" s="69">
        <f t="shared" si="147"/>
        <v>1</v>
      </c>
      <c r="J263" s="76" t="str">
        <f t="shared" si="147"/>
        <v>Clematis</v>
      </c>
      <c r="K263" s="76" t="str">
        <f t="shared" si="147"/>
        <v>simense</v>
      </c>
      <c r="L263" s="77">
        <f t="shared" si="147"/>
        <v>6</v>
      </c>
      <c r="M263" s="77">
        <f t="shared" si="147"/>
        <v>20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v>
      </c>
      <c r="C264" s="73">
        <f t="shared" si="145"/>
        <v>14</v>
      </c>
      <c r="D264" s="74">
        <f t="shared" si="128"/>
        <v>20</v>
      </c>
      <c r="E264" s="75">
        <f t="shared" si="129"/>
        <v>21</v>
      </c>
      <c r="F264" s="79"/>
      <c r="G264" s="82"/>
      <c r="H264" s="68" t="str">
        <f t="shared" si="146"/>
        <v>Clesim6_20211114_20_00</v>
      </c>
      <c r="I264" s="69">
        <f t="shared" si="147"/>
        <v>1</v>
      </c>
      <c r="J264" s="76" t="str">
        <f t="shared" si="147"/>
        <v>Clematis</v>
      </c>
      <c r="K264" s="76" t="str">
        <f t="shared" si="147"/>
        <v>simense</v>
      </c>
      <c r="L264" s="77">
        <f t="shared" si="147"/>
        <v>6</v>
      </c>
      <c r="M264" s="77">
        <f t="shared" si="147"/>
        <v>20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v>
      </c>
      <c r="C265" s="73">
        <f t="shared" si="145"/>
        <v>14</v>
      </c>
      <c r="D265" s="74">
        <f t="shared" si="128"/>
        <v>20</v>
      </c>
      <c r="E265" s="75">
        <f t="shared" si="129"/>
        <v>22</v>
      </c>
      <c r="F265" s="79"/>
      <c r="G265" s="82"/>
      <c r="H265" s="68" t="str">
        <f t="shared" si="146"/>
        <v>Clesim6_20211114_20_00</v>
      </c>
      <c r="I265" s="69">
        <f t="shared" si="147"/>
        <v>1</v>
      </c>
      <c r="J265" s="76" t="str">
        <f t="shared" si="147"/>
        <v>Clematis</v>
      </c>
      <c r="K265" s="76" t="str">
        <f t="shared" si="147"/>
        <v>simense</v>
      </c>
      <c r="L265" s="77">
        <f t="shared" si="147"/>
        <v>6</v>
      </c>
      <c r="M265" s="77">
        <f t="shared" si="147"/>
        <v>20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2021</v>
      </c>
      <c r="B266" s="72" t="str">
        <f t="shared" si="127"/>
        <v>Nov</v>
      </c>
      <c r="C266" s="73">
        <f t="shared" si="145"/>
        <v>14</v>
      </c>
      <c r="D266" s="74">
        <f t="shared" si="128"/>
        <v>20</v>
      </c>
      <c r="E266" s="75">
        <f t="shared" si="129"/>
        <v>23</v>
      </c>
      <c r="F266" s="79">
        <v>12</v>
      </c>
      <c r="G266" s="82"/>
      <c r="H266" s="68" t="str">
        <f t="shared" si="146"/>
        <v>Clesim6_20211114_20_00</v>
      </c>
      <c r="I266" s="69">
        <f t="shared" si="147"/>
        <v>1</v>
      </c>
      <c r="J266" s="76" t="str">
        <f t="shared" si="147"/>
        <v>Clematis</v>
      </c>
      <c r="K266" s="76" t="str">
        <f t="shared" si="147"/>
        <v>simense</v>
      </c>
      <c r="L266" s="77">
        <f t="shared" si="147"/>
        <v>6</v>
      </c>
      <c r="M266" s="77">
        <f t="shared" si="147"/>
        <v>20</v>
      </c>
      <c r="N266" s="71">
        <f t="shared" si="147"/>
        <v>0</v>
      </c>
      <c r="O266" s="44"/>
      <c r="P266" s="45">
        <f t="shared" si="130"/>
        <v>1</v>
      </c>
      <c r="Q266" s="46" t="str">
        <f t="shared" si="131"/>
        <v>20:23:12</v>
      </c>
      <c r="R266" s="47" t="str">
        <f t="shared" si="132"/>
        <v>23:12</v>
      </c>
      <c r="S266" s="48">
        <f t="shared" si="121"/>
        <v>86</v>
      </c>
      <c r="T266" s="47" t="str">
        <f t="shared" si="133"/>
        <v>20</v>
      </c>
      <c r="U266" s="49">
        <v>24</v>
      </c>
      <c r="V266" s="50">
        <v>38</v>
      </c>
      <c r="W266" s="51" t="str">
        <f t="shared" si="134"/>
        <v>24:38</v>
      </c>
      <c r="X266" s="123" t="s">
        <v>69</v>
      </c>
      <c r="Y266" s="52" t="s">
        <v>67</v>
      </c>
      <c r="Z266" s="52"/>
      <c r="AA266" s="47" t="s">
        <v>67</v>
      </c>
      <c r="AB266" s="47" t="str">
        <f t="shared" si="135"/>
        <v>NA</v>
      </c>
      <c r="AC266" s="53" t="str">
        <f t="shared" si="136"/>
        <v/>
      </c>
      <c r="AD266" s="54">
        <v>3</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f t="shared" si="122"/>
        <v>0</v>
      </c>
      <c r="AX266" s="61" t="str">
        <f t="shared" si="123"/>
        <v/>
      </c>
      <c r="AY266" s="60">
        <f t="shared" si="124"/>
        <v>0</v>
      </c>
      <c r="AZ266" s="61" t="str">
        <f t="shared" si="125"/>
        <v/>
      </c>
    </row>
    <row r="267" spans="1:52" s="3" customFormat="1" hidden="1" x14ac:dyDescent="0.35">
      <c r="A267" s="72">
        <f t="shared" si="126"/>
        <v>2021</v>
      </c>
      <c r="B267" s="72" t="str">
        <f t="shared" si="127"/>
        <v>Nov</v>
      </c>
      <c r="C267" s="73">
        <f t="shared" si="145"/>
        <v>14</v>
      </c>
      <c r="D267" s="74">
        <f t="shared" si="128"/>
        <v>20</v>
      </c>
      <c r="E267" s="75">
        <f t="shared" si="129"/>
        <v>24</v>
      </c>
      <c r="F267" s="79"/>
      <c r="G267" s="82"/>
      <c r="H267" s="68" t="str">
        <f t="shared" si="146"/>
        <v>Clesim6_20211114_20_00</v>
      </c>
      <c r="I267" s="69">
        <f t="shared" si="147"/>
        <v>1</v>
      </c>
      <c r="J267" s="76" t="str">
        <f t="shared" si="147"/>
        <v>Clematis</v>
      </c>
      <c r="K267" s="76" t="str">
        <f t="shared" si="147"/>
        <v>simense</v>
      </c>
      <c r="L267" s="77">
        <f t="shared" si="147"/>
        <v>6</v>
      </c>
      <c r="M267" s="77">
        <f t="shared" si="147"/>
        <v>20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v>
      </c>
      <c r="C268" s="73">
        <f t="shared" si="145"/>
        <v>14</v>
      </c>
      <c r="D268" s="74">
        <f t="shared" si="128"/>
        <v>20</v>
      </c>
      <c r="E268" s="75">
        <f t="shared" si="129"/>
        <v>25</v>
      </c>
      <c r="F268" s="79"/>
      <c r="G268" s="82"/>
      <c r="H268" s="68" t="str">
        <f t="shared" si="146"/>
        <v>Clesim6_20211114_20_00</v>
      </c>
      <c r="I268" s="69">
        <f t="shared" si="147"/>
        <v>1</v>
      </c>
      <c r="J268" s="76" t="str">
        <f t="shared" si="147"/>
        <v>Clematis</v>
      </c>
      <c r="K268" s="76" t="str">
        <f t="shared" si="147"/>
        <v>simense</v>
      </c>
      <c r="L268" s="77">
        <f t="shared" si="147"/>
        <v>6</v>
      </c>
      <c r="M268" s="77">
        <f t="shared" si="147"/>
        <v>20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v>
      </c>
      <c r="C269" s="73">
        <f t="shared" si="145"/>
        <v>14</v>
      </c>
      <c r="D269" s="74">
        <f t="shared" si="128"/>
        <v>20</v>
      </c>
      <c r="E269" s="75">
        <f t="shared" si="129"/>
        <v>26</v>
      </c>
      <c r="F269" s="79"/>
      <c r="G269" s="82"/>
      <c r="H269" s="68" t="str">
        <f t="shared" si="146"/>
        <v>Clesim6_20211114_20_00</v>
      </c>
      <c r="I269" s="69">
        <f t="shared" si="147"/>
        <v>1</v>
      </c>
      <c r="J269" s="76" t="str">
        <f t="shared" si="147"/>
        <v>Clematis</v>
      </c>
      <c r="K269" s="76" t="str">
        <f t="shared" si="147"/>
        <v>simense</v>
      </c>
      <c r="L269" s="77">
        <f t="shared" si="147"/>
        <v>6</v>
      </c>
      <c r="M269" s="77">
        <f t="shared" si="147"/>
        <v>20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v>
      </c>
      <c r="C270" s="73">
        <f t="shared" si="145"/>
        <v>14</v>
      </c>
      <c r="D270" s="74">
        <f t="shared" si="128"/>
        <v>20</v>
      </c>
      <c r="E270" s="75">
        <f t="shared" si="129"/>
        <v>27</v>
      </c>
      <c r="F270" s="79"/>
      <c r="G270" s="82"/>
      <c r="H270" s="68" t="str">
        <f t="shared" si="146"/>
        <v>Clesim6_20211114_20_00</v>
      </c>
      <c r="I270" s="69">
        <f t="shared" si="147"/>
        <v>1</v>
      </c>
      <c r="J270" s="76" t="str">
        <f t="shared" si="147"/>
        <v>Clematis</v>
      </c>
      <c r="K270" s="76" t="str">
        <f t="shared" si="147"/>
        <v>simense</v>
      </c>
      <c r="L270" s="77">
        <f t="shared" si="147"/>
        <v>6</v>
      </c>
      <c r="M270" s="77">
        <f t="shared" si="147"/>
        <v>20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v>
      </c>
      <c r="C271" s="73">
        <f t="shared" si="145"/>
        <v>14</v>
      </c>
      <c r="D271" s="74">
        <f t="shared" si="128"/>
        <v>20</v>
      </c>
      <c r="E271" s="75">
        <f t="shared" si="129"/>
        <v>28</v>
      </c>
      <c r="F271" s="79"/>
      <c r="G271" s="82"/>
      <c r="H271" s="68" t="str">
        <f t="shared" si="146"/>
        <v>Clesim6_20211114_20_00</v>
      </c>
      <c r="I271" s="69">
        <f t="shared" si="147"/>
        <v>1</v>
      </c>
      <c r="J271" s="76" t="str">
        <f t="shared" si="147"/>
        <v>Clematis</v>
      </c>
      <c r="K271" s="76" t="str">
        <f t="shared" si="147"/>
        <v>simense</v>
      </c>
      <c r="L271" s="77">
        <f t="shared" si="147"/>
        <v>6</v>
      </c>
      <c r="M271" s="77">
        <f t="shared" si="147"/>
        <v>20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v>
      </c>
      <c r="C272" s="73">
        <f t="shared" si="145"/>
        <v>14</v>
      </c>
      <c r="D272" s="74">
        <f t="shared" si="128"/>
        <v>20</v>
      </c>
      <c r="E272" s="75">
        <f t="shared" si="129"/>
        <v>29</v>
      </c>
      <c r="F272" s="79"/>
      <c r="G272" s="82"/>
      <c r="H272" s="68" t="str">
        <f t="shared" si="146"/>
        <v>Clesim6_20211114_20_00</v>
      </c>
      <c r="I272" s="69">
        <f t="shared" si="147"/>
        <v>1</v>
      </c>
      <c r="J272" s="76" t="str">
        <f t="shared" si="147"/>
        <v>Clematis</v>
      </c>
      <c r="K272" s="76" t="str">
        <f t="shared" si="147"/>
        <v>simense</v>
      </c>
      <c r="L272" s="77">
        <f t="shared" si="147"/>
        <v>6</v>
      </c>
      <c r="M272" s="77">
        <f t="shared" si="147"/>
        <v>20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v>
      </c>
      <c r="C273" s="73">
        <f t="shared" si="145"/>
        <v>14</v>
      </c>
      <c r="D273" s="74">
        <f t="shared" si="128"/>
        <v>20</v>
      </c>
      <c r="E273" s="75">
        <f t="shared" si="129"/>
        <v>30</v>
      </c>
      <c r="F273" s="79"/>
      <c r="G273" s="82"/>
      <c r="H273" s="68" t="str">
        <f t="shared" si="146"/>
        <v>Clesim6_20211114_20_00</v>
      </c>
      <c r="I273" s="69">
        <f t="shared" si="147"/>
        <v>1</v>
      </c>
      <c r="J273" s="76" t="str">
        <f t="shared" si="147"/>
        <v>Clematis</v>
      </c>
      <c r="K273" s="76" t="str">
        <f t="shared" si="147"/>
        <v>simense</v>
      </c>
      <c r="L273" s="77">
        <f t="shared" si="147"/>
        <v>6</v>
      </c>
      <c r="M273" s="77">
        <f t="shared" si="147"/>
        <v>20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v>
      </c>
      <c r="C274" s="73">
        <f t="shared" si="145"/>
        <v>14</v>
      </c>
      <c r="D274" s="74">
        <f t="shared" si="128"/>
        <v>20</v>
      </c>
      <c r="E274" s="75">
        <f t="shared" si="129"/>
        <v>31</v>
      </c>
      <c r="F274" s="79"/>
      <c r="G274" s="82"/>
      <c r="H274" s="68" t="str">
        <f t="shared" si="146"/>
        <v>Clesim6_20211114_20_00</v>
      </c>
      <c r="I274" s="69">
        <f t="shared" si="147"/>
        <v>1</v>
      </c>
      <c r="J274" s="76" t="str">
        <f t="shared" si="147"/>
        <v>Clematis</v>
      </c>
      <c r="K274" s="76" t="str">
        <f t="shared" si="147"/>
        <v>simense</v>
      </c>
      <c r="L274" s="77">
        <f t="shared" si="147"/>
        <v>6</v>
      </c>
      <c r="M274" s="77">
        <f t="shared" si="147"/>
        <v>20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v>
      </c>
      <c r="C275" s="73">
        <f t="shared" si="145"/>
        <v>14</v>
      </c>
      <c r="D275" s="74">
        <f t="shared" si="128"/>
        <v>20</v>
      </c>
      <c r="E275" s="75">
        <f t="shared" si="129"/>
        <v>32</v>
      </c>
      <c r="F275" s="79"/>
      <c r="G275" s="82"/>
      <c r="H275" s="68" t="str">
        <f t="shared" si="146"/>
        <v>Clesim6_20211114_20_00</v>
      </c>
      <c r="I275" s="69">
        <f t="shared" si="147"/>
        <v>1</v>
      </c>
      <c r="J275" s="76" t="str">
        <f t="shared" si="147"/>
        <v>Clematis</v>
      </c>
      <c r="K275" s="76" t="str">
        <f t="shared" si="147"/>
        <v>simense</v>
      </c>
      <c r="L275" s="77">
        <f t="shared" si="147"/>
        <v>6</v>
      </c>
      <c r="M275" s="77">
        <f t="shared" si="147"/>
        <v>20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v>
      </c>
      <c r="C276" s="73">
        <f t="shared" si="145"/>
        <v>14</v>
      </c>
      <c r="D276" s="74">
        <f t="shared" si="128"/>
        <v>20</v>
      </c>
      <c r="E276" s="75">
        <f t="shared" si="129"/>
        <v>33</v>
      </c>
      <c r="F276" s="79"/>
      <c r="G276" s="82"/>
      <c r="H276" s="68" t="str">
        <f t="shared" si="146"/>
        <v>Clesim6_20211114_20_00</v>
      </c>
      <c r="I276" s="69">
        <f t="shared" si="147"/>
        <v>1</v>
      </c>
      <c r="J276" s="76" t="str">
        <f t="shared" si="147"/>
        <v>Clematis</v>
      </c>
      <c r="K276" s="76" t="str">
        <f t="shared" si="147"/>
        <v>simense</v>
      </c>
      <c r="L276" s="77">
        <f t="shared" si="147"/>
        <v>6</v>
      </c>
      <c r="M276" s="77">
        <f t="shared" si="147"/>
        <v>20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v>
      </c>
      <c r="C277" s="73">
        <f t="shared" si="145"/>
        <v>14</v>
      </c>
      <c r="D277" s="74">
        <f t="shared" si="128"/>
        <v>20</v>
      </c>
      <c r="E277" s="75">
        <f t="shared" si="129"/>
        <v>34</v>
      </c>
      <c r="F277" s="79"/>
      <c r="G277" s="82"/>
      <c r="H277" s="68" t="str">
        <f t="shared" si="146"/>
        <v>Clesim6_20211114_20_00</v>
      </c>
      <c r="I277" s="69">
        <f t="shared" ref="I277:N292" si="148">I276</f>
        <v>1</v>
      </c>
      <c r="J277" s="76" t="str">
        <f t="shared" si="148"/>
        <v>Clematis</v>
      </c>
      <c r="K277" s="76" t="str">
        <f t="shared" si="148"/>
        <v>simense</v>
      </c>
      <c r="L277" s="77">
        <f t="shared" si="148"/>
        <v>6</v>
      </c>
      <c r="M277" s="77">
        <f t="shared" si="148"/>
        <v>20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v>
      </c>
      <c r="C278" s="73">
        <f t="shared" si="145"/>
        <v>14</v>
      </c>
      <c r="D278" s="74">
        <f t="shared" si="128"/>
        <v>20</v>
      </c>
      <c r="E278" s="75">
        <f t="shared" si="129"/>
        <v>35</v>
      </c>
      <c r="F278" s="79"/>
      <c r="G278" s="82"/>
      <c r="H278" s="68" t="str">
        <f t="shared" si="146"/>
        <v>Clesim6_20211114_20_00</v>
      </c>
      <c r="I278" s="69">
        <f t="shared" si="148"/>
        <v>1</v>
      </c>
      <c r="J278" s="76" t="str">
        <f t="shared" si="148"/>
        <v>Clematis</v>
      </c>
      <c r="K278" s="76" t="str">
        <f t="shared" si="148"/>
        <v>simense</v>
      </c>
      <c r="L278" s="77">
        <f t="shared" si="148"/>
        <v>6</v>
      </c>
      <c r="M278" s="77">
        <f t="shared" si="148"/>
        <v>20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v>
      </c>
      <c r="C279" s="73">
        <f t="shared" si="145"/>
        <v>14</v>
      </c>
      <c r="D279" s="74">
        <f t="shared" si="128"/>
        <v>20</v>
      </c>
      <c r="E279" s="75">
        <f t="shared" si="129"/>
        <v>36</v>
      </c>
      <c r="F279" s="79"/>
      <c r="G279" s="82"/>
      <c r="H279" s="68" t="str">
        <f t="shared" si="146"/>
        <v>Clesim6_20211114_20_00</v>
      </c>
      <c r="I279" s="69">
        <f t="shared" si="148"/>
        <v>1</v>
      </c>
      <c r="J279" s="76" t="str">
        <f t="shared" si="148"/>
        <v>Clematis</v>
      </c>
      <c r="K279" s="76" t="str">
        <f t="shared" si="148"/>
        <v>simense</v>
      </c>
      <c r="L279" s="77">
        <f t="shared" si="148"/>
        <v>6</v>
      </c>
      <c r="M279" s="77">
        <f t="shared" si="148"/>
        <v>20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2021</v>
      </c>
      <c r="B280" s="72" t="str">
        <f t="shared" si="127"/>
        <v>Nov</v>
      </c>
      <c r="C280" s="73">
        <f t="shared" si="145"/>
        <v>14</v>
      </c>
      <c r="D280" s="74">
        <f t="shared" si="128"/>
        <v>20</v>
      </c>
      <c r="E280" s="75">
        <f t="shared" si="129"/>
        <v>37</v>
      </c>
      <c r="F280" s="79"/>
      <c r="G280" s="82"/>
      <c r="H280" s="68" t="str">
        <f t="shared" si="146"/>
        <v>Clesim6_20211114_20_00</v>
      </c>
      <c r="I280" s="69">
        <f t="shared" si="148"/>
        <v>1</v>
      </c>
      <c r="J280" s="76" t="str">
        <f t="shared" si="148"/>
        <v>Clematis</v>
      </c>
      <c r="K280" s="76" t="str">
        <f t="shared" si="148"/>
        <v>simense</v>
      </c>
      <c r="L280" s="77">
        <f t="shared" si="148"/>
        <v>6</v>
      </c>
      <c r="M280" s="77">
        <f t="shared" si="148"/>
        <v>20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v>
      </c>
      <c r="C281" s="73">
        <f t="shared" si="145"/>
        <v>14</v>
      </c>
      <c r="D281" s="74">
        <f t="shared" si="128"/>
        <v>20</v>
      </c>
      <c r="E281" s="75">
        <f t="shared" si="129"/>
        <v>38</v>
      </c>
      <c r="F281" s="79"/>
      <c r="G281" s="82"/>
      <c r="H281" s="68" t="str">
        <f t="shared" si="146"/>
        <v>Clesim6_20211114_20_00</v>
      </c>
      <c r="I281" s="69">
        <f t="shared" si="148"/>
        <v>1</v>
      </c>
      <c r="J281" s="76" t="str">
        <f t="shared" si="148"/>
        <v>Clematis</v>
      </c>
      <c r="K281" s="76" t="str">
        <f t="shared" si="148"/>
        <v>simense</v>
      </c>
      <c r="L281" s="77">
        <f t="shared" si="148"/>
        <v>6</v>
      </c>
      <c r="M281" s="77">
        <f t="shared" si="148"/>
        <v>20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v>
      </c>
      <c r="C282" s="73">
        <f t="shared" si="145"/>
        <v>14</v>
      </c>
      <c r="D282" s="74">
        <f t="shared" si="128"/>
        <v>20</v>
      </c>
      <c r="E282" s="75">
        <f t="shared" si="129"/>
        <v>39</v>
      </c>
      <c r="F282" s="79"/>
      <c r="G282" s="82"/>
      <c r="H282" s="68" t="str">
        <f t="shared" si="146"/>
        <v>Clesim6_20211114_20_00</v>
      </c>
      <c r="I282" s="69">
        <f t="shared" si="148"/>
        <v>1</v>
      </c>
      <c r="J282" s="76" t="str">
        <f t="shared" si="148"/>
        <v>Clematis</v>
      </c>
      <c r="K282" s="76" t="str">
        <f t="shared" si="148"/>
        <v>simense</v>
      </c>
      <c r="L282" s="77">
        <f t="shared" si="148"/>
        <v>6</v>
      </c>
      <c r="M282" s="77">
        <f t="shared" si="148"/>
        <v>20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v>
      </c>
      <c r="C283" s="73">
        <f t="shared" si="145"/>
        <v>14</v>
      </c>
      <c r="D283" s="74">
        <f t="shared" si="128"/>
        <v>20</v>
      </c>
      <c r="E283" s="75">
        <f t="shared" si="129"/>
        <v>40</v>
      </c>
      <c r="F283" s="79"/>
      <c r="G283" s="82"/>
      <c r="H283" s="68" t="str">
        <f t="shared" si="146"/>
        <v>Clesim6_20211114_20_00</v>
      </c>
      <c r="I283" s="69">
        <f t="shared" si="148"/>
        <v>1</v>
      </c>
      <c r="J283" s="76" t="str">
        <f t="shared" si="148"/>
        <v>Clematis</v>
      </c>
      <c r="K283" s="76" t="str">
        <f t="shared" si="148"/>
        <v>simense</v>
      </c>
      <c r="L283" s="77">
        <f t="shared" si="148"/>
        <v>6</v>
      </c>
      <c r="M283" s="77">
        <f t="shared" si="148"/>
        <v>20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v>
      </c>
      <c r="C284" s="73">
        <f t="shared" si="145"/>
        <v>14</v>
      </c>
      <c r="D284" s="74">
        <f t="shared" si="128"/>
        <v>20</v>
      </c>
      <c r="E284" s="75">
        <f t="shared" si="129"/>
        <v>41</v>
      </c>
      <c r="F284" s="79"/>
      <c r="G284" s="82"/>
      <c r="H284" s="68" t="str">
        <f t="shared" si="146"/>
        <v>Clesim6_20211114_20_00</v>
      </c>
      <c r="I284" s="69">
        <f t="shared" si="148"/>
        <v>1</v>
      </c>
      <c r="J284" s="76" t="str">
        <f t="shared" si="148"/>
        <v>Clematis</v>
      </c>
      <c r="K284" s="76" t="str">
        <f t="shared" si="148"/>
        <v>simense</v>
      </c>
      <c r="L284" s="77">
        <f t="shared" si="148"/>
        <v>6</v>
      </c>
      <c r="M284" s="77">
        <f t="shared" si="148"/>
        <v>20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v>
      </c>
      <c r="C285" s="73">
        <f t="shared" si="145"/>
        <v>14</v>
      </c>
      <c r="D285" s="74">
        <f t="shared" si="128"/>
        <v>20</v>
      </c>
      <c r="E285" s="75">
        <f t="shared" si="129"/>
        <v>42</v>
      </c>
      <c r="F285" s="79"/>
      <c r="G285" s="82"/>
      <c r="H285" s="68" t="str">
        <f t="shared" si="146"/>
        <v>Clesim6_20211114_20_00</v>
      </c>
      <c r="I285" s="69">
        <f t="shared" si="148"/>
        <v>1</v>
      </c>
      <c r="J285" s="76" t="str">
        <f t="shared" si="148"/>
        <v>Clematis</v>
      </c>
      <c r="K285" s="76" t="str">
        <f t="shared" si="148"/>
        <v>simense</v>
      </c>
      <c r="L285" s="77">
        <f t="shared" si="148"/>
        <v>6</v>
      </c>
      <c r="M285" s="77">
        <f t="shared" si="148"/>
        <v>20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v>
      </c>
      <c r="C286" s="73">
        <f t="shared" si="145"/>
        <v>14</v>
      </c>
      <c r="D286" s="74">
        <f t="shared" si="128"/>
        <v>20</v>
      </c>
      <c r="E286" s="75">
        <f t="shared" si="129"/>
        <v>43</v>
      </c>
      <c r="F286" s="79"/>
      <c r="G286" s="82"/>
      <c r="H286" s="68" t="str">
        <f t="shared" si="146"/>
        <v>Clesim6_20211114_20_00</v>
      </c>
      <c r="I286" s="69">
        <f t="shared" si="148"/>
        <v>1</v>
      </c>
      <c r="J286" s="76" t="str">
        <f t="shared" si="148"/>
        <v>Clematis</v>
      </c>
      <c r="K286" s="76" t="str">
        <f t="shared" si="148"/>
        <v>simense</v>
      </c>
      <c r="L286" s="77">
        <f t="shared" si="148"/>
        <v>6</v>
      </c>
      <c r="M286" s="77">
        <f t="shared" si="148"/>
        <v>20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v>
      </c>
      <c r="C287" s="73">
        <f t="shared" si="145"/>
        <v>14</v>
      </c>
      <c r="D287" s="74">
        <f t="shared" si="128"/>
        <v>20</v>
      </c>
      <c r="E287" s="75">
        <f t="shared" si="129"/>
        <v>44</v>
      </c>
      <c r="F287" s="79"/>
      <c r="G287" s="82"/>
      <c r="H287" s="68" t="str">
        <f t="shared" si="146"/>
        <v>Clesim6_20211114_20_00</v>
      </c>
      <c r="I287" s="69">
        <f t="shared" si="148"/>
        <v>1</v>
      </c>
      <c r="J287" s="76" t="str">
        <f t="shared" si="148"/>
        <v>Clematis</v>
      </c>
      <c r="K287" s="76" t="str">
        <f t="shared" si="148"/>
        <v>simense</v>
      </c>
      <c r="L287" s="77">
        <f t="shared" si="148"/>
        <v>6</v>
      </c>
      <c r="M287" s="77">
        <f t="shared" si="148"/>
        <v>20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v>
      </c>
      <c r="C288" s="73">
        <f t="shared" si="145"/>
        <v>14</v>
      </c>
      <c r="D288" s="74">
        <f t="shared" si="128"/>
        <v>20</v>
      </c>
      <c r="E288" s="75">
        <f t="shared" si="129"/>
        <v>45</v>
      </c>
      <c r="F288" s="79"/>
      <c r="G288" s="82"/>
      <c r="H288" s="68" t="str">
        <f t="shared" si="146"/>
        <v>Clesim6_20211114_20_00</v>
      </c>
      <c r="I288" s="69">
        <f t="shared" si="148"/>
        <v>1</v>
      </c>
      <c r="J288" s="76" t="str">
        <f t="shared" si="148"/>
        <v>Clematis</v>
      </c>
      <c r="K288" s="76" t="str">
        <f t="shared" si="148"/>
        <v>simense</v>
      </c>
      <c r="L288" s="77">
        <f t="shared" si="148"/>
        <v>6</v>
      </c>
      <c r="M288" s="77">
        <f t="shared" si="148"/>
        <v>20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v>
      </c>
      <c r="C289" s="73">
        <f t="shared" si="145"/>
        <v>14</v>
      </c>
      <c r="D289" s="74">
        <f t="shared" si="128"/>
        <v>20</v>
      </c>
      <c r="E289" s="75">
        <f t="shared" si="129"/>
        <v>46</v>
      </c>
      <c r="F289" s="79"/>
      <c r="G289" s="82"/>
      <c r="H289" s="68" t="str">
        <f t="shared" si="146"/>
        <v>Clesim6_20211114_20_00</v>
      </c>
      <c r="I289" s="69">
        <f t="shared" si="148"/>
        <v>1</v>
      </c>
      <c r="J289" s="76" t="str">
        <f t="shared" si="148"/>
        <v>Clematis</v>
      </c>
      <c r="K289" s="76" t="str">
        <f t="shared" si="148"/>
        <v>simense</v>
      </c>
      <c r="L289" s="77">
        <f t="shared" si="148"/>
        <v>6</v>
      </c>
      <c r="M289" s="77">
        <f t="shared" si="148"/>
        <v>20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2021</v>
      </c>
      <c r="B290" s="72" t="str">
        <f t="shared" si="127"/>
        <v>Nov</v>
      </c>
      <c r="C290" s="73">
        <f t="shared" si="145"/>
        <v>14</v>
      </c>
      <c r="D290" s="74">
        <f t="shared" si="128"/>
        <v>20</v>
      </c>
      <c r="E290" s="75">
        <f t="shared" si="129"/>
        <v>47</v>
      </c>
      <c r="F290" s="79"/>
      <c r="G290" s="82"/>
      <c r="H290" s="68" t="str">
        <f t="shared" si="146"/>
        <v>Clesim6_20211114_20_00</v>
      </c>
      <c r="I290" s="69">
        <f t="shared" si="148"/>
        <v>1</v>
      </c>
      <c r="J290" s="76" t="str">
        <f t="shared" si="148"/>
        <v>Clematis</v>
      </c>
      <c r="K290" s="76" t="str">
        <f t="shared" si="148"/>
        <v>simense</v>
      </c>
      <c r="L290" s="77">
        <f t="shared" si="148"/>
        <v>6</v>
      </c>
      <c r="M290" s="77">
        <f t="shared" si="148"/>
        <v>20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2021</v>
      </c>
      <c r="B291" s="72" t="str">
        <f t="shared" si="127"/>
        <v>Nov</v>
      </c>
      <c r="C291" s="73">
        <f t="shared" si="145"/>
        <v>14</v>
      </c>
      <c r="D291" s="74">
        <f t="shared" si="128"/>
        <v>20</v>
      </c>
      <c r="E291" s="75">
        <f t="shared" si="129"/>
        <v>48</v>
      </c>
      <c r="F291" s="79"/>
      <c r="G291" s="82"/>
      <c r="H291" s="68" t="str">
        <f t="shared" si="146"/>
        <v>Clesim6_20211114_20_00</v>
      </c>
      <c r="I291" s="69">
        <f t="shared" si="148"/>
        <v>1</v>
      </c>
      <c r="J291" s="76" t="str">
        <f t="shared" si="148"/>
        <v>Clematis</v>
      </c>
      <c r="K291" s="76" t="str">
        <f t="shared" si="148"/>
        <v>simense</v>
      </c>
      <c r="L291" s="77">
        <f t="shared" si="148"/>
        <v>6</v>
      </c>
      <c r="M291" s="77">
        <f t="shared" si="148"/>
        <v>20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v>
      </c>
      <c r="C292" s="73">
        <f t="shared" si="145"/>
        <v>14</v>
      </c>
      <c r="D292" s="74">
        <f t="shared" si="128"/>
        <v>20</v>
      </c>
      <c r="E292" s="75">
        <f t="shared" si="129"/>
        <v>49</v>
      </c>
      <c r="F292" s="79"/>
      <c r="G292" s="82"/>
      <c r="H292" s="68" t="str">
        <f t="shared" si="146"/>
        <v>Clesim6_20211114_20_00</v>
      </c>
      <c r="I292" s="69">
        <f t="shared" si="148"/>
        <v>1</v>
      </c>
      <c r="J292" s="76" t="str">
        <f t="shared" si="148"/>
        <v>Clematis</v>
      </c>
      <c r="K292" s="76" t="str">
        <f t="shared" si="148"/>
        <v>simense</v>
      </c>
      <c r="L292" s="77">
        <f t="shared" si="148"/>
        <v>6</v>
      </c>
      <c r="M292" s="77">
        <f t="shared" si="148"/>
        <v>20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v>
      </c>
      <c r="C293" s="73">
        <f t="shared" si="145"/>
        <v>14</v>
      </c>
      <c r="D293" s="74">
        <f t="shared" si="128"/>
        <v>20</v>
      </c>
      <c r="E293" s="75">
        <f t="shared" si="129"/>
        <v>50</v>
      </c>
      <c r="F293" s="79"/>
      <c r="G293" s="82"/>
      <c r="H293" s="68" t="str">
        <f t="shared" si="146"/>
        <v>Clesim6_20211114_20_00</v>
      </c>
      <c r="I293" s="69">
        <f t="shared" ref="I293:N308" si="149">I292</f>
        <v>1</v>
      </c>
      <c r="J293" s="76" t="str">
        <f t="shared" si="149"/>
        <v>Clematis</v>
      </c>
      <c r="K293" s="76" t="str">
        <f t="shared" si="149"/>
        <v>simense</v>
      </c>
      <c r="L293" s="77">
        <f t="shared" si="149"/>
        <v>6</v>
      </c>
      <c r="M293" s="77">
        <f t="shared" si="149"/>
        <v>20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2021</v>
      </c>
      <c r="B294" s="72" t="str">
        <f t="shared" si="127"/>
        <v>Nov</v>
      </c>
      <c r="C294" s="73">
        <f t="shared" si="145"/>
        <v>14</v>
      </c>
      <c r="D294" s="74">
        <f t="shared" si="128"/>
        <v>20</v>
      </c>
      <c r="E294" s="75">
        <f t="shared" si="129"/>
        <v>51</v>
      </c>
      <c r="F294" s="79"/>
      <c r="G294" s="82"/>
      <c r="H294" s="68" t="str">
        <f t="shared" si="146"/>
        <v>Clesim6_20211114_20_00</v>
      </c>
      <c r="I294" s="69">
        <f t="shared" si="149"/>
        <v>1</v>
      </c>
      <c r="J294" s="76" t="str">
        <f t="shared" si="149"/>
        <v>Clematis</v>
      </c>
      <c r="K294" s="76" t="str">
        <f t="shared" si="149"/>
        <v>simense</v>
      </c>
      <c r="L294" s="77">
        <f t="shared" si="149"/>
        <v>6</v>
      </c>
      <c r="M294" s="77">
        <f t="shared" si="149"/>
        <v>20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v>
      </c>
      <c r="C295" s="73">
        <f t="shared" si="145"/>
        <v>14</v>
      </c>
      <c r="D295" s="74">
        <f t="shared" si="128"/>
        <v>20</v>
      </c>
      <c r="E295" s="75">
        <f t="shared" si="129"/>
        <v>52</v>
      </c>
      <c r="F295" s="79"/>
      <c r="G295" s="82"/>
      <c r="H295" s="68" t="str">
        <f t="shared" si="146"/>
        <v>Clesim6_20211114_20_00</v>
      </c>
      <c r="I295" s="69">
        <f t="shared" si="149"/>
        <v>1</v>
      </c>
      <c r="J295" s="76" t="str">
        <f t="shared" si="149"/>
        <v>Clematis</v>
      </c>
      <c r="K295" s="76" t="str">
        <f t="shared" si="149"/>
        <v>simense</v>
      </c>
      <c r="L295" s="77">
        <f t="shared" si="149"/>
        <v>6</v>
      </c>
      <c r="M295" s="77">
        <f t="shared" si="149"/>
        <v>20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v>
      </c>
      <c r="C296" s="73">
        <f t="shared" si="145"/>
        <v>14</v>
      </c>
      <c r="D296" s="74">
        <f t="shared" si="128"/>
        <v>20</v>
      </c>
      <c r="E296" s="75">
        <f t="shared" si="129"/>
        <v>53</v>
      </c>
      <c r="F296" s="79"/>
      <c r="G296" s="82"/>
      <c r="H296" s="68" t="str">
        <f t="shared" si="146"/>
        <v>Clesim6_20211114_20_00</v>
      </c>
      <c r="I296" s="69">
        <f t="shared" si="149"/>
        <v>1</v>
      </c>
      <c r="J296" s="76" t="str">
        <f t="shared" si="149"/>
        <v>Clematis</v>
      </c>
      <c r="K296" s="76" t="str">
        <f t="shared" si="149"/>
        <v>simense</v>
      </c>
      <c r="L296" s="77">
        <f t="shared" si="149"/>
        <v>6</v>
      </c>
      <c r="M296" s="77">
        <f t="shared" si="149"/>
        <v>20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v>
      </c>
      <c r="C297" s="73">
        <f t="shared" si="145"/>
        <v>14</v>
      </c>
      <c r="D297" s="74">
        <f t="shared" si="128"/>
        <v>20</v>
      </c>
      <c r="E297" s="75">
        <f t="shared" si="129"/>
        <v>54</v>
      </c>
      <c r="F297" s="79"/>
      <c r="G297" s="82"/>
      <c r="H297" s="68" t="str">
        <f t="shared" si="146"/>
        <v>Clesim6_20211114_20_00</v>
      </c>
      <c r="I297" s="69">
        <f t="shared" si="149"/>
        <v>1</v>
      </c>
      <c r="J297" s="76" t="str">
        <f t="shared" si="149"/>
        <v>Clematis</v>
      </c>
      <c r="K297" s="76" t="str">
        <f t="shared" si="149"/>
        <v>simense</v>
      </c>
      <c r="L297" s="77">
        <f t="shared" si="149"/>
        <v>6</v>
      </c>
      <c r="M297" s="77">
        <f t="shared" si="149"/>
        <v>20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v>
      </c>
      <c r="C298" s="73">
        <f t="shared" si="145"/>
        <v>14</v>
      </c>
      <c r="D298" s="74">
        <f t="shared" si="128"/>
        <v>20</v>
      </c>
      <c r="E298" s="75">
        <f t="shared" si="129"/>
        <v>55</v>
      </c>
      <c r="F298" s="79"/>
      <c r="G298" s="82"/>
      <c r="H298" s="68" t="str">
        <f t="shared" si="146"/>
        <v>Clesim6_20211114_20_00</v>
      </c>
      <c r="I298" s="69">
        <f t="shared" si="149"/>
        <v>1</v>
      </c>
      <c r="J298" s="76" t="str">
        <f t="shared" si="149"/>
        <v>Clematis</v>
      </c>
      <c r="K298" s="76" t="str">
        <f t="shared" si="149"/>
        <v>simense</v>
      </c>
      <c r="L298" s="77">
        <f t="shared" si="149"/>
        <v>6</v>
      </c>
      <c r="M298" s="77">
        <f t="shared" si="149"/>
        <v>20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v>
      </c>
      <c r="C299" s="73">
        <f t="shared" si="145"/>
        <v>14</v>
      </c>
      <c r="D299" s="74">
        <f t="shared" si="128"/>
        <v>20</v>
      </c>
      <c r="E299" s="75">
        <f t="shared" si="129"/>
        <v>56</v>
      </c>
      <c r="F299" s="79"/>
      <c r="G299" s="82"/>
      <c r="H299" s="68" t="str">
        <f t="shared" si="146"/>
        <v>Clesim6_20211114_20_00</v>
      </c>
      <c r="I299" s="69">
        <f t="shared" si="149"/>
        <v>1</v>
      </c>
      <c r="J299" s="76" t="str">
        <f t="shared" si="149"/>
        <v>Clematis</v>
      </c>
      <c r="K299" s="76" t="str">
        <f t="shared" si="149"/>
        <v>simense</v>
      </c>
      <c r="L299" s="77">
        <f t="shared" si="149"/>
        <v>6</v>
      </c>
      <c r="M299" s="77">
        <f t="shared" si="149"/>
        <v>20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v>
      </c>
      <c r="C300" s="73">
        <f t="shared" si="145"/>
        <v>14</v>
      </c>
      <c r="D300" s="74">
        <f t="shared" si="128"/>
        <v>20</v>
      </c>
      <c r="E300" s="75">
        <f t="shared" si="129"/>
        <v>57</v>
      </c>
      <c r="F300" s="79"/>
      <c r="G300" s="82"/>
      <c r="H300" s="68" t="str">
        <f t="shared" si="146"/>
        <v>Clesim6_20211114_20_00</v>
      </c>
      <c r="I300" s="69">
        <f t="shared" si="149"/>
        <v>1</v>
      </c>
      <c r="J300" s="76" t="str">
        <f t="shared" si="149"/>
        <v>Clematis</v>
      </c>
      <c r="K300" s="76" t="str">
        <f t="shared" si="149"/>
        <v>simense</v>
      </c>
      <c r="L300" s="77">
        <f t="shared" si="149"/>
        <v>6</v>
      </c>
      <c r="M300" s="77">
        <f t="shared" si="149"/>
        <v>20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v>
      </c>
      <c r="C301" s="73">
        <f t="shared" si="145"/>
        <v>14</v>
      </c>
      <c r="D301" s="74">
        <f t="shared" si="128"/>
        <v>20</v>
      </c>
      <c r="E301" s="75">
        <f t="shared" si="129"/>
        <v>58</v>
      </c>
      <c r="F301" s="79"/>
      <c r="G301" s="82"/>
      <c r="H301" s="68" t="str">
        <f t="shared" si="146"/>
        <v>Clesim6_20211114_20_00</v>
      </c>
      <c r="I301" s="69">
        <f t="shared" si="149"/>
        <v>1</v>
      </c>
      <c r="J301" s="76" t="str">
        <f t="shared" si="149"/>
        <v>Clematis</v>
      </c>
      <c r="K301" s="76" t="str">
        <f t="shared" si="149"/>
        <v>simense</v>
      </c>
      <c r="L301" s="77">
        <f t="shared" si="149"/>
        <v>6</v>
      </c>
      <c r="M301" s="77">
        <f t="shared" si="149"/>
        <v>20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v>
      </c>
      <c r="C302" s="73">
        <f t="shared" si="145"/>
        <v>14</v>
      </c>
      <c r="D302" s="74">
        <f t="shared" si="128"/>
        <v>20</v>
      </c>
      <c r="E302" s="75">
        <f t="shared" si="129"/>
        <v>59</v>
      </c>
      <c r="F302" s="79"/>
      <c r="G302" s="82"/>
      <c r="H302" s="68" t="str">
        <f t="shared" si="146"/>
        <v>Clesim6_20211114_20_00</v>
      </c>
      <c r="I302" s="69">
        <f t="shared" si="149"/>
        <v>1</v>
      </c>
      <c r="J302" s="76" t="str">
        <f t="shared" si="149"/>
        <v>Clematis</v>
      </c>
      <c r="K302" s="76" t="str">
        <f t="shared" si="149"/>
        <v>simense</v>
      </c>
      <c r="L302" s="77">
        <f t="shared" si="149"/>
        <v>6</v>
      </c>
      <c r="M302" s="77">
        <f t="shared" si="149"/>
        <v>20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v>
      </c>
      <c r="C303" s="73">
        <f t="shared" si="145"/>
        <v>14</v>
      </c>
      <c r="D303" s="74">
        <f t="shared" si="128"/>
        <v>21</v>
      </c>
      <c r="E303" s="75">
        <f t="shared" si="129"/>
        <v>0</v>
      </c>
      <c r="F303" s="79"/>
      <c r="G303" s="82"/>
      <c r="H303" s="68" t="str">
        <f t="shared" si="146"/>
        <v>Clesim6_20211114_21_00</v>
      </c>
      <c r="I303" s="69">
        <f t="shared" si="149"/>
        <v>1</v>
      </c>
      <c r="J303" s="76" t="str">
        <f t="shared" si="149"/>
        <v>Clematis</v>
      </c>
      <c r="K303" s="76" t="str">
        <f t="shared" si="149"/>
        <v>simense</v>
      </c>
      <c r="L303" s="77">
        <f t="shared" si="149"/>
        <v>6</v>
      </c>
      <c r="M303" s="77">
        <f t="shared" si="149"/>
        <v>20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v>
      </c>
      <c r="C304" s="73">
        <f t="shared" si="145"/>
        <v>14</v>
      </c>
      <c r="D304" s="74">
        <f t="shared" si="128"/>
        <v>21</v>
      </c>
      <c r="E304" s="75">
        <f t="shared" si="129"/>
        <v>1</v>
      </c>
      <c r="F304" s="79"/>
      <c r="G304" s="82"/>
      <c r="H304" s="68" t="str">
        <f t="shared" si="146"/>
        <v>Clesim6_20211114_21_00</v>
      </c>
      <c r="I304" s="69">
        <f t="shared" si="149"/>
        <v>1</v>
      </c>
      <c r="J304" s="76" t="str">
        <f t="shared" si="149"/>
        <v>Clematis</v>
      </c>
      <c r="K304" s="76" t="str">
        <f t="shared" si="149"/>
        <v>simense</v>
      </c>
      <c r="L304" s="77">
        <f t="shared" si="149"/>
        <v>6</v>
      </c>
      <c r="M304" s="77">
        <f t="shared" si="149"/>
        <v>20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v>
      </c>
      <c r="C305" s="73">
        <f t="shared" si="145"/>
        <v>14</v>
      </c>
      <c r="D305" s="74">
        <f t="shared" si="128"/>
        <v>21</v>
      </c>
      <c r="E305" s="75">
        <f t="shared" si="129"/>
        <v>2</v>
      </c>
      <c r="F305" s="79"/>
      <c r="G305" s="82"/>
      <c r="H305" s="68" t="str">
        <f t="shared" si="146"/>
        <v>Clesim6_20211114_21_00</v>
      </c>
      <c r="I305" s="69">
        <f t="shared" si="149"/>
        <v>1</v>
      </c>
      <c r="J305" s="76" t="str">
        <f t="shared" si="149"/>
        <v>Clematis</v>
      </c>
      <c r="K305" s="76" t="str">
        <f t="shared" si="149"/>
        <v>simense</v>
      </c>
      <c r="L305" s="77">
        <f t="shared" si="149"/>
        <v>6</v>
      </c>
      <c r="M305" s="77">
        <f t="shared" si="149"/>
        <v>20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v>
      </c>
      <c r="C306" s="73">
        <f t="shared" si="145"/>
        <v>14</v>
      </c>
      <c r="D306" s="74">
        <f t="shared" si="128"/>
        <v>21</v>
      </c>
      <c r="E306" s="75">
        <f t="shared" si="129"/>
        <v>3</v>
      </c>
      <c r="F306" s="79"/>
      <c r="G306" s="82"/>
      <c r="H306" s="68" t="str">
        <f t="shared" si="146"/>
        <v>Clesim6_20211114_21_00</v>
      </c>
      <c r="I306" s="69">
        <f t="shared" si="149"/>
        <v>1</v>
      </c>
      <c r="J306" s="76" t="str">
        <f t="shared" si="149"/>
        <v>Clematis</v>
      </c>
      <c r="K306" s="76" t="str">
        <f t="shared" si="149"/>
        <v>simense</v>
      </c>
      <c r="L306" s="77">
        <f t="shared" si="149"/>
        <v>6</v>
      </c>
      <c r="M306" s="77">
        <f t="shared" si="149"/>
        <v>20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v>
      </c>
      <c r="C307" s="73">
        <f t="shared" si="145"/>
        <v>14</v>
      </c>
      <c r="D307" s="74">
        <f t="shared" si="128"/>
        <v>21</v>
      </c>
      <c r="E307" s="75">
        <f t="shared" si="129"/>
        <v>4</v>
      </c>
      <c r="F307" s="79"/>
      <c r="G307" s="82"/>
      <c r="H307" s="68" t="str">
        <f t="shared" si="146"/>
        <v>Clesim6_20211114_21_00</v>
      </c>
      <c r="I307" s="69">
        <f t="shared" si="149"/>
        <v>1</v>
      </c>
      <c r="J307" s="76" t="str">
        <f t="shared" si="149"/>
        <v>Clematis</v>
      </c>
      <c r="K307" s="76" t="str">
        <f t="shared" si="149"/>
        <v>simense</v>
      </c>
      <c r="L307" s="77">
        <f t="shared" si="149"/>
        <v>6</v>
      </c>
      <c r="M307" s="77">
        <f t="shared" si="149"/>
        <v>20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v>
      </c>
      <c r="C308" s="73">
        <f t="shared" si="145"/>
        <v>14</v>
      </c>
      <c r="D308" s="74">
        <f t="shared" si="128"/>
        <v>21</v>
      </c>
      <c r="E308" s="75">
        <f t="shared" si="129"/>
        <v>5</v>
      </c>
      <c r="F308" s="79"/>
      <c r="G308" s="82"/>
      <c r="H308" s="68" t="str">
        <f t="shared" si="146"/>
        <v>Clesim6_20211114_21_00</v>
      </c>
      <c r="I308" s="69">
        <f t="shared" si="149"/>
        <v>1</v>
      </c>
      <c r="J308" s="76" t="str">
        <f t="shared" si="149"/>
        <v>Clematis</v>
      </c>
      <c r="K308" s="76" t="str">
        <f t="shared" si="149"/>
        <v>simense</v>
      </c>
      <c r="L308" s="77">
        <f t="shared" si="149"/>
        <v>6</v>
      </c>
      <c r="M308" s="77">
        <f t="shared" si="149"/>
        <v>20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v>
      </c>
      <c r="C309" s="73">
        <f t="shared" si="145"/>
        <v>14</v>
      </c>
      <c r="D309" s="74">
        <f t="shared" si="128"/>
        <v>21</v>
      </c>
      <c r="E309" s="75">
        <f t="shared" si="129"/>
        <v>6</v>
      </c>
      <c r="F309" s="79"/>
      <c r="G309" s="82"/>
      <c r="H309" s="68" t="str">
        <f t="shared" si="146"/>
        <v>Clesim6_20211114_21_00</v>
      </c>
      <c r="I309" s="69">
        <f t="shared" ref="I309:N324" si="150">I308</f>
        <v>1</v>
      </c>
      <c r="J309" s="76" t="str">
        <f t="shared" si="150"/>
        <v>Clematis</v>
      </c>
      <c r="K309" s="76" t="str">
        <f t="shared" si="150"/>
        <v>simense</v>
      </c>
      <c r="L309" s="77">
        <f t="shared" si="150"/>
        <v>6</v>
      </c>
      <c r="M309" s="77">
        <f t="shared" si="150"/>
        <v>20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v>
      </c>
      <c r="C310" s="73">
        <f t="shared" si="145"/>
        <v>14</v>
      </c>
      <c r="D310" s="74">
        <f t="shared" si="128"/>
        <v>21</v>
      </c>
      <c r="E310" s="75">
        <f t="shared" si="129"/>
        <v>7</v>
      </c>
      <c r="F310" s="79"/>
      <c r="G310" s="82"/>
      <c r="H310" s="68" t="str">
        <f t="shared" si="146"/>
        <v>Clesim6_20211114_21_00</v>
      </c>
      <c r="I310" s="69">
        <f t="shared" si="150"/>
        <v>1</v>
      </c>
      <c r="J310" s="76" t="str">
        <f t="shared" si="150"/>
        <v>Clematis</v>
      </c>
      <c r="K310" s="76" t="str">
        <f t="shared" si="150"/>
        <v>simense</v>
      </c>
      <c r="L310" s="77">
        <f t="shared" si="150"/>
        <v>6</v>
      </c>
      <c r="M310" s="77">
        <f t="shared" si="150"/>
        <v>20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v>
      </c>
      <c r="C311" s="73">
        <f t="shared" si="145"/>
        <v>14</v>
      </c>
      <c r="D311" s="74">
        <f t="shared" si="128"/>
        <v>21</v>
      </c>
      <c r="E311" s="75">
        <f t="shared" si="129"/>
        <v>8</v>
      </c>
      <c r="F311" s="79"/>
      <c r="G311" s="82"/>
      <c r="H311" s="68" t="str">
        <f t="shared" si="146"/>
        <v>Clesim6_20211114_21_00</v>
      </c>
      <c r="I311" s="69">
        <f t="shared" si="150"/>
        <v>1</v>
      </c>
      <c r="J311" s="76" t="str">
        <f t="shared" si="150"/>
        <v>Clematis</v>
      </c>
      <c r="K311" s="76" t="str">
        <f t="shared" si="150"/>
        <v>simense</v>
      </c>
      <c r="L311" s="77">
        <f t="shared" si="150"/>
        <v>6</v>
      </c>
      <c r="M311" s="77">
        <f t="shared" si="150"/>
        <v>20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v>
      </c>
      <c r="C312" s="73">
        <f t="shared" si="145"/>
        <v>14</v>
      </c>
      <c r="D312" s="74">
        <f t="shared" si="128"/>
        <v>21</v>
      </c>
      <c r="E312" s="75">
        <f t="shared" si="129"/>
        <v>9</v>
      </c>
      <c r="F312" s="79"/>
      <c r="G312" s="82"/>
      <c r="H312" s="68" t="str">
        <f t="shared" si="146"/>
        <v>Clesim6_20211114_21_00</v>
      </c>
      <c r="I312" s="69">
        <f t="shared" si="150"/>
        <v>1</v>
      </c>
      <c r="J312" s="76" t="str">
        <f t="shared" si="150"/>
        <v>Clematis</v>
      </c>
      <c r="K312" s="76" t="str">
        <f t="shared" si="150"/>
        <v>simense</v>
      </c>
      <c r="L312" s="77">
        <f t="shared" si="150"/>
        <v>6</v>
      </c>
      <c r="M312" s="77">
        <f t="shared" si="150"/>
        <v>20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v>
      </c>
      <c r="C313" s="73">
        <f t="shared" si="145"/>
        <v>14</v>
      </c>
      <c r="D313" s="74">
        <f t="shared" si="128"/>
        <v>21</v>
      </c>
      <c r="E313" s="75">
        <f t="shared" si="129"/>
        <v>10</v>
      </c>
      <c r="F313" s="79"/>
      <c r="G313" s="82"/>
      <c r="H313" s="68" t="str">
        <f t="shared" si="146"/>
        <v>Clesim6_20211114_21_00</v>
      </c>
      <c r="I313" s="69">
        <f t="shared" si="150"/>
        <v>1</v>
      </c>
      <c r="J313" s="76" t="str">
        <f t="shared" si="150"/>
        <v>Clematis</v>
      </c>
      <c r="K313" s="76" t="str">
        <f t="shared" si="150"/>
        <v>simense</v>
      </c>
      <c r="L313" s="77">
        <f t="shared" si="150"/>
        <v>6</v>
      </c>
      <c r="M313" s="77">
        <f t="shared" si="150"/>
        <v>20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v>
      </c>
      <c r="C314" s="73">
        <f t="shared" si="145"/>
        <v>14</v>
      </c>
      <c r="D314" s="74">
        <f t="shared" si="128"/>
        <v>21</v>
      </c>
      <c r="E314" s="75">
        <f t="shared" si="129"/>
        <v>11</v>
      </c>
      <c r="F314" s="79"/>
      <c r="G314" s="82"/>
      <c r="H314" s="68" t="str">
        <f t="shared" si="146"/>
        <v>Clesim6_20211114_21_00</v>
      </c>
      <c r="I314" s="69">
        <f t="shared" si="150"/>
        <v>1</v>
      </c>
      <c r="J314" s="76" t="str">
        <f t="shared" si="150"/>
        <v>Clematis</v>
      </c>
      <c r="K314" s="76" t="str">
        <f t="shared" si="150"/>
        <v>simense</v>
      </c>
      <c r="L314" s="77">
        <f t="shared" si="150"/>
        <v>6</v>
      </c>
      <c r="M314" s="77">
        <f t="shared" si="150"/>
        <v>20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v>
      </c>
      <c r="C315" s="73">
        <f t="shared" si="145"/>
        <v>14</v>
      </c>
      <c r="D315" s="74">
        <f t="shared" si="128"/>
        <v>21</v>
      </c>
      <c r="E315" s="75">
        <f t="shared" si="129"/>
        <v>12</v>
      </c>
      <c r="F315" s="79"/>
      <c r="G315" s="82"/>
      <c r="H315" s="68" t="str">
        <f t="shared" si="146"/>
        <v>Clesim6_20211114_21_00</v>
      </c>
      <c r="I315" s="69">
        <f t="shared" si="150"/>
        <v>1</v>
      </c>
      <c r="J315" s="76" t="str">
        <f t="shared" si="150"/>
        <v>Clematis</v>
      </c>
      <c r="K315" s="76" t="str">
        <f t="shared" si="150"/>
        <v>simense</v>
      </c>
      <c r="L315" s="77">
        <f t="shared" si="150"/>
        <v>6</v>
      </c>
      <c r="M315" s="77">
        <f t="shared" si="150"/>
        <v>20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v>
      </c>
      <c r="C316" s="73">
        <f t="shared" si="145"/>
        <v>14</v>
      </c>
      <c r="D316" s="74">
        <f t="shared" si="128"/>
        <v>21</v>
      </c>
      <c r="E316" s="75">
        <f t="shared" si="129"/>
        <v>13</v>
      </c>
      <c r="F316" s="79"/>
      <c r="G316" s="82"/>
      <c r="H316" s="68" t="str">
        <f t="shared" si="146"/>
        <v>Clesim6_20211114_21_00</v>
      </c>
      <c r="I316" s="69">
        <f t="shared" si="150"/>
        <v>1</v>
      </c>
      <c r="J316" s="76" t="str">
        <f t="shared" si="150"/>
        <v>Clematis</v>
      </c>
      <c r="K316" s="76" t="str">
        <f t="shared" si="150"/>
        <v>simense</v>
      </c>
      <c r="L316" s="77">
        <f t="shared" si="150"/>
        <v>6</v>
      </c>
      <c r="M316" s="77">
        <f t="shared" si="150"/>
        <v>20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v>
      </c>
      <c r="C317" s="73">
        <f t="shared" si="145"/>
        <v>14</v>
      </c>
      <c r="D317" s="74">
        <f t="shared" si="128"/>
        <v>21</v>
      </c>
      <c r="E317" s="75">
        <f t="shared" si="129"/>
        <v>14</v>
      </c>
      <c r="F317" s="79"/>
      <c r="G317" s="82"/>
      <c r="H317" s="68" t="str">
        <f t="shared" si="146"/>
        <v>Clesim6_20211114_21_00</v>
      </c>
      <c r="I317" s="69">
        <f t="shared" si="150"/>
        <v>1</v>
      </c>
      <c r="J317" s="76" t="str">
        <f t="shared" si="150"/>
        <v>Clematis</v>
      </c>
      <c r="K317" s="76" t="str">
        <f t="shared" si="150"/>
        <v>simense</v>
      </c>
      <c r="L317" s="77">
        <f t="shared" si="150"/>
        <v>6</v>
      </c>
      <c r="M317" s="77">
        <f t="shared" si="150"/>
        <v>20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v>
      </c>
      <c r="C318" s="73">
        <f t="shared" si="145"/>
        <v>14</v>
      </c>
      <c r="D318" s="74">
        <f t="shared" si="128"/>
        <v>21</v>
      </c>
      <c r="E318" s="75">
        <f t="shared" si="129"/>
        <v>15</v>
      </c>
      <c r="F318" s="79"/>
      <c r="G318" s="82"/>
      <c r="H318" s="68" t="str">
        <f t="shared" si="146"/>
        <v>Clesim6_20211114_21_00</v>
      </c>
      <c r="I318" s="69">
        <f t="shared" si="150"/>
        <v>1</v>
      </c>
      <c r="J318" s="76" t="str">
        <f t="shared" si="150"/>
        <v>Clematis</v>
      </c>
      <c r="K318" s="76" t="str">
        <f t="shared" si="150"/>
        <v>simense</v>
      </c>
      <c r="L318" s="77">
        <f t="shared" si="150"/>
        <v>6</v>
      </c>
      <c r="M318" s="77">
        <f t="shared" si="150"/>
        <v>20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v>
      </c>
      <c r="C319" s="73">
        <f t="shared" si="145"/>
        <v>14</v>
      </c>
      <c r="D319" s="74">
        <f t="shared" si="128"/>
        <v>21</v>
      </c>
      <c r="E319" s="75">
        <f t="shared" si="129"/>
        <v>16</v>
      </c>
      <c r="F319" s="79"/>
      <c r="G319" s="82"/>
      <c r="H319" s="68" t="str">
        <f t="shared" si="146"/>
        <v>Clesim6_20211114_21_00</v>
      </c>
      <c r="I319" s="69">
        <f t="shared" si="150"/>
        <v>1</v>
      </c>
      <c r="J319" s="76" t="str">
        <f t="shared" si="150"/>
        <v>Clematis</v>
      </c>
      <c r="K319" s="76" t="str">
        <f t="shared" si="150"/>
        <v>simense</v>
      </c>
      <c r="L319" s="77">
        <f t="shared" si="150"/>
        <v>6</v>
      </c>
      <c r="M319" s="77">
        <f t="shared" si="150"/>
        <v>20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v>
      </c>
      <c r="C320" s="73">
        <f t="shared" si="145"/>
        <v>14</v>
      </c>
      <c r="D320" s="74">
        <f t="shared" si="128"/>
        <v>21</v>
      </c>
      <c r="E320" s="75">
        <f t="shared" si="129"/>
        <v>17</v>
      </c>
      <c r="F320" s="79"/>
      <c r="G320" s="82"/>
      <c r="H320" s="68" t="str">
        <f t="shared" si="146"/>
        <v>Clesim6_20211114_21_00</v>
      </c>
      <c r="I320" s="69">
        <f t="shared" si="150"/>
        <v>1</v>
      </c>
      <c r="J320" s="76" t="str">
        <f t="shared" si="150"/>
        <v>Clematis</v>
      </c>
      <c r="K320" s="76" t="str">
        <f t="shared" si="150"/>
        <v>simense</v>
      </c>
      <c r="L320" s="77">
        <f t="shared" si="150"/>
        <v>6</v>
      </c>
      <c r="M320" s="77">
        <f t="shared" si="150"/>
        <v>20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v>
      </c>
      <c r="C321" s="73">
        <f t="shared" si="145"/>
        <v>14</v>
      </c>
      <c r="D321" s="74">
        <f t="shared" si="128"/>
        <v>21</v>
      </c>
      <c r="E321" s="75">
        <f t="shared" si="129"/>
        <v>18</v>
      </c>
      <c r="F321" s="79"/>
      <c r="G321" s="82"/>
      <c r="H321" s="68" t="str">
        <f t="shared" si="146"/>
        <v>Clesim6_20211114_21_00</v>
      </c>
      <c r="I321" s="69">
        <f t="shared" si="150"/>
        <v>1</v>
      </c>
      <c r="J321" s="76" t="str">
        <f t="shared" si="150"/>
        <v>Clematis</v>
      </c>
      <c r="K321" s="76" t="str">
        <f t="shared" si="150"/>
        <v>simense</v>
      </c>
      <c r="L321" s="77">
        <f t="shared" si="150"/>
        <v>6</v>
      </c>
      <c r="M321" s="77">
        <f t="shared" si="150"/>
        <v>20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v>
      </c>
      <c r="C322" s="73">
        <f t="shared" si="145"/>
        <v>14</v>
      </c>
      <c r="D322" s="74">
        <f t="shared" si="128"/>
        <v>21</v>
      </c>
      <c r="E322" s="75">
        <f t="shared" si="129"/>
        <v>19</v>
      </c>
      <c r="F322" s="79"/>
      <c r="G322" s="82"/>
      <c r="H322" s="68" t="str">
        <f t="shared" si="146"/>
        <v>Clesim6_20211114_21_00</v>
      </c>
      <c r="I322" s="69">
        <f t="shared" si="150"/>
        <v>1</v>
      </c>
      <c r="J322" s="76" t="str">
        <f t="shared" si="150"/>
        <v>Clematis</v>
      </c>
      <c r="K322" s="76" t="str">
        <f t="shared" si="150"/>
        <v>simense</v>
      </c>
      <c r="L322" s="77">
        <f t="shared" si="150"/>
        <v>6</v>
      </c>
      <c r="M322" s="77">
        <f t="shared" si="150"/>
        <v>20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v>
      </c>
      <c r="C323" s="73">
        <f t="shared" si="145"/>
        <v>14</v>
      </c>
      <c r="D323" s="74">
        <f t="shared" si="128"/>
        <v>21</v>
      </c>
      <c r="E323" s="75">
        <f t="shared" si="129"/>
        <v>20</v>
      </c>
      <c r="F323" s="79"/>
      <c r="G323" s="82"/>
      <c r="H323" s="68" t="str">
        <f t="shared" si="146"/>
        <v>Clesim6_20211114_21_00</v>
      </c>
      <c r="I323" s="69">
        <f t="shared" si="150"/>
        <v>1</v>
      </c>
      <c r="J323" s="76" t="str">
        <f t="shared" si="150"/>
        <v>Clematis</v>
      </c>
      <c r="K323" s="76" t="str">
        <f t="shared" si="150"/>
        <v>simense</v>
      </c>
      <c r="L323" s="77">
        <f t="shared" si="150"/>
        <v>6</v>
      </c>
      <c r="M323" s="77">
        <f t="shared" si="150"/>
        <v>20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v>
      </c>
      <c r="C324" s="73">
        <f t="shared" si="145"/>
        <v>14</v>
      </c>
      <c r="D324" s="74">
        <f t="shared" ref="D324:D387" si="158">IF(IF(E323=59,D323+1,D323)=24,0,IF(E323=59,D323+1,D323))</f>
        <v>21</v>
      </c>
      <c r="E324" s="75">
        <f t="shared" ref="E324:E387" si="159">IF(E323&lt;59,E323+1,0)</f>
        <v>21</v>
      </c>
      <c r="F324" s="79"/>
      <c r="G324" s="82"/>
      <c r="H324" s="68" t="str">
        <f t="shared" si="146"/>
        <v>Clesim6_20211114_21_00</v>
      </c>
      <c r="I324" s="69">
        <f t="shared" si="150"/>
        <v>1</v>
      </c>
      <c r="J324" s="76" t="str">
        <f t="shared" si="150"/>
        <v>Clematis</v>
      </c>
      <c r="K324" s="76" t="str">
        <f t="shared" si="150"/>
        <v>simense</v>
      </c>
      <c r="L324" s="77">
        <f t="shared" si="150"/>
        <v>6</v>
      </c>
      <c r="M324" s="77">
        <f t="shared" si="150"/>
        <v>20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v>
      </c>
      <c r="C325" s="73">
        <f t="shared" ref="C325:C388" si="175">IF(AND(D325=0, E325=0), IF(TEXT(C324,"dd")=TEXT(EOMONTH(DATE(A324,MONTH(DATEVALUE(B324&amp;"1")),C324),0), "dd"), 1, C324+1), C324)</f>
        <v>14</v>
      </c>
      <c r="D325" s="74">
        <f t="shared" si="158"/>
        <v>21</v>
      </c>
      <c r="E325" s="75">
        <f t="shared" si="159"/>
        <v>22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Clesim6_20211114_21_00</v>
      </c>
      <c r="I325" s="69">
        <f t="shared" ref="I325:N340" si="177">I324</f>
        <v>1</v>
      </c>
      <c r="J325" s="76" t="str">
        <f t="shared" si="177"/>
        <v>Clematis</v>
      </c>
      <c r="K325" s="76" t="str">
        <f t="shared" si="177"/>
        <v>simense</v>
      </c>
      <c r="L325" s="77">
        <f t="shared" si="177"/>
        <v>6</v>
      </c>
      <c r="M325" s="77">
        <f t="shared" si="177"/>
        <v>20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v>
      </c>
      <c r="C326" s="73">
        <f t="shared" si="175"/>
        <v>14</v>
      </c>
      <c r="D326" s="74">
        <f t="shared" si="158"/>
        <v>21</v>
      </c>
      <c r="E326" s="75">
        <f t="shared" si="159"/>
        <v>23</v>
      </c>
      <c r="F326" s="79"/>
      <c r="G326" s="82"/>
      <c r="H326" s="68" t="str">
        <f t="shared" si="176"/>
        <v>Clesim6_20211114_21_00</v>
      </c>
      <c r="I326" s="69">
        <f t="shared" si="177"/>
        <v>1</v>
      </c>
      <c r="J326" s="76" t="str">
        <f t="shared" si="177"/>
        <v>Clematis</v>
      </c>
      <c r="K326" s="76" t="str">
        <f t="shared" si="177"/>
        <v>simense</v>
      </c>
      <c r="L326" s="77">
        <f t="shared" si="177"/>
        <v>6</v>
      </c>
      <c r="M326" s="77">
        <f t="shared" si="177"/>
        <v>20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v>
      </c>
      <c r="C327" s="73">
        <f t="shared" si="175"/>
        <v>14</v>
      </c>
      <c r="D327" s="74">
        <f t="shared" si="158"/>
        <v>21</v>
      </c>
      <c r="E327" s="75">
        <f t="shared" si="159"/>
        <v>24</v>
      </c>
      <c r="F327" s="79"/>
      <c r="G327" s="82"/>
      <c r="H327" s="68" t="str">
        <f t="shared" si="176"/>
        <v>Clesim6_20211114_21_00</v>
      </c>
      <c r="I327" s="69">
        <f t="shared" si="177"/>
        <v>1</v>
      </c>
      <c r="J327" s="76" t="str">
        <f t="shared" si="177"/>
        <v>Clematis</v>
      </c>
      <c r="K327" s="76" t="str">
        <f t="shared" si="177"/>
        <v>simense</v>
      </c>
      <c r="L327" s="77">
        <f t="shared" si="177"/>
        <v>6</v>
      </c>
      <c r="M327" s="77">
        <f t="shared" si="177"/>
        <v>20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v>
      </c>
      <c r="C328" s="73">
        <f t="shared" si="175"/>
        <v>14</v>
      </c>
      <c r="D328" s="74">
        <f t="shared" si="158"/>
        <v>21</v>
      </c>
      <c r="E328" s="75">
        <f t="shared" si="159"/>
        <v>25</v>
      </c>
      <c r="F328" s="79"/>
      <c r="G328" s="82"/>
      <c r="H328" s="68" t="str">
        <f t="shared" si="176"/>
        <v>Clesim6_20211114_21_00</v>
      </c>
      <c r="I328" s="69">
        <f t="shared" si="177"/>
        <v>1</v>
      </c>
      <c r="J328" s="76" t="str">
        <f t="shared" si="177"/>
        <v>Clematis</v>
      </c>
      <c r="K328" s="76" t="str">
        <f t="shared" si="177"/>
        <v>simense</v>
      </c>
      <c r="L328" s="77">
        <f t="shared" si="177"/>
        <v>6</v>
      </c>
      <c r="M328" s="77">
        <f t="shared" si="177"/>
        <v>20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v>
      </c>
      <c r="C329" s="73">
        <f t="shared" si="175"/>
        <v>14</v>
      </c>
      <c r="D329" s="74">
        <f t="shared" si="158"/>
        <v>21</v>
      </c>
      <c r="E329" s="75">
        <f t="shared" si="159"/>
        <v>26</v>
      </c>
      <c r="F329" s="79"/>
      <c r="G329" s="82"/>
      <c r="H329" s="68" t="str">
        <f t="shared" si="176"/>
        <v>Clesim6_20211114_21_00</v>
      </c>
      <c r="I329" s="69">
        <f t="shared" si="177"/>
        <v>1</v>
      </c>
      <c r="J329" s="76" t="str">
        <f t="shared" si="177"/>
        <v>Clematis</v>
      </c>
      <c r="K329" s="76" t="str">
        <f t="shared" si="177"/>
        <v>simense</v>
      </c>
      <c r="L329" s="77">
        <f t="shared" si="177"/>
        <v>6</v>
      </c>
      <c r="M329" s="77">
        <f t="shared" si="177"/>
        <v>20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v>
      </c>
      <c r="C330" s="73">
        <f t="shared" si="175"/>
        <v>14</v>
      </c>
      <c r="D330" s="74">
        <f t="shared" si="158"/>
        <v>21</v>
      </c>
      <c r="E330" s="75">
        <f t="shared" si="159"/>
        <v>27</v>
      </c>
      <c r="F330" s="79"/>
      <c r="G330" s="82"/>
      <c r="H330" s="68" t="str">
        <f t="shared" si="176"/>
        <v>Clesim6_20211114_21_00</v>
      </c>
      <c r="I330" s="69">
        <f t="shared" si="177"/>
        <v>1</v>
      </c>
      <c r="J330" s="76" t="str">
        <f t="shared" si="177"/>
        <v>Clematis</v>
      </c>
      <c r="K330" s="76" t="str">
        <f t="shared" si="177"/>
        <v>simense</v>
      </c>
      <c r="L330" s="77">
        <f t="shared" si="177"/>
        <v>6</v>
      </c>
      <c r="M330" s="77">
        <f t="shared" si="177"/>
        <v>20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v>
      </c>
      <c r="C331" s="73">
        <f t="shared" si="175"/>
        <v>14</v>
      </c>
      <c r="D331" s="74">
        <f t="shared" si="158"/>
        <v>21</v>
      </c>
      <c r="E331" s="75">
        <f t="shared" si="159"/>
        <v>28</v>
      </c>
      <c r="F331" s="79"/>
      <c r="G331" s="82"/>
      <c r="H331" s="68" t="str">
        <f t="shared" si="176"/>
        <v>Clesim6_20211114_21_00</v>
      </c>
      <c r="I331" s="69">
        <f t="shared" si="177"/>
        <v>1</v>
      </c>
      <c r="J331" s="76" t="str">
        <f t="shared" si="177"/>
        <v>Clematis</v>
      </c>
      <c r="K331" s="76" t="str">
        <f t="shared" si="177"/>
        <v>simense</v>
      </c>
      <c r="L331" s="77">
        <f t="shared" si="177"/>
        <v>6</v>
      </c>
      <c r="M331" s="77">
        <f t="shared" si="177"/>
        <v>20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v>
      </c>
      <c r="C332" s="73">
        <f t="shared" si="175"/>
        <v>14</v>
      </c>
      <c r="D332" s="74">
        <f t="shared" si="158"/>
        <v>21</v>
      </c>
      <c r="E332" s="75">
        <f t="shared" si="159"/>
        <v>29</v>
      </c>
      <c r="F332" s="79"/>
      <c r="G332" s="82"/>
      <c r="H332" s="68" t="str">
        <f t="shared" si="176"/>
        <v>Clesim6_20211114_21_00</v>
      </c>
      <c r="I332" s="69">
        <f t="shared" si="177"/>
        <v>1</v>
      </c>
      <c r="J332" s="76" t="str">
        <f t="shared" si="177"/>
        <v>Clematis</v>
      </c>
      <c r="K332" s="76" t="str">
        <f t="shared" si="177"/>
        <v>simense</v>
      </c>
      <c r="L332" s="77">
        <f t="shared" si="177"/>
        <v>6</v>
      </c>
      <c r="M332" s="77">
        <f t="shared" si="177"/>
        <v>20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v>
      </c>
      <c r="C333" s="73">
        <f t="shared" si="175"/>
        <v>14</v>
      </c>
      <c r="D333" s="74">
        <f t="shared" si="158"/>
        <v>21</v>
      </c>
      <c r="E333" s="75">
        <f t="shared" si="159"/>
        <v>30</v>
      </c>
      <c r="F333" s="79"/>
      <c r="G333" s="82"/>
      <c r="H333" s="68" t="str">
        <f t="shared" si="176"/>
        <v>Clesim6_20211114_21_00</v>
      </c>
      <c r="I333" s="69">
        <f t="shared" si="177"/>
        <v>1</v>
      </c>
      <c r="J333" s="76" t="str">
        <f t="shared" si="177"/>
        <v>Clematis</v>
      </c>
      <c r="K333" s="76" t="str">
        <f t="shared" si="177"/>
        <v>simense</v>
      </c>
      <c r="L333" s="77">
        <f t="shared" si="177"/>
        <v>6</v>
      </c>
      <c r="M333" s="77">
        <f t="shared" si="177"/>
        <v>20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v>
      </c>
      <c r="C334" s="73">
        <f t="shared" si="175"/>
        <v>14</v>
      </c>
      <c r="D334" s="74">
        <f t="shared" si="158"/>
        <v>21</v>
      </c>
      <c r="E334" s="75">
        <f t="shared" si="159"/>
        <v>31</v>
      </c>
      <c r="F334" s="79"/>
      <c r="G334" s="82"/>
      <c r="H334" s="68" t="str">
        <f t="shared" si="176"/>
        <v>Clesim6_20211114_21_00</v>
      </c>
      <c r="I334" s="69">
        <f t="shared" si="177"/>
        <v>1</v>
      </c>
      <c r="J334" s="76" t="str">
        <f t="shared" si="177"/>
        <v>Clematis</v>
      </c>
      <c r="K334" s="76" t="str">
        <f t="shared" si="177"/>
        <v>simense</v>
      </c>
      <c r="L334" s="77">
        <f t="shared" si="177"/>
        <v>6</v>
      </c>
      <c r="M334" s="77">
        <f t="shared" si="177"/>
        <v>20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v>
      </c>
      <c r="C335" s="73">
        <f t="shared" si="175"/>
        <v>14</v>
      </c>
      <c r="D335" s="74">
        <f t="shared" si="158"/>
        <v>21</v>
      </c>
      <c r="E335" s="75">
        <f t="shared" si="159"/>
        <v>32</v>
      </c>
      <c r="F335" s="79"/>
      <c r="G335" s="82"/>
      <c r="H335" s="68" t="str">
        <f t="shared" si="176"/>
        <v>Clesim6_20211114_21_00</v>
      </c>
      <c r="I335" s="69">
        <f t="shared" si="177"/>
        <v>1</v>
      </c>
      <c r="J335" s="76" t="str">
        <f t="shared" si="177"/>
        <v>Clematis</v>
      </c>
      <c r="K335" s="76" t="str">
        <f t="shared" si="177"/>
        <v>simense</v>
      </c>
      <c r="L335" s="77">
        <f t="shared" si="177"/>
        <v>6</v>
      </c>
      <c r="M335" s="77">
        <f t="shared" si="177"/>
        <v>20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v>
      </c>
      <c r="C336" s="73">
        <f t="shared" si="175"/>
        <v>14</v>
      </c>
      <c r="D336" s="74">
        <f t="shared" si="158"/>
        <v>21</v>
      </c>
      <c r="E336" s="75">
        <f t="shared" si="159"/>
        <v>33</v>
      </c>
      <c r="F336" s="79"/>
      <c r="G336" s="82"/>
      <c r="H336" s="68" t="str">
        <f t="shared" si="176"/>
        <v>Clesim6_20211114_21_00</v>
      </c>
      <c r="I336" s="69">
        <f t="shared" si="177"/>
        <v>1</v>
      </c>
      <c r="J336" s="76" t="str">
        <f t="shared" si="177"/>
        <v>Clematis</v>
      </c>
      <c r="K336" s="76" t="str">
        <f t="shared" si="177"/>
        <v>simense</v>
      </c>
      <c r="L336" s="77">
        <f t="shared" si="177"/>
        <v>6</v>
      </c>
      <c r="M336" s="77">
        <f t="shared" si="177"/>
        <v>20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v>
      </c>
      <c r="C337" s="73">
        <f t="shared" si="175"/>
        <v>14</v>
      </c>
      <c r="D337" s="74">
        <f t="shared" si="158"/>
        <v>21</v>
      </c>
      <c r="E337" s="75">
        <f t="shared" si="159"/>
        <v>34</v>
      </c>
      <c r="F337" s="79"/>
      <c r="G337" s="82"/>
      <c r="H337" s="68" t="str">
        <f t="shared" si="176"/>
        <v>Clesim6_20211114_21_00</v>
      </c>
      <c r="I337" s="69">
        <f t="shared" si="177"/>
        <v>1</v>
      </c>
      <c r="J337" s="76" t="str">
        <f t="shared" si="177"/>
        <v>Clematis</v>
      </c>
      <c r="K337" s="76" t="str">
        <f t="shared" si="177"/>
        <v>simense</v>
      </c>
      <c r="L337" s="77">
        <f t="shared" si="177"/>
        <v>6</v>
      </c>
      <c r="M337" s="77">
        <f t="shared" si="177"/>
        <v>20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v>
      </c>
      <c r="C338" s="73">
        <f t="shared" si="175"/>
        <v>14</v>
      </c>
      <c r="D338" s="74">
        <f t="shared" si="158"/>
        <v>21</v>
      </c>
      <c r="E338" s="75">
        <f t="shared" si="159"/>
        <v>35</v>
      </c>
      <c r="F338" s="79"/>
      <c r="G338" s="82"/>
      <c r="H338" s="68" t="str">
        <f t="shared" si="176"/>
        <v>Clesim6_20211114_21_00</v>
      </c>
      <c r="I338" s="69">
        <f t="shared" si="177"/>
        <v>1</v>
      </c>
      <c r="J338" s="76" t="str">
        <f t="shared" si="177"/>
        <v>Clematis</v>
      </c>
      <c r="K338" s="76" t="str">
        <f t="shared" si="177"/>
        <v>simense</v>
      </c>
      <c r="L338" s="77">
        <f t="shared" si="177"/>
        <v>6</v>
      </c>
      <c r="M338" s="77">
        <f t="shared" si="177"/>
        <v>20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2021</v>
      </c>
      <c r="B339" s="72" t="str">
        <f t="shared" si="157"/>
        <v>Nov</v>
      </c>
      <c r="C339" s="73">
        <f t="shared" si="175"/>
        <v>14</v>
      </c>
      <c r="D339" s="74">
        <f t="shared" si="158"/>
        <v>21</v>
      </c>
      <c r="E339" s="75">
        <f t="shared" si="159"/>
        <v>36</v>
      </c>
      <c r="F339" s="79">
        <v>42</v>
      </c>
      <c r="G339" s="82"/>
      <c r="H339" s="68" t="str">
        <f t="shared" si="176"/>
        <v>Clesim6_20211114_21_00</v>
      </c>
      <c r="I339" s="69">
        <f t="shared" si="177"/>
        <v>1</v>
      </c>
      <c r="J339" s="76" t="str">
        <f t="shared" si="177"/>
        <v>Clematis</v>
      </c>
      <c r="K339" s="76" t="str">
        <f t="shared" si="177"/>
        <v>simense</v>
      </c>
      <c r="L339" s="77">
        <f t="shared" si="177"/>
        <v>6</v>
      </c>
      <c r="M339" s="77">
        <f t="shared" si="177"/>
        <v>20</v>
      </c>
      <c r="N339" s="71">
        <f t="shared" si="177"/>
        <v>0</v>
      </c>
      <c r="O339" s="44"/>
      <c r="P339" s="45">
        <f t="shared" si="160"/>
        <v>1</v>
      </c>
      <c r="Q339" s="46" t="str">
        <f t="shared" si="161"/>
        <v>21:36:42</v>
      </c>
      <c r="R339" s="47" t="str">
        <f t="shared" si="162"/>
        <v>36:42</v>
      </c>
      <c r="S339" s="48">
        <f t="shared" si="151"/>
        <v>48</v>
      </c>
      <c r="T339" s="47" t="str">
        <f t="shared" si="163"/>
        <v>21</v>
      </c>
      <c r="U339" s="49">
        <v>37</v>
      </c>
      <c r="V339" s="50">
        <v>30</v>
      </c>
      <c r="W339" s="51" t="str">
        <f t="shared" si="164"/>
        <v>37:30</v>
      </c>
      <c r="X339" s="123" t="s">
        <v>61</v>
      </c>
      <c r="Y339" s="52" t="s">
        <v>75</v>
      </c>
      <c r="Z339" s="52"/>
      <c r="AA339" s="47" t="s">
        <v>62</v>
      </c>
      <c r="AB339" s="47" t="str">
        <f t="shared" si="165"/>
        <v>NA</v>
      </c>
      <c r="AC339" s="53" t="str">
        <f t="shared" si="166"/>
        <v/>
      </c>
      <c r="AD339" s="54">
        <v>3</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f t="shared" si="152"/>
        <v>0</v>
      </c>
      <c r="AX339" s="61" t="str">
        <f t="shared" si="153"/>
        <v/>
      </c>
      <c r="AY339" s="60">
        <f t="shared" si="154"/>
        <v>0</v>
      </c>
      <c r="AZ339" s="61" t="str">
        <f t="shared" si="155"/>
        <v/>
      </c>
    </row>
    <row r="340" spans="1:52" s="3" customFormat="1" hidden="1" x14ac:dyDescent="0.35">
      <c r="A340" s="72">
        <f t="shared" si="156"/>
        <v>2021</v>
      </c>
      <c r="B340" s="72" t="str">
        <f t="shared" si="157"/>
        <v>Nov</v>
      </c>
      <c r="C340" s="73">
        <f t="shared" si="175"/>
        <v>14</v>
      </c>
      <c r="D340" s="74">
        <f t="shared" si="158"/>
        <v>21</v>
      </c>
      <c r="E340" s="75">
        <f t="shared" si="159"/>
        <v>37</v>
      </c>
      <c r="F340" s="79"/>
      <c r="G340" s="82"/>
      <c r="H340" s="68" t="str">
        <f t="shared" si="176"/>
        <v>Clesim6_20211114_21_00</v>
      </c>
      <c r="I340" s="69">
        <f t="shared" si="177"/>
        <v>1</v>
      </c>
      <c r="J340" s="76" t="str">
        <f t="shared" si="177"/>
        <v>Clematis</v>
      </c>
      <c r="K340" s="76" t="str">
        <f t="shared" si="177"/>
        <v>simense</v>
      </c>
      <c r="L340" s="77">
        <f t="shared" si="177"/>
        <v>6</v>
      </c>
      <c r="M340" s="77">
        <f t="shared" si="177"/>
        <v>20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v>
      </c>
      <c r="C341" s="73">
        <f t="shared" si="175"/>
        <v>14</v>
      </c>
      <c r="D341" s="74">
        <f t="shared" si="158"/>
        <v>21</v>
      </c>
      <c r="E341" s="75">
        <f t="shared" si="159"/>
        <v>38</v>
      </c>
      <c r="F341" s="79"/>
      <c r="G341" s="82"/>
      <c r="H341" s="68" t="str">
        <f t="shared" si="176"/>
        <v>Clesim6_20211114_21_00</v>
      </c>
      <c r="I341" s="69">
        <f t="shared" ref="I341:N356" si="178">I340</f>
        <v>1</v>
      </c>
      <c r="J341" s="76" t="str">
        <f t="shared" si="178"/>
        <v>Clematis</v>
      </c>
      <c r="K341" s="76" t="str">
        <f t="shared" si="178"/>
        <v>simense</v>
      </c>
      <c r="L341" s="77">
        <f t="shared" si="178"/>
        <v>6</v>
      </c>
      <c r="M341" s="77">
        <f t="shared" si="178"/>
        <v>20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v>
      </c>
      <c r="C342" s="73">
        <f t="shared" si="175"/>
        <v>14</v>
      </c>
      <c r="D342" s="74">
        <f t="shared" si="158"/>
        <v>21</v>
      </c>
      <c r="E342" s="75">
        <f t="shared" si="159"/>
        <v>39</v>
      </c>
      <c r="F342" s="79"/>
      <c r="G342" s="82"/>
      <c r="H342" s="68" t="str">
        <f t="shared" si="176"/>
        <v>Clesim6_20211114_21_00</v>
      </c>
      <c r="I342" s="69">
        <f t="shared" si="178"/>
        <v>1</v>
      </c>
      <c r="J342" s="76" t="str">
        <f t="shared" si="178"/>
        <v>Clematis</v>
      </c>
      <c r="K342" s="76" t="str">
        <f t="shared" si="178"/>
        <v>simense</v>
      </c>
      <c r="L342" s="77">
        <f t="shared" si="178"/>
        <v>6</v>
      </c>
      <c r="M342" s="77">
        <f t="shared" si="178"/>
        <v>20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v>
      </c>
      <c r="C343" s="73">
        <f t="shared" si="175"/>
        <v>14</v>
      </c>
      <c r="D343" s="74">
        <f t="shared" si="158"/>
        <v>21</v>
      </c>
      <c r="E343" s="75">
        <f t="shared" si="159"/>
        <v>40</v>
      </c>
      <c r="F343" s="79"/>
      <c r="G343" s="82"/>
      <c r="H343" s="68" t="str">
        <f t="shared" si="176"/>
        <v>Clesim6_20211114_21_00</v>
      </c>
      <c r="I343" s="69">
        <f t="shared" si="178"/>
        <v>1</v>
      </c>
      <c r="J343" s="76" t="str">
        <f t="shared" si="178"/>
        <v>Clematis</v>
      </c>
      <c r="K343" s="76" t="str">
        <f t="shared" si="178"/>
        <v>simense</v>
      </c>
      <c r="L343" s="77">
        <f t="shared" si="178"/>
        <v>6</v>
      </c>
      <c r="M343" s="77">
        <f t="shared" si="178"/>
        <v>20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2021</v>
      </c>
      <c r="B344" s="72" t="str">
        <f t="shared" si="157"/>
        <v>Nov</v>
      </c>
      <c r="C344" s="73">
        <f t="shared" si="175"/>
        <v>14</v>
      </c>
      <c r="D344" s="74">
        <f t="shared" si="158"/>
        <v>21</v>
      </c>
      <c r="E344" s="75">
        <f t="shared" si="159"/>
        <v>41</v>
      </c>
      <c r="F344" s="79"/>
      <c r="G344" s="82"/>
      <c r="H344" s="68" t="str">
        <f t="shared" si="176"/>
        <v>Clesim6_20211114_21_00</v>
      </c>
      <c r="I344" s="69">
        <f t="shared" si="178"/>
        <v>1</v>
      </c>
      <c r="J344" s="76" t="str">
        <f t="shared" si="178"/>
        <v>Clematis</v>
      </c>
      <c r="K344" s="76" t="str">
        <f t="shared" si="178"/>
        <v>simense</v>
      </c>
      <c r="L344" s="77">
        <f t="shared" si="178"/>
        <v>6</v>
      </c>
      <c r="M344" s="77">
        <f t="shared" si="178"/>
        <v>20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v>
      </c>
      <c r="C345" s="73">
        <f t="shared" si="175"/>
        <v>14</v>
      </c>
      <c r="D345" s="74">
        <f t="shared" si="158"/>
        <v>21</v>
      </c>
      <c r="E345" s="75">
        <f t="shared" si="159"/>
        <v>42</v>
      </c>
      <c r="F345" s="79"/>
      <c r="G345" s="82"/>
      <c r="H345" s="68" t="str">
        <f t="shared" si="176"/>
        <v>Clesim6_20211114_21_00</v>
      </c>
      <c r="I345" s="69">
        <f t="shared" si="178"/>
        <v>1</v>
      </c>
      <c r="J345" s="76" t="str">
        <f t="shared" si="178"/>
        <v>Clematis</v>
      </c>
      <c r="K345" s="76" t="str">
        <f t="shared" si="178"/>
        <v>simense</v>
      </c>
      <c r="L345" s="77">
        <f t="shared" si="178"/>
        <v>6</v>
      </c>
      <c r="M345" s="77">
        <f t="shared" si="178"/>
        <v>20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v>
      </c>
      <c r="C346" s="73">
        <f t="shared" si="175"/>
        <v>14</v>
      </c>
      <c r="D346" s="74">
        <f t="shared" si="158"/>
        <v>21</v>
      </c>
      <c r="E346" s="75">
        <f t="shared" si="159"/>
        <v>43</v>
      </c>
      <c r="F346" s="79"/>
      <c r="G346" s="82"/>
      <c r="H346" s="68" t="str">
        <f t="shared" si="176"/>
        <v>Clesim6_20211114_21_00</v>
      </c>
      <c r="I346" s="69">
        <f t="shared" si="178"/>
        <v>1</v>
      </c>
      <c r="J346" s="76" t="str">
        <f t="shared" si="178"/>
        <v>Clematis</v>
      </c>
      <c r="K346" s="76" t="str">
        <f t="shared" si="178"/>
        <v>simense</v>
      </c>
      <c r="L346" s="77">
        <f t="shared" si="178"/>
        <v>6</v>
      </c>
      <c r="M346" s="77">
        <f t="shared" si="178"/>
        <v>20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v>
      </c>
      <c r="C347" s="73">
        <f t="shared" si="175"/>
        <v>14</v>
      </c>
      <c r="D347" s="74">
        <f t="shared" si="158"/>
        <v>21</v>
      </c>
      <c r="E347" s="75">
        <f t="shared" si="159"/>
        <v>44</v>
      </c>
      <c r="F347" s="79"/>
      <c r="G347" s="82"/>
      <c r="H347" s="68" t="str">
        <f t="shared" si="176"/>
        <v>Clesim6_20211114_21_00</v>
      </c>
      <c r="I347" s="69">
        <f t="shared" si="178"/>
        <v>1</v>
      </c>
      <c r="J347" s="76" t="str">
        <f t="shared" si="178"/>
        <v>Clematis</v>
      </c>
      <c r="K347" s="76" t="str">
        <f t="shared" si="178"/>
        <v>simense</v>
      </c>
      <c r="L347" s="77">
        <f t="shared" si="178"/>
        <v>6</v>
      </c>
      <c r="M347" s="77">
        <f t="shared" si="178"/>
        <v>20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v>
      </c>
      <c r="C348" s="73">
        <f t="shared" si="175"/>
        <v>14</v>
      </c>
      <c r="D348" s="74">
        <f t="shared" si="158"/>
        <v>21</v>
      </c>
      <c r="E348" s="75">
        <f t="shared" si="159"/>
        <v>45</v>
      </c>
      <c r="F348" s="79"/>
      <c r="G348" s="82"/>
      <c r="H348" s="68" t="str">
        <f t="shared" si="176"/>
        <v>Clesim6_20211114_21_00</v>
      </c>
      <c r="I348" s="69">
        <f t="shared" si="178"/>
        <v>1</v>
      </c>
      <c r="J348" s="76" t="str">
        <f t="shared" si="178"/>
        <v>Clematis</v>
      </c>
      <c r="K348" s="76" t="str">
        <f t="shared" si="178"/>
        <v>simense</v>
      </c>
      <c r="L348" s="77">
        <f t="shared" si="178"/>
        <v>6</v>
      </c>
      <c r="M348" s="77">
        <f t="shared" si="178"/>
        <v>20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v>
      </c>
      <c r="C349" s="73">
        <f t="shared" si="175"/>
        <v>14</v>
      </c>
      <c r="D349" s="74">
        <f t="shared" si="158"/>
        <v>21</v>
      </c>
      <c r="E349" s="75">
        <f t="shared" si="159"/>
        <v>46</v>
      </c>
      <c r="F349" s="79"/>
      <c r="G349" s="82"/>
      <c r="H349" s="68" t="str">
        <f t="shared" si="176"/>
        <v>Clesim6_20211114_21_00</v>
      </c>
      <c r="I349" s="69">
        <f t="shared" si="178"/>
        <v>1</v>
      </c>
      <c r="J349" s="76" t="str">
        <f t="shared" si="178"/>
        <v>Clematis</v>
      </c>
      <c r="K349" s="76" t="str">
        <f t="shared" si="178"/>
        <v>simense</v>
      </c>
      <c r="L349" s="77">
        <f t="shared" si="178"/>
        <v>6</v>
      </c>
      <c r="M349" s="77">
        <f t="shared" si="178"/>
        <v>20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v>
      </c>
      <c r="C350" s="73">
        <f t="shared" si="175"/>
        <v>14</v>
      </c>
      <c r="D350" s="74">
        <f t="shared" si="158"/>
        <v>21</v>
      </c>
      <c r="E350" s="75">
        <f t="shared" si="159"/>
        <v>47</v>
      </c>
      <c r="F350" s="79"/>
      <c r="G350" s="82"/>
      <c r="H350" s="68" t="str">
        <f t="shared" si="176"/>
        <v>Clesim6_20211114_21_00</v>
      </c>
      <c r="I350" s="69">
        <f t="shared" si="178"/>
        <v>1</v>
      </c>
      <c r="J350" s="76" t="str">
        <f t="shared" si="178"/>
        <v>Clematis</v>
      </c>
      <c r="K350" s="76" t="str">
        <f t="shared" si="178"/>
        <v>simense</v>
      </c>
      <c r="L350" s="77">
        <f t="shared" si="178"/>
        <v>6</v>
      </c>
      <c r="M350" s="77">
        <f t="shared" si="178"/>
        <v>20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v>
      </c>
      <c r="C351" s="73">
        <f t="shared" si="175"/>
        <v>14</v>
      </c>
      <c r="D351" s="74">
        <f t="shared" si="158"/>
        <v>21</v>
      </c>
      <c r="E351" s="75">
        <f t="shared" si="159"/>
        <v>48</v>
      </c>
      <c r="F351" s="79"/>
      <c r="G351" s="82"/>
      <c r="H351" s="68" t="str">
        <f t="shared" si="176"/>
        <v>Clesim6_20211114_21_00</v>
      </c>
      <c r="I351" s="69">
        <f t="shared" si="178"/>
        <v>1</v>
      </c>
      <c r="J351" s="76" t="str">
        <f t="shared" si="178"/>
        <v>Clematis</v>
      </c>
      <c r="K351" s="76" t="str">
        <f t="shared" si="178"/>
        <v>simense</v>
      </c>
      <c r="L351" s="77">
        <f t="shared" si="178"/>
        <v>6</v>
      </c>
      <c r="M351" s="77">
        <f t="shared" si="178"/>
        <v>20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v>
      </c>
      <c r="C352" s="73">
        <f t="shared" si="175"/>
        <v>14</v>
      </c>
      <c r="D352" s="74">
        <f t="shared" si="158"/>
        <v>21</v>
      </c>
      <c r="E352" s="75">
        <f t="shared" si="159"/>
        <v>49</v>
      </c>
      <c r="F352" s="79"/>
      <c r="G352" s="82"/>
      <c r="H352" s="68" t="str">
        <f t="shared" si="176"/>
        <v>Clesim6_20211114_21_00</v>
      </c>
      <c r="I352" s="69">
        <f t="shared" si="178"/>
        <v>1</v>
      </c>
      <c r="J352" s="76" t="str">
        <f t="shared" si="178"/>
        <v>Clematis</v>
      </c>
      <c r="K352" s="76" t="str">
        <f t="shared" si="178"/>
        <v>simense</v>
      </c>
      <c r="L352" s="77">
        <f t="shared" si="178"/>
        <v>6</v>
      </c>
      <c r="M352" s="77">
        <f t="shared" si="178"/>
        <v>20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v>
      </c>
      <c r="C353" s="73">
        <f t="shared" si="175"/>
        <v>14</v>
      </c>
      <c r="D353" s="74">
        <f t="shared" si="158"/>
        <v>21</v>
      </c>
      <c r="E353" s="75">
        <f t="shared" si="159"/>
        <v>50</v>
      </c>
      <c r="F353" s="79"/>
      <c r="G353" s="82"/>
      <c r="H353" s="68" t="str">
        <f t="shared" si="176"/>
        <v>Clesim6_20211114_21_00</v>
      </c>
      <c r="I353" s="69">
        <f t="shared" si="178"/>
        <v>1</v>
      </c>
      <c r="J353" s="76" t="str">
        <f t="shared" si="178"/>
        <v>Clematis</v>
      </c>
      <c r="K353" s="76" t="str">
        <f t="shared" si="178"/>
        <v>simense</v>
      </c>
      <c r="L353" s="77">
        <f t="shared" si="178"/>
        <v>6</v>
      </c>
      <c r="M353" s="77">
        <f t="shared" si="178"/>
        <v>20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v>
      </c>
      <c r="C354" s="73">
        <f t="shared" si="175"/>
        <v>14</v>
      </c>
      <c r="D354" s="74">
        <f t="shared" si="158"/>
        <v>21</v>
      </c>
      <c r="E354" s="75">
        <f t="shared" si="159"/>
        <v>51</v>
      </c>
      <c r="F354" s="79"/>
      <c r="G354" s="82"/>
      <c r="H354" s="68" t="str">
        <f t="shared" si="176"/>
        <v>Clesim6_20211114_21_00</v>
      </c>
      <c r="I354" s="69">
        <f t="shared" si="178"/>
        <v>1</v>
      </c>
      <c r="J354" s="76" t="str">
        <f t="shared" si="178"/>
        <v>Clematis</v>
      </c>
      <c r="K354" s="76" t="str">
        <f t="shared" si="178"/>
        <v>simense</v>
      </c>
      <c r="L354" s="77">
        <f t="shared" si="178"/>
        <v>6</v>
      </c>
      <c r="M354" s="77">
        <f t="shared" si="178"/>
        <v>20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2021</v>
      </c>
      <c r="B355" s="72" t="str">
        <f t="shared" si="157"/>
        <v>Nov</v>
      </c>
      <c r="C355" s="73">
        <f t="shared" si="175"/>
        <v>14</v>
      </c>
      <c r="D355" s="74">
        <f t="shared" si="158"/>
        <v>21</v>
      </c>
      <c r="E355" s="75">
        <f t="shared" si="159"/>
        <v>52</v>
      </c>
      <c r="F355" s="79"/>
      <c r="G355" s="82"/>
      <c r="H355" s="68" t="str">
        <f t="shared" si="176"/>
        <v>Clesim6_20211114_21_00</v>
      </c>
      <c r="I355" s="69">
        <f t="shared" si="178"/>
        <v>1</v>
      </c>
      <c r="J355" s="76" t="str">
        <f t="shared" si="178"/>
        <v>Clematis</v>
      </c>
      <c r="K355" s="76" t="str">
        <f t="shared" si="178"/>
        <v>simense</v>
      </c>
      <c r="L355" s="77">
        <f t="shared" si="178"/>
        <v>6</v>
      </c>
      <c r="M355" s="77">
        <f t="shared" si="178"/>
        <v>20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v>
      </c>
      <c r="C356" s="73">
        <f t="shared" si="175"/>
        <v>14</v>
      </c>
      <c r="D356" s="74">
        <f t="shared" si="158"/>
        <v>21</v>
      </c>
      <c r="E356" s="75">
        <f t="shared" si="159"/>
        <v>53</v>
      </c>
      <c r="F356" s="79"/>
      <c r="G356" s="82"/>
      <c r="H356" s="68" t="str">
        <f t="shared" si="176"/>
        <v>Clesim6_20211114_21_00</v>
      </c>
      <c r="I356" s="69">
        <f t="shared" si="178"/>
        <v>1</v>
      </c>
      <c r="J356" s="76" t="str">
        <f t="shared" si="178"/>
        <v>Clematis</v>
      </c>
      <c r="K356" s="76" t="str">
        <f t="shared" si="178"/>
        <v>simense</v>
      </c>
      <c r="L356" s="77">
        <f t="shared" si="178"/>
        <v>6</v>
      </c>
      <c r="M356" s="77">
        <f t="shared" si="178"/>
        <v>20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v>
      </c>
      <c r="C357" s="73">
        <f t="shared" si="175"/>
        <v>14</v>
      </c>
      <c r="D357" s="74">
        <f t="shared" si="158"/>
        <v>21</v>
      </c>
      <c r="E357" s="75">
        <f t="shared" si="159"/>
        <v>54</v>
      </c>
      <c r="F357" s="79"/>
      <c r="G357" s="82"/>
      <c r="H357" s="68" t="str">
        <f t="shared" si="176"/>
        <v>Clesim6_20211114_21_00</v>
      </c>
      <c r="I357" s="69">
        <f t="shared" ref="I357:N372" si="179">I356</f>
        <v>1</v>
      </c>
      <c r="J357" s="76" t="str">
        <f t="shared" si="179"/>
        <v>Clematis</v>
      </c>
      <c r="K357" s="76" t="str">
        <f t="shared" si="179"/>
        <v>simense</v>
      </c>
      <c r="L357" s="77">
        <f t="shared" si="179"/>
        <v>6</v>
      </c>
      <c r="M357" s="77">
        <f t="shared" si="179"/>
        <v>20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v>
      </c>
      <c r="C358" s="73">
        <f t="shared" si="175"/>
        <v>14</v>
      </c>
      <c r="D358" s="74">
        <f t="shared" si="158"/>
        <v>21</v>
      </c>
      <c r="E358" s="75">
        <f t="shared" si="159"/>
        <v>55</v>
      </c>
      <c r="F358" s="79"/>
      <c r="G358" s="82"/>
      <c r="H358" s="68" t="str">
        <f t="shared" si="176"/>
        <v>Clesim6_20211114_21_00</v>
      </c>
      <c r="I358" s="69">
        <f t="shared" si="179"/>
        <v>1</v>
      </c>
      <c r="J358" s="76" t="str">
        <f t="shared" si="179"/>
        <v>Clematis</v>
      </c>
      <c r="K358" s="76" t="str">
        <f t="shared" si="179"/>
        <v>simense</v>
      </c>
      <c r="L358" s="77">
        <f t="shared" si="179"/>
        <v>6</v>
      </c>
      <c r="M358" s="77">
        <f t="shared" si="179"/>
        <v>20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v>
      </c>
      <c r="C359" s="73">
        <f t="shared" si="175"/>
        <v>14</v>
      </c>
      <c r="D359" s="74">
        <f t="shared" si="158"/>
        <v>21</v>
      </c>
      <c r="E359" s="75">
        <f t="shared" si="159"/>
        <v>56</v>
      </c>
      <c r="F359" s="79"/>
      <c r="G359" s="82"/>
      <c r="H359" s="68" t="str">
        <f t="shared" si="176"/>
        <v>Clesim6_20211114_21_00</v>
      </c>
      <c r="I359" s="69">
        <f t="shared" si="179"/>
        <v>1</v>
      </c>
      <c r="J359" s="76" t="str">
        <f t="shared" si="179"/>
        <v>Clematis</v>
      </c>
      <c r="K359" s="76" t="str">
        <f t="shared" si="179"/>
        <v>simense</v>
      </c>
      <c r="L359" s="77">
        <f t="shared" si="179"/>
        <v>6</v>
      </c>
      <c r="M359" s="77">
        <f t="shared" si="179"/>
        <v>20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v>
      </c>
      <c r="C360" s="73">
        <f t="shared" si="175"/>
        <v>14</v>
      </c>
      <c r="D360" s="74">
        <f t="shared" si="158"/>
        <v>21</v>
      </c>
      <c r="E360" s="75">
        <f t="shared" si="159"/>
        <v>57</v>
      </c>
      <c r="F360" s="79"/>
      <c r="G360" s="82"/>
      <c r="H360" s="68" t="str">
        <f t="shared" si="176"/>
        <v>Clesim6_20211114_21_00</v>
      </c>
      <c r="I360" s="69">
        <f t="shared" si="179"/>
        <v>1</v>
      </c>
      <c r="J360" s="76" t="str">
        <f t="shared" si="179"/>
        <v>Clematis</v>
      </c>
      <c r="K360" s="76" t="str">
        <f t="shared" si="179"/>
        <v>simense</v>
      </c>
      <c r="L360" s="77">
        <f t="shared" si="179"/>
        <v>6</v>
      </c>
      <c r="M360" s="77">
        <f t="shared" si="179"/>
        <v>20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v>
      </c>
      <c r="C361" s="73">
        <f t="shared" si="175"/>
        <v>14</v>
      </c>
      <c r="D361" s="74">
        <f t="shared" si="158"/>
        <v>21</v>
      </c>
      <c r="E361" s="75">
        <f t="shared" si="159"/>
        <v>58</v>
      </c>
      <c r="F361" s="79"/>
      <c r="G361" s="82"/>
      <c r="H361" s="68" t="str">
        <f t="shared" si="176"/>
        <v>Clesim6_20211114_21_00</v>
      </c>
      <c r="I361" s="69">
        <f t="shared" si="179"/>
        <v>1</v>
      </c>
      <c r="J361" s="76" t="str">
        <f t="shared" si="179"/>
        <v>Clematis</v>
      </c>
      <c r="K361" s="76" t="str">
        <f t="shared" si="179"/>
        <v>simense</v>
      </c>
      <c r="L361" s="77">
        <f t="shared" si="179"/>
        <v>6</v>
      </c>
      <c r="M361" s="77">
        <f t="shared" si="179"/>
        <v>20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v>
      </c>
      <c r="C362" s="73">
        <f t="shared" si="175"/>
        <v>14</v>
      </c>
      <c r="D362" s="74">
        <f t="shared" si="158"/>
        <v>21</v>
      </c>
      <c r="E362" s="75">
        <f t="shared" si="159"/>
        <v>59</v>
      </c>
      <c r="F362" s="79"/>
      <c r="G362" s="82"/>
      <c r="H362" s="68" t="str">
        <f t="shared" si="176"/>
        <v>Clesim6_20211114_21_00</v>
      </c>
      <c r="I362" s="69">
        <f t="shared" si="179"/>
        <v>1</v>
      </c>
      <c r="J362" s="76" t="str">
        <f t="shared" si="179"/>
        <v>Clematis</v>
      </c>
      <c r="K362" s="76" t="str">
        <f t="shared" si="179"/>
        <v>simense</v>
      </c>
      <c r="L362" s="77">
        <f t="shared" si="179"/>
        <v>6</v>
      </c>
      <c r="M362" s="77">
        <f t="shared" si="179"/>
        <v>20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v>
      </c>
      <c r="C363" s="73">
        <f t="shared" si="175"/>
        <v>14</v>
      </c>
      <c r="D363" s="74">
        <f t="shared" si="158"/>
        <v>22</v>
      </c>
      <c r="E363" s="75">
        <f t="shared" si="159"/>
        <v>0</v>
      </c>
      <c r="F363" s="79"/>
      <c r="G363" s="82"/>
      <c r="H363" s="68" t="str">
        <f t="shared" si="176"/>
        <v>Clesim6_20211114_22_00</v>
      </c>
      <c r="I363" s="69">
        <f t="shared" si="179"/>
        <v>1</v>
      </c>
      <c r="J363" s="76" t="str">
        <f t="shared" si="179"/>
        <v>Clematis</v>
      </c>
      <c r="K363" s="76" t="str">
        <f t="shared" si="179"/>
        <v>simense</v>
      </c>
      <c r="L363" s="77">
        <f t="shared" si="179"/>
        <v>6</v>
      </c>
      <c r="M363" s="77">
        <f t="shared" si="179"/>
        <v>20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v>
      </c>
      <c r="C364" s="73">
        <f t="shared" si="175"/>
        <v>14</v>
      </c>
      <c r="D364" s="74">
        <f t="shared" si="158"/>
        <v>22</v>
      </c>
      <c r="E364" s="75">
        <f t="shared" si="159"/>
        <v>1</v>
      </c>
      <c r="F364" s="79"/>
      <c r="G364" s="82"/>
      <c r="H364" s="68" t="str">
        <f t="shared" si="176"/>
        <v>Clesim6_20211114_22_00</v>
      </c>
      <c r="I364" s="69">
        <f t="shared" si="179"/>
        <v>1</v>
      </c>
      <c r="J364" s="76" t="str">
        <f t="shared" si="179"/>
        <v>Clematis</v>
      </c>
      <c r="K364" s="76" t="str">
        <f t="shared" si="179"/>
        <v>simense</v>
      </c>
      <c r="L364" s="77">
        <f t="shared" si="179"/>
        <v>6</v>
      </c>
      <c r="M364" s="77">
        <f t="shared" si="179"/>
        <v>20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v>
      </c>
      <c r="C365" s="73">
        <f t="shared" si="175"/>
        <v>14</v>
      </c>
      <c r="D365" s="74">
        <f t="shared" si="158"/>
        <v>22</v>
      </c>
      <c r="E365" s="75">
        <f t="shared" si="159"/>
        <v>2</v>
      </c>
      <c r="F365" s="79"/>
      <c r="G365" s="82"/>
      <c r="H365" s="68" t="str">
        <f t="shared" si="176"/>
        <v>Clesim6_20211114_22_00</v>
      </c>
      <c r="I365" s="69">
        <f t="shared" si="179"/>
        <v>1</v>
      </c>
      <c r="J365" s="76" t="str">
        <f t="shared" si="179"/>
        <v>Clematis</v>
      </c>
      <c r="K365" s="76" t="str">
        <f t="shared" si="179"/>
        <v>simense</v>
      </c>
      <c r="L365" s="77">
        <f t="shared" si="179"/>
        <v>6</v>
      </c>
      <c r="M365" s="77">
        <f t="shared" si="179"/>
        <v>20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v>
      </c>
      <c r="C366" s="73">
        <f t="shared" si="175"/>
        <v>14</v>
      </c>
      <c r="D366" s="74">
        <f t="shared" si="158"/>
        <v>22</v>
      </c>
      <c r="E366" s="75">
        <f t="shared" si="159"/>
        <v>3</v>
      </c>
      <c r="F366" s="79"/>
      <c r="G366" s="82"/>
      <c r="H366" s="68" t="str">
        <f t="shared" si="176"/>
        <v>Clesim6_20211114_22_00</v>
      </c>
      <c r="I366" s="69">
        <f t="shared" si="179"/>
        <v>1</v>
      </c>
      <c r="J366" s="76" t="str">
        <f t="shared" si="179"/>
        <v>Clematis</v>
      </c>
      <c r="K366" s="76" t="str">
        <f t="shared" si="179"/>
        <v>simense</v>
      </c>
      <c r="L366" s="77">
        <f t="shared" si="179"/>
        <v>6</v>
      </c>
      <c r="M366" s="77">
        <f t="shared" si="179"/>
        <v>20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v>
      </c>
      <c r="C367" s="73">
        <f t="shared" si="175"/>
        <v>14</v>
      </c>
      <c r="D367" s="74">
        <f t="shared" si="158"/>
        <v>22</v>
      </c>
      <c r="E367" s="75">
        <f t="shared" si="159"/>
        <v>4</v>
      </c>
      <c r="F367" s="79"/>
      <c r="G367" s="82"/>
      <c r="H367" s="68" t="str">
        <f t="shared" si="176"/>
        <v>Clesim6_20211114_22_00</v>
      </c>
      <c r="I367" s="69">
        <f t="shared" si="179"/>
        <v>1</v>
      </c>
      <c r="J367" s="76" t="str">
        <f t="shared" si="179"/>
        <v>Clematis</v>
      </c>
      <c r="K367" s="76" t="str">
        <f t="shared" si="179"/>
        <v>simense</v>
      </c>
      <c r="L367" s="77">
        <f t="shared" si="179"/>
        <v>6</v>
      </c>
      <c r="M367" s="77">
        <f t="shared" si="179"/>
        <v>20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v>
      </c>
      <c r="C368" s="73">
        <f t="shared" si="175"/>
        <v>14</v>
      </c>
      <c r="D368" s="74">
        <f t="shared" si="158"/>
        <v>22</v>
      </c>
      <c r="E368" s="75">
        <f t="shared" si="159"/>
        <v>5</v>
      </c>
      <c r="F368" s="79"/>
      <c r="G368" s="82"/>
      <c r="H368" s="68" t="str">
        <f t="shared" si="176"/>
        <v>Clesim6_20211114_22_00</v>
      </c>
      <c r="I368" s="69">
        <f t="shared" si="179"/>
        <v>1</v>
      </c>
      <c r="J368" s="76" t="str">
        <f t="shared" si="179"/>
        <v>Clematis</v>
      </c>
      <c r="K368" s="76" t="str">
        <f t="shared" si="179"/>
        <v>simense</v>
      </c>
      <c r="L368" s="77">
        <f t="shared" si="179"/>
        <v>6</v>
      </c>
      <c r="M368" s="77">
        <f t="shared" si="179"/>
        <v>20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2021</v>
      </c>
      <c r="B369" s="72" t="str">
        <f t="shared" si="157"/>
        <v>Nov</v>
      </c>
      <c r="C369" s="73">
        <f t="shared" si="175"/>
        <v>14</v>
      </c>
      <c r="D369" s="74">
        <f t="shared" si="158"/>
        <v>22</v>
      </c>
      <c r="E369" s="75">
        <f t="shared" si="159"/>
        <v>6</v>
      </c>
      <c r="F369" s="79">
        <v>27</v>
      </c>
      <c r="G369" s="82"/>
      <c r="H369" s="68" t="str">
        <f t="shared" si="176"/>
        <v>Clesim6_20211114_22_00</v>
      </c>
      <c r="I369" s="69">
        <f t="shared" si="179"/>
        <v>1</v>
      </c>
      <c r="J369" s="76" t="str">
        <f t="shared" si="179"/>
        <v>Clematis</v>
      </c>
      <c r="K369" s="76" t="str">
        <f t="shared" si="179"/>
        <v>simense</v>
      </c>
      <c r="L369" s="77">
        <f t="shared" si="179"/>
        <v>6</v>
      </c>
      <c r="M369" s="77">
        <f t="shared" si="179"/>
        <v>20</v>
      </c>
      <c r="N369" s="71">
        <f t="shared" si="179"/>
        <v>0</v>
      </c>
      <c r="O369" s="44"/>
      <c r="P369" s="45">
        <f t="shared" si="160"/>
        <v>1</v>
      </c>
      <c r="Q369" s="46" t="str">
        <f t="shared" si="161"/>
        <v>22:06:27</v>
      </c>
      <c r="R369" s="47" t="str">
        <f t="shared" si="162"/>
        <v>06:27</v>
      </c>
      <c r="S369" s="48">
        <f t="shared" si="151"/>
        <v>213</v>
      </c>
      <c r="T369" s="47" t="str">
        <f t="shared" si="163"/>
        <v>22</v>
      </c>
      <c r="U369" s="49">
        <v>10</v>
      </c>
      <c r="V369" s="50">
        <v>0</v>
      </c>
      <c r="W369" s="51" t="str">
        <f t="shared" si="164"/>
        <v>10:00</v>
      </c>
      <c r="X369" s="123" t="s">
        <v>61</v>
      </c>
      <c r="Y369" s="52" t="s">
        <v>75</v>
      </c>
      <c r="Z369" s="52"/>
      <c r="AA369" s="47" t="s">
        <v>62</v>
      </c>
      <c r="AB369" s="47" t="str">
        <f t="shared" si="165"/>
        <v>NA</v>
      </c>
      <c r="AC369" s="53" t="str">
        <f t="shared" si="166"/>
        <v/>
      </c>
      <c r="AD369" s="54">
        <v>3</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f t="shared" si="152"/>
        <v>0</v>
      </c>
      <c r="AX369" s="61" t="str">
        <f t="shared" si="153"/>
        <v/>
      </c>
      <c r="AY369" s="60">
        <f t="shared" si="154"/>
        <v>0</v>
      </c>
      <c r="AZ369" s="61" t="str">
        <f t="shared" si="155"/>
        <v/>
      </c>
    </row>
    <row r="370" spans="1:52" s="3" customFormat="1" hidden="1" x14ac:dyDescent="0.35">
      <c r="A370" s="72">
        <f t="shared" si="156"/>
        <v>2021</v>
      </c>
      <c r="B370" s="72" t="str">
        <f t="shared" si="157"/>
        <v>Nov</v>
      </c>
      <c r="C370" s="73">
        <f t="shared" si="175"/>
        <v>14</v>
      </c>
      <c r="D370" s="74">
        <f t="shared" si="158"/>
        <v>22</v>
      </c>
      <c r="E370" s="75">
        <f t="shared" si="159"/>
        <v>7</v>
      </c>
      <c r="F370" s="79"/>
      <c r="G370" s="82"/>
      <c r="H370" s="68" t="str">
        <f t="shared" si="176"/>
        <v>Clesim6_20211114_22_00</v>
      </c>
      <c r="I370" s="69">
        <f t="shared" si="179"/>
        <v>1</v>
      </c>
      <c r="J370" s="76" t="str">
        <f t="shared" si="179"/>
        <v>Clematis</v>
      </c>
      <c r="K370" s="76" t="str">
        <f t="shared" si="179"/>
        <v>simense</v>
      </c>
      <c r="L370" s="77">
        <f t="shared" si="179"/>
        <v>6</v>
      </c>
      <c r="M370" s="77">
        <f t="shared" si="179"/>
        <v>20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v>
      </c>
      <c r="C371" s="73">
        <f t="shared" si="175"/>
        <v>14</v>
      </c>
      <c r="D371" s="74">
        <f t="shared" si="158"/>
        <v>22</v>
      </c>
      <c r="E371" s="75">
        <f t="shared" si="159"/>
        <v>8</v>
      </c>
      <c r="F371" s="79"/>
      <c r="G371" s="82"/>
      <c r="H371" s="68" t="str">
        <f t="shared" si="176"/>
        <v>Clesim6_20211114_22_00</v>
      </c>
      <c r="I371" s="69">
        <f t="shared" si="179"/>
        <v>1</v>
      </c>
      <c r="J371" s="76" t="str">
        <f t="shared" si="179"/>
        <v>Clematis</v>
      </c>
      <c r="K371" s="76" t="str">
        <f t="shared" si="179"/>
        <v>simense</v>
      </c>
      <c r="L371" s="77">
        <f t="shared" si="179"/>
        <v>6</v>
      </c>
      <c r="M371" s="77">
        <f t="shared" si="179"/>
        <v>20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v>
      </c>
      <c r="C372" s="73">
        <f t="shared" si="175"/>
        <v>14</v>
      </c>
      <c r="D372" s="74">
        <f t="shared" si="158"/>
        <v>22</v>
      </c>
      <c r="E372" s="75">
        <f t="shared" si="159"/>
        <v>9</v>
      </c>
      <c r="F372" s="79"/>
      <c r="G372" s="82"/>
      <c r="H372" s="68" t="str">
        <f t="shared" si="176"/>
        <v>Clesim6_20211114_22_00</v>
      </c>
      <c r="I372" s="69">
        <f t="shared" si="179"/>
        <v>1</v>
      </c>
      <c r="J372" s="76" t="str">
        <f t="shared" si="179"/>
        <v>Clematis</v>
      </c>
      <c r="K372" s="76" t="str">
        <f t="shared" si="179"/>
        <v>simense</v>
      </c>
      <c r="L372" s="77">
        <f t="shared" si="179"/>
        <v>6</v>
      </c>
      <c r="M372" s="77">
        <f t="shared" si="179"/>
        <v>20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v>
      </c>
      <c r="C373" s="73">
        <f t="shared" si="175"/>
        <v>14</v>
      </c>
      <c r="D373" s="74">
        <f t="shared" si="158"/>
        <v>22</v>
      </c>
      <c r="E373" s="75">
        <f t="shared" si="159"/>
        <v>10</v>
      </c>
      <c r="F373" s="79"/>
      <c r="G373" s="82"/>
      <c r="H373" s="68" t="str">
        <f t="shared" si="176"/>
        <v>Clesim6_20211114_22_00</v>
      </c>
      <c r="I373" s="69">
        <f t="shared" ref="I373:N388" si="180">I372</f>
        <v>1</v>
      </c>
      <c r="J373" s="76" t="str">
        <f t="shared" si="180"/>
        <v>Clematis</v>
      </c>
      <c r="K373" s="76" t="str">
        <f t="shared" si="180"/>
        <v>simense</v>
      </c>
      <c r="L373" s="77">
        <f t="shared" si="180"/>
        <v>6</v>
      </c>
      <c r="M373" s="77">
        <f t="shared" si="180"/>
        <v>20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v>
      </c>
      <c r="C374" s="73">
        <f t="shared" si="175"/>
        <v>14</v>
      </c>
      <c r="D374" s="74">
        <f t="shared" si="158"/>
        <v>22</v>
      </c>
      <c r="E374" s="75">
        <f t="shared" si="159"/>
        <v>11</v>
      </c>
      <c r="F374" s="79"/>
      <c r="G374" s="82"/>
      <c r="H374" s="68" t="str">
        <f t="shared" si="176"/>
        <v>Clesim6_20211114_22_00</v>
      </c>
      <c r="I374" s="69">
        <f t="shared" si="180"/>
        <v>1</v>
      </c>
      <c r="J374" s="76" t="str">
        <f t="shared" si="180"/>
        <v>Clematis</v>
      </c>
      <c r="K374" s="76" t="str">
        <f t="shared" si="180"/>
        <v>simense</v>
      </c>
      <c r="L374" s="77">
        <f t="shared" si="180"/>
        <v>6</v>
      </c>
      <c r="M374" s="77">
        <f t="shared" si="180"/>
        <v>20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v>
      </c>
      <c r="C375" s="73">
        <f t="shared" si="175"/>
        <v>14</v>
      </c>
      <c r="D375" s="74">
        <f t="shared" si="158"/>
        <v>22</v>
      </c>
      <c r="E375" s="75">
        <f t="shared" si="159"/>
        <v>12</v>
      </c>
      <c r="F375" s="79"/>
      <c r="G375" s="82"/>
      <c r="H375" s="68" t="str">
        <f t="shared" si="176"/>
        <v>Clesim6_20211114_22_00</v>
      </c>
      <c r="I375" s="69">
        <f t="shared" si="180"/>
        <v>1</v>
      </c>
      <c r="J375" s="76" t="str">
        <f t="shared" si="180"/>
        <v>Clematis</v>
      </c>
      <c r="K375" s="76" t="str">
        <f t="shared" si="180"/>
        <v>simense</v>
      </c>
      <c r="L375" s="77">
        <f t="shared" si="180"/>
        <v>6</v>
      </c>
      <c r="M375" s="77">
        <f t="shared" si="180"/>
        <v>20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v>
      </c>
      <c r="C376" s="73">
        <f t="shared" si="175"/>
        <v>14</v>
      </c>
      <c r="D376" s="74">
        <f t="shared" si="158"/>
        <v>22</v>
      </c>
      <c r="E376" s="75">
        <f t="shared" si="159"/>
        <v>13</v>
      </c>
      <c r="F376" s="79"/>
      <c r="G376" s="82"/>
      <c r="H376" s="68" t="str">
        <f t="shared" si="176"/>
        <v>Clesim6_20211114_22_00</v>
      </c>
      <c r="I376" s="69">
        <f t="shared" si="180"/>
        <v>1</v>
      </c>
      <c r="J376" s="76" t="str">
        <f t="shared" si="180"/>
        <v>Clematis</v>
      </c>
      <c r="K376" s="76" t="str">
        <f t="shared" si="180"/>
        <v>simense</v>
      </c>
      <c r="L376" s="77">
        <f t="shared" si="180"/>
        <v>6</v>
      </c>
      <c r="M376" s="77">
        <f t="shared" si="180"/>
        <v>20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v>
      </c>
      <c r="C377" s="73">
        <f t="shared" si="175"/>
        <v>14</v>
      </c>
      <c r="D377" s="74">
        <f t="shared" si="158"/>
        <v>22</v>
      </c>
      <c r="E377" s="75">
        <f t="shared" si="159"/>
        <v>14</v>
      </c>
      <c r="F377" s="79"/>
      <c r="G377" s="82"/>
      <c r="H377" s="68" t="str">
        <f t="shared" si="176"/>
        <v>Clesim6_20211114_22_00</v>
      </c>
      <c r="I377" s="69">
        <f t="shared" si="180"/>
        <v>1</v>
      </c>
      <c r="J377" s="76" t="str">
        <f t="shared" si="180"/>
        <v>Clematis</v>
      </c>
      <c r="K377" s="76" t="str">
        <f t="shared" si="180"/>
        <v>simense</v>
      </c>
      <c r="L377" s="77">
        <f t="shared" si="180"/>
        <v>6</v>
      </c>
      <c r="M377" s="77">
        <f t="shared" si="180"/>
        <v>20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v>
      </c>
      <c r="C378" s="73">
        <f t="shared" si="175"/>
        <v>14</v>
      </c>
      <c r="D378" s="74">
        <f t="shared" si="158"/>
        <v>22</v>
      </c>
      <c r="E378" s="75">
        <f t="shared" si="159"/>
        <v>15</v>
      </c>
      <c r="F378" s="79"/>
      <c r="G378" s="82"/>
      <c r="H378" s="68" t="str">
        <f t="shared" si="176"/>
        <v>Clesim6_20211114_22_00</v>
      </c>
      <c r="I378" s="69">
        <f t="shared" si="180"/>
        <v>1</v>
      </c>
      <c r="J378" s="76" t="str">
        <f t="shared" si="180"/>
        <v>Clematis</v>
      </c>
      <c r="K378" s="76" t="str">
        <f t="shared" si="180"/>
        <v>simense</v>
      </c>
      <c r="L378" s="77">
        <f t="shared" si="180"/>
        <v>6</v>
      </c>
      <c r="M378" s="77">
        <f t="shared" si="180"/>
        <v>20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v>
      </c>
      <c r="C379" s="73">
        <f t="shared" si="175"/>
        <v>14</v>
      </c>
      <c r="D379" s="74">
        <f t="shared" si="158"/>
        <v>22</v>
      </c>
      <c r="E379" s="75">
        <f t="shared" si="159"/>
        <v>16</v>
      </c>
      <c r="F379" s="79"/>
      <c r="G379" s="82"/>
      <c r="H379" s="68" t="str">
        <f t="shared" si="176"/>
        <v>Clesim6_20211114_22_00</v>
      </c>
      <c r="I379" s="69">
        <f t="shared" si="180"/>
        <v>1</v>
      </c>
      <c r="J379" s="76" t="str">
        <f t="shared" si="180"/>
        <v>Clematis</v>
      </c>
      <c r="K379" s="76" t="str">
        <f t="shared" si="180"/>
        <v>simense</v>
      </c>
      <c r="L379" s="77">
        <f t="shared" si="180"/>
        <v>6</v>
      </c>
      <c r="M379" s="77">
        <f t="shared" si="180"/>
        <v>20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v>
      </c>
      <c r="C380" s="73">
        <f t="shared" si="175"/>
        <v>14</v>
      </c>
      <c r="D380" s="74">
        <f t="shared" si="158"/>
        <v>22</v>
      </c>
      <c r="E380" s="75">
        <f t="shared" si="159"/>
        <v>17</v>
      </c>
      <c r="F380" s="79"/>
      <c r="G380" s="82"/>
      <c r="H380" s="68" t="str">
        <f t="shared" si="176"/>
        <v>Clesim6_20211114_22_00</v>
      </c>
      <c r="I380" s="69">
        <f t="shared" si="180"/>
        <v>1</v>
      </c>
      <c r="J380" s="76" t="str">
        <f t="shared" si="180"/>
        <v>Clematis</v>
      </c>
      <c r="K380" s="76" t="str">
        <f t="shared" si="180"/>
        <v>simense</v>
      </c>
      <c r="L380" s="77">
        <f t="shared" si="180"/>
        <v>6</v>
      </c>
      <c r="M380" s="77">
        <f t="shared" si="180"/>
        <v>20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v>
      </c>
      <c r="C381" s="73">
        <f t="shared" si="175"/>
        <v>14</v>
      </c>
      <c r="D381" s="74">
        <f t="shared" si="158"/>
        <v>22</v>
      </c>
      <c r="E381" s="75">
        <f t="shared" si="159"/>
        <v>18</v>
      </c>
      <c r="F381" s="79"/>
      <c r="G381" s="82"/>
      <c r="H381" s="68" t="str">
        <f t="shared" si="176"/>
        <v>Clesim6_20211114_22_00</v>
      </c>
      <c r="I381" s="69">
        <f t="shared" si="180"/>
        <v>1</v>
      </c>
      <c r="J381" s="76" t="str">
        <f t="shared" si="180"/>
        <v>Clematis</v>
      </c>
      <c r="K381" s="76" t="str">
        <f t="shared" si="180"/>
        <v>simense</v>
      </c>
      <c r="L381" s="77">
        <f t="shared" si="180"/>
        <v>6</v>
      </c>
      <c r="M381" s="77">
        <f t="shared" si="180"/>
        <v>20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2021</v>
      </c>
      <c r="B382" s="72" t="str">
        <f t="shared" si="157"/>
        <v>Nov</v>
      </c>
      <c r="C382" s="73">
        <f t="shared" si="175"/>
        <v>14</v>
      </c>
      <c r="D382" s="74">
        <f t="shared" si="158"/>
        <v>22</v>
      </c>
      <c r="E382" s="75">
        <f t="shared" si="159"/>
        <v>19</v>
      </c>
      <c r="F382" s="79">
        <v>48</v>
      </c>
      <c r="G382" s="82"/>
      <c r="H382" s="68" t="str">
        <f t="shared" si="176"/>
        <v>Clesim6_20211114_22_00</v>
      </c>
      <c r="I382" s="69">
        <f t="shared" si="180"/>
        <v>1</v>
      </c>
      <c r="J382" s="76" t="str">
        <f t="shared" si="180"/>
        <v>Clematis</v>
      </c>
      <c r="K382" s="76" t="str">
        <f t="shared" si="180"/>
        <v>simense</v>
      </c>
      <c r="L382" s="77">
        <f t="shared" si="180"/>
        <v>6</v>
      </c>
      <c r="M382" s="77">
        <f t="shared" si="180"/>
        <v>20</v>
      </c>
      <c r="N382" s="71">
        <f t="shared" si="180"/>
        <v>0</v>
      </c>
      <c r="O382" s="44"/>
      <c r="P382" s="45">
        <f t="shared" si="160"/>
        <v>1</v>
      </c>
      <c r="Q382" s="46" t="str">
        <f t="shared" si="161"/>
        <v>22:19:48</v>
      </c>
      <c r="R382" s="47" t="str">
        <f t="shared" si="162"/>
        <v>19:48</v>
      </c>
      <c r="S382" s="48">
        <f t="shared" si="151"/>
        <v>156</v>
      </c>
      <c r="T382" s="47" t="str">
        <f t="shared" si="163"/>
        <v>22</v>
      </c>
      <c r="U382" s="49">
        <v>22</v>
      </c>
      <c r="V382" s="50">
        <v>24</v>
      </c>
      <c r="W382" s="51" t="str">
        <f t="shared" si="164"/>
        <v>22:24</v>
      </c>
      <c r="X382" s="123" t="s">
        <v>69</v>
      </c>
      <c r="Y382" s="52" t="s">
        <v>67</v>
      </c>
      <c r="Z382" s="52"/>
      <c r="AA382" s="47" t="s">
        <v>67</v>
      </c>
      <c r="AB382" s="47" t="str">
        <f t="shared" si="165"/>
        <v>NA</v>
      </c>
      <c r="AC382" s="53" t="str">
        <f t="shared" si="166"/>
        <v/>
      </c>
      <c r="AD382" s="54">
        <f t="shared" si="167"/>
        <v>1</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f t="shared" si="152"/>
        <v>0</v>
      </c>
      <c r="AX382" s="61" t="str">
        <f t="shared" si="153"/>
        <v/>
      </c>
      <c r="AY382" s="60">
        <f t="shared" si="154"/>
        <v>0</v>
      </c>
      <c r="AZ382" s="61" t="str">
        <f t="shared" si="155"/>
        <v/>
      </c>
    </row>
    <row r="383" spans="1:52" s="3" customFormat="1" hidden="1" x14ac:dyDescent="0.35">
      <c r="A383" s="72">
        <f t="shared" si="156"/>
        <v>2021</v>
      </c>
      <c r="B383" s="72" t="str">
        <f t="shared" si="157"/>
        <v>Nov</v>
      </c>
      <c r="C383" s="73">
        <f t="shared" si="175"/>
        <v>14</v>
      </c>
      <c r="D383" s="74">
        <f t="shared" si="158"/>
        <v>22</v>
      </c>
      <c r="E383" s="75">
        <f t="shared" si="159"/>
        <v>20</v>
      </c>
      <c r="F383" s="79"/>
      <c r="G383" s="82"/>
      <c r="H383" s="68" t="str">
        <f t="shared" si="176"/>
        <v>Clesim6_20211114_22_00</v>
      </c>
      <c r="I383" s="69">
        <f t="shared" si="180"/>
        <v>1</v>
      </c>
      <c r="J383" s="76" t="str">
        <f t="shared" si="180"/>
        <v>Clematis</v>
      </c>
      <c r="K383" s="76" t="str">
        <f t="shared" si="180"/>
        <v>simense</v>
      </c>
      <c r="L383" s="77">
        <f t="shared" si="180"/>
        <v>6</v>
      </c>
      <c r="M383" s="77">
        <f t="shared" si="180"/>
        <v>20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v>
      </c>
      <c r="C384" s="73">
        <f t="shared" si="175"/>
        <v>14</v>
      </c>
      <c r="D384" s="74">
        <f t="shared" si="158"/>
        <v>22</v>
      </c>
      <c r="E384" s="75">
        <f t="shared" si="159"/>
        <v>21</v>
      </c>
      <c r="F384" s="79"/>
      <c r="G384" s="82"/>
      <c r="H384" s="68" t="str">
        <f t="shared" si="176"/>
        <v>Clesim6_20211114_22_00</v>
      </c>
      <c r="I384" s="69">
        <f t="shared" si="180"/>
        <v>1</v>
      </c>
      <c r="J384" s="76" t="str">
        <f t="shared" si="180"/>
        <v>Clematis</v>
      </c>
      <c r="K384" s="76" t="str">
        <f t="shared" si="180"/>
        <v>simense</v>
      </c>
      <c r="L384" s="77">
        <f t="shared" si="180"/>
        <v>6</v>
      </c>
      <c r="M384" s="77">
        <f t="shared" si="180"/>
        <v>20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v>
      </c>
      <c r="C385" s="73">
        <f t="shared" si="175"/>
        <v>14</v>
      </c>
      <c r="D385" s="74">
        <f t="shared" si="158"/>
        <v>22</v>
      </c>
      <c r="E385" s="75">
        <f t="shared" si="159"/>
        <v>22</v>
      </c>
      <c r="F385" s="79"/>
      <c r="G385" s="82"/>
      <c r="H385" s="68" t="str">
        <f t="shared" si="176"/>
        <v>Clesim6_20211114_22_00</v>
      </c>
      <c r="I385" s="69">
        <f t="shared" si="180"/>
        <v>1</v>
      </c>
      <c r="J385" s="76" t="str">
        <f t="shared" si="180"/>
        <v>Clematis</v>
      </c>
      <c r="K385" s="76" t="str">
        <f t="shared" si="180"/>
        <v>simense</v>
      </c>
      <c r="L385" s="77">
        <f t="shared" si="180"/>
        <v>6</v>
      </c>
      <c r="M385" s="77">
        <f t="shared" si="180"/>
        <v>20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v>
      </c>
      <c r="C386" s="73">
        <f t="shared" si="175"/>
        <v>14</v>
      </c>
      <c r="D386" s="74">
        <f t="shared" si="158"/>
        <v>22</v>
      </c>
      <c r="E386" s="75">
        <f t="shared" si="159"/>
        <v>23</v>
      </c>
      <c r="F386" s="79"/>
      <c r="G386" s="82"/>
      <c r="H386" s="68" t="str">
        <f t="shared" si="176"/>
        <v>Clesim6_20211114_22_00</v>
      </c>
      <c r="I386" s="69">
        <f t="shared" si="180"/>
        <v>1</v>
      </c>
      <c r="J386" s="76" t="str">
        <f t="shared" si="180"/>
        <v>Clematis</v>
      </c>
      <c r="K386" s="76" t="str">
        <f t="shared" si="180"/>
        <v>simense</v>
      </c>
      <c r="L386" s="77">
        <f t="shared" si="180"/>
        <v>6</v>
      </c>
      <c r="M386" s="77">
        <f t="shared" si="180"/>
        <v>20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v>
      </c>
      <c r="C387" s="73">
        <f t="shared" si="175"/>
        <v>14</v>
      </c>
      <c r="D387" s="74">
        <f t="shared" si="158"/>
        <v>22</v>
      </c>
      <c r="E387" s="75">
        <f t="shared" si="159"/>
        <v>24</v>
      </c>
      <c r="F387" s="79"/>
      <c r="G387" s="82"/>
      <c r="H387" s="68" t="str">
        <f t="shared" si="176"/>
        <v>Clesim6_20211114_22_00</v>
      </c>
      <c r="I387" s="69">
        <f t="shared" si="180"/>
        <v>1</v>
      </c>
      <c r="J387" s="76" t="str">
        <f t="shared" si="180"/>
        <v>Clematis</v>
      </c>
      <c r="K387" s="76" t="str">
        <f t="shared" si="180"/>
        <v>simense</v>
      </c>
      <c r="L387" s="77">
        <f t="shared" si="180"/>
        <v>6</v>
      </c>
      <c r="M387" s="77">
        <f t="shared" si="180"/>
        <v>20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v>
      </c>
      <c r="C388" s="73">
        <f t="shared" si="175"/>
        <v>14</v>
      </c>
      <c r="D388" s="74">
        <f t="shared" ref="D388:D451" si="188">IF(IF(E387=59,D387+1,D387)=24,0,IF(E387=59,D387+1,D387))</f>
        <v>22</v>
      </c>
      <c r="E388" s="75">
        <f t="shared" ref="E388:E451" si="189">IF(E387&lt;59,E387+1,0)</f>
        <v>25</v>
      </c>
      <c r="F388" s="79"/>
      <c r="G388" s="82"/>
      <c r="H388" s="68" t="str">
        <f t="shared" si="176"/>
        <v>Clesim6_20211114_22_00</v>
      </c>
      <c r="I388" s="69">
        <f t="shared" si="180"/>
        <v>1</v>
      </c>
      <c r="J388" s="76" t="str">
        <f t="shared" si="180"/>
        <v>Clematis</v>
      </c>
      <c r="K388" s="76" t="str">
        <f t="shared" si="180"/>
        <v>simense</v>
      </c>
      <c r="L388" s="77">
        <f t="shared" si="180"/>
        <v>6</v>
      </c>
      <c r="M388" s="77">
        <f t="shared" si="180"/>
        <v>20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v>
      </c>
      <c r="C389" s="73">
        <f t="shared" ref="C389:C452" si="205">IF(AND(D389=0, E389=0), IF(TEXT(C388,"dd")=TEXT(EOMONTH(DATE(A388,MONTH(DATEVALUE(B388&amp;"1")),C388),0), "dd"), 1, C388+1), C388)</f>
        <v>14</v>
      </c>
      <c r="D389" s="74">
        <f t="shared" si="188"/>
        <v>22</v>
      </c>
      <c r="E389" s="75">
        <f t="shared" si="189"/>
        <v>26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Clesim6_20211114_22_00</v>
      </c>
      <c r="I389" s="69">
        <f t="shared" ref="I389:N404" si="207">I388</f>
        <v>1</v>
      </c>
      <c r="J389" s="76" t="str">
        <f t="shared" si="207"/>
        <v>Clematis</v>
      </c>
      <c r="K389" s="76" t="str">
        <f t="shared" si="207"/>
        <v>simense</v>
      </c>
      <c r="L389" s="77">
        <f t="shared" si="207"/>
        <v>6</v>
      </c>
      <c r="M389" s="77">
        <f t="shared" si="207"/>
        <v>20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v>
      </c>
      <c r="C390" s="73">
        <f t="shared" si="205"/>
        <v>14</v>
      </c>
      <c r="D390" s="74">
        <f t="shared" si="188"/>
        <v>22</v>
      </c>
      <c r="E390" s="75">
        <f t="shared" si="189"/>
        <v>27</v>
      </c>
      <c r="F390" s="79"/>
      <c r="G390" s="82"/>
      <c r="H390" s="68" t="str">
        <f t="shared" si="206"/>
        <v>Clesim6_20211114_22_00</v>
      </c>
      <c r="I390" s="69">
        <f t="shared" si="207"/>
        <v>1</v>
      </c>
      <c r="J390" s="76" t="str">
        <f t="shared" si="207"/>
        <v>Clematis</v>
      </c>
      <c r="K390" s="76" t="str">
        <f t="shared" si="207"/>
        <v>simense</v>
      </c>
      <c r="L390" s="77">
        <f t="shared" si="207"/>
        <v>6</v>
      </c>
      <c r="M390" s="77">
        <f t="shared" si="207"/>
        <v>20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v>
      </c>
      <c r="C391" s="73">
        <f t="shared" si="205"/>
        <v>14</v>
      </c>
      <c r="D391" s="74">
        <f t="shared" si="188"/>
        <v>22</v>
      </c>
      <c r="E391" s="75">
        <f t="shared" si="189"/>
        <v>28</v>
      </c>
      <c r="F391" s="79"/>
      <c r="G391" s="82"/>
      <c r="H391" s="68" t="str">
        <f t="shared" si="206"/>
        <v>Clesim6_20211114_22_00</v>
      </c>
      <c r="I391" s="69">
        <f t="shared" si="207"/>
        <v>1</v>
      </c>
      <c r="J391" s="76" t="str">
        <f t="shared" si="207"/>
        <v>Clematis</v>
      </c>
      <c r="K391" s="76" t="str">
        <f t="shared" si="207"/>
        <v>simense</v>
      </c>
      <c r="L391" s="77">
        <f t="shared" si="207"/>
        <v>6</v>
      </c>
      <c r="M391" s="77">
        <f t="shared" si="207"/>
        <v>20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v>
      </c>
      <c r="C392" s="73">
        <f t="shared" si="205"/>
        <v>14</v>
      </c>
      <c r="D392" s="74">
        <f t="shared" si="188"/>
        <v>22</v>
      </c>
      <c r="E392" s="75">
        <f t="shared" si="189"/>
        <v>29</v>
      </c>
      <c r="F392" s="79"/>
      <c r="G392" s="82"/>
      <c r="H392" s="68" t="str">
        <f t="shared" si="206"/>
        <v>Clesim6_20211114_22_00</v>
      </c>
      <c r="I392" s="69">
        <f t="shared" si="207"/>
        <v>1</v>
      </c>
      <c r="J392" s="76" t="str">
        <f t="shared" si="207"/>
        <v>Clematis</v>
      </c>
      <c r="K392" s="76" t="str">
        <f t="shared" si="207"/>
        <v>simense</v>
      </c>
      <c r="L392" s="77">
        <f t="shared" si="207"/>
        <v>6</v>
      </c>
      <c r="M392" s="77">
        <f t="shared" si="207"/>
        <v>20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v>
      </c>
      <c r="C393" s="73">
        <f t="shared" si="205"/>
        <v>14</v>
      </c>
      <c r="D393" s="74">
        <f t="shared" si="188"/>
        <v>22</v>
      </c>
      <c r="E393" s="75">
        <f t="shared" si="189"/>
        <v>30</v>
      </c>
      <c r="F393" s="79"/>
      <c r="G393" s="82"/>
      <c r="H393" s="68" t="str">
        <f t="shared" si="206"/>
        <v>Clesim6_20211114_22_00</v>
      </c>
      <c r="I393" s="69">
        <f t="shared" si="207"/>
        <v>1</v>
      </c>
      <c r="J393" s="76" t="str">
        <f t="shared" si="207"/>
        <v>Clematis</v>
      </c>
      <c r="K393" s="76" t="str">
        <f t="shared" si="207"/>
        <v>simense</v>
      </c>
      <c r="L393" s="77">
        <f t="shared" si="207"/>
        <v>6</v>
      </c>
      <c r="M393" s="77">
        <f t="shared" si="207"/>
        <v>20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v>
      </c>
      <c r="C394" s="73">
        <f t="shared" si="205"/>
        <v>14</v>
      </c>
      <c r="D394" s="74">
        <f t="shared" si="188"/>
        <v>22</v>
      </c>
      <c r="E394" s="75">
        <f t="shared" si="189"/>
        <v>31</v>
      </c>
      <c r="F394" s="79"/>
      <c r="G394" s="82"/>
      <c r="H394" s="68" t="str">
        <f t="shared" si="206"/>
        <v>Clesim6_20211114_22_00</v>
      </c>
      <c r="I394" s="69">
        <f t="shared" si="207"/>
        <v>1</v>
      </c>
      <c r="J394" s="76" t="str">
        <f t="shared" si="207"/>
        <v>Clematis</v>
      </c>
      <c r="K394" s="76" t="str">
        <f t="shared" si="207"/>
        <v>simense</v>
      </c>
      <c r="L394" s="77">
        <f t="shared" si="207"/>
        <v>6</v>
      </c>
      <c r="M394" s="77">
        <f t="shared" si="207"/>
        <v>20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v>
      </c>
      <c r="C395" s="73">
        <f t="shared" si="205"/>
        <v>14</v>
      </c>
      <c r="D395" s="74">
        <f t="shared" si="188"/>
        <v>22</v>
      </c>
      <c r="E395" s="75">
        <f t="shared" si="189"/>
        <v>32</v>
      </c>
      <c r="F395" s="79"/>
      <c r="G395" s="82"/>
      <c r="H395" s="68" t="str">
        <f t="shared" si="206"/>
        <v>Clesim6_20211114_22_00</v>
      </c>
      <c r="I395" s="69">
        <f t="shared" si="207"/>
        <v>1</v>
      </c>
      <c r="J395" s="76" t="str">
        <f t="shared" si="207"/>
        <v>Clematis</v>
      </c>
      <c r="K395" s="76" t="str">
        <f t="shared" si="207"/>
        <v>simense</v>
      </c>
      <c r="L395" s="77">
        <f t="shared" si="207"/>
        <v>6</v>
      </c>
      <c r="M395" s="77">
        <f t="shared" si="207"/>
        <v>20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v>
      </c>
      <c r="C396" s="73">
        <f t="shared" si="205"/>
        <v>14</v>
      </c>
      <c r="D396" s="74">
        <f t="shared" si="188"/>
        <v>22</v>
      </c>
      <c r="E396" s="75">
        <f t="shared" si="189"/>
        <v>33</v>
      </c>
      <c r="F396" s="79"/>
      <c r="G396" s="82"/>
      <c r="H396" s="68" t="str">
        <f t="shared" si="206"/>
        <v>Clesim6_20211114_22_00</v>
      </c>
      <c r="I396" s="69">
        <f t="shared" si="207"/>
        <v>1</v>
      </c>
      <c r="J396" s="76" t="str">
        <f t="shared" si="207"/>
        <v>Clematis</v>
      </c>
      <c r="K396" s="76" t="str">
        <f t="shared" si="207"/>
        <v>simense</v>
      </c>
      <c r="L396" s="77">
        <f t="shared" si="207"/>
        <v>6</v>
      </c>
      <c r="M396" s="77">
        <f t="shared" si="207"/>
        <v>20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v>
      </c>
      <c r="C397" s="73">
        <f t="shared" si="205"/>
        <v>14</v>
      </c>
      <c r="D397" s="74">
        <f t="shared" si="188"/>
        <v>22</v>
      </c>
      <c r="E397" s="75">
        <f t="shared" si="189"/>
        <v>34</v>
      </c>
      <c r="F397" s="79"/>
      <c r="G397" s="82"/>
      <c r="H397" s="68" t="str">
        <f t="shared" si="206"/>
        <v>Clesim6_20211114_22_00</v>
      </c>
      <c r="I397" s="69">
        <f t="shared" si="207"/>
        <v>1</v>
      </c>
      <c r="J397" s="76" t="str">
        <f t="shared" si="207"/>
        <v>Clematis</v>
      </c>
      <c r="K397" s="76" t="str">
        <f t="shared" si="207"/>
        <v>simense</v>
      </c>
      <c r="L397" s="77">
        <f t="shared" si="207"/>
        <v>6</v>
      </c>
      <c r="M397" s="77">
        <f t="shared" si="207"/>
        <v>20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v>
      </c>
      <c r="C398" s="73">
        <f t="shared" si="205"/>
        <v>14</v>
      </c>
      <c r="D398" s="74">
        <f t="shared" si="188"/>
        <v>22</v>
      </c>
      <c r="E398" s="75">
        <f t="shared" si="189"/>
        <v>35</v>
      </c>
      <c r="F398" s="79"/>
      <c r="G398" s="82"/>
      <c r="H398" s="68" t="str">
        <f t="shared" si="206"/>
        <v>Clesim6_20211114_22_00</v>
      </c>
      <c r="I398" s="69">
        <f t="shared" si="207"/>
        <v>1</v>
      </c>
      <c r="J398" s="76" t="str">
        <f t="shared" si="207"/>
        <v>Clematis</v>
      </c>
      <c r="K398" s="76" t="str">
        <f t="shared" si="207"/>
        <v>simense</v>
      </c>
      <c r="L398" s="77">
        <f t="shared" si="207"/>
        <v>6</v>
      </c>
      <c r="M398" s="77">
        <f t="shared" si="207"/>
        <v>20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2021</v>
      </c>
      <c r="B399" s="72" t="str">
        <f t="shared" si="187"/>
        <v>Nov</v>
      </c>
      <c r="C399" s="73">
        <f t="shared" si="205"/>
        <v>14</v>
      </c>
      <c r="D399" s="74">
        <f t="shared" si="188"/>
        <v>22</v>
      </c>
      <c r="E399" s="75">
        <f t="shared" si="189"/>
        <v>36</v>
      </c>
      <c r="F399" s="79">
        <v>3</v>
      </c>
      <c r="G399" s="82"/>
      <c r="H399" s="68" t="str">
        <f t="shared" si="206"/>
        <v>Clesim6_20211114_22_00</v>
      </c>
      <c r="I399" s="69">
        <f t="shared" si="207"/>
        <v>1</v>
      </c>
      <c r="J399" s="76" t="str">
        <f t="shared" si="207"/>
        <v>Clematis</v>
      </c>
      <c r="K399" s="76" t="str">
        <f t="shared" si="207"/>
        <v>simense</v>
      </c>
      <c r="L399" s="77">
        <f t="shared" si="207"/>
        <v>6</v>
      </c>
      <c r="M399" s="77">
        <f t="shared" si="207"/>
        <v>20</v>
      </c>
      <c r="N399" s="71">
        <f t="shared" si="207"/>
        <v>0</v>
      </c>
      <c r="O399" s="44"/>
      <c r="P399" s="45">
        <f t="shared" si="190"/>
        <v>1</v>
      </c>
      <c r="Q399" s="46" t="str">
        <f t="shared" si="191"/>
        <v>22:36:03</v>
      </c>
      <c r="R399" s="47" t="str">
        <f t="shared" si="192"/>
        <v>36:03</v>
      </c>
      <c r="S399" s="48">
        <f t="shared" si="181"/>
        <v>27</v>
      </c>
      <c r="T399" s="47" t="str">
        <f t="shared" si="193"/>
        <v>22</v>
      </c>
      <c r="U399" s="49">
        <v>36</v>
      </c>
      <c r="V399" s="50">
        <v>30</v>
      </c>
      <c r="W399" s="51" t="str">
        <f t="shared" si="194"/>
        <v>36:30</v>
      </c>
      <c r="X399" s="52" t="s">
        <v>63</v>
      </c>
      <c r="Y399" s="52" t="s">
        <v>77</v>
      </c>
      <c r="Z399" s="52"/>
      <c r="AA399" s="47" t="s">
        <v>64</v>
      </c>
      <c r="AB399" s="47" t="str">
        <f t="shared" si="195"/>
        <v>NA</v>
      </c>
      <c r="AC399" s="53" t="str">
        <f t="shared" si="196"/>
        <v/>
      </c>
      <c r="AD399" s="54">
        <f t="shared" si="197"/>
        <v>1</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f t="shared" si="182"/>
        <v>0</v>
      </c>
      <c r="AX399" s="61" t="str">
        <f t="shared" si="183"/>
        <v/>
      </c>
      <c r="AY399" s="60">
        <f t="shared" si="184"/>
        <v>0</v>
      </c>
      <c r="AZ399" s="61" t="str">
        <f t="shared" si="185"/>
        <v/>
      </c>
    </row>
    <row r="400" spans="1:52" s="3" customFormat="1" hidden="1" x14ac:dyDescent="0.35">
      <c r="A400" s="72">
        <f t="shared" si="186"/>
        <v>2021</v>
      </c>
      <c r="B400" s="72" t="str">
        <f t="shared" si="187"/>
        <v>Nov</v>
      </c>
      <c r="C400" s="73">
        <f t="shared" si="205"/>
        <v>14</v>
      </c>
      <c r="D400" s="74">
        <f t="shared" si="188"/>
        <v>22</v>
      </c>
      <c r="E400" s="75">
        <f t="shared" si="189"/>
        <v>37</v>
      </c>
      <c r="F400" s="79"/>
      <c r="G400" s="82"/>
      <c r="H400" s="68" t="str">
        <f t="shared" si="206"/>
        <v>Clesim6_20211114_22_00</v>
      </c>
      <c r="I400" s="69">
        <f t="shared" si="207"/>
        <v>1</v>
      </c>
      <c r="J400" s="76" t="str">
        <f t="shared" si="207"/>
        <v>Clematis</v>
      </c>
      <c r="K400" s="76" t="str">
        <f t="shared" si="207"/>
        <v>simense</v>
      </c>
      <c r="L400" s="77">
        <f t="shared" si="207"/>
        <v>6</v>
      </c>
      <c r="M400" s="77">
        <f t="shared" si="207"/>
        <v>20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v>
      </c>
      <c r="C401" s="73">
        <f t="shared" si="205"/>
        <v>14</v>
      </c>
      <c r="D401" s="74">
        <f t="shared" si="188"/>
        <v>22</v>
      </c>
      <c r="E401" s="75">
        <f t="shared" si="189"/>
        <v>38</v>
      </c>
      <c r="F401" s="79"/>
      <c r="G401" s="82"/>
      <c r="H401" s="68" t="str">
        <f t="shared" si="206"/>
        <v>Clesim6_20211114_22_00</v>
      </c>
      <c r="I401" s="69">
        <f t="shared" si="207"/>
        <v>1</v>
      </c>
      <c r="J401" s="76" t="str">
        <f t="shared" si="207"/>
        <v>Clematis</v>
      </c>
      <c r="K401" s="76" t="str">
        <f t="shared" si="207"/>
        <v>simense</v>
      </c>
      <c r="L401" s="77">
        <f t="shared" si="207"/>
        <v>6</v>
      </c>
      <c r="M401" s="77">
        <f t="shared" si="207"/>
        <v>20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2021</v>
      </c>
      <c r="B402" s="72" t="str">
        <f t="shared" si="187"/>
        <v>Nov</v>
      </c>
      <c r="C402" s="73">
        <f t="shared" si="205"/>
        <v>14</v>
      </c>
      <c r="D402" s="74">
        <f t="shared" si="188"/>
        <v>22</v>
      </c>
      <c r="E402" s="75">
        <f t="shared" si="189"/>
        <v>39</v>
      </c>
      <c r="F402" s="79">
        <v>38</v>
      </c>
      <c r="G402" s="82"/>
      <c r="H402" s="68" t="str">
        <f t="shared" si="206"/>
        <v>Clesim6_20211114_22_00</v>
      </c>
      <c r="I402" s="69">
        <f t="shared" si="207"/>
        <v>1</v>
      </c>
      <c r="J402" s="76" t="str">
        <f t="shared" si="207"/>
        <v>Clematis</v>
      </c>
      <c r="K402" s="76" t="str">
        <f t="shared" si="207"/>
        <v>simense</v>
      </c>
      <c r="L402" s="77">
        <f t="shared" si="207"/>
        <v>6</v>
      </c>
      <c r="M402" s="77">
        <f t="shared" si="207"/>
        <v>20</v>
      </c>
      <c r="N402" s="71">
        <f t="shared" si="207"/>
        <v>0</v>
      </c>
      <c r="O402" s="44"/>
      <c r="P402" s="45">
        <f t="shared" si="190"/>
        <v>1</v>
      </c>
      <c r="Q402" s="46" t="str">
        <f t="shared" si="191"/>
        <v>22:39:38</v>
      </c>
      <c r="R402" s="47" t="str">
        <f t="shared" si="192"/>
        <v>39:38</v>
      </c>
      <c r="S402" s="48">
        <f t="shared" si="181"/>
        <v>190</v>
      </c>
      <c r="T402" s="47" t="str">
        <f t="shared" si="193"/>
        <v>22</v>
      </c>
      <c r="U402" s="49">
        <v>42</v>
      </c>
      <c r="V402" s="50">
        <v>48</v>
      </c>
      <c r="W402" s="51" t="str">
        <f t="shared" si="194"/>
        <v>42:48</v>
      </c>
      <c r="X402" s="123" t="s">
        <v>69</v>
      </c>
      <c r="Y402" s="52" t="s">
        <v>67</v>
      </c>
      <c r="Z402" s="52"/>
      <c r="AA402" s="47" t="s">
        <v>67</v>
      </c>
      <c r="AB402" s="47" t="str">
        <f t="shared" si="195"/>
        <v>NA</v>
      </c>
      <c r="AC402" s="53" t="str">
        <f t="shared" si="196"/>
        <v/>
      </c>
      <c r="AD402" s="54">
        <v>3</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f t="shared" si="182"/>
        <v>0</v>
      </c>
      <c r="AX402" s="61" t="str">
        <f t="shared" si="183"/>
        <v/>
      </c>
      <c r="AY402" s="60">
        <f t="shared" si="184"/>
        <v>0</v>
      </c>
      <c r="AZ402" s="61" t="str">
        <f t="shared" si="185"/>
        <v/>
      </c>
    </row>
    <row r="403" spans="1:52" s="3" customFormat="1" hidden="1" x14ac:dyDescent="0.35">
      <c r="A403" s="72">
        <f t="shared" si="186"/>
        <v>2021</v>
      </c>
      <c r="B403" s="72" t="str">
        <f t="shared" si="187"/>
        <v>Nov</v>
      </c>
      <c r="C403" s="73">
        <f t="shared" si="205"/>
        <v>14</v>
      </c>
      <c r="D403" s="74">
        <f t="shared" si="188"/>
        <v>22</v>
      </c>
      <c r="E403" s="75">
        <f t="shared" si="189"/>
        <v>40</v>
      </c>
      <c r="F403" s="79"/>
      <c r="G403" s="82"/>
      <c r="H403" s="68" t="str">
        <f t="shared" si="206"/>
        <v>Clesim6_20211114_22_00</v>
      </c>
      <c r="I403" s="69">
        <f t="shared" si="207"/>
        <v>1</v>
      </c>
      <c r="J403" s="76" t="str">
        <f t="shared" si="207"/>
        <v>Clematis</v>
      </c>
      <c r="K403" s="76" t="str">
        <f t="shared" si="207"/>
        <v>simense</v>
      </c>
      <c r="L403" s="77">
        <f t="shared" si="207"/>
        <v>6</v>
      </c>
      <c r="M403" s="77">
        <f t="shared" si="207"/>
        <v>20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v>
      </c>
      <c r="C404" s="73">
        <f t="shared" si="205"/>
        <v>14</v>
      </c>
      <c r="D404" s="74">
        <f t="shared" si="188"/>
        <v>22</v>
      </c>
      <c r="E404" s="75">
        <f t="shared" si="189"/>
        <v>41</v>
      </c>
      <c r="F404" s="79"/>
      <c r="G404" s="82"/>
      <c r="H404" s="68" t="str">
        <f t="shared" si="206"/>
        <v>Clesim6_20211114_22_00</v>
      </c>
      <c r="I404" s="69">
        <f t="shared" si="207"/>
        <v>1</v>
      </c>
      <c r="J404" s="76" t="str">
        <f t="shared" si="207"/>
        <v>Clematis</v>
      </c>
      <c r="K404" s="76" t="str">
        <f t="shared" si="207"/>
        <v>simense</v>
      </c>
      <c r="L404" s="77">
        <f t="shared" si="207"/>
        <v>6</v>
      </c>
      <c r="M404" s="77">
        <f t="shared" si="207"/>
        <v>20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v>
      </c>
      <c r="C405" s="73">
        <f t="shared" si="205"/>
        <v>14</v>
      </c>
      <c r="D405" s="74">
        <f t="shared" si="188"/>
        <v>22</v>
      </c>
      <c r="E405" s="75">
        <f t="shared" si="189"/>
        <v>42</v>
      </c>
      <c r="F405" s="79"/>
      <c r="G405" s="82"/>
      <c r="H405" s="68" t="str">
        <f t="shared" si="206"/>
        <v>Clesim6_20211114_22_00</v>
      </c>
      <c r="I405" s="69">
        <f t="shared" ref="I405:N420" si="208">I404</f>
        <v>1</v>
      </c>
      <c r="J405" s="76" t="str">
        <f t="shared" si="208"/>
        <v>Clematis</v>
      </c>
      <c r="K405" s="76" t="str">
        <f t="shared" si="208"/>
        <v>simense</v>
      </c>
      <c r="L405" s="77">
        <f t="shared" si="208"/>
        <v>6</v>
      </c>
      <c r="M405" s="77">
        <f t="shared" si="208"/>
        <v>20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v>
      </c>
      <c r="C406" s="73">
        <f t="shared" si="205"/>
        <v>14</v>
      </c>
      <c r="D406" s="74">
        <f t="shared" si="188"/>
        <v>22</v>
      </c>
      <c r="E406" s="75">
        <f t="shared" si="189"/>
        <v>43</v>
      </c>
      <c r="F406" s="79"/>
      <c r="G406" s="82"/>
      <c r="H406" s="68" t="str">
        <f t="shared" si="206"/>
        <v>Clesim6_20211114_22_00</v>
      </c>
      <c r="I406" s="69">
        <f t="shared" si="208"/>
        <v>1</v>
      </c>
      <c r="J406" s="76" t="str">
        <f t="shared" si="208"/>
        <v>Clematis</v>
      </c>
      <c r="K406" s="76" t="str">
        <f t="shared" si="208"/>
        <v>simense</v>
      </c>
      <c r="L406" s="77">
        <f t="shared" si="208"/>
        <v>6</v>
      </c>
      <c r="M406" s="77">
        <f t="shared" si="208"/>
        <v>20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v>
      </c>
      <c r="C407" s="73">
        <f t="shared" si="205"/>
        <v>14</v>
      </c>
      <c r="D407" s="74">
        <f t="shared" si="188"/>
        <v>22</v>
      </c>
      <c r="E407" s="75">
        <f t="shared" si="189"/>
        <v>44</v>
      </c>
      <c r="F407" s="79"/>
      <c r="G407" s="82"/>
      <c r="H407" s="68" t="str">
        <f t="shared" si="206"/>
        <v>Clesim6_20211114_22_00</v>
      </c>
      <c r="I407" s="69">
        <f t="shared" si="208"/>
        <v>1</v>
      </c>
      <c r="J407" s="76" t="str">
        <f t="shared" si="208"/>
        <v>Clematis</v>
      </c>
      <c r="K407" s="76" t="str">
        <f t="shared" si="208"/>
        <v>simense</v>
      </c>
      <c r="L407" s="77">
        <f t="shared" si="208"/>
        <v>6</v>
      </c>
      <c r="M407" s="77">
        <f t="shared" si="208"/>
        <v>20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v>
      </c>
      <c r="C408" s="73">
        <f t="shared" si="205"/>
        <v>14</v>
      </c>
      <c r="D408" s="74">
        <f t="shared" si="188"/>
        <v>22</v>
      </c>
      <c r="E408" s="75">
        <f t="shared" si="189"/>
        <v>45</v>
      </c>
      <c r="F408" s="79"/>
      <c r="G408" s="82"/>
      <c r="H408" s="68" t="str">
        <f t="shared" si="206"/>
        <v>Clesim6_20211114_22_00</v>
      </c>
      <c r="I408" s="69">
        <f t="shared" si="208"/>
        <v>1</v>
      </c>
      <c r="J408" s="76" t="str">
        <f t="shared" si="208"/>
        <v>Clematis</v>
      </c>
      <c r="K408" s="76" t="str">
        <f t="shared" si="208"/>
        <v>simense</v>
      </c>
      <c r="L408" s="77">
        <f t="shared" si="208"/>
        <v>6</v>
      </c>
      <c r="M408" s="77">
        <f t="shared" si="208"/>
        <v>20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2021</v>
      </c>
      <c r="B409" s="72" t="str">
        <f t="shared" si="187"/>
        <v>Nov</v>
      </c>
      <c r="C409" s="73">
        <f t="shared" si="205"/>
        <v>14</v>
      </c>
      <c r="D409" s="74">
        <f t="shared" si="188"/>
        <v>22</v>
      </c>
      <c r="E409" s="75">
        <f t="shared" si="189"/>
        <v>46</v>
      </c>
      <c r="F409" s="79">
        <v>19</v>
      </c>
      <c r="G409" s="82"/>
      <c r="H409" s="68" t="str">
        <f t="shared" si="206"/>
        <v>Clesim6_20211114_22_00</v>
      </c>
      <c r="I409" s="69">
        <f t="shared" si="208"/>
        <v>1</v>
      </c>
      <c r="J409" s="76" t="str">
        <f t="shared" si="208"/>
        <v>Clematis</v>
      </c>
      <c r="K409" s="76" t="str">
        <f t="shared" si="208"/>
        <v>simense</v>
      </c>
      <c r="L409" s="77">
        <f t="shared" si="208"/>
        <v>6</v>
      </c>
      <c r="M409" s="77">
        <f t="shared" si="208"/>
        <v>20</v>
      </c>
      <c r="N409" s="71">
        <f t="shared" si="208"/>
        <v>0</v>
      </c>
      <c r="O409" s="44"/>
      <c r="P409" s="45">
        <f t="shared" si="190"/>
        <v>1</v>
      </c>
      <c r="Q409" s="46" t="str">
        <f t="shared" si="191"/>
        <v>22:46:19</v>
      </c>
      <c r="R409" s="47" t="str">
        <f t="shared" si="192"/>
        <v>46:19</v>
      </c>
      <c r="S409" s="48">
        <f t="shared" si="181"/>
        <v>477</v>
      </c>
      <c r="T409" s="47" t="str">
        <f t="shared" si="193"/>
        <v>22</v>
      </c>
      <c r="U409" s="49">
        <v>54</v>
      </c>
      <c r="V409" s="50">
        <v>16</v>
      </c>
      <c r="W409" s="51" t="str">
        <f t="shared" si="194"/>
        <v>54:16</v>
      </c>
      <c r="X409" s="123" t="s">
        <v>69</v>
      </c>
      <c r="Y409" s="52" t="s">
        <v>67</v>
      </c>
      <c r="Z409" s="52"/>
      <c r="AA409" s="47" t="s">
        <v>67</v>
      </c>
      <c r="AB409" s="47" t="str">
        <f t="shared" si="195"/>
        <v>NA</v>
      </c>
      <c r="AC409" s="53" t="str">
        <f t="shared" si="196"/>
        <v/>
      </c>
      <c r="AD409" s="54">
        <v>4</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f t="shared" si="182"/>
        <v>0</v>
      </c>
      <c r="AX409" s="61" t="str">
        <f t="shared" si="183"/>
        <v/>
      </c>
      <c r="AY409" s="60">
        <f t="shared" si="184"/>
        <v>0</v>
      </c>
      <c r="AZ409" s="61" t="str">
        <f t="shared" si="185"/>
        <v/>
      </c>
    </row>
    <row r="410" spans="1:52" s="3" customFormat="1" hidden="1" x14ac:dyDescent="0.35">
      <c r="A410" s="72">
        <f t="shared" si="186"/>
        <v>2021</v>
      </c>
      <c r="B410" s="72" t="str">
        <f t="shared" si="187"/>
        <v>Nov</v>
      </c>
      <c r="C410" s="73">
        <f t="shared" si="205"/>
        <v>14</v>
      </c>
      <c r="D410" s="74">
        <f t="shared" si="188"/>
        <v>22</v>
      </c>
      <c r="E410" s="75">
        <f t="shared" si="189"/>
        <v>47</v>
      </c>
      <c r="F410" s="79"/>
      <c r="G410" s="82"/>
      <c r="H410" s="68" t="str">
        <f t="shared" si="206"/>
        <v>Clesim6_20211114_22_00</v>
      </c>
      <c r="I410" s="69">
        <f t="shared" si="208"/>
        <v>1</v>
      </c>
      <c r="J410" s="76" t="str">
        <f t="shared" si="208"/>
        <v>Clematis</v>
      </c>
      <c r="K410" s="76" t="str">
        <f t="shared" si="208"/>
        <v>simense</v>
      </c>
      <c r="L410" s="77">
        <f t="shared" si="208"/>
        <v>6</v>
      </c>
      <c r="M410" s="77">
        <f t="shared" si="208"/>
        <v>20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2021</v>
      </c>
      <c r="B411" s="72" t="str">
        <f t="shared" si="187"/>
        <v>Nov</v>
      </c>
      <c r="C411" s="73">
        <f t="shared" si="205"/>
        <v>14</v>
      </c>
      <c r="D411" s="74">
        <f t="shared" si="188"/>
        <v>22</v>
      </c>
      <c r="E411" s="75">
        <f t="shared" si="189"/>
        <v>48</v>
      </c>
      <c r="F411" s="79">
        <v>9</v>
      </c>
      <c r="G411" s="82"/>
      <c r="H411" s="68" t="str">
        <f t="shared" si="206"/>
        <v>Clesim6_20211114_22_00</v>
      </c>
      <c r="I411" s="69">
        <f t="shared" si="208"/>
        <v>1</v>
      </c>
      <c r="J411" s="76" t="str">
        <f t="shared" si="208"/>
        <v>Clematis</v>
      </c>
      <c r="K411" s="76" t="str">
        <f t="shared" si="208"/>
        <v>simense</v>
      </c>
      <c r="L411" s="77">
        <f t="shared" si="208"/>
        <v>6</v>
      </c>
      <c r="M411" s="77">
        <f t="shared" si="208"/>
        <v>20</v>
      </c>
      <c r="N411" s="71">
        <f t="shared" si="208"/>
        <v>0</v>
      </c>
      <c r="O411" s="44"/>
      <c r="P411" s="45">
        <f t="shared" si="190"/>
        <v>1</v>
      </c>
      <c r="Q411" s="46" t="str">
        <f t="shared" si="191"/>
        <v>22:48:09</v>
      </c>
      <c r="R411" s="47" t="str">
        <f t="shared" si="192"/>
        <v>48:09</v>
      </c>
      <c r="S411" s="48">
        <f t="shared" si="181"/>
        <v>51</v>
      </c>
      <c r="T411" s="47" t="str">
        <f t="shared" si="193"/>
        <v>22</v>
      </c>
      <c r="U411" s="49">
        <v>49</v>
      </c>
      <c r="V411" s="50">
        <v>0</v>
      </c>
      <c r="W411" s="51" t="str">
        <f t="shared" si="194"/>
        <v>49:00</v>
      </c>
      <c r="X411" s="52" t="s">
        <v>63</v>
      </c>
      <c r="Y411" s="52" t="s">
        <v>79</v>
      </c>
      <c r="Z411" s="52"/>
      <c r="AA411" s="47" t="s">
        <v>64</v>
      </c>
      <c r="AB411" s="47" t="str">
        <f t="shared" si="195"/>
        <v>NA</v>
      </c>
      <c r="AC411" s="53" t="str">
        <f t="shared" si="196"/>
        <v/>
      </c>
      <c r="AD411" s="54">
        <v>2</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f t="shared" si="182"/>
        <v>0</v>
      </c>
      <c r="AX411" s="61" t="str">
        <f t="shared" si="183"/>
        <v/>
      </c>
      <c r="AY411" s="60">
        <f t="shared" si="184"/>
        <v>0</v>
      </c>
      <c r="AZ411" s="61" t="str">
        <f t="shared" si="185"/>
        <v/>
      </c>
    </row>
    <row r="412" spans="1:52" s="3" customFormat="1" hidden="1" x14ac:dyDescent="0.35">
      <c r="A412" s="72">
        <f t="shared" si="186"/>
        <v>2021</v>
      </c>
      <c r="B412" s="72" t="str">
        <f t="shared" si="187"/>
        <v>Nov</v>
      </c>
      <c r="C412" s="73">
        <f t="shared" si="205"/>
        <v>14</v>
      </c>
      <c r="D412" s="74">
        <f t="shared" si="188"/>
        <v>22</v>
      </c>
      <c r="E412" s="75">
        <f t="shared" si="189"/>
        <v>49</v>
      </c>
      <c r="F412" s="79"/>
      <c r="G412" s="82"/>
      <c r="H412" s="68" t="str">
        <f t="shared" si="206"/>
        <v>Clesim6_20211114_22_00</v>
      </c>
      <c r="I412" s="69">
        <f t="shared" si="208"/>
        <v>1</v>
      </c>
      <c r="J412" s="76" t="str">
        <f t="shared" si="208"/>
        <v>Clematis</v>
      </c>
      <c r="K412" s="76" t="str">
        <f t="shared" si="208"/>
        <v>simense</v>
      </c>
      <c r="L412" s="77">
        <f t="shared" si="208"/>
        <v>6</v>
      </c>
      <c r="M412" s="77">
        <f t="shared" si="208"/>
        <v>20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v>
      </c>
      <c r="C413" s="73">
        <f t="shared" si="205"/>
        <v>14</v>
      </c>
      <c r="D413" s="74">
        <f t="shared" si="188"/>
        <v>22</v>
      </c>
      <c r="E413" s="75">
        <f t="shared" si="189"/>
        <v>50</v>
      </c>
      <c r="F413" s="79"/>
      <c r="G413" s="82"/>
      <c r="H413" s="68" t="str">
        <f t="shared" si="206"/>
        <v>Clesim6_20211114_22_00</v>
      </c>
      <c r="I413" s="69">
        <f t="shared" si="208"/>
        <v>1</v>
      </c>
      <c r="J413" s="76" t="str">
        <f t="shared" si="208"/>
        <v>Clematis</v>
      </c>
      <c r="K413" s="76" t="str">
        <f t="shared" si="208"/>
        <v>simense</v>
      </c>
      <c r="L413" s="77">
        <f t="shared" si="208"/>
        <v>6</v>
      </c>
      <c r="M413" s="77">
        <f t="shared" si="208"/>
        <v>20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2021</v>
      </c>
      <c r="B414" s="72" t="str">
        <f t="shared" si="187"/>
        <v>Nov</v>
      </c>
      <c r="C414" s="73">
        <f t="shared" si="205"/>
        <v>14</v>
      </c>
      <c r="D414" s="74">
        <f t="shared" si="188"/>
        <v>22</v>
      </c>
      <c r="E414" s="75">
        <f t="shared" si="189"/>
        <v>51</v>
      </c>
      <c r="F414" s="79">
        <v>37</v>
      </c>
      <c r="G414" s="82"/>
      <c r="H414" s="68" t="str">
        <f t="shared" si="206"/>
        <v>Clesim6_20211114_22_00</v>
      </c>
      <c r="I414" s="69">
        <f t="shared" si="208"/>
        <v>1</v>
      </c>
      <c r="J414" s="76" t="str">
        <f t="shared" si="208"/>
        <v>Clematis</v>
      </c>
      <c r="K414" s="76" t="str">
        <f t="shared" si="208"/>
        <v>simense</v>
      </c>
      <c r="L414" s="77">
        <f t="shared" si="208"/>
        <v>6</v>
      </c>
      <c r="M414" s="77">
        <f t="shared" si="208"/>
        <v>20</v>
      </c>
      <c r="N414" s="71">
        <f t="shared" si="208"/>
        <v>0</v>
      </c>
      <c r="O414" s="44"/>
      <c r="P414" s="45">
        <f t="shared" si="190"/>
        <v>1</v>
      </c>
      <c r="Q414" s="46" t="str">
        <f t="shared" si="191"/>
        <v>22:51:37</v>
      </c>
      <c r="R414" s="47" t="str">
        <f t="shared" si="192"/>
        <v>51:37</v>
      </c>
      <c r="S414" s="48">
        <f t="shared" si="181"/>
        <v>87</v>
      </c>
      <c r="T414" s="47" t="str">
        <f t="shared" si="193"/>
        <v>22</v>
      </c>
      <c r="U414" s="49">
        <v>53</v>
      </c>
      <c r="V414" s="50">
        <v>4</v>
      </c>
      <c r="W414" s="51" t="str">
        <f t="shared" si="194"/>
        <v>53:04</v>
      </c>
      <c r="X414" s="52" t="s">
        <v>63</v>
      </c>
      <c r="Y414" s="52" t="s">
        <v>77</v>
      </c>
      <c r="Z414" s="52"/>
      <c r="AA414" s="47" t="s">
        <v>64</v>
      </c>
      <c r="AB414" s="47" t="str">
        <f t="shared" si="195"/>
        <v>NA</v>
      </c>
      <c r="AC414" s="53" t="str">
        <f t="shared" si="196"/>
        <v/>
      </c>
      <c r="AD414" s="54">
        <v>3</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f t="shared" si="182"/>
        <v>0</v>
      </c>
      <c r="AX414" s="61" t="str">
        <f t="shared" si="183"/>
        <v/>
      </c>
      <c r="AY414" s="60">
        <f t="shared" si="184"/>
        <v>0</v>
      </c>
      <c r="AZ414" s="61" t="str">
        <f t="shared" si="185"/>
        <v/>
      </c>
    </row>
    <row r="415" spans="1:52" s="3" customFormat="1" hidden="1" x14ac:dyDescent="0.35">
      <c r="A415" s="72">
        <f t="shared" si="186"/>
        <v>2021</v>
      </c>
      <c r="B415" s="72" t="str">
        <f t="shared" si="187"/>
        <v>Nov</v>
      </c>
      <c r="C415" s="73">
        <f t="shared" si="205"/>
        <v>14</v>
      </c>
      <c r="D415" s="74">
        <f t="shared" si="188"/>
        <v>22</v>
      </c>
      <c r="E415" s="75">
        <f t="shared" si="189"/>
        <v>52</v>
      </c>
      <c r="F415" s="79"/>
      <c r="G415" s="82"/>
      <c r="H415" s="68" t="str">
        <f t="shared" si="206"/>
        <v>Clesim6_20211114_22_00</v>
      </c>
      <c r="I415" s="69">
        <f t="shared" si="208"/>
        <v>1</v>
      </c>
      <c r="J415" s="76" t="str">
        <f t="shared" si="208"/>
        <v>Clematis</v>
      </c>
      <c r="K415" s="76" t="str">
        <f t="shared" si="208"/>
        <v>simense</v>
      </c>
      <c r="L415" s="77">
        <f t="shared" si="208"/>
        <v>6</v>
      </c>
      <c r="M415" s="77">
        <f t="shared" si="208"/>
        <v>20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v>
      </c>
      <c r="C416" s="73">
        <f t="shared" si="205"/>
        <v>14</v>
      </c>
      <c r="D416" s="74">
        <f t="shared" si="188"/>
        <v>22</v>
      </c>
      <c r="E416" s="75">
        <f t="shared" si="189"/>
        <v>53</v>
      </c>
      <c r="F416" s="79"/>
      <c r="G416" s="82"/>
      <c r="H416" s="68" t="str">
        <f t="shared" si="206"/>
        <v>Clesim6_20211114_22_00</v>
      </c>
      <c r="I416" s="69">
        <f t="shared" si="208"/>
        <v>1</v>
      </c>
      <c r="J416" s="76" t="str">
        <f t="shared" si="208"/>
        <v>Clematis</v>
      </c>
      <c r="K416" s="76" t="str">
        <f t="shared" si="208"/>
        <v>simense</v>
      </c>
      <c r="L416" s="77">
        <f t="shared" si="208"/>
        <v>6</v>
      </c>
      <c r="M416" s="77">
        <f t="shared" si="208"/>
        <v>20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v>
      </c>
      <c r="C417" s="73">
        <f t="shared" si="205"/>
        <v>14</v>
      </c>
      <c r="D417" s="74">
        <f t="shared" si="188"/>
        <v>22</v>
      </c>
      <c r="E417" s="75">
        <f t="shared" si="189"/>
        <v>54</v>
      </c>
      <c r="F417" s="79"/>
      <c r="G417" s="82"/>
      <c r="H417" s="68" t="str">
        <f t="shared" si="206"/>
        <v>Clesim6_20211114_22_00</v>
      </c>
      <c r="I417" s="69">
        <f t="shared" si="208"/>
        <v>1</v>
      </c>
      <c r="J417" s="76" t="str">
        <f t="shared" si="208"/>
        <v>Clematis</v>
      </c>
      <c r="K417" s="76" t="str">
        <f t="shared" si="208"/>
        <v>simense</v>
      </c>
      <c r="L417" s="77">
        <f t="shared" si="208"/>
        <v>6</v>
      </c>
      <c r="M417" s="77">
        <f t="shared" si="208"/>
        <v>20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v>
      </c>
      <c r="C418" s="73">
        <f t="shared" si="205"/>
        <v>14</v>
      </c>
      <c r="D418" s="74">
        <f t="shared" si="188"/>
        <v>22</v>
      </c>
      <c r="E418" s="75">
        <f t="shared" si="189"/>
        <v>55</v>
      </c>
      <c r="F418" s="79"/>
      <c r="G418" s="82"/>
      <c r="H418" s="68" t="str">
        <f t="shared" si="206"/>
        <v>Clesim6_20211114_22_00</v>
      </c>
      <c r="I418" s="69">
        <f t="shared" si="208"/>
        <v>1</v>
      </c>
      <c r="J418" s="76" t="str">
        <f t="shared" si="208"/>
        <v>Clematis</v>
      </c>
      <c r="K418" s="76" t="str">
        <f t="shared" si="208"/>
        <v>simense</v>
      </c>
      <c r="L418" s="77">
        <f t="shared" si="208"/>
        <v>6</v>
      </c>
      <c r="M418" s="77">
        <f t="shared" si="208"/>
        <v>20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v>
      </c>
      <c r="C419" s="73">
        <f t="shared" si="205"/>
        <v>14</v>
      </c>
      <c r="D419" s="74">
        <f t="shared" si="188"/>
        <v>22</v>
      </c>
      <c r="E419" s="75">
        <f t="shared" si="189"/>
        <v>56</v>
      </c>
      <c r="F419" s="79"/>
      <c r="G419" s="82"/>
      <c r="H419" s="68" t="str">
        <f t="shared" si="206"/>
        <v>Clesim6_20211114_22_00</v>
      </c>
      <c r="I419" s="69">
        <f t="shared" si="208"/>
        <v>1</v>
      </c>
      <c r="J419" s="76" t="str">
        <f t="shared" si="208"/>
        <v>Clematis</v>
      </c>
      <c r="K419" s="76" t="str">
        <f t="shared" si="208"/>
        <v>simense</v>
      </c>
      <c r="L419" s="77">
        <f t="shared" si="208"/>
        <v>6</v>
      </c>
      <c r="M419" s="77">
        <f t="shared" si="208"/>
        <v>20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v>
      </c>
      <c r="C420" s="73">
        <f t="shared" si="205"/>
        <v>14</v>
      </c>
      <c r="D420" s="74">
        <f t="shared" si="188"/>
        <v>22</v>
      </c>
      <c r="E420" s="75">
        <f t="shared" si="189"/>
        <v>57</v>
      </c>
      <c r="F420" s="79"/>
      <c r="G420" s="82"/>
      <c r="H420" s="68" t="str">
        <f t="shared" si="206"/>
        <v>Clesim6_20211114_22_00</v>
      </c>
      <c r="I420" s="69">
        <f t="shared" si="208"/>
        <v>1</v>
      </c>
      <c r="J420" s="76" t="str">
        <f t="shared" si="208"/>
        <v>Clematis</v>
      </c>
      <c r="K420" s="76" t="str">
        <f t="shared" si="208"/>
        <v>simense</v>
      </c>
      <c r="L420" s="77">
        <f t="shared" si="208"/>
        <v>6</v>
      </c>
      <c r="M420" s="77">
        <f t="shared" si="208"/>
        <v>20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v>
      </c>
      <c r="C421" s="73">
        <f t="shared" si="205"/>
        <v>14</v>
      </c>
      <c r="D421" s="74">
        <f t="shared" si="188"/>
        <v>22</v>
      </c>
      <c r="E421" s="75">
        <f t="shared" si="189"/>
        <v>58</v>
      </c>
      <c r="F421" s="79"/>
      <c r="G421" s="82"/>
      <c r="H421" s="68" t="str">
        <f t="shared" si="206"/>
        <v>Clesim6_20211114_22_00</v>
      </c>
      <c r="I421" s="69">
        <f t="shared" ref="I421:N436" si="209">I420</f>
        <v>1</v>
      </c>
      <c r="J421" s="76" t="str">
        <f t="shared" si="209"/>
        <v>Clematis</v>
      </c>
      <c r="K421" s="76" t="str">
        <f t="shared" si="209"/>
        <v>simense</v>
      </c>
      <c r="L421" s="77">
        <f t="shared" si="209"/>
        <v>6</v>
      </c>
      <c r="M421" s="77">
        <f t="shared" si="209"/>
        <v>20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v>
      </c>
      <c r="C422" s="73">
        <f t="shared" si="205"/>
        <v>14</v>
      </c>
      <c r="D422" s="74">
        <f t="shared" si="188"/>
        <v>22</v>
      </c>
      <c r="E422" s="75">
        <f t="shared" si="189"/>
        <v>59</v>
      </c>
      <c r="F422" s="79"/>
      <c r="G422" s="82"/>
      <c r="H422" s="68" t="str">
        <f t="shared" si="206"/>
        <v>Clesim6_20211114_22_00</v>
      </c>
      <c r="I422" s="69">
        <f t="shared" si="209"/>
        <v>1</v>
      </c>
      <c r="J422" s="76" t="str">
        <f t="shared" si="209"/>
        <v>Clematis</v>
      </c>
      <c r="K422" s="76" t="str">
        <f t="shared" si="209"/>
        <v>simense</v>
      </c>
      <c r="L422" s="77">
        <f t="shared" si="209"/>
        <v>6</v>
      </c>
      <c r="M422" s="77">
        <f t="shared" si="209"/>
        <v>20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v>
      </c>
      <c r="C423" s="73">
        <f t="shared" si="205"/>
        <v>14</v>
      </c>
      <c r="D423" s="74">
        <f t="shared" si="188"/>
        <v>23</v>
      </c>
      <c r="E423" s="75">
        <f t="shared" si="189"/>
        <v>0</v>
      </c>
      <c r="F423" s="79"/>
      <c r="G423" s="82"/>
      <c r="H423" s="68" t="str">
        <f t="shared" si="206"/>
        <v>Clesim6_20211114_23_00</v>
      </c>
      <c r="I423" s="69">
        <f t="shared" si="209"/>
        <v>1</v>
      </c>
      <c r="J423" s="76" t="str">
        <f t="shared" si="209"/>
        <v>Clematis</v>
      </c>
      <c r="K423" s="76" t="str">
        <f t="shared" si="209"/>
        <v>simense</v>
      </c>
      <c r="L423" s="77">
        <f t="shared" si="209"/>
        <v>6</v>
      </c>
      <c r="M423" s="77">
        <f t="shared" si="209"/>
        <v>20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v>
      </c>
      <c r="C424" s="73">
        <f t="shared" si="205"/>
        <v>14</v>
      </c>
      <c r="D424" s="74">
        <f t="shared" si="188"/>
        <v>23</v>
      </c>
      <c r="E424" s="75">
        <f t="shared" si="189"/>
        <v>1</v>
      </c>
      <c r="F424" s="79"/>
      <c r="G424" s="82"/>
      <c r="H424" s="68" t="str">
        <f t="shared" si="206"/>
        <v>Clesim6_20211114_23_00</v>
      </c>
      <c r="I424" s="69">
        <f t="shared" si="209"/>
        <v>1</v>
      </c>
      <c r="J424" s="76" t="str">
        <f t="shared" si="209"/>
        <v>Clematis</v>
      </c>
      <c r="K424" s="76" t="str">
        <f t="shared" si="209"/>
        <v>simense</v>
      </c>
      <c r="L424" s="77">
        <f t="shared" si="209"/>
        <v>6</v>
      </c>
      <c r="M424" s="77">
        <f t="shared" si="209"/>
        <v>20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v>
      </c>
      <c r="C425" s="73">
        <f t="shared" si="205"/>
        <v>14</v>
      </c>
      <c r="D425" s="74">
        <f t="shared" si="188"/>
        <v>23</v>
      </c>
      <c r="E425" s="75">
        <f t="shared" si="189"/>
        <v>2</v>
      </c>
      <c r="F425" s="79"/>
      <c r="G425" s="82"/>
      <c r="H425" s="68" t="str">
        <f t="shared" si="206"/>
        <v>Clesim6_20211114_23_00</v>
      </c>
      <c r="I425" s="69">
        <f t="shared" si="209"/>
        <v>1</v>
      </c>
      <c r="J425" s="76" t="str">
        <f t="shared" si="209"/>
        <v>Clematis</v>
      </c>
      <c r="K425" s="76" t="str">
        <f t="shared" si="209"/>
        <v>simense</v>
      </c>
      <c r="L425" s="77">
        <f t="shared" si="209"/>
        <v>6</v>
      </c>
      <c r="M425" s="77">
        <f t="shared" si="209"/>
        <v>20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2021</v>
      </c>
      <c r="B426" s="72" t="str">
        <f t="shared" si="187"/>
        <v>Nov</v>
      </c>
      <c r="C426" s="73">
        <f t="shared" si="205"/>
        <v>14</v>
      </c>
      <c r="D426" s="74">
        <f t="shared" si="188"/>
        <v>23</v>
      </c>
      <c r="E426" s="75">
        <f t="shared" si="189"/>
        <v>3</v>
      </c>
      <c r="F426" s="79">
        <v>26</v>
      </c>
      <c r="G426" s="82"/>
      <c r="H426" s="68" t="str">
        <f t="shared" si="206"/>
        <v>Clesim6_20211114_23_00</v>
      </c>
      <c r="I426" s="69">
        <f t="shared" si="209"/>
        <v>1</v>
      </c>
      <c r="J426" s="76" t="str">
        <f t="shared" si="209"/>
        <v>Clematis</v>
      </c>
      <c r="K426" s="76" t="str">
        <f t="shared" si="209"/>
        <v>simense</v>
      </c>
      <c r="L426" s="77">
        <f t="shared" si="209"/>
        <v>6</v>
      </c>
      <c r="M426" s="77">
        <f t="shared" si="209"/>
        <v>20</v>
      </c>
      <c r="N426" s="71">
        <f t="shared" si="209"/>
        <v>0</v>
      </c>
      <c r="O426" s="44"/>
      <c r="P426" s="45">
        <f t="shared" si="190"/>
        <v>1</v>
      </c>
      <c r="Q426" s="46" t="str">
        <f t="shared" si="191"/>
        <v>23:03:26</v>
      </c>
      <c r="R426" s="47" t="str">
        <f t="shared" si="192"/>
        <v>03:26</v>
      </c>
      <c r="S426" s="48">
        <f t="shared" si="181"/>
        <v>1653</v>
      </c>
      <c r="T426" s="47" t="str">
        <f t="shared" si="193"/>
        <v>23</v>
      </c>
      <c r="U426" s="49">
        <v>30</v>
      </c>
      <c r="V426" s="50">
        <v>59</v>
      </c>
      <c r="W426" s="51" t="str">
        <f t="shared" si="194"/>
        <v>30:59</v>
      </c>
      <c r="X426" s="123" t="s">
        <v>81</v>
      </c>
      <c r="Y426" s="52" t="s">
        <v>80</v>
      </c>
      <c r="Z426" s="52"/>
      <c r="AA426" s="47" t="s">
        <v>60</v>
      </c>
      <c r="AB426" s="47" t="str">
        <f t="shared" si="195"/>
        <v>NA</v>
      </c>
      <c r="AC426" s="53" t="str">
        <f t="shared" si="196"/>
        <v/>
      </c>
      <c r="AD426" s="54">
        <v>2</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f t="shared" si="182"/>
        <v>0</v>
      </c>
      <c r="AX426" s="61" t="str">
        <f t="shared" si="183"/>
        <v/>
      </c>
      <c r="AY426" s="60">
        <f t="shared" si="184"/>
        <v>0</v>
      </c>
      <c r="AZ426" s="61" t="str">
        <f t="shared" si="185"/>
        <v/>
      </c>
    </row>
    <row r="427" spans="1:52" s="3" customFormat="1" hidden="1" x14ac:dyDescent="0.35">
      <c r="A427" s="72">
        <f t="shared" si="186"/>
        <v>2021</v>
      </c>
      <c r="B427" s="72" t="str">
        <f t="shared" si="187"/>
        <v>Nov</v>
      </c>
      <c r="C427" s="73">
        <f t="shared" si="205"/>
        <v>14</v>
      </c>
      <c r="D427" s="74">
        <f t="shared" si="188"/>
        <v>23</v>
      </c>
      <c r="E427" s="75">
        <f t="shared" si="189"/>
        <v>4</v>
      </c>
      <c r="F427" s="79"/>
      <c r="G427" s="82"/>
      <c r="H427" s="68" t="str">
        <f t="shared" si="206"/>
        <v>Clesim6_20211114_23_00</v>
      </c>
      <c r="I427" s="69">
        <f t="shared" si="209"/>
        <v>1</v>
      </c>
      <c r="J427" s="76" t="str">
        <f t="shared" si="209"/>
        <v>Clematis</v>
      </c>
      <c r="K427" s="76" t="str">
        <f t="shared" si="209"/>
        <v>simense</v>
      </c>
      <c r="L427" s="77">
        <f t="shared" si="209"/>
        <v>6</v>
      </c>
      <c r="M427" s="77">
        <f t="shared" si="209"/>
        <v>20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v>
      </c>
      <c r="C428" s="73">
        <f t="shared" si="205"/>
        <v>14</v>
      </c>
      <c r="D428" s="74">
        <f t="shared" si="188"/>
        <v>23</v>
      </c>
      <c r="E428" s="75">
        <f t="shared" si="189"/>
        <v>5</v>
      </c>
      <c r="F428" s="79"/>
      <c r="G428" s="82"/>
      <c r="H428" s="68" t="str">
        <f t="shared" si="206"/>
        <v>Clesim6_20211114_23_00</v>
      </c>
      <c r="I428" s="69">
        <f t="shared" si="209"/>
        <v>1</v>
      </c>
      <c r="J428" s="76" t="str">
        <f t="shared" si="209"/>
        <v>Clematis</v>
      </c>
      <c r="K428" s="76" t="str">
        <f t="shared" si="209"/>
        <v>simense</v>
      </c>
      <c r="L428" s="77">
        <f t="shared" si="209"/>
        <v>6</v>
      </c>
      <c r="M428" s="77">
        <f t="shared" si="209"/>
        <v>20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v>
      </c>
      <c r="C429" s="73">
        <f t="shared" si="205"/>
        <v>14</v>
      </c>
      <c r="D429" s="74">
        <f t="shared" si="188"/>
        <v>23</v>
      </c>
      <c r="E429" s="75">
        <f t="shared" si="189"/>
        <v>6</v>
      </c>
      <c r="F429" s="79"/>
      <c r="G429" s="82"/>
      <c r="H429" s="68" t="str">
        <f t="shared" si="206"/>
        <v>Clesim6_20211114_23_00</v>
      </c>
      <c r="I429" s="69">
        <f t="shared" si="209"/>
        <v>1</v>
      </c>
      <c r="J429" s="76" t="str">
        <f t="shared" si="209"/>
        <v>Clematis</v>
      </c>
      <c r="K429" s="76" t="str">
        <f t="shared" si="209"/>
        <v>simense</v>
      </c>
      <c r="L429" s="77">
        <f t="shared" si="209"/>
        <v>6</v>
      </c>
      <c r="M429" s="77">
        <f t="shared" si="209"/>
        <v>20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v>
      </c>
      <c r="C430" s="73">
        <f t="shared" si="205"/>
        <v>14</v>
      </c>
      <c r="D430" s="74">
        <f t="shared" si="188"/>
        <v>23</v>
      </c>
      <c r="E430" s="75">
        <f t="shared" si="189"/>
        <v>7</v>
      </c>
      <c r="F430" s="79"/>
      <c r="G430" s="82"/>
      <c r="H430" s="68" t="str">
        <f t="shared" si="206"/>
        <v>Clesim6_20211114_23_00</v>
      </c>
      <c r="I430" s="69">
        <f t="shared" si="209"/>
        <v>1</v>
      </c>
      <c r="J430" s="76" t="str">
        <f t="shared" si="209"/>
        <v>Clematis</v>
      </c>
      <c r="K430" s="76" t="str">
        <f t="shared" si="209"/>
        <v>simense</v>
      </c>
      <c r="L430" s="77">
        <f t="shared" si="209"/>
        <v>6</v>
      </c>
      <c r="M430" s="77">
        <f t="shared" si="209"/>
        <v>20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v>
      </c>
      <c r="C431" s="73">
        <f t="shared" si="205"/>
        <v>14</v>
      </c>
      <c r="D431" s="74">
        <f t="shared" si="188"/>
        <v>23</v>
      </c>
      <c r="E431" s="75">
        <f t="shared" si="189"/>
        <v>8</v>
      </c>
      <c r="F431" s="79"/>
      <c r="G431" s="82"/>
      <c r="H431" s="68" t="str">
        <f t="shared" si="206"/>
        <v>Clesim6_20211114_23_00</v>
      </c>
      <c r="I431" s="69">
        <f t="shared" si="209"/>
        <v>1</v>
      </c>
      <c r="J431" s="76" t="str">
        <f t="shared" si="209"/>
        <v>Clematis</v>
      </c>
      <c r="K431" s="76" t="str">
        <f t="shared" si="209"/>
        <v>simense</v>
      </c>
      <c r="L431" s="77">
        <f t="shared" si="209"/>
        <v>6</v>
      </c>
      <c r="M431" s="77">
        <f t="shared" si="209"/>
        <v>20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v>
      </c>
      <c r="C432" s="73">
        <f t="shared" si="205"/>
        <v>14</v>
      </c>
      <c r="D432" s="74">
        <f t="shared" si="188"/>
        <v>23</v>
      </c>
      <c r="E432" s="75">
        <f t="shared" si="189"/>
        <v>9</v>
      </c>
      <c r="F432" s="79"/>
      <c r="G432" s="82"/>
      <c r="H432" s="68" t="str">
        <f t="shared" si="206"/>
        <v>Clesim6_20211114_23_00</v>
      </c>
      <c r="I432" s="69">
        <f t="shared" si="209"/>
        <v>1</v>
      </c>
      <c r="J432" s="76" t="str">
        <f t="shared" si="209"/>
        <v>Clematis</v>
      </c>
      <c r="K432" s="76" t="str">
        <f t="shared" si="209"/>
        <v>simense</v>
      </c>
      <c r="L432" s="77">
        <f t="shared" si="209"/>
        <v>6</v>
      </c>
      <c r="M432" s="77">
        <f t="shared" si="209"/>
        <v>20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v>
      </c>
      <c r="C433" s="73">
        <f t="shared" si="205"/>
        <v>14</v>
      </c>
      <c r="D433" s="74">
        <f t="shared" si="188"/>
        <v>23</v>
      </c>
      <c r="E433" s="75">
        <f t="shared" si="189"/>
        <v>10</v>
      </c>
      <c r="F433" s="79"/>
      <c r="G433" s="82"/>
      <c r="H433" s="68" t="str">
        <f t="shared" si="206"/>
        <v>Clesim6_20211114_23_00</v>
      </c>
      <c r="I433" s="69">
        <f t="shared" si="209"/>
        <v>1</v>
      </c>
      <c r="J433" s="76" t="str">
        <f t="shared" si="209"/>
        <v>Clematis</v>
      </c>
      <c r="K433" s="76" t="str">
        <f t="shared" si="209"/>
        <v>simense</v>
      </c>
      <c r="L433" s="77">
        <f t="shared" si="209"/>
        <v>6</v>
      </c>
      <c r="M433" s="77">
        <f t="shared" si="209"/>
        <v>20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v>
      </c>
      <c r="C434" s="73">
        <f t="shared" si="205"/>
        <v>14</v>
      </c>
      <c r="D434" s="74">
        <f t="shared" si="188"/>
        <v>23</v>
      </c>
      <c r="E434" s="75">
        <f t="shared" si="189"/>
        <v>11</v>
      </c>
      <c r="F434" s="79"/>
      <c r="G434" s="82"/>
      <c r="H434" s="68" t="str">
        <f t="shared" si="206"/>
        <v>Clesim6_20211114_23_00</v>
      </c>
      <c r="I434" s="69">
        <f t="shared" si="209"/>
        <v>1</v>
      </c>
      <c r="J434" s="76" t="str">
        <f t="shared" si="209"/>
        <v>Clematis</v>
      </c>
      <c r="K434" s="76" t="str">
        <f t="shared" si="209"/>
        <v>simense</v>
      </c>
      <c r="L434" s="77">
        <f t="shared" si="209"/>
        <v>6</v>
      </c>
      <c r="M434" s="77">
        <f t="shared" si="209"/>
        <v>20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v>
      </c>
      <c r="C435" s="73">
        <f t="shared" si="205"/>
        <v>14</v>
      </c>
      <c r="D435" s="74">
        <f t="shared" si="188"/>
        <v>23</v>
      </c>
      <c r="E435" s="75">
        <f t="shared" si="189"/>
        <v>12</v>
      </c>
      <c r="F435" s="79"/>
      <c r="G435" s="82"/>
      <c r="H435" s="68" t="str">
        <f t="shared" si="206"/>
        <v>Clesim6_20211114_23_00</v>
      </c>
      <c r="I435" s="69">
        <f t="shared" si="209"/>
        <v>1</v>
      </c>
      <c r="J435" s="76" t="str">
        <f t="shared" si="209"/>
        <v>Clematis</v>
      </c>
      <c r="K435" s="76" t="str">
        <f t="shared" si="209"/>
        <v>simense</v>
      </c>
      <c r="L435" s="77">
        <f t="shared" si="209"/>
        <v>6</v>
      </c>
      <c r="M435" s="77">
        <f t="shared" si="209"/>
        <v>20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v>
      </c>
      <c r="C436" s="73">
        <f t="shared" si="205"/>
        <v>14</v>
      </c>
      <c r="D436" s="74">
        <f t="shared" si="188"/>
        <v>23</v>
      </c>
      <c r="E436" s="75">
        <f t="shared" si="189"/>
        <v>13</v>
      </c>
      <c r="F436" s="79"/>
      <c r="G436" s="82"/>
      <c r="H436" s="68" t="str">
        <f t="shared" si="206"/>
        <v>Clesim6_20211114_23_00</v>
      </c>
      <c r="I436" s="69">
        <f t="shared" si="209"/>
        <v>1</v>
      </c>
      <c r="J436" s="76" t="str">
        <f t="shared" si="209"/>
        <v>Clematis</v>
      </c>
      <c r="K436" s="76" t="str">
        <f t="shared" si="209"/>
        <v>simense</v>
      </c>
      <c r="L436" s="77">
        <f t="shared" si="209"/>
        <v>6</v>
      </c>
      <c r="M436" s="77">
        <f t="shared" si="209"/>
        <v>20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v>
      </c>
      <c r="C437" s="73">
        <f t="shared" si="205"/>
        <v>14</v>
      </c>
      <c r="D437" s="74">
        <f t="shared" si="188"/>
        <v>23</v>
      </c>
      <c r="E437" s="75">
        <f t="shared" si="189"/>
        <v>14</v>
      </c>
      <c r="F437" s="79"/>
      <c r="G437" s="82"/>
      <c r="H437" s="68" t="str">
        <f t="shared" si="206"/>
        <v>Clesim6_20211114_23_00</v>
      </c>
      <c r="I437" s="69">
        <f t="shared" ref="I437:N452" si="210">I436</f>
        <v>1</v>
      </c>
      <c r="J437" s="76" t="str">
        <f t="shared" si="210"/>
        <v>Clematis</v>
      </c>
      <c r="K437" s="76" t="str">
        <f t="shared" si="210"/>
        <v>simense</v>
      </c>
      <c r="L437" s="77">
        <f t="shared" si="210"/>
        <v>6</v>
      </c>
      <c r="M437" s="77">
        <f t="shared" si="210"/>
        <v>20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v>
      </c>
      <c r="C438" s="73">
        <f t="shared" si="205"/>
        <v>14</v>
      </c>
      <c r="D438" s="74">
        <f t="shared" si="188"/>
        <v>23</v>
      </c>
      <c r="E438" s="75">
        <f t="shared" si="189"/>
        <v>15</v>
      </c>
      <c r="F438" s="79"/>
      <c r="G438" s="82"/>
      <c r="H438" s="68" t="str">
        <f t="shared" si="206"/>
        <v>Clesim6_20211114_23_00</v>
      </c>
      <c r="I438" s="69">
        <f t="shared" si="210"/>
        <v>1</v>
      </c>
      <c r="J438" s="76" t="str">
        <f t="shared" si="210"/>
        <v>Clematis</v>
      </c>
      <c r="K438" s="76" t="str">
        <f t="shared" si="210"/>
        <v>simense</v>
      </c>
      <c r="L438" s="77">
        <f t="shared" si="210"/>
        <v>6</v>
      </c>
      <c r="M438" s="77">
        <f t="shared" si="210"/>
        <v>20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v>
      </c>
      <c r="C439" s="73">
        <f t="shared" si="205"/>
        <v>14</v>
      </c>
      <c r="D439" s="74">
        <f t="shared" si="188"/>
        <v>23</v>
      </c>
      <c r="E439" s="75">
        <f t="shared" si="189"/>
        <v>16</v>
      </c>
      <c r="F439" s="79"/>
      <c r="G439" s="82"/>
      <c r="H439" s="68" t="str">
        <f t="shared" si="206"/>
        <v>Clesim6_20211114_23_00</v>
      </c>
      <c r="I439" s="69">
        <f t="shared" si="210"/>
        <v>1</v>
      </c>
      <c r="J439" s="76" t="str">
        <f t="shared" si="210"/>
        <v>Clematis</v>
      </c>
      <c r="K439" s="76" t="str">
        <f t="shared" si="210"/>
        <v>simense</v>
      </c>
      <c r="L439" s="77">
        <f t="shared" si="210"/>
        <v>6</v>
      </c>
      <c r="M439" s="77">
        <f t="shared" si="210"/>
        <v>20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v>
      </c>
      <c r="C440" s="73">
        <f t="shared" si="205"/>
        <v>14</v>
      </c>
      <c r="D440" s="74">
        <f t="shared" si="188"/>
        <v>23</v>
      </c>
      <c r="E440" s="75">
        <f t="shared" si="189"/>
        <v>17</v>
      </c>
      <c r="F440" s="79"/>
      <c r="G440" s="82"/>
      <c r="H440" s="68" t="str">
        <f t="shared" si="206"/>
        <v>Clesim6_20211114_23_00</v>
      </c>
      <c r="I440" s="69">
        <f t="shared" si="210"/>
        <v>1</v>
      </c>
      <c r="J440" s="76" t="str">
        <f t="shared" si="210"/>
        <v>Clematis</v>
      </c>
      <c r="K440" s="76" t="str">
        <f t="shared" si="210"/>
        <v>simense</v>
      </c>
      <c r="L440" s="77">
        <f t="shared" si="210"/>
        <v>6</v>
      </c>
      <c r="M440" s="77">
        <f t="shared" si="210"/>
        <v>20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v>
      </c>
      <c r="C441" s="73">
        <f t="shared" si="205"/>
        <v>14</v>
      </c>
      <c r="D441" s="74">
        <f t="shared" si="188"/>
        <v>23</v>
      </c>
      <c r="E441" s="75">
        <f t="shared" si="189"/>
        <v>18</v>
      </c>
      <c r="F441" s="79"/>
      <c r="G441" s="82"/>
      <c r="H441" s="68" t="str">
        <f t="shared" si="206"/>
        <v>Clesim6_20211114_23_00</v>
      </c>
      <c r="I441" s="69">
        <f t="shared" si="210"/>
        <v>1</v>
      </c>
      <c r="J441" s="76" t="str">
        <f t="shared" si="210"/>
        <v>Clematis</v>
      </c>
      <c r="K441" s="76" t="str">
        <f t="shared" si="210"/>
        <v>simense</v>
      </c>
      <c r="L441" s="77">
        <f t="shared" si="210"/>
        <v>6</v>
      </c>
      <c r="M441" s="77">
        <f t="shared" si="210"/>
        <v>20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v>
      </c>
      <c r="C442" s="73">
        <f t="shared" si="205"/>
        <v>14</v>
      </c>
      <c r="D442" s="74">
        <f t="shared" si="188"/>
        <v>23</v>
      </c>
      <c r="E442" s="75">
        <f t="shared" si="189"/>
        <v>19</v>
      </c>
      <c r="F442" s="79"/>
      <c r="G442" s="82"/>
      <c r="H442" s="68" t="str">
        <f t="shared" si="206"/>
        <v>Clesim6_20211114_23_00</v>
      </c>
      <c r="I442" s="69">
        <f t="shared" si="210"/>
        <v>1</v>
      </c>
      <c r="J442" s="76" t="str">
        <f t="shared" si="210"/>
        <v>Clematis</v>
      </c>
      <c r="K442" s="76" t="str">
        <f t="shared" si="210"/>
        <v>simense</v>
      </c>
      <c r="L442" s="77">
        <f t="shared" si="210"/>
        <v>6</v>
      </c>
      <c r="M442" s="77">
        <f t="shared" si="210"/>
        <v>20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v>
      </c>
      <c r="C443" s="73">
        <f t="shared" si="205"/>
        <v>14</v>
      </c>
      <c r="D443" s="74">
        <f t="shared" si="188"/>
        <v>23</v>
      </c>
      <c r="E443" s="75">
        <f t="shared" si="189"/>
        <v>20</v>
      </c>
      <c r="F443" s="79"/>
      <c r="G443" s="82"/>
      <c r="H443" s="68" t="str">
        <f t="shared" si="206"/>
        <v>Clesim6_20211114_23_00</v>
      </c>
      <c r="I443" s="69">
        <f t="shared" si="210"/>
        <v>1</v>
      </c>
      <c r="J443" s="76" t="str">
        <f t="shared" si="210"/>
        <v>Clematis</v>
      </c>
      <c r="K443" s="76" t="str">
        <f t="shared" si="210"/>
        <v>simense</v>
      </c>
      <c r="L443" s="77">
        <f t="shared" si="210"/>
        <v>6</v>
      </c>
      <c r="M443" s="77">
        <f t="shared" si="210"/>
        <v>20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v>
      </c>
      <c r="C444" s="73">
        <f t="shared" si="205"/>
        <v>14</v>
      </c>
      <c r="D444" s="74">
        <f t="shared" si="188"/>
        <v>23</v>
      </c>
      <c r="E444" s="75">
        <f t="shared" si="189"/>
        <v>21</v>
      </c>
      <c r="F444" s="79"/>
      <c r="G444" s="82"/>
      <c r="H444" s="68" t="str">
        <f t="shared" si="206"/>
        <v>Clesim6_20211114_23_00</v>
      </c>
      <c r="I444" s="69">
        <f t="shared" si="210"/>
        <v>1</v>
      </c>
      <c r="J444" s="76" t="str">
        <f t="shared" si="210"/>
        <v>Clematis</v>
      </c>
      <c r="K444" s="76" t="str">
        <f t="shared" si="210"/>
        <v>simense</v>
      </c>
      <c r="L444" s="77">
        <f t="shared" si="210"/>
        <v>6</v>
      </c>
      <c r="M444" s="77">
        <f t="shared" si="210"/>
        <v>20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v>
      </c>
      <c r="C445" s="73">
        <f t="shared" si="205"/>
        <v>14</v>
      </c>
      <c r="D445" s="74">
        <f t="shared" si="188"/>
        <v>23</v>
      </c>
      <c r="E445" s="75">
        <f t="shared" si="189"/>
        <v>22</v>
      </c>
      <c r="F445" s="79"/>
      <c r="G445" s="82"/>
      <c r="H445" s="68" t="str">
        <f t="shared" si="206"/>
        <v>Clesim6_20211114_23_00</v>
      </c>
      <c r="I445" s="69">
        <f t="shared" si="210"/>
        <v>1</v>
      </c>
      <c r="J445" s="76" t="str">
        <f t="shared" si="210"/>
        <v>Clematis</v>
      </c>
      <c r="K445" s="76" t="str">
        <f t="shared" si="210"/>
        <v>simense</v>
      </c>
      <c r="L445" s="77">
        <f t="shared" si="210"/>
        <v>6</v>
      </c>
      <c r="M445" s="77">
        <f t="shared" si="210"/>
        <v>20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v>
      </c>
      <c r="C446" s="73">
        <f t="shared" si="205"/>
        <v>14</v>
      </c>
      <c r="D446" s="74">
        <f t="shared" si="188"/>
        <v>23</v>
      </c>
      <c r="E446" s="75">
        <f t="shared" si="189"/>
        <v>23</v>
      </c>
      <c r="F446" s="79"/>
      <c r="G446" s="82"/>
      <c r="H446" s="68" t="str">
        <f t="shared" si="206"/>
        <v>Clesim6_20211114_23_00</v>
      </c>
      <c r="I446" s="69">
        <f t="shared" si="210"/>
        <v>1</v>
      </c>
      <c r="J446" s="76" t="str">
        <f t="shared" si="210"/>
        <v>Clematis</v>
      </c>
      <c r="K446" s="76" t="str">
        <f t="shared" si="210"/>
        <v>simense</v>
      </c>
      <c r="L446" s="77">
        <f t="shared" si="210"/>
        <v>6</v>
      </c>
      <c r="M446" s="77">
        <f t="shared" si="210"/>
        <v>20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v>
      </c>
      <c r="C447" s="73">
        <f t="shared" si="205"/>
        <v>14</v>
      </c>
      <c r="D447" s="74">
        <f t="shared" si="188"/>
        <v>23</v>
      </c>
      <c r="E447" s="75">
        <f t="shared" si="189"/>
        <v>24</v>
      </c>
      <c r="F447" s="79"/>
      <c r="G447" s="82"/>
      <c r="H447" s="68" t="str">
        <f t="shared" si="206"/>
        <v>Clesim6_20211114_23_00</v>
      </c>
      <c r="I447" s="69">
        <f t="shared" si="210"/>
        <v>1</v>
      </c>
      <c r="J447" s="76" t="str">
        <f t="shared" si="210"/>
        <v>Clematis</v>
      </c>
      <c r="K447" s="76" t="str">
        <f t="shared" si="210"/>
        <v>simense</v>
      </c>
      <c r="L447" s="77">
        <f t="shared" si="210"/>
        <v>6</v>
      </c>
      <c r="M447" s="77">
        <f t="shared" si="210"/>
        <v>20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v>
      </c>
      <c r="C448" s="73">
        <f t="shared" si="205"/>
        <v>14</v>
      </c>
      <c r="D448" s="74">
        <f t="shared" si="188"/>
        <v>23</v>
      </c>
      <c r="E448" s="75">
        <f t="shared" si="189"/>
        <v>25</v>
      </c>
      <c r="F448" s="79"/>
      <c r="G448" s="82"/>
      <c r="H448" s="68" t="str">
        <f t="shared" si="206"/>
        <v>Clesim6_20211114_23_00</v>
      </c>
      <c r="I448" s="69">
        <f t="shared" si="210"/>
        <v>1</v>
      </c>
      <c r="J448" s="76" t="str">
        <f t="shared" si="210"/>
        <v>Clematis</v>
      </c>
      <c r="K448" s="76" t="str">
        <f t="shared" si="210"/>
        <v>simense</v>
      </c>
      <c r="L448" s="77">
        <f t="shared" si="210"/>
        <v>6</v>
      </c>
      <c r="M448" s="77">
        <f t="shared" si="210"/>
        <v>20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v>
      </c>
      <c r="C449" s="73">
        <f t="shared" si="205"/>
        <v>14</v>
      </c>
      <c r="D449" s="74">
        <f t="shared" si="188"/>
        <v>23</v>
      </c>
      <c r="E449" s="75">
        <f t="shared" si="189"/>
        <v>26</v>
      </c>
      <c r="F449" s="79"/>
      <c r="G449" s="82"/>
      <c r="H449" s="68" t="str">
        <f t="shared" si="206"/>
        <v>Clesim6_20211114_23_00</v>
      </c>
      <c r="I449" s="69">
        <f t="shared" si="210"/>
        <v>1</v>
      </c>
      <c r="J449" s="76" t="str">
        <f t="shared" si="210"/>
        <v>Clematis</v>
      </c>
      <c r="K449" s="76" t="str">
        <f t="shared" si="210"/>
        <v>simense</v>
      </c>
      <c r="L449" s="77">
        <f t="shared" si="210"/>
        <v>6</v>
      </c>
      <c r="M449" s="77">
        <f t="shared" si="210"/>
        <v>20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v>
      </c>
      <c r="C450" s="73">
        <f t="shared" si="205"/>
        <v>14</v>
      </c>
      <c r="D450" s="74">
        <f t="shared" si="188"/>
        <v>23</v>
      </c>
      <c r="E450" s="75">
        <f t="shared" si="189"/>
        <v>27</v>
      </c>
      <c r="F450" s="79"/>
      <c r="G450" s="82"/>
      <c r="H450" s="68" t="str">
        <f t="shared" si="206"/>
        <v>Clesim6_20211114_23_00</v>
      </c>
      <c r="I450" s="69">
        <f t="shared" si="210"/>
        <v>1</v>
      </c>
      <c r="J450" s="76" t="str">
        <f t="shared" si="210"/>
        <v>Clematis</v>
      </c>
      <c r="K450" s="76" t="str">
        <f t="shared" si="210"/>
        <v>simense</v>
      </c>
      <c r="L450" s="77">
        <f t="shared" si="210"/>
        <v>6</v>
      </c>
      <c r="M450" s="77">
        <f t="shared" si="210"/>
        <v>20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v>
      </c>
      <c r="C451" s="73">
        <f t="shared" si="205"/>
        <v>14</v>
      </c>
      <c r="D451" s="74">
        <f t="shared" si="188"/>
        <v>23</v>
      </c>
      <c r="E451" s="75">
        <f t="shared" si="189"/>
        <v>28</v>
      </c>
      <c r="F451" s="79"/>
      <c r="G451" s="82"/>
      <c r="H451" s="68" t="str">
        <f t="shared" si="206"/>
        <v>Clesim6_20211114_23_00</v>
      </c>
      <c r="I451" s="69">
        <f t="shared" si="210"/>
        <v>1</v>
      </c>
      <c r="J451" s="76" t="str">
        <f t="shared" si="210"/>
        <v>Clematis</v>
      </c>
      <c r="K451" s="76" t="str">
        <f t="shared" si="210"/>
        <v>simense</v>
      </c>
      <c r="L451" s="77">
        <f t="shared" si="210"/>
        <v>6</v>
      </c>
      <c r="M451" s="77">
        <f t="shared" si="210"/>
        <v>20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v>
      </c>
      <c r="C452" s="73">
        <f t="shared" si="205"/>
        <v>14</v>
      </c>
      <c r="D452" s="74">
        <f t="shared" ref="D452:D515" si="218">IF(IF(E451=59,D451+1,D451)=24,0,IF(E451=59,D451+1,D451))</f>
        <v>23</v>
      </c>
      <c r="E452" s="75">
        <f t="shared" ref="E452:E515" si="219">IF(E451&lt;59,E451+1,0)</f>
        <v>29</v>
      </c>
      <c r="F452" s="79"/>
      <c r="G452" s="82"/>
      <c r="H452" s="68" t="str">
        <f t="shared" si="206"/>
        <v>Clesim6_20211114_23_00</v>
      </c>
      <c r="I452" s="69">
        <f t="shared" si="210"/>
        <v>1</v>
      </c>
      <c r="J452" s="76" t="str">
        <f t="shared" si="210"/>
        <v>Clematis</v>
      </c>
      <c r="K452" s="76" t="str">
        <f t="shared" si="210"/>
        <v>simense</v>
      </c>
      <c r="L452" s="77">
        <f t="shared" si="210"/>
        <v>6</v>
      </c>
      <c r="M452" s="77">
        <f t="shared" si="210"/>
        <v>20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v>
      </c>
      <c r="C453" s="73">
        <f t="shared" ref="C453:C516" si="235">IF(AND(D453=0, E453=0), IF(TEXT(C452,"dd")=TEXT(EOMONTH(DATE(A452,MONTH(DATEVALUE(B452&amp;"1")),C452),0), "dd"), 1, C452+1), C452)</f>
        <v>14</v>
      </c>
      <c r="D453" s="74">
        <f t="shared" si="218"/>
        <v>23</v>
      </c>
      <c r="E453" s="75">
        <f t="shared" si="219"/>
        <v>30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Clesim6_20211114_23_00</v>
      </c>
      <c r="I453" s="69">
        <f t="shared" ref="I453:N468" si="237">I452</f>
        <v>1</v>
      </c>
      <c r="J453" s="76" t="str">
        <f t="shared" si="237"/>
        <v>Clematis</v>
      </c>
      <c r="K453" s="76" t="str">
        <f t="shared" si="237"/>
        <v>simense</v>
      </c>
      <c r="L453" s="77">
        <f t="shared" si="237"/>
        <v>6</v>
      </c>
      <c r="M453" s="77">
        <f t="shared" si="237"/>
        <v>20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v>
      </c>
      <c r="C454" s="73">
        <f t="shared" si="235"/>
        <v>14</v>
      </c>
      <c r="D454" s="74">
        <f t="shared" si="218"/>
        <v>23</v>
      </c>
      <c r="E454" s="75">
        <f t="shared" si="219"/>
        <v>31</v>
      </c>
      <c r="F454" s="79"/>
      <c r="G454" s="82"/>
      <c r="H454" s="68" t="str">
        <f t="shared" si="236"/>
        <v>Clesim6_20211114_23_00</v>
      </c>
      <c r="I454" s="69">
        <f t="shared" si="237"/>
        <v>1</v>
      </c>
      <c r="J454" s="76" t="str">
        <f t="shared" si="237"/>
        <v>Clematis</v>
      </c>
      <c r="K454" s="76" t="str">
        <f t="shared" si="237"/>
        <v>simense</v>
      </c>
      <c r="L454" s="77">
        <f t="shared" si="237"/>
        <v>6</v>
      </c>
      <c r="M454" s="77">
        <f t="shared" si="237"/>
        <v>20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v>
      </c>
      <c r="C455" s="73">
        <f t="shared" si="235"/>
        <v>14</v>
      </c>
      <c r="D455" s="74">
        <f t="shared" si="218"/>
        <v>23</v>
      </c>
      <c r="E455" s="75">
        <f t="shared" si="219"/>
        <v>32</v>
      </c>
      <c r="F455" s="79"/>
      <c r="G455" s="82"/>
      <c r="H455" s="68" t="str">
        <f t="shared" si="236"/>
        <v>Clesim6_20211114_23_00</v>
      </c>
      <c r="I455" s="69">
        <f t="shared" si="237"/>
        <v>1</v>
      </c>
      <c r="J455" s="76" t="str">
        <f t="shared" si="237"/>
        <v>Clematis</v>
      </c>
      <c r="K455" s="76" t="str">
        <f t="shared" si="237"/>
        <v>simense</v>
      </c>
      <c r="L455" s="77">
        <f t="shared" si="237"/>
        <v>6</v>
      </c>
      <c r="M455" s="77">
        <f t="shared" si="237"/>
        <v>20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v>
      </c>
      <c r="C456" s="73">
        <f t="shared" si="235"/>
        <v>14</v>
      </c>
      <c r="D456" s="74">
        <f t="shared" si="218"/>
        <v>23</v>
      </c>
      <c r="E456" s="75">
        <f t="shared" si="219"/>
        <v>33</v>
      </c>
      <c r="F456" s="79"/>
      <c r="G456" s="82"/>
      <c r="H456" s="68" t="str">
        <f t="shared" si="236"/>
        <v>Clesim6_20211114_23_00</v>
      </c>
      <c r="I456" s="69">
        <f t="shared" si="237"/>
        <v>1</v>
      </c>
      <c r="J456" s="76" t="str">
        <f t="shared" si="237"/>
        <v>Clematis</v>
      </c>
      <c r="K456" s="76" t="str">
        <f t="shared" si="237"/>
        <v>simense</v>
      </c>
      <c r="L456" s="77">
        <f t="shared" si="237"/>
        <v>6</v>
      </c>
      <c r="M456" s="77">
        <f t="shared" si="237"/>
        <v>20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v>
      </c>
      <c r="C457" s="73">
        <f t="shared" si="235"/>
        <v>14</v>
      </c>
      <c r="D457" s="74">
        <f t="shared" si="218"/>
        <v>23</v>
      </c>
      <c r="E457" s="75">
        <f t="shared" si="219"/>
        <v>34</v>
      </c>
      <c r="F457" s="79"/>
      <c r="G457" s="82"/>
      <c r="H457" s="68" t="str">
        <f t="shared" si="236"/>
        <v>Clesim6_20211114_23_00</v>
      </c>
      <c r="I457" s="69">
        <f t="shared" si="237"/>
        <v>1</v>
      </c>
      <c r="J457" s="76" t="str">
        <f t="shared" si="237"/>
        <v>Clematis</v>
      </c>
      <c r="K457" s="76" t="str">
        <f t="shared" si="237"/>
        <v>simense</v>
      </c>
      <c r="L457" s="77">
        <f t="shared" si="237"/>
        <v>6</v>
      </c>
      <c r="M457" s="77">
        <f t="shared" si="237"/>
        <v>20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v>
      </c>
      <c r="C458" s="73">
        <f t="shared" si="235"/>
        <v>14</v>
      </c>
      <c r="D458" s="74">
        <f t="shared" si="218"/>
        <v>23</v>
      </c>
      <c r="E458" s="75">
        <f t="shared" si="219"/>
        <v>35</v>
      </c>
      <c r="F458" s="79"/>
      <c r="G458" s="82"/>
      <c r="H458" s="68" t="str">
        <f t="shared" si="236"/>
        <v>Clesim6_20211114_23_00</v>
      </c>
      <c r="I458" s="69">
        <f t="shared" si="237"/>
        <v>1</v>
      </c>
      <c r="J458" s="76" t="str">
        <f t="shared" si="237"/>
        <v>Clematis</v>
      </c>
      <c r="K458" s="76" t="str">
        <f t="shared" si="237"/>
        <v>simense</v>
      </c>
      <c r="L458" s="77">
        <f t="shared" si="237"/>
        <v>6</v>
      </c>
      <c r="M458" s="77">
        <f t="shared" si="237"/>
        <v>20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v>
      </c>
      <c r="C459" s="73">
        <f t="shared" si="235"/>
        <v>14</v>
      </c>
      <c r="D459" s="74">
        <f t="shared" si="218"/>
        <v>23</v>
      </c>
      <c r="E459" s="75">
        <f t="shared" si="219"/>
        <v>36</v>
      </c>
      <c r="F459" s="79"/>
      <c r="G459" s="82"/>
      <c r="H459" s="68" t="str">
        <f t="shared" si="236"/>
        <v>Clesim6_20211114_23_00</v>
      </c>
      <c r="I459" s="69">
        <f t="shared" si="237"/>
        <v>1</v>
      </c>
      <c r="J459" s="76" t="str">
        <f t="shared" si="237"/>
        <v>Clematis</v>
      </c>
      <c r="K459" s="76" t="str">
        <f t="shared" si="237"/>
        <v>simense</v>
      </c>
      <c r="L459" s="77">
        <f t="shared" si="237"/>
        <v>6</v>
      </c>
      <c r="M459" s="77">
        <f t="shared" si="237"/>
        <v>20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v>
      </c>
      <c r="C460" s="73">
        <f t="shared" si="235"/>
        <v>14</v>
      </c>
      <c r="D460" s="74">
        <f t="shared" si="218"/>
        <v>23</v>
      </c>
      <c r="E460" s="75">
        <f t="shared" si="219"/>
        <v>37</v>
      </c>
      <c r="F460" s="79"/>
      <c r="G460" s="82"/>
      <c r="H460" s="68" t="str">
        <f t="shared" si="236"/>
        <v>Clesim6_20211114_23_00</v>
      </c>
      <c r="I460" s="69">
        <f t="shared" si="237"/>
        <v>1</v>
      </c>
      <c r="J460" s="76" t="str">
        <f t="shared" si="237"/>
        <v>Clematis</v>
      </c>
      <c r="K460" s="76" t="str">
        <f t="shared" si="237"/>
        <v>simense</v>
      </c>
      <c r="L460" s="77">
        <f t="shared" si="237"/>
        <v>6</v>
      </c>
      <c r="M460" s="77">
        <f t="shared" si="237"/>
        <v>20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v>
      </c>
      <c r="C461" s="73">
        <f t="shared" si="235"/>
        <v>14</v>
      </c>
      <c r="D461" s="74">
        <f t="shared" si="218"/>
        <v>23</v>
      </c>
      <c r="E461" s="75">
        <f t="shared" si="219"/>
        <v>38</v>
      </c>
      <c r="F461" s="79"/>
      <c r="G461" s="82"/>
      <c r="H461" s="68" t="str">
        <f t="shared" si="236"/>
        <v>Clesim6_20211114_23_00</v>
      </c>
      <c r="I461" s="69">
        <f t="shared" si="237"/>
        <v>1</v>
      </c>
      <c r="J461" s="76" t="str">
        <f t="shared" si="237"/>
        <v>Clematis</v>
      </c>
      <c r="K461" s="76" t="str">
        <f t="shared" si="237"/>
        <v>simense</v>
      </c>
      <c r="L461" s="77">
        <f t="shared" si="237"/>
        <v>6</v>
      </c>
      <c r="M461" s="77">
        <f t="shared" si="237"/>
        <v>20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v>
      </c>
      <c r="C462" s="73">
        <f t="shared" si="235"/>
        <v>14</v>
      </c>
      <c r="D462" s="74">
        <f t="shared" si="218"/>
        <v>23</v>
      </c>
      <c r="E462" s="75">
        <f t="shared" si="219"/>
        <v>39</v>
      </c>
      <c r="F462" s="79"/>
      <c r="G462" s="82"/>
      <c r="H462" s="68" t="str">
        <f t="shared" si="236"/>
        <v>Clesim6_20211114_23_00</v>
      </c>
      <c r="I462" s="69">
        <f t="shared" si="237"/>
        <v>1</v>
      </c>
      <c r="J462" s="76" t="str">
        <f t="shared" si="237"/>
        <v>Clematis</v>
      </c>
      <c r="K462" s="76" t="str">
        <f t="shared" si="237"/>
        <v>simense</v>
      </c>
      <c r="L462" s="77">
        <f t="shared" si="237"/>
        <v>6</v>
      </c>
      <c r="M462" s="77">
        <f t="shared" si="237"/>
        <v>20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v>
      </c>
      <c r="C463" s="73">
        <f t="shared" si="235"/>
        <v>14</v>
      </c>
      <c r="D463" s="74">
        <f t="shared" si="218"/>
        <v>23</v>
      </c>
      <c r="E463" s="75">
        <f t="shared" si="219"/>
        <v>40</v>
      </c>
      <c r="F463" s="79"/>
      <c r="G463" s="82"/>
      <c r="H463" s="68" t="str">
        <f t="shared" si="236"/>
        <v>Clesim6_20211114_23_00</v>
      </c>
      <c r="I463" s="69">
        <f t="shared" si="237"/>
        <v>1</v>
      </c>
      <c r="J463" s="76" t="str">
        <f t="shared" si="237"/>
        <v>Clematis</v>
      </c>
      <c r="K463" s="76" t="str">
        <f t="shared" si="237"/>
        <v>simense</v>
      </c>
      <c r="L463" s="77">
        <f t="shared" si="237"/>
        <v>6</v>
      </c>
      <c r="M463" s="77">
        <f t="shared" si="237"/>
        <v>20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2021</v>
      </c>
      <c r="B464" s="72" t="str">
        <f t="shared" si="217"/>
        <v>Nov</v>
      </c>
      <c r="C464" s="73">
        <f t="shared" si="235"/>
        <v>14</v>
      </c>
      <c r="D464" s="74">
        <f t="shared" si="218"/>
        <v>23</v>
      </c>
      <c r="E464" s="75">
        <f t="shared" si="219"/>
        <v>41</v>
      </c>
      <c r="F464" s="79">
        <v>59</v>
      </c>
      <c r="G464" s="82"/>
      <c r="H464" s="68" t="str">
        <f t="shared" si="236"/>
        <v>Clesim6_20211114_23_00</v>
      </c>
      <c r="I464" s="69">
        <f t="shared" si="237"/>
        <v>1</v>
      </c>
      <c r="J464" s="76" t="str">
        <f t="shared" si="237"/>
        <v>Clematis</v>
      </c>
      <c r="K464" s="76" t="str">
        <f t="shared" si="237"/>
        <v>simense</v>
      </c>
      <c r="L464" s="77">
        <f t="shared" si="237"/>
        <v>6</v>
      </c>
      <c r="M464" s="77">
        <f t="shared" si="237"/>
        <v>20</v>
      </c>
      <c r="N464" s="71">
        <f t="shared" si="237"/>
        <v>0</v>
      </c>
      <c r="O464" s="44"/>
      <c r="P464" s="45">
        <f t="shared" si="220"/>
        <v>1</v>
      </c>
      <c r="Q464" s="46" t="str">
        <f t="shared" si="221"/>
        <v>23:41:59</v>
      </c>
      <c r="R464" s="47" t="str">
        <f t="shared" si="222"/>
        <v>41:59</v>
      </c>
      <c r="S464" s="48">
        <f t="shared" si="211"/>
        <v>90</v>
      </c>
      <c r="T464" s="47" t="str">
        <f t="shared" si="223"/>
        <v>23</v>
      </c>
      <c r="U464" s="49">
        <v>43</v>
      </c>
      <c r="V464" s="50">
        <v>29</v>
      </c>
      <c r="W464" s="51" t="str">
        <f t="shared" si="224"/>
        <v>43:29</v>
      </c>
      <c r="X464" s="52" t="s">
        <v>61</v>
      </c>
      <c r="Y464" s="52" t="s">
        <v>75</v>
      </c>
      <c r="Z464" s="52"/>
      <c r="AA464" s="47" t="s">
        <v>62</v>
      </c>
      <c r="AB464" s="47" t="str">
        <f t="shared" si="225"/>
        <v>NA</v>
      </c>
      <c r="AC464" s="53" t="str">
        <f t="shared" si="226"/>
        <v/>
      </c>
      <c r="AD464" s="54">
        <f t="shared" si="227"/>
        <v>1</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f t="shared" si="212"/>
        <v>0</v>
      </c>
      <c r="AX464" s="61" t="str">
        <f t="shared" si="213"/>
        <v/>
      </c>
      <c r="AY464" s="60">
        <f t="shared" si="214"/>
        <v>0</v>
      </c>
      <c r="AZ464" s="61" t="str">
        <f t="shared" si="215"/>
        <v/>
      </c>
    </row>
    <row r="465" spans="1:52" s="3" customFormat="1" hidden="1" x14ac:dyDescent="0.35">
      <c r="A465" s="72">
        <f t="shared" si="216"/>
        <v>2021</v>
      </c>
      <c r="B465" s="72" t="str">
        <f t="shared" si="217"/>
        <v>Nov</v>
      </c>
      <c r="C465" s="73">
        <f t="shared" si="235"/>
        <v>14</v>
      </c>
      <c r="D465" s="74">
        <f t="shared" si="218"/>
        <v>23</v>
      </c>
      <c r="E465" s="75">
        <f t="shared" si="219"/>
        <v>42</v>
      </c>
      <c r="F465" s="79"/>
      <c r="G465" s="82"/>
      <c r="H465" s="68" t="str">
        <f t="shared" si="236"/>
        <v>Clesim6_20211114_23_00</v>
      </c>
      <c r="I465" s="69">
        <f t="shared" si="237"/>
        <v>1</v>
      </c>
      <c r="J465" s="76" t="str">
        <f t="shared" si="237"/>
        <v>Clematis</v>
      </c>
      <c r="K465" s="76" t="str">
        <f t="shared" si="237"/>
        <v>simense</v>
      </c>
      <c r="L465" s="77">
        <f t="shared" si="237"/>
        <v>6</v>
      </c>
      <c r="M465" s="77">
        <f t="shared" si="237"/>
        <v>20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v>
      </c>
      <c r="C466" s="73">
        <f t="shared" si="235"/>
        <v>14</v>
      </c>
      <c r="D466" s="74">
        <f t="shared" si="218"/>
        <v>23</v>
      </c>
      <c r="E466" s="75">
        <f t="shared" si="219"/>
        <v>43</v>
      </c>
      <c r="F466" s="79"/>
      <c r="G466" s="82"/>
      <c r="H466" s="68" t="str">
        <f t="shared" si="236"/>
        <v>Clesim6_20211114_23_00</v>
      </c>
      <c r="I466" s="69">
        <f t="shared" si="237"/>
        <v>1</v>
      </c>
      <c r="J466" s="76" t="str">
        <f t="shared" si="237"/>
        <v>Clematis</v>
      </c>
      <c r="K466" s="76" t="str">
        <f t="shared" si="237"/>
        <v>simense</v>
      </c>
      <c r="L466" s="77">
        <f t="shared" si="237"/>
        <v>6</v>
      </c>
      <c r="M466" s="77">
        <f t="shared" si="237"/>
        <v>20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v>
      </c>
      <c r="C467" s="73">
        <f t="shared" si="235"/>
        <v>14</v>
      </c>
      <c r="D467" s="74">
        <f t="shared" si="218"/>
        <v>23</v>
      </c>
      <c r="E467" s="75">
        <f t="shared" si="219"/>
        <v>44</v>
      </c>
      <c r="F467" s="79"/>
      <c r="G467" s="82"/>
      <c r="H467" s="68" t="str">
        <f t="shared" si="236"/>
        <v>Clesim6_20211114_23_00</v>
      </c>
      <c r="I467" s="69">
        <f t="shared" si="237"/>
        <v>1</v>
      </c>
      <c r="J467" s="76" t="str">
        <f t="shared" si="237"/>
        <v>Clematis</v>
      </c>
      <c r="K467" s="76" t="str">
        <f t="shared" si="237"/>
        <v>simense</v>
      </c>
      <c r="L467" s="77">
        <f t="shared" si="237"/>
        <v>6</v>
      </c>
      <c r="M467" s="77">
        <f t="shared" si="237"/>
        <v>20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v>
      </c>
      <c r="C468" s="73">
        <f t="shared" si="235"/>
        <v>14</v>
      </c>
      <c r="D468" s="74">
        <f t="shared" si="218"/>
        <v>23</v>
      </c>
      <c r="E468" s="75">
        <f t="shared" si="219"/>
        <v>45</v>
      </c>
      <c r="F468" s="79"/>
      <c r="G468" s="82"/>
      <c r="H468" s="68" t="str">
        <f t="shared" si="236"/>
        <v>Clesim6_20211114_23_00</v>
      </c>
      <c r="I468" s="69">
        <f t="shared" si="237"/>
        <v>1</v>
      </c>
      <c r="J468" s="76" t="str">
        <f t="shared" si="237"/>
        <v>Clematis</v>
      </c>
      <c r="K468" s="76" t="str">
        <f t="shared" si="237"/>
        <v>simense</v>
      </c>
      <c r="L468" s="77">
        <f t="shared" si="237"/>
        <v>6</v>
      </c>
      <c r="M468" s="77">
        <f t="shared" si="237"/>
        <v>20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v>
      </c>
      <c r="C469" s="73">
        <f t="shared" si="235"/>
        <v>14</v>
      </c>
      <c r="D469" s="74">
        <f t="shared" si="218"/>
        <v>23</v>
      </c>
      <c r="E469" s="75">
        <f t="shared" si="219"/>
        <v>46</v>
      </c>
      <c r="F469" s="79"/>
      <c r="G469" s="82"/>
      <c r="H469" s="68" t="str">
        <f t="shared" si="236"/>
        <v>Clesim6_20211114_23_00</v>
      </c>
      <c r="I469" s="69">
        <f t="shared" ref="I469:N484" si="238">I468</f>
        <v>1</v>
      </c>
      <c r="J469" s="76" t="str">
        <f t="shared" si="238"/>
        <v>Clematis</v>
      </c>
      <c r="K469" s="76" t="str">
        <f t="shared" si="238"/>
        <v>simense</v>
      </c>
      <c r="L469" s="77">
        <f t="shared" si="238"/>
        <v>6</v>
      </c>
      <c r="M469" s="77">
        <f t="shared" si="238"/>
        <v>20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v>
      </c>
      <c r="C470" s="73">
        <f t="shared" si="235"/>
        <v>14</v>
      </c>
      <c r="D470" s="74">
        <f t="shared" si="218"/>
        <v>23</v>
      </c>
      <c r="E470" s="75">
        <f t="shared" si="219"/>
        <v>47</v>
      </c>
      <c r="F470" s="79"/>
      <c r="G470" s="82"/>
      <c r="H470" s="68" t="str">
        <f t="shared" si="236"/>
        <v>Clesim6_20211114_23_00</v>
      </c>
      <c r="I470" s="69">
        <f t="shared" si="238"/>
        <v>1</v>
      </c>
      <c r="J470" s="76" t="str">
        <f t="shared" si="238"/>
        <v>Clematis</v>
      </c>
      <c r="K470" s="76" t="str">
        <f t="shared" si="238"/>
        <v>simense</v>
      </c>
      <c r="L470" s="77">
        <f t="shared" si="238"/>
        <v>6</v>
      </c>
      <c r="M470" s="77">
        <f t="shared" si="238"/>
        <v>20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v>
      </c>
      <c r="C471" s="73">
        <f t="shared" si="235"/>
        <v>14</v>
      </c>
      <c r="D471" s="74">
        <f t="shared" si="218"/>
        <v>23</v>
      </c>
      <c r="E471" s="75">
        <f t="shared" si="219"/>
        <v>48</v>
      </c>
      <c r="F471" s="79"/>
      <c r="G471" s="82"/>
      <c r="H471" s="68" t="str">
        <f t="shared" si="236"/>
        <v>Clesim6_20211114_23_00</v>
      </c>
      <c r="I471" s="69">
        <f t="shared" si="238"/>
        <v>1</v>
      </c>
      <c r="J471" s="76" t="str">
        <f t="shared" si="238"/>
        <v>Clematis</v>
      </c>
      <c r="K471" s="76" t="str">
        <f t="shared" si="238"/>
        <v>simense</v>
      </c>
      <c r="L471" s="77">
        <f t="shared" si="238"/>
        <v>6</v>
      </c>
      <c r="M471" s="77">
        <f t="shared" si="238"/>
        <v>20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2021</v>
      </c>
      <c r="B472" s="72" t="str">
        <f t="shared" si="217"/>
        <v>Nov</v>
      </c>
      <c r="C472" s="73">
        <f t="shared" si="235"/>
        <v>14</v>
      </c>
      <c r="D472" s="74">
        <f t="shared" si="218"/>
        <v>23</v>
      </c>
      <c r="E472" s="75">
        <f t="shared" si="219"/>
        <v>49</v>
      </c>
      <c r="F472" s="79">
        <v>48</v>
      </c>
      <c r="G472" s="82"/>
      <c r="H472" s="68" t="str">
        <f t="shared" si="236"/>
        <v>Clesim6_20211114_23_00</v>
      </c>
      <c r="I472" s="69">
        <f t="shared" si="238"/>
        <v>1</v>
      </c>
      <c r="J472" s="76" t="str">
        <f t="shared" si="238"/>
        <v>Clematis</v>
      </c>
      <c r="K472" s="76" t="str">
        <f t="shared" si="238"/>
        <v>simense</v>
      </c>
      <c r="L472" s="77">
        <f t="shared" si="238"/>
        <v>6</v>
      </c>
      <c r="M472" s="77">
        <f t="shared" si="238"/>
        <v>20</v>
      </c>
      <c r="N472" s="71">
        <f t="shared" si="238"/>
        <v>0</v>
      </c>
      <c r="O472" s="44"/>
      <c r="P472" s="45">
        <f t="shared" si="220"/>
        <v>1</v>
      </c>
      <c r="Q472" s="46" t="str">
        <f t="shared" si="221"/>
        <v>23:49:48</v>
      </c>
      <c r="R472" s="47" t="str">
        <f t="shared" si="222"/>
        <v>49:48</v>
      </c>
      <c r="S472" s="48">
        <f t="shared" si="211"/>
        <v>26</v>
      </c>
      <c r="T472" s="47" t="str">
        <f t="shared" si="223"/>
        <v>23</v>
      </c>
      <c r="U472" s="49">
        <v>50</v>
      </c>
      <c r="V472" s="50">
        <v>14</v>
      </c>
      <c r="W472" s="51" t="str">
        <f t="shared" si="224"/>
        <v>50:14</v>
      </c>
      <c r="X472" s="52" t="s">
        <v>58</v>
      </c>
      <c r="Y472" s="52" t="s">
        <v>78</v>
      </c>
      <c r="Z472" s="52"/>
      <c r="AA472" s="47" t="s">
        <v>58</v>
      </c>
      <c r="AB472" s="47" t="str">
        <f t="shared" si="225"/>
        <v>NA</v>
      </c>
      <c r="AC472" s="53" t="str">
        <f t="shared" si="226"/>
        <v/>
      </c>
      <c r="AD472" s="54">
        <v>3</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f t="shared" si="212"/>
        <v>0</v>
      </c>
      <c r="AX472" s="61" t="str">
        <f t="shared" si="213"/>
        <v/>
      </c>
      <c r="AY472" s="60">
        <f t="shared" si="214"/>
        <v>0</v>
      </c>
      <c r="AZ472" s="61" t="str">
        <f t="shared" si="215"/>
        <v/>
      </c>
    </row>
    <row r="473" spans="1:52" s="3" customFormat="1" x14ac:dyDescent="0.35">
      <c r="A473" s="124">
        <f t="shared" si="216"/>
        <v>2021</v>
      </c>
      <c r="B473" s="124" t="str">
        <f t="shared" si="217"/>
        <v>Nov</v>
      </c>
      <c r="C473" s="125">
        <f t="shared" si="235"/>
        <v>14</v>
      </c>
      <c r="D473" s="126">
        <f t="shared" si="218"/>
        <v>23</v>
      </c>
      <c r="E473" s="127">
        <f t="shared" si="219"/>
        <v>50</v>
      </c>
      <c r="F473" s="128">
        <v>10</v>
      </c>
      <c r="G473" s="82"/>
      <c r="H473" s="68" t="str">
        <f t="shared" si="236"/>
        <v>Clesim6_20211114_23_00</v>
      </c>
      <c r="I473" s="69">
        <f t="shared" si="238"/>
        <v>1</v>
      </c>
      <c r="J473" s="76" t="str">
        <f t="shared" si="238"/>
        <v>Clematis</v>
      </c>
      <c r="K473" s="76" t="str">
        <f t="shared" si="238"/>
        <v>simense</v>
      </c>
      <c r="L473" s="77">
        <f t="shared" si="238"/>
        <v>6</v>
      </c>
      <c r="M473" s="77">
        <f t="shared" si="238"/>
        <v>20</v>
      </c>
      <c r="N473" s="71">
        <f t="shared" si="238"/>
        <v>0</v>
      </c>
      <c r="O473" s="44"/>
      <c r="P473" s="45">
        <f t="shared" si="220"/>
        <v>1</v>
      </c>
      <c r="Q473" s="46" t="str">
        <f t="shared" si="221"/>
        <v>23:50:10</v>
      </c>
      <c r="R473" s="47" t="str">
        <f t="shared" si="222"/>
        <v>50:10</v>
      </c>
      <c r="S473" s="48">
        <f t="shared" si="211"/>
        <v>4</v>
      </c>
      <c r="T473" s="47" t="str">
        <f t="shared" si="223"/>
        <v>23</v>
      </c>
      <c r="U473" s="49">
        <v>50</v>
      </c>
      <c r="V473" s="50">
        <v>14</v>
      </c>
      <c r="W473" s="51" t="str">
        <f t="shared" si="224"/>
        <v>50:14</v>
      </c>
      <c r="X473" s="124" t="s">
        <v>81</v>
      </c>
      <c r="Y473" s="124" t="s">
        <v>82</v>
      </c>
      <c r="Z473" s="124"/>
      <c r="AA473" s="124" t="s">
        <v>60</v>
      </c>
      <c r="AB473" s="47" t="str">
        <f t="shared" si="225"/>
        <v>NA</v>
      </c>
      <c r="AC473" s="53" t="str">
        <f t="shared" si="226"/>
        <v/>
      </c>
      <c r="AD473" s="54">
        <f t="shared" si="227"/>
        <v>1</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f t="shared" si="212"/>
        <v>0</v>
      </c>
      <c r="AX473" s="61" t="str">
        <f t="shared" si="213"/>
        <v/>
      </c>
      <c r="AY473" s="60">
        <f t="shared" si="214"/>
        <v>0</v>
      </c>
      <c r="AZ473" s="61" t="str">
        <f t="shared" si="215"/>
        <v/>
      </c>
    </row>
    <row r="474" spans="1:52" s="3" customFormat="1" hidden="1" x14ac:dyDescent="0.35">
      <c r="A474" s="72">
        <f t="shared" si="216"/>
        <v>2021</v>
      </c>
      <c r="B474" s="72" t="str">
        <f t="shared" si="217"/>
        <v>Nov</v>
      </c>
      <c r="C474" s="73">
        <f t="shared" si="235"/>
        <v>14</v>
      </c>
      <c r="D474" s="74">
        <f t="shared" si="218"/>
        <v>23</v>
      </c>
      <c r="E474" s="75">
        <f t="shared" si="219"/>
        <v>51</v>
      </c>
      <c r="F474" s="79"/>
      <c r="G474" s="82"/>
      <c r="H474" s="68" t="str">
        <f t="shared" si="236"/>
        <v>Clesim6_20211114_23_00</v>
      </c>
      <c r="I474" s="69">
        <f t="shared" si="238"/>
        <v>1</v>
      </c>
      <c r="J474" s="76" t="str">
        <f t="shared" si="238"/>
        <v>Clematis</v>
      </c>
      <c r="K474" s="76" t="str">
        <f t="shared" si="238"/>
        <v>simense</v>
      </c>
      <c r="L474" s="77">
        <f t="shared" si="238"/>
        <v>6</v>
      </c>
      <c r="M474" s="77">
        <f t="shared" si="238"/>
        <v>20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v>
      </c>
      <c r="C475" s="73">
        <f t="shared" si="235"/>
        <v>14</v>
      </c>
      <c r="D475" s="74">
        <f t="shared" si="218"/>
        <v>23</v>
      </c>
      <c r="E475" s="75">
        <f t="shared" si="219"/>
        <v>52</v>
      </c>
      <c r="F475" s="79"/>
      <c r="G475" s="82"/>
      <c r="H475" s="68" t="str">
        <f t="shared" si="236"/>
        <v>Clesim6_20211114_23_00</v>
      </c>
      <c r="I475" s="69">
        <f t="shared" si="238"/>
        <v>1</v>
      </c>
      <c r="J475" s="76" t="str">
        <f t="shared" si="238"/>
        <v>Clematis</v>
      </c>
      <c r="K475" s="76" t="str">
        <f t="shared" si="238"/>
        <v>simense</v>
      </c>
      <c r="L475" s="77">
        <f t="shared" si="238"/>
        <v>6</v>
      </c>
      <c r="M475" s="77">
        <f t="shared" si="238"/>
        <v>20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v>
      </c>
      <c r="C476" s="73">
        <f t="shared" si="235"/>
        <v>14</v>
      </c>
      <c r="D476" s="74">
        <f t="shared" si="218"/>
        <v>23</v>
      </c>
      <c r="E476" s="75">
        <f t="shared" si="219"/>
        <v>53</v>
      </c>
      <c r="F476" s="79"/>
      <c r="G476" s="82"/>
      <c r="H476" s="68" t="str">
        <f t="shared" si="236"/>
        <v>Clesim6_20211114_23_00</v>
      </c>
      <c r="I476" s="69">
        <f t="shared" si="238"/>
        <v>1</v>
      </c>
      <c r="J476" s="76" t="str">
        <f t="shared" si="238"/>
        <v>Clematis</v>
      </c>
      <c r="K476" s="76" t="str">
        <f t="shared" si="238"/>
        <v>simense</v>
      </c>
      <c r="L476" s="77">
        <f t="shared" si="238"/>
        <v>6</v>
      </c>
      <c r="M476" s="77">
        <f t="shared" si="238"/>
        <v>20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v>
      </c>
      <c r="C477" s="73">
        <f t="shared" si="235"/>
        <v>14</v>
      </c>
      <c r="D477" s="74">
        <f t="shared" si="218"/>
        <v>23</v>
      </c>
      <c r="E477" s="75">
        <f t="shared" si="219"/>
        <v>54</v>
      </c>
      <c r="F477" s="79"/>
      <c r="G477" s="82"/>
      <c r="H477" s="68" t="str">
        <f t="shared" si="236"/>
        <v>Clesim6_20211114_23_00</v>
      </c>
      <c r="I477" s="69">
        <f t="shared" si="238"/>
        <v>1</v>
      </c>
      <c r="J477" s="76" t="str">
        <f t="shared" si="238"/>
        <v>Clematis</v>
      </c>
      <c r="K477" s="76" t="str">
        <f t="shared" si="238"/>
        <v>simense</v>
      </c>
      <c r="L477" s="77">
        <f t="shared" si="238"/>
        <v>6</v>
      </c>
      <c r="M477" s="77">
        <f t="shared" si="238"/>
        <v>20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v>
      </c>
      <c r="C478" s="73">
        <f t="shared" si="235"/>
        <v>14</v>
      </c>
      <c r="D478" s="74">
        <f t="shared" si="218"/>
        <v>23</v>
      </c>
      <c r="E478" s="75">
        <f t="shared" si="219"/>
        <v>55</v>
      </c>
      <c r="F478" s="79"/>
      <c r="G478" s="82"/>
      <c r="H478" s="68" t="str">
        <f t="shared" si="236"/>
        <v>Clesim6_20211114_23_00</v>
      </c>
      <c r="I478" s="69">
        <f t="shared" si="238"/>
        <v>1</v>
      </c>
      <c r="J478" s="76" t="str">
        <f t="shared" si="238"/>
        <v>Clematis</v>
      </c>
      <c r="K478" s="76" t="str">
        <f t="shared" si="238"/>
        <v>simense</v>
      </c>
      <c r="L478" s="77">
        <f t="shared" si="238"/>
        <v>6</v>
      </c>
      <c r="M478" s="77">
        <f t="shared" si="238"/>
        <v>20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v>
      </c>
      <c r="C479" s="73">
        <f t="shared" si="235"/>
        <v>14</v>
      </c>
      <c r="D479" s="74">
        <f t="shared" si="218"/>
        <v>23</v>
      </c>
      <c r="E479" s="75">
        <f t="shared" si="219"/>
        <v>56</v>
      </c>
      <c r="F479" s="79"/>
      <c r="G479" s="82"/>
      <c r="H479" s="68" t="str">
        <f t="shared" si="236"/>
        <v>Clesim6_20211114_23_00</v>
      </c>
      <c r="I479" s="69">
        <f t="shared" si="238"/>
        <v>1</v>
      </c>
      <c r="J479" s="76" t="str">
        <f t="shared" si="238"/>
        <v>Clematis</v>
      </c>
      <c r="K479" s="76" t="str">
        <f t="shared" si="238"/>
        <v>simense</v>
      </c>
      <c r="L479" s="77">
        <f t="shared" si="238"/>
        <v>6</v>
      </c>
      <c r="M479" s="77">
        <f t="shared" si="238"/>
        <v>20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v>
      </c>
      <c r="C480" s="73">
        <f t="shared" si="235"/>
        <v>14</v>
      </c>
      <c r="D480" s="74">
        <f t="shared" si="218"/>
        <v>23</v>
      </c>
      <c r="E480" s="75">
        <f t="shared" si="219"/>
        <v>57</v>
      </c>
      <c r="F480" s="79"/>
      <c r="G480" s="82"/>
      <c r="H480" s="68" t="str">
        <f t="shared" si="236"/>
        <v>Clesim6_20211114_23_00</v>
      </c>
      <c r="I480" s="69">
        <f t="shared" si="238"/>
        <v>1</v>
      </c>
      <c r="J480" s="76" t="str">
        <f t="shared" si="238"/>
        <v>Clematis</v>
      </c>
      <c r="K480" s="76" t="str">
        <f t="shared" si="238"/>
        <v>simense</v>
      </c>
      <c r="L480" s="77">
        <f t="shared" si="238"/>
        <v>6</v>
      </c>
      <c r="M480" s="77">
        <f t="shared" si="238"/>
        <v>20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v>
      </c>
      <c r="C481" s="73">
        <f t="shared" si="235"/>
        <v>14</v>
      </c>
      <c r="D481" s="74">
        <f t="shared" si="218"/>
        <v>23</v>
      </c>
      <c r="E481" s="75">
        <f t="shared" si="219"/>
        <v>58</v>
      </c>
      <c r="F481" s="79"/>
      <c r="G481" s="82"/>
      <c r="H481" s="68" t="str">
        <f t="shared" si="236"/>
        <v>Clesim6_20211114_23_00</v>
      </c>
      <c r="I481" s="69">
        <f t="shared" si="238"/>
        <v>1</v>
      </c>
      <c r="J481" s="76" t="str">
        <f t="shared" si="238"/>
        <v>Clematis</v>
      </c>
      <c r="K481" s="76" t="str">
        <f t="shared" si="238"/>
        <v>simense</v>
      </c>
      <c r="L481" s="77">
        <f t="shared" si="238"/>
        <v>6</v>
      </c>
      <c r="M481" s="77">
        <f t="shared" si="238"/>
        <v>20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v>
      </c>
      <c r="C482" s="73">
        <f t="shared" si="235"/>
        <v>14</v>
      </c>
      <c r="D482" s="74">
        <f t="shared" si="218"/>
        <v>23</v>
      </c>
      <c r="E482" s="75">
        <f t="shared" si="219"/>
        <v>59</v>
      </c>
      <c r="F482" s="79"/>
      <c r="G482" s="82"/>
      <c r="H482" s="68" t="str">
        <f t="shared" si="236"/>
        <v>Clesim6_20211114_23_00</v>
      </c>
      <c r="I482" s="69">
        <f t="shared" si="238"/>
        <v>1</v>
      </c>
      <c r="J482" s="76" t="str">
        <f t="shared" si="238"/>
        <v>Clematis</v>
      </c>
      <c r="K482" s="76" t="str">
        <f t="shared" si="238"/>
        <v>simense</v>
      </c>
      <c r="L482" s="77">
        <f t="shared" si="238"/>
        <v>6</v>
      </c>
      <c r="M482" s="77">
        <f t="shared" si="238"/>
        <v>20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v>
      </c>
      <c r="C483" s="73">
        <f t="shared" si="235"/>
        <v>15</v>
      </c>
      <c r="D483" s="74">
        <f t="shared" si="218"/>
        <v>0</v>
      </c>
      <c r="E483" s="75">
        <f t="shared" si="219"/>
        <v>0</v>
      </c>
      <c r="F483" s="79"/>
      <c r="G483" s="82"/>
      <c r="H483" s="68" t="str">
        <f t="shared" si="236"/>
        <v>Clesim6_20211115_00_00</v>
      </c>
      <c r="I483" s="69">
        <f t="shared" si="238"/>
        <v>1</v>
      </c>
      <c r="J483" s="76" t="str">
        <f t="shared" si="238"/>
        <v>Clematis</v>
      </c>
      <c r="K483" s="76" t="str">
        <f t="shared" si="238"/>
        <v>simense</v>
      </c>
      <c r="L483" s="77">
        <f t="shared" si="238"/>
        <v>6</v>
      </c>
      <c r="M483" s="77">
        <f t="shared" si="238"/>
        <v>20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v>
      </c>
      <c r="C484" s="73">
        <f t="shared" si="235"/>
        <v>15</v>
      </c>
      <c r="D484" s="74">
        <f t="shared" si="218"/>
        <v>0</v>
      </c>
      <c r="E484" s="75">
        <f t="shared" si="219"/>
        <v>1</v>
      </c>
      <c r="F484" s="79"/>
      <c r="G484" s="82"/>
      <c r="H484" s="68" t="str">
        <f t="shared" si="236"/>
        <v>Clesim6_20211115_00_00</v>
      </c>
      <c r="I484" s="69">
        <f t="shared" si="238"/>
        <v>1</v>
      </c>
      <c r="J484" s="76" t="str">
        <f t="shared" si="238"/>
        <v>Clematis</v>
      </c>
      <c r="K484" s="76" t="str">
        <f t="shared" si="238"/>
        <v>simense</v>
      </c>
      <c r="L484" s="77">
        <f t="shared" si="238"/>
        <v>6</v>
      </c>
      <c r="M484" s="77">
        <f t="shared" si="238"/>
        <v>20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v>
      </c>
      <c r="C485" s="73">
        <f t="shared" si="235"/>
        <v>15</v>
      </c>
      <c r="D485" s="74">
        <f t="shared" si="218"/>
        <v>0</v>
      </c>
      <c r="E485" s="75">
        <f t="shared" si="219"/>
        <v>2</v>
      </c>
      <c r="F485" s="79"/>
      <c r="G485" s="82"/>
      <c r="H485" s="68" t="str">
        <f t="shared" si="236"/>
        <v>Clesim6_20211115_00_00</v>
      </c>
      <c r="I485" s="69">
        <f t="shared" ref="I485:N500" si="239">I484</f>
        <v>1</v>
      </c>
      <c r="J485" s="76" t="str">
        <f t="shared" si="239"/>
        <v>Clematis</v>
      </c>
      <c r="K485" s="76" t="str">
        <f t="shared" si="239"/>
        <v>simense</v>
      </c>
      <c r="L485" s="77">
        <f t="shared" si="239"/>
        <v>6</v>
      </c>
      <c r="M485" s="77">
        <f t="shared" si="239"/>
        <v>20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v>
      </c>
      <c r="C486" s="73">
        <f t="shared" si="235"/>
        <v>15</v>
      </c>
      <c r="D486" s="74">
        <f t="shared" si="218"/>
        <v>0</v>
      </c>
      <c r="E486" s="75">
        <f t="shared" si="219"/>
        <v>3</v>
      </c>
      <c r="F486" s="79"/>
      <c r="G486" s="82"/>
      <c r="H486" s="68" t="str">
        <f t="shared" si="236"/>
        <v>Clesim6_20211115_00_00</v>
      </c>
      <c r="I486" s="69">
        <f t="shared" si="239"/>
        <v>1</v>
      </c>
      <c r="J486" s="76" t="str">
        <f t="shared" si="239"/>
        <v>Clematis</v>
      </c>
      <c r="K486" s="76" t="str">
        <f t="shared" si="239"/>
        <v>simense</v>
      </c>
      <c r="L486" s="77">
        <f t="shared" si="239"/>
        <v>6</v>
      </c>
      <c r="M486" s="77">
        <f t="shared" si="239"/>
        <v>20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v>
      </c>
      <c r="C487" s="73">
        <f t="shared" si="235"/>
        <v>15</v>
      </c>
      <c r="D487" s="74">
        <f t="shared" si="218"/>
        <v>0</v>
      </c>
      <c r="E487" s="75">
        <f t="shared" si="219"/>
        <v>4</v>
      </c>
      <c r="F487" s="79"/>
      <c r="G487" s="82"/>
      <c r="H487" s="68" t="str">
        <f t="shared" si="236"/>
        <v>Clesim6_20211115_00_00</v>
      </c>
      <c r="I487" s="69">
        <f t="shared" si="239"/>
        <v>1</v>
      </c>
      <c r="J487" s="76" t="str">
        <f t="shared" si="239"/>
        <v>Clematis</v>
      </c>
      <c r="K487" s="76" t="str">
        <f t="shared" si="239"/>
        <v>simense</v>
      </c>
      <c r="L487" s="77">
        <f t="shared" si="239"/>
        <v>6</v>
      </c>
      <c r="M487" s="77">
        <f t="shared" si="239"/>
        <v>20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v>
      </c>
      <c r="C488" s="73">
        <f t="shared" si="235"/>
        <v>15</v>
      </c>
      <c r="D488" s="74">
        <f t="shared" si="218"/>
        <v>0</v>
      </c>
      <c r="E488" s="75">
        <f t="shared" si="219"/>
        <v>5</v>
      </c>
      <c r="F488" s="79"/>
      <c r="G488" s="82"/>
      <c r="H488" s="68" t="str">
        <f t="shared" si="236"/>
        <v>Clesim6_20211115_00_00</v>
      </c>
      <c r="I488" s="69">
        <f t="shared" si="239"/>
        <v>1</v>
      </c>
      <c r="J488" s="76" t="str">
        <f t="shared" si="239"/>
        <v>Clematis</v>
      </c>
      <c r="K488" s="76" t="str">
        <f t="shared" si="239"/>
        <v>simense</v>
      </c>
      <c r="L488" s="77">
        <f t="shared" si="239"/>
        <v>6</v>
      </c>
      <c r="M488" s="77">
        <f t="shared" si="239"/>
        <v>20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v>
      </c>
      <c r="C489" s="73">
        <f t="shared" si="235"/>
        <v>15</v>
      </c>
      <c r="D489" s="74">
        <f t="shared" si="218"/>
        <v>0</v>
      </c>
      <c r="E489" s="75">
        <f t="shared" si="219"/>
        <v>6</v>
      </c>
      <c r="F489" s="79"/>
      <c r="G489" s="82"/>
      <c r="H489" s="68" t="str">
        <f t="shared" si="236"/>
        <v>Clesim6_20211115_00_00</v>
      </c>
      <c r="I489" s="69">
        <f t="shared" si="239"/>
        <v>1</v>
      </c>
      <c r="J489" s="76" t="str">
        <f t="shared" si="239"/>
        <v>Clematis</v>
      </c>
      <c r="K489" s="76" t="str">
        <f t="shared" si="239"/>
        <v>simense</v>
      </c>
      <c r="L489" s="77">
        <f t="shared" si="239"/>
        <v>6</v>
      </c>
      <c r="M489" s="77">
        <f t="shared" si="239"/>
        <v>20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v>
      </c>
      <c r="C490" s="73">
        <f t="shared" si="235"/>
        <v>15</v>
      </c>
      <c r="D490" s="74">
        <f t="shared" si="218"/>
        <v>0</v>
      </c>
      <c r="E490" s="75">
        <f t="shared" si="219"/>
        <v>7</v>
      </c>
      <c r="F490" s="79"/>
      <c r="G490" s="82"/>
      <c r="H490" s="68" t="str">
        <f t="shared" si="236"/>
        <v>Clesim6_20211115_00_00</v>
      </c>
      <c r="I490" s="69">
        <f t="shared" si="239"/>
        <v>1</v>
      </c>
      <c r="J490" s="76" t="str">
        <f t="shared" si="239"/>
        <v>Clematis</v>
      </c>
      <c r="K490" s="76" t="str">
        <f t="shared" si="239"/>
        <v>simense</v>
      </c>
      <c r="L490" s="77">
        <f t="shared" si="239"/>
        <v>6</v>
      </c>
      <c r="M490" s="77">
        <f t="shared" si="239"/>
        <v>20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v>
      </c>
      <c r="C491" s="73">
        <f t="shared" si="235"/>
        <v>15</v>
      </c>
      <c r="D491" s="74">
        <f t="shared" si="218"/>
        <v>0</v>
      </c>
      <c r="E491" s="75">
        <f t="shared" si="219"/>
        <v>8</v>
      </c>
      <c r="F491" s="79"/>
      <c r="G491" s="82"/>
      <c r="H491" s="68" t="str">
        <f t="shared" si="236"/>
        <v>Clesim6_20211115_00_00</v>
      </c>
      <c r="I491" s="69">
        <f t="shared" si="239"/>
        <v>1</v>
      </c>
      <c r="J491" s="76" t="str">
        <f t="shared" si="239"/>
        <v>Clematis</v>
      </c>
      <c r="K491" s="76" t="str">
        <f t="shared" si="239"/>
        <v>simense</v>
      </c>
      <c r="L491" s="77">
        <f t="shared" si="239"/>
        <v>6</v>
      </c>
      <c r="M491" s="77">
        <f t="shared" si="239"/>
        <v>20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v>
      </c>
      <c r="C492" s="73">
        <f t="shared" si="235"/>
        <v>15</v>
      </c>
      <c r="D492" s="74">
        <f t="shared" si="218"/>
        <v>0</v>
      </c>
      <c r="E492" s="75">
        <f t="shared" si="219"/>
        <v>9</v>
      </c>
      <c r="F492" s="79"/>
      <c r="G492" s="82"/>
      <c r="H492" s="68" t="str">
        <f t="shared" si="236"/>
        <v>Clesim6_20211115_00_00</v>
      </c>
      <c r="I492" s="69">
        <f t="shared" si="239"/>
        <v>1</v>
      </c>
      <c r="J492" s="76" t="str">
        <f t="shared" si="239"/>
        <v>Clematis</v>
      </c>
      <c r="K492" s="76" t="str">
        <f t="shared" si="239"/>
        <v>simense</v>
      </c>
      <c r="L492" s="77">
        <f t="shared" si="239"/>
        <v>6</v>
      </c>
      <c r="M492" s="77">
        <f t="shared" si="239"/>
        <v>20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v>
      </c>
      <c r="C493" s="73">
        <f t="shared" si="235"/>
        <v>15</v>
      </c>
      <c r="D493" s="74">
        <f t="shared" si="218"/>
        <v>0</v>
      </c>
      <c r="E493" s="75">
        <f t="shared" si="219"/>
        <v>10</v>
      </c>
      <c r="F493" s="79"/>
      <c r="G493" s="82"/>
      <c r="H493" s="68" t="str">
        <f t="shared" si="236"/>
        <v>Clesim6_20211115_00_00</v>
      </c>
      <c r="I493" s="69">
        <f t="shared" si="239"/>
        <v>1</v>
      </c>
      <c r="J493" s="76" t="str">
        <f t="shared" si="239"/>
        <v>Clematis</v>
      </c>
      <c r="K493" s="76" t="str">
        <f t="shared" si="239"/>
        <v>simense</v>
      </c>
      <c r="L493" s="77">
        <f t="shared" si="239"/>
        <v>6</v>
      </c>
      <c r="M493" s="77">
        <f t="shared" si="239"/>
        <v>20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v>
      </c>
      <c r="C494" s="73">
        <f t="shared" si="235"/>
        <v>15</v>
      </c>
      <c r="D494" s="74">
        <f t="shared" si="218"/>
        <v>0</v>
      </c>
      <c r="E494" s="75">
        <f t="shared" si="219"/>
        <v>11</v>
      </c>
      <c r="F494" s="79"/>
      <c r="G494" s="82"/>
      <c r="H494" s="68" t="str">
        <f t="shared" si="236"/>
        <v>Clesim6_20211115_00_00</v>
      </c>
      <c r="I494" s="69">
        <f t="shared" si="239"/>
        <v>1</v>
      </c>
      <c r="J494" s="76" t="str">
        <f t="shared" si="239"/>
        <v>Clematis</v>
      </c>
      <c r="K494" s="76" t="str">
        <f t="shared" si="239"/>
        <v>simense</v>
      </c>
      <c r="L494" s="77">
        <f t="shared" si="239"/>
        <v>6</v>
      </c>
      <c r="M494" s="77">
        <f t="shared" si="239"/>
        <v>20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v>
      </c>
      <c r="C495" s="73">
        <f t="shared" si="235"/>
        <v>15</v>
      </c>
      <c r="D495" s="74">
        <f t="shared" si="218"/>
        <v>0</v>
      </c>
      <c r="E495" s="75">
        <f t="shared" si="219"/>
        <v>12</v>
      </c>
      <c r="F495" s="79"/>
      <c r="G495" s="82"/>
      <c r="H495" s="68" t="str">
        <f t="shared" si="236"/>
        <v>Clesim6_20211115_00_00</v>
      </c>
      <c r="I495" s="69">
        <f t="shared" si="239"/>
        <v>1</v>
      </c>
      <c r="J495" s="76" t="str">
        <f t="shared" si="239"/>
        <v>Clematis</v>
      </c>
      <c r="K495" s="76" t="str">
        <f t="shared" si="239"/>
        <v>simense</v>
      </c>
      <c r="L495" s="77">
        <f t="shared" si="239"/>
        <v>6</v>
      </c>
      <c r="M495" s="77">
        <f t="shared" si="239"/>
        <v>20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v>
      </c>
      <c r="C496" s="73">
        <f t="shared" si="235"/>
        <v>15</v>
      </c>
      <c r="D496" s="74">
        <f t="shared" si="218"/>
        <v>0</v>
      </c>
      <c r="E496" s="75">
        <f t="shared" si="219"/>
        <v>13</v>
      </c>
      <c r="F496" s="79"/>
      <c r="G496" s="82"/>
      <c r="H496" s="68" t="str">
        <f t="shared" si="236"/>
        <v>Clesim6_20211115_00_00</v>
      </c>
      <c r="I496" s="69">
        <f t="shared" si="239"/>
        <v>1</v>
      </c>
      <c r="J496" s="76" t="str">
        <f t="shared" si="239"/>
        <v>Clematis</v>
      </c>
      <c r="K496" s="76" t="str">
        <f t="shared" si="239"/>
        <v>simense</v>
      </c>
      <c r="L496" s="77">
        <f t="shared" si="239"/>
        <v>6</v>
      </c>
      <c r="M496" s="77">
        <f t="shared" si="239"/>
        <v>20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v>
      </c>
      <c r="C497" s="73">
        <f t="shared" si="235"/>
        <v>15</v>
      </c>
      <c r="D497" s="74">
        <f t="shared" si="218"/>
        <v>0</v>
      </c>
      <c r="E497" s="75">
        <f t="shared" si="219"/>
        <v>14</v>
      </c>
      <c r="F497" s="79"/>
      <c r="G497" s="82"/>
      <c r="H497" s="68" t="str">
        <f t="shared" si="236"/>
        <v>Clesim6_20211115_00_00</v>
      </c>
      <c r="I497" s="69">
        <f t="shared" si="239"/>
        <v>1</v>
      </c>
      <c r="J497" s="76" t="str">
        <f t="shared" si="239"/>
        <v>Clematis</v>
      </c>
      <c r="K497" s="76" t="str">
        <f t="shared" si="239"/>
        <v>simense</v>
      </c>
      <c r="L497" s="77">
        <f t="shared" si="239"/>
        <v>6</v>
      </c>
      <c r="M497" s="77">
        <f t="shared" si="239"/>
        <v>20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v>
      </c>
      <c r="C498" s="73">
        <f t="shared" si="235"/>
        <v>15</v>
      </c>
      <c r="D498" s="74">
        <f t="shared" si="218"/>
        <v>0</v>
      </c>
      <c r="E498" s="75">
        <f t="shared" si="219"/>
        <v>15</v>
      </c>
      <c r="F498" s="79"/>
      <c r="G498" s="82"/>
      <c r="H498" s="68" t="str">
        <f t="shared" si="236"/>
        <v>Clesim6_20211115_00_00</v>
      </c>
      <c r="I498" s="69">
        <f t="shared" si="239"/>
        <v>1</v>
      </c>
      <c r="J498" s="76" t="str">
        <f t="shared" si="239"/>
        <v>Clematis</v>
      </c>
      <c r="K498" s="76" t="str">
        <f t="shared" si="239"/>
        <v>simense</v>
      </c>
      <c r="L498" s="77">
        <f t="shared" si="239"/>
        <v>6</v>
      </c>
      <c r="M498" s="77">
        <f t="shared" si="239"/>
        <v>20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v>
      </c>
      <c r="C499" s="73">
        <f t="shared" si="235"/>
        <v>15</v>
      </c>
      <c r="D499" s="74">
        <f t="shared" si="218"/>
        <v>0</v>
      </c>
      <c r="E499" s="75">
        <f t="shared" si="219"/>
        <v>16</v>
      </c>
      <c r="F499" s="79"/>
      <c r="G499" s="82"/>
      <c r="H499" s="68" t="str">
        <f t="shared" si="236"/>
        <v>Clesim6_20211115_00_00</v>
      </c>
      <c r="I499" s="69">
        <f t="shared" si="239"/>
        <v>1</v>
      </c>
      <c r="J499" s="76" t="str">
        <f t="shared" si="239"/>
        <v>Clematis</v>
      </c>
      <c r="K499" s="76" t="str">
        <f t="shared" si="239"/>
        <v>simense</v>
      </c>
      <c r="L499" s="77">
        <f t="shared" si="239"/>
        <v>6</v>
      </c>
      <c r="M499" s="77">
        <f t="shared" si="239"/>
        <v>20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v>
      </c>
      <c r="C500" s="73">
        <f t="shared" si="235"/>
        <v>15</v>
      </c>
      <c r="D500" s="74">
        <f t="shared" si="218"/>
        <v>0</v>
      </c>
      <c r="E500" s="75">
        <f t="shared" si="219"/>
        <v>17</v>
      </c>
      <c r="F500" s="79"/>
      <c r="G500" s="82"/>
      <c r="H500" s="68" t="str">
        <f t="shared" si="236"/>
        <v>Clesim6_20211115_00_00</v>
      </c>
      <c r="I500" s="69">
        <f t="shared" si="239"/>
        <v>1</v>
      </c>
      <c r="J500" s="76" t="str">
        <f t="shared" si="239"/>
        <v>Clematis</v>
      </c>
      <c r="K500" s="76" t="str">
        <f t="shared" si="239"/>
        <v>simense</v>
      </c>
      <c r="L500" s="77">
        <f t="shared" si="239"/>
        <v>6</v>
      </c>
      <c r="M500" s="77">
        <f t="shared" si="239"/>
        <v>20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v>
      </c>
      <c r="C501" s="73">
        <f t="shared" si="235"/>
        <v>15</v>
      </c>
      <c r="D501" s="74">
        <f t="shared" si="218"/>
        <v>0</v>
      </c>
      <c r="E501" s="75">
        <f t="shared" si="219"/>
        <v>18</v>
      </c>
      <c r="F501" s="79"/>
      <c r="G501" s="82"/>
      <c r="H501" s="68" t="str">
        <f t="shared" si="236"/>
        <v>Clesim6_20211115_00_00</v>
      </c>
      <c r="I501" s="69">
        <f t="shared" ref="I501:N516" si="240">I500</f>
        <v>1</v>
      </c>
      <c r="J501" s="76" t="str">
        <f t="shared" si="240"/>
        <v>Clematis</v>
      </c>
      <c r="K501" s="76" t="str">
        <f t="shared" si="240"/>
        <v>simense</v>
      </c>
      <c r="L501" s="77">
        <f t="shared" si="240"/>
        <v>6</v>
      </c>
      <c r="M501" s="77">
        <f t="shared" si="240"/>
        <v>20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v>
      </c>
      <c r="C502" s="73">
        <f t="shared" si="235"/>
        <v>15</v>
      </c>
      <c r="D502" s="74">
        <f t="shared" si="218"/>
        <v>0</v>
      </c>
      <c r="E502" s="75">
        <f t="shared" si="219"/>
        <v>19</v>
      </c>
      <c r="F502" s="79"/>
      <c r="G502" s="82"/>
      <c r="H502" s="68" t="str">
        <f t="shared" si="236"/>
        <v>Clesim6_20211115_00_00</v>
      </c>
      <c r="I502" s="69">
        <f t="shared" si="240"/>
        <v>1</v>
      </c>
      <c r="J502" s="76" t="str">
        <f t="shared" si="240"/>
        <v>Clematis</v>
      </c>
      <c r="K502" s="76" t="str">
        <f t="shared" si="240"/>
        <v>simense</v>
      </c>
      <c r="L502" s="77">
        <f t="shared" si="240"/>
        <v>6</v>
      </c>
      <c r="M502" s="77">
        <f t="shared" si="240"/>
        <v>20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v>
      </c>
      <c r="C503" s="73">
        <f t="shared" si="235"/>
        <v>15</v>
      </c>
      <c r="D503" s="74">
        <f t="shared" si="218"/>
        <v>0</v>
      </c>
      <c r="E503" s="75">
        <f t="shared" si="219"/>
        <v>20</v>
      </c>
      <c r="F503" s="79"/>
      <c r="G503" s="82"/>
      <c r="H503" s="68" t="str">
        <f t="shared" si="236"/>
        <v>Clesim6_20211115_00_00</v>
      </c>
      <c r="I503" s="69">
        <f t="shared" si="240"/>
        <v>1</v>
      </c>
      <c r="J503" s="76" t="str">
        <f t="shared" si="240"/>
        <v>Clematis</v>
      </c>
      <c r="K503" s="76" t="str">
        <f t="shared" si="240"/>
        <v>simense</v>
      </c>
      <c r="L503" s="77">
        <f t="shared" si="240"/>
        <v>6</v>
      </c>
      <c r="M503" s="77">
        <f t="shared" si="240"/>
        <v>20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v>
      </c>
      <c r="C504" s="73">
        <f t="shared" si="235"/>
        <v>15</v>
      </c>
      <c r="D504" s="74">
        <f t="shared" si="218"/>
        <v>0</v>
      </c>
      <c r="E504" s="75">
        <f t="shared" si="219"/>
        <v>21</v>
      </c>
      <c r="F504" s="79"/>
      <c r="G504" s="82"/>
      <c r="H504" s="68" t="str">
        <f t="shared" si="236"/>
        <v>Clesim6_20211115_00_00</v>
      </c>
      <c r="I504" s="69">
        <f t="shared" si="240"/>
        <v>1</v>
      </c>
      <c r="J504" s="76" t="str">
        <f t="shared" si="240"/>
        <v>Clematis</v>
      </c>
      <c r="K504" s="76" t="str">
        <f t="shared" si="240"/>
        <v>simense</v>
      </c>
      <c r="L504" s="77">
        <f t="shared" si="240"/>
        <v>6</v>
      </c>
      <c r="M504" s="77">
        <f t="shared" si="240"/>
        <v>20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v>
      </c>
      <c r="C505" s="73">
        <f t="shared" si="235"/>
        <v>15</v>
      </c>
      <c r="D505" s="74">
        <f t="shared" si="218"/>
        <v>0</v>
      </c>
      <c r="E505" s="75">
        <f t="shared" si="219"/>
        <v>22</v>
      </c>
      <c r="F505" s="79"/>
      <c r="G505" s="82"/>
      <c r="H505" s="68" t="str">
        <f t="shared" si="236"/>
        <v>Clesim6_20211115_00_00</v>
      </c>
      <c r="I505" s="69">
        <f t="shared" si="240"/>
        <v>1</v>
      </c>
      <c r="J505" s="76" t="str">
        <f t="shared" si="240"/>
        <v>Clematis</v>
      </c>
      <c r="K505" s="76" t="str">
        <f t="shared" si="240"/>
        <v>simense</v>
      </c>
      <c r="L505" s="77">
        <f t="shared" si="240"/>
        <v>6</v>
      </c>
      <c r="M505" s="77">
        <f t="shared" si="240"/>
        <v>20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v>
      </c>
      <c r="C506" s="73">
        <f t="shared" si="235"/>
        <v>15</v>
      </c>
      <c r="D506" s="74">
        <f t="shared" si="218"/>
        <v>0</v>
      </c>
      <c r="E506" s="75">
        <f t="shared" si="219"/>
        <v>23</v>
      </c>
      <c r="F506" s="79"/>
      <c r="G506" s="82"/>
      <c r="H506" s="68" t="str">
        <f t="shared" si="236"/>
        <v>Clesim6_20211115_00_00</v>
      </c>
      <c r="I506" s="69">
        <f t="shared" si="240"/>
        <v>1</v>
      </c>
      <c r="J506" s="76" t="str">
        <f t="shared" si="240"/>
        <v>Clematis</v>
      </c>
      <c r="K506" s="76" t="str">
        <f t="shared" si="240"/>
        <v>simense</v>
      </c>
      <c r="L506" s="77">
        <f t="shared" si="240"/>
        <v>6</v>
      </c>
      <c r="M506" s="77">
        <f t="shared" si="240"/>
        <v>20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v>
      </c>
      <c r="C507" s="73">
        <f t="shared" si="235"/>
        <v>15</v>
      </c>
      <c r="D507" s="74">
        <f t="shared" si="218"/>
        <v>0</v>
      </c>
      <c r="E507" s="75">
        <f t="shared" si="219"/>
        <v>24</v>
      </c>
      <c r="F507" s="79"/>
      <c r="G507" s="82"/>
      <c r="H507" s="68" t="str">
        <f t="shared" si="236"/>
        <v>Clesim6_20211115_00_00</v>
      </c>
      <c r="I507" s="69">
        <f t="shared" si="240"/>
        <v>1</v>
      </c>
      <c r="J507" s="76" t="str">
        <f t="shared" si="240"/>
        <v>Clematis</v>
      </c>
      <c r="K507" s="76" t="str">
        <f t="shared" si="240"/>
        <v>simense</v>
      </c>
      <c r="L507" s="77">
        <f t="shared" si="240"/>
        <v>6</v>
      </c>
      <c r="M507" s="77">
        <f t="shared" si="240"/>
        <v>20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v>
      </c>
      <c r="C508" s="73">
        <f t="shared" si="235"/>
        <v>15</v>
      </c>
      <c r="D508" s="74">
        <f t="shared" si="218"/>
        <v>0</v>
      </c>
      <c r="E508" s="75">
        <f t="shared" si="219"/>
        <v>25</v>
      </c>
      <c r="F508" s="79"/>
      <c r="G508" s="82"/>
      <c r="H508" s="68" t="str">
        <f t="shared" si="236"/>
        <v>Clesim6_20211115_00_00</v>
      </c>
      <c r="I508" s="69">
        <f t="shared" si="240"/>
        <v>1</v>
      </c>
      <c r="J508" s="76" t="str">
        <f t="shared" si="240"/>
        <v>Clematis</v>
      </c>
      <c r="K508" s="76" t="str">
        <f t="shared" si="240"/>
        <v>simense</v>
      </c>
      <c r="L508" s="77">
        <f t="shared" si="240"/>
        <v>6</v>
      </c>
      <c r="M508" s="77">
        <f t="shared" si="240"/>
        <v>20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v>
      </c>
      <c r="C509" s="73">
        <f t="shared" si="235"/>
        <v>15</v>
      </c>
      <c r="D509" s="74">
        <f t="shared" si="218"/>
        <v>0</v>
      </c>
      <c r="E509" s="75">
        <f t="shared" si="219"/>
        <v>26</v>
      </c>
      <c r="F509" s="79"/>
      <c r="G509" s="82"/>
      <c r="H509" s="68" t="str">
        <f t="shared" si="236"/>
        <v>Clesim6_20211115_00_00</v>
      </c>
      <c r="I509" s="69">
        <f t="shared" si="240"/>
        <v>1</v>
      </c>
      <c r="J509" s="76" t="str">
        <f t="shared" si="240"/>
        <v>Clematis</v>
      </c>
      <c r="K509" s="76" t="str">
        <f t="shared" si="240"/>
        <v>simense</v>
      </c>
      <c r="L509" s="77">
        <f t="shared" si="240"/>
        <v>6</v>
      </c>
      <c r="M509" s="77">
        <f t="shared" si="240"/>
        <v>20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v>
      </c>
      <c r="C510" s="73">
        <f t="shared" si="235"/>
        <v>15</v>
      </c>
      <c r="D510" s="74">
        <f t="shared" si="218"/>
        <v>0</v>
      </c>
      <c r="E510" s="75">
        <f t="shared" si="219"/>
        <v>27</v>
      </c>
      <c r="F510" s="79"/>
      <c r="G510" s="82"/>
      <c r="H510" s="68" t="str">
        <f t="shared" si="236"/>
        <v>Clesim6_20211115_00_00</v>
      </c>
      <c r="I510" s="69">
        <f t="shared" si="240"/>
        <v>1</v>
      </c>
      <c r="J510" s="76" t="str">
        <f t="shared" si="240"/>
        <v>Clematis</v>
      </c>
      <c r="K510" s="76" t="str">
        <f t="shared" si="240"/>
        <v>simense</v>
      </c>
      <c r="L510" s="77">
        <f t="shared" si="240"/>
        <v>6</v>
      </c>
      <c r="M510" s="77">
        <f t="shared" si="240"/>
        <v>20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v>
      </c>
      <c r="C511" s="73">
        <f t="shared" si="235"/>
        <v>15</v>
      </c>
      <c r="D511" s="74">
        <f t="shared" si="218"/>
        <v>0</v>
      </c>
      <c r="E511" s="75">
        <f t="shared" si="219"/>
        <v>28</v>
      </c>
      <c r="F511" s="79"/>
      <c r="G511" s="82"/>
      <c r="H511" s="68" t="str">
        <f t="shared" si="236"/>
        <v>Clesim6_20211115_00_00</v>
      </c>
      <c r="I511" s="69">
        <f t="shared" si="240"/>
        <v>1</v>
      </c>
      <c r="J511" s="76" t="str">
        <f t="shared" si="240"/>
        <v>Clematis</v>
      </c>
      <c r="K511" s="76" t="str">
        <f t="shared" si="240"/>
        <v>simense</v>
      </c>
      <c r="L511" s="77">
        <f t="shared" si="240"/>
        <v>6</v>
      </c>
      <c r="M511" s="77">
        <f t="shared" si="240"/>
        <v>20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v>
      </c>
      <c r="C512" s="73">
        <f t="shared" si="235"/>
        <v>15</v>
      </c>
      <c r="D512" s="74">
        <f t="shared" si="218"/>
        <v>0</v>
      </c>
      <c r="E512" s="75">
        <f t="shared" si="219"/>
        <v>29</v>
      </c>
      <c r="F512" s="79"/>
      <c r="G512" s="82"/>
      <c r="H512" s="68" t="str">
        <f t="shared" si="236"/>
        <v>Clesim6_20211115_00_00</v>
      </c>
      <c r="I512" s="69">
        <f t="shared" si="240"/>
        <v>1</v>
      </c>
      <c r="J512" s="76" t="str">
        <f t="shared" si="240"/>
        <v>Clematis</v>
      </c>
      <c r="K512" s="76" t="str">
        <f t="shared" si="240"/>
        <v>simense</v>
      </c>
      <c r="L512" s="77">
        <f t="shared" si="240"/>
        <v>6</v>
      </c>
      <c r="M512" s="77">
        <f t="shared" si="240"/>
        <v>20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v>
      </c>
      <c r="C513" s="73">
        <f t="shared" si="235"/>
        <v>15</v>
      </c>
      <c r="D513" s="74">
        <f t="shared" si="218"/>
        <v>0</v>
      </c>
      <c r="E513" s="75">
        <f t="shared" si="219"/>
        <v>30</v>
      </c>
      <c r="F513" s="79"/>
      <c r="G513" s="82"/>
      <c r="H513" s="68" t="str">
        <f t="shared" si="236"/>
        <v>Clesim6_20211115_00_00</v>
      </c>
      <c r="I513" s="69">
        <f t="shared" si="240"/>
        <v>1</v>
      </c>
      <c r="J513" s="76" t="str">
        <f t="shared" si="240"/>
        <v>Clematis</v>
      </c>
      <c r="K513" s="76" t="str">
        <f t="shared" si="240"/>
        <v>simense</v>
      </c>
      <c r="L513" s="77">
        <f t="shared" si="240"/>
        <v>6</v>
      </c>
      <c r="M513" s="77">
        <f t="shared" si="240"/>
        <v>20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v>
      </c>
      <c r="C514" s="73">
        <f t="shared" si="235"/>
        <v>15</v>
      </c>
      <c r="D514" s="74">
        <f t="shared" si="218"/>
        <v>0</v>
      </c>
      <c r="E514" s="75">
        <f t="shared" si="219"/>
        <v>31</v>
      </c>
      <c r="F514" s="79"/>
      <c r="G514" s="82"/>
      <c r="H514" s="68" t="str">
        <f t="shared" si="236"/>
        <v>Clesim6_20211115_00_00</v>
      </c>
      <c r="I514" s="69">
        <f t="shared" si="240"/>
        <v>1</v>
      </c>
      <c r="J514" s="76" t="str">
        <f t="shared" si="240"/>
        <v>Clematis</v>
      </c>
      <c r="K514" s="76" t="str">
        <f t="shared" si="240"/>
        <v>simense</v>
      </c>
      <c r="L514" s="77">
        <f t="shared" si="240"/>
        <v>6</v>
      </c>
      <c r="M514" s="77">
        <f t="shared" si="240"/>
        <v>20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2021</v>
      </c>
      <c r="B515" s="72" t="str">
        <f t="shared" si="217"/>
        <v>Nov</v>
      </c>
      <c r="C515" s="73">
        <f t="shared" si="235"/>
        <v>15</v>
      </c>
      <c r="D515" s="74">
        <f t="shared" si="218"/>
        <v>0</v>
      </c>
      <c r="E515" s="75">
        <f t="shared" si="219"/>
        <v>32</v>
      </c>
      <c r="F515" s="79"/>
      <c r="G515" s="82"/>
      <c r="H515" s="68" t="str">
        <f t="shared" si="236"/>
        <v>Clesim6_20211115_00_00</v>
      </c>
      <c r="I515" s="69">
        <f t="shared" si="240"/>
        <v>1</v>
      </c>
      <c r="J515" s="76" t="str">
        <f t="shared" si="240"/>
        <v>Clematis</v>
      </c>
      <c r="K515" s="76" t="str">
        <f t="shared" si="240"/>
        <v>simense</v>
      </c>
      <c r="L515" s="77">
        <f t="shared" si="240"/>
        <v>6</v>
      </c>
      <c r="M515" s="77">
        <f t="shared" si="240"/>
        <v>20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v>
      </c>
      <c r="C516" s="73">
        <f t="shared" si="235"/>
        <v>15</v>
      </c>
      <c r="D516" s="74">
        <f t="shared" ref="D516:D579" si="248">IF(IF(E515=59,D515+1,D515)=24,0,IF(E515=59,D515+1,D515))</f>
        <v>0</v>
      </c>
      <c r="E516" s="75">
        <f t="shared" ref="E516:E579" si="249">IF(E515&lt;59,E515+1,0)</f>
        <v>33</v>
      </c>
      <c r="F516" s="79"/>
      <c r="G516" s="82"/>
      <c r="H516" s="68" t="str">
        <f t="shared" si="236"/>
        <v>Clesim6_20211115_00_00</v>
      </c>
      <c r="I516" s="69">
        <f t="shared" si="240"/>
        <v>1</v>
      </c>
      <c r="J516" s="76" t="str">
        <f t="shared" si="240"/>
        <v>Clematis</v>
      </c>
      <c r="K516" s="76" t="str">
        <f t="shared" si="240"/>
        <v>simense</v>
      </c>
      <c r="L516" s="77">
        <f t="shared" si="240"/>
        <v>6</v>
      </c>
      <c r="M516" s="77">
        <f t="shared" si="240"/>
        <v>20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v>
      </c>
      <c r="C517" s="73">
        <f t="shared" ref="C517:C580" si="265">IF(AND(D517=0, E517=0), IF(TEXT(C516,"dd")=TEXT(EOMONTH(DATE(A516,MONTH(DATEVALUE(B516&amp;"1")),C516),0), "dd"), 1, C516+1), C516)</f>
        <v>15</v>
      </c>
      <c r="D517" s="74">
        <f t="shared" si="248"/>
        <v>0</v>
      </c>
      <c r="E517" s="75">
        <f t="shared" si="249"/>
        <v>34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Clesim6_20211115_00_00</v>
      </c>
      <c r="I517" s="69">
        <f t="shared" ref="I517:N532" si="267">I516</f>
        <v>1</v>
      </c>
      <c r="J517" s="76" t="str">
        <f t="shared" si="267"/>
        <v>Clematis</v>
      </c>
      <c r="K517" s="76" t="str">
        <f t="shared" si="267"/>
        <v>simense</v>
      </c>
      <c r="L517" s="77">
        <f t="shared" si="267"/>
        <v>6</v>
      </c>
      <c r="M517" s="77">
        <f t="shared" si="267"/>
        <v>20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v>
      </c>
      <c r="C518" s="73">
        <f t="shared" si="265"/>
        <v>15</v>
      </c>
      <c r="D518" s="74">
        <f t="shared" si="248"/>
        <v>0</v>
      </c>
      <c r="E518" s="75">
        <f t="shared" si="249"/>
        <v>35</v>
      </c>
      <c r="F518" s="79"/>
      <c r="G518" s="82"/>
      <c r="H518" s="68" t="str">
        <f t="shared" si="266"/>
        <v>Clesim6_20211115_00_00</v>
      </c>
      <c r="I518" s="69">
        <f t="shared" si="267"/>
        <v>1</v>
      </c>
      <c r="J518" s="76" t="str">
        <f t="shared" si="267"/>
        <v>Clematis</v>
      </c>
      <c r="K518" s="76" t="str">
        <f t="shared" si="267"/>
        <v>simense</v>
      </c>
      <c r="L518" s="77">
        <f t="shared" si="267"/>
        <v>6</v>
      </c>
      <c r="M518" s="77">
        <f t="shared" si="267"/>
        <v>20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v>
      </c>
      <c r="C519" s="73">
        <f t="shared" si="265"/>
        <v>15</v>
      </c>
      <c r="D519" s="74">
        <f t="shared" si="248"/>
        <v>0</v>
      </c>
      <c r="E519" s="75">
        <f t="shared" si="249"/>
        <v>36</v>
      </c>
      <c r="F519" s="79"/>
      <c r="G519" s="82"/>
      <c r="H519" s="68" t="str">
        <f t="shared" si="266"/>
        <v>Clesim6_20211115_00_00</v>
      </c>
      <c r="I519" s="69">
        <f t="shared" si="267"/>
        <v>1</v>
      </c>
      <c r="J519" s="76" t="str">
        <f t="shared" si="267"/>
        <v>Clematis</v>
      </c>
      <c r="K519" s="76" t="str">
        <f t="shared" si="267"/>
        <v>simense</v>
      </c>
      <c r="L519" s="77">
        <f t="shared" si="267"/>
        <v>6</v>
      </c>
      <c r="M519" s="77">
        <f t="shared" si="267"/>
        <v>20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v>
      </c>
      <c r="C520" s="73">
        <f t="shared" si="265"/>
        <v>15</v>
      </c>
      <c r="D520" s="74">
        <f t="shared" si="248"/>
        <v>0</v>
      </c>
      <c r="E520" s="75">
        <f t="shared" si="249"/>
        <v>37</v>
      </c>
      <c r="F520" s="79"/>
      <c r="G520" s="82"/>
      <c r="H520" s="68" t="str">
        <f t="shared" si="266"/>
        <v>Clesim6_20211115_00_00</v>
      </c>
      <c r="I520" s="69">
        <f t="shared" si="267"/>
        <v>1</v>
      </c>
      <c r="J520" s="76" t="str">
        <f t="shared" si="267"/>
        <v>Clematis</v>
      </c>
      <c r="K520" s="76" t="str">
        <f t="shared" si="267"/>
        <v>simense</v>
      </c>
      <c r="L520" s="77">
        <f t="shared" si="267"/>
        <v>6</v>
      </c>
      <c r="M520" s="77">
        <f t="shared" si="267"/>
        <v>20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v>
      </c>
      <c r="C521" s="73">
        <f t="shared" si="265"/>
        <v>15</v>
      </c>
      <c r="D521" s="74">
        <f t="shared" si="248"/>
        <v>0</v>
      </c>
      <c r="E521" s="75">
        <f t="shared" si="249"/>
        <v>38</v>
      </c>
      <c r="F521" s="79"/>
      <c r="G521" s="82"/>
      <c r="H521" s="68" t="str">
        <f t="shared" si="266"/>
        <v>Clesim6_20211115_00_00</v>
      </c>
      <c r="I521" s="69">
        <f t="shared" si="267"/>
        <v>1</v>
      </c>
      <c r="J521" s="76" t="str">
        <f t="shared" si="267"/>
        <v>Clematis</v>
      </c>
      <c r="K521" s="76" t="str">
        <f t="shared" si="267"/>
        <v>simense</v>
      </c>
      <c r="L521" s="77">
        <f t="shared" si="267"/>
        <v>6</v>
      </c>
      <c r="M521" s="77">
        <f t="shared" si="267"/>
        <v>20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v>
      </c>
      <c r="C522" s="73">
        <f t="shared" si="265"/>
        <v>15</v>
      </c>
      <c r="D522" s="74">
        <f t="shared" si="248"/>
        <v>0</v>
      </c>
      <c r="E522" s="75">
        <f t="shared" si="249"/>
        <v>39</v>
      </c>
      <c r="F522" s="79"/>
      <c r="G522" s="82"/>
      <c r="H522" s="68" t="str">
        <f t="shared" si="266"/>
        <v>Clesim6_20211115_00_00</v>
      </c>
      <c r="I522" s="69">
        <f t="shared" si="267"/>
        <v>1</v>
      </c>
      <c r="J522" s="76" t="str">
        <f t="shared" si="267"/>
        <v>Clematis</v>
      </c>
      <c r="K522" s="76" t="str">
        <f t="shared" si="267"/>
        <v>simense</v>
      </c>
      <c r="L522" s="77">
        <f t="shared" si="267"/>
        <v>6</v>
      </c>
      <c r="M522" s="77">
        <f t="shared" si="267"/>
        <v>20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v>
      </c>
      <c r="C523" s="73">
        <f t="shared" si="265"/>
        <v>15</v>
      </c>
      <c r="D523" s="74">
        <f t="shared" si="248"/>
        <v>0</v>
      </c>
      <c r="E523" s="75">
        <f t="shared" si="249"/>
        <v>40</v>
      </c>
      <c r="F523" s="79"/>
      <c r="G523" s="82"/>
      <c r="H523" s="68" t="str">
        <f t="shared" si="266"/>
        <v>Clesim6_20211115_00_00</v>
      </c>
      <c r="I523" s="69">
        <f t="shared" si="267"/>
        <v>1</v>
      </c>
      <c r="J523" s="76" t="str">
        <f t="shared" si="267"/>
        <v>Clematis</v>
      </c>
      <c r="K523" s="76" t="str">
        <f t="shared" si="267"/>
        <v>simense</v>
      </c>
      <c r="L523" s="77">
        <f t="shared" si="267"/>
        <v>6</v>
      </c>
      <c r="M523" s="77">
        <f t="shared" si="267"/>
        <v>20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v>
      </c>
      <c r="C524" s="73">
        <f t="shared" si="265"/>
        <v>15</v>
      </c>
      <c r="D524" s="74">
        <f t="shared" si="248"/>
        <v>0</v>
      </c>
      <c r="E524" s="75">
        <f t="shared" si="249"/>
        <v>41</v>
      </c>
      <c r="F524" s="79"/>
      <c r="G524" s="82"/>
      <c r="H524" s="68" t="str">
        <f t="shared" si="266"/>
        <v>Clesim6_20211115_00_00</v>
      </c>
      <c r="I524" s="69">
        <f t="shared" si="267"/>
        <v>1</v>
      </c>
      <c r="J524" s="76" t="str">
        <f t="shared" si="267"/>
        <v>Clematis</v>
      </c>
      <c r="K524" s="76" t="str">
        <f t="shared" si="267"/>
        <v>simense</v>
      </c>
      <c r="L524" s="77">
        <f t="shared" si="267"/>
        <v>6</v>
      </c>
      <c r="M524" s="77">
        <f t="shared" si="267"/>
        <v>20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v>
      </c>
      <c r="C525" s="73">
        <f t="shared" si="265"/>
        <v>15</v>
      </c>
      <c r="D525" s="74">
        <f t="shared" si="248"/>
        <v>0</v>
      </c>
      <c r="E525" s="75">
        <f t="shared" si="249"/>
        <v>42</v>
      </c>
      <c r="F525" s="79"/>
      <c r="G525" s="82"/>
      <c r="H525" s="68" t="str">
        <f t="shared" si="266"/>
        <v>Clesim6_20211115_00_00</v>
      </c>
      <c r="I525" s="69">
        <f t="shared" si="267"/>
        <v>1</v>
      </c>
      <c r="J525" s="76" t="str">
        <f t="shared" si="267"/>
        <v>Clematis</v>
      </c>
      <c r="K525" s="76" t="str">
        <f t="shared" si="267"/>
        <v>simense</v>
      </c>
      <c r="L525" s="77">
        <f t="shared" si="267"/>
        <v>6</v>
      </c>
      <c r="M525" s="77">
        <f t="shared" si="267"/>
        <v>20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v>
      </c>
      <c r="C526" s="73">
        <f t="shared" si="265"/>
        <v>15</v>
      </c>
      <c r="D526" s="74">
        <f t="shared" si="248"/>
        <v>0</v>
      </c>
      <c r="E526" s="75">
        <f t="shared" si="249"/>
        <v>43</v>
      </c>
      <c r="F526" s="79"/>
      <c r="G526" s="82"/>
      <c r="H526" s="68" t="str">
        <f t="shared" si="266"/>
        <v>Clesim6_20211115_00_00</v>
      </c>
      <c r="I526" s="69">
        <f t="shared" si="267"/>
        <v>1</v>
      </c>
      <c r="J526" s="76" t="str">
        <f t="shared" si="267"/>
        <v>Clematis</v>
      </c>
      <c r="K526" s="76" t="str">
        <f t="shared" si="267"/>
        <v>simense</v>
      </c>
      <c r="L526" s="77">
        <f t="shared" si="267"/>
        <v>6</v>
      </c>
      <c r="M526" s="77">
        <f t="shared" si="267"/>
        <v>20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v>
      </c>
      <c r="C527" s="73">
        <f t="shared" si="265"/>
        <v>15</v>
      </c>
      <c r="D527" s="74">
        <f t="shared" si="248"/>
        <v>0</v>
      </c>
      <c r="E527" s="75">
        <f t="shared" si="249"/>
        <v>44</v>
      </c>
      <c r="F527" s="79"/>
      <c r="G527" s="82"/>
      <c r="H527" s="68" t="str">
        <f t="shared" si="266"/>
        <v>Clesim6_20211115_00_00</v>
      </c>
      <c r="I527" s="69">
        <f t="shared" si="267"/>
        <v>1</v>
      </c>
      <c r="J527" s="76" t="str">
        <f t="shared" si="267"/>
        <v>Clematis</v>
      </c>
      <c r="K527" s="76" t="str">
        <f t="shared" si="267"/>
        <v>simense</v>
      </c>
      <c r="L527" s="77">
        <f t="shared" si="267"/>
        <v>6</v>
      </c>
      <c r="M527" s="77">
        <f t="shared" si="267"/>
        <v>20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v>
      </c>
      <c r="C528" s="73">
        <f t="shared" si="265"/>
        <v>15</v>
      </c>
      <c r="D528" s="74">
        <f t="shared" si="248"/>
        <v>0</v>
      </c>
      <c r="E528" s="75">
        <f t="shared" si="249"/>
        <v>45</v>
      </c>
      <c r="F528" s="79"/>
      <c r="G528" s="82"/>
      <c r="H528" s="68" t="str">
        <f t="shared" si="266"/>
        <v>Clesim6_20211115_00_00</v>
      </c>
      <c r="I528" s="69">
        <f t="shared" si="267"/>
        <v>1</v>
      </c>
      <c r="J528" s="76" t="str">
        <f t="shared" si="267"/>
        <v>Clematis</v>
      </c>
      <c r="K528" s="76" t="str">
        <f t="shared" si="267"/>
        <v>simense</v>
      </c>
      <c r="L528" s="77">
        <f t="shared" si="267"/>
        <v>6</v>
      </c>
      <c r="M528" s="77">
        <f t="shared" si="267"/>
        <v>20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v>
      </c>
      <c r="C529" s="73">
        <f t="shared" si="265"/>
        <v>15</v>
      </c>
      <c r="D529" s="74">
        <f t="shared" si="248"/>
        <v>0</v>
      </c>
      <c r="E529" s="75">
        <f t="shared" si="249"/>
        <v>46</v>
      </c>
      <c r="F529" s="79"/>
      <c r="G529" s="82"/>
      <c r="H529" s="68" t="str">
        <f t="shared" si="266"/>
        <v>Clesim6_20211115_00_00</v>
      </c>
      <c r="I529" s="69">
        <f t="shared" si="267"/>
        <v>1</v>
      </c>
      <c r="J529" s="76" t="str">
        <f t="shared" si="267"/>
        <v>Clematis</v>
      </c>
      <c r="K529" s="76" t="str">
        <f t="shared" si="267"/>
        <v>simense</v>
      </c>
      <c r="L529" s="77">
        <f t="shared" si="267"/>
        <v>6</v>
      </c>
      <c r="M529" s="77">
        <f t="shared" si="267"/>
        <v>20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v>
      </c>
      <c r="C530" s="73">
        <f t="shared" si="265"/>
        <v>15</v>
      </c>
      <c r="D530" s="74">
        <f t="shared" si="248"/>
        <v>0</v>
      </c>
      <c r="E530" s="75">
        <f t="shared" si="249"/>
        <v>47</v>
      </c>
      <c r="F530" s="79"/>
      <c r="G530" s="82"/>
      <c r="H530" s="68" t="str">
        <f t="shared" si="266"/>
        <v>Clesim6_20211115_00_00</v>
      </c>
      <c r="I530" s="69">
        <f t="shared" si="267"/>
        <v>1</v>
      </c>
      <c r="J530" s="76" t="str">
        <f t="shared" si="267"/>
        <v>Clematis</v>
      </c>
      <c r="K530" s="76" t="str">
        <f t="shared" si="267"/>
        <v>simense</v>
      </c>
      <c r="L530" s="77">
        <f t="shared" si="267"/>
        <v>6</v>
      </c>
      <c r="M530" s="77">
        <f t="shared" si="267"/>
        <v>20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v>
      </c>
      <c r="C531" s="73">
        <f t="shared" si="265"/>
        <v>15</v>
      </c>
      <c r="D531" s="74">
        <f t="shared" si="248"/>
        <v>0</v>
      </c>
      <c r="E531" s="75">
        <f t="shared" si="249"/>
        <v>48</v>
      </c>
      <c r="F531" s="79"/>
      <c r="G531" s="82"/>
      <c r="H531" s="68" t="str">
        <f t="shared" si="266"/>
        <v>Clesim6_20211115_00_00</v>
      </c>
      <c r="I531" s="69">
        <f t="shared" si="267"/>
        <v>1</v>
      </c>
      <c r="J531" s="76" t="str">
        <f t="shared" si="267"/>
        <v>Clematis</v>
      </c>
      <c r="K531" s="76" t="str">
        <f t="shared" si="267"/>
        <v>simense</v>
      </c>
      <c r="L531" s="77">
        <f t="shared" si="267"/>
        <v>6</v>
      </c>
      <c r="M531" s="77">
        <f t="shared" si="267"/>
        <v>20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v>
      </c>
      <c r="C532" s="73">
        <f t="shared" si="265"/>
        <v>15</v>
      </c>
      <c r="D532" s="74">
        <f t="shared" si="248"/>
        <v>0</v>
      </c>
      <c r="E532" s="75">
        <f t="shared" si="249"/>
        <v>49</v>
      </c>
      <c r="F532" s="79"/>
      <c r="G532" s="82"/>
      <c r="H532" s="68" t="str">
        <f t="shared" si="266"/>
        <v>Clesim6_20211115_00_00</v>
      </c>
      <c r="I532" s="69">
        <f t="shared" si="267"/>
        <v>1</v>
      </c>
      <c r="J532" s="76" t="str">
        <f t="shared" si="267"/>
        <v>Clematis</v>
      </c>
      <c r="K532" s="76" t="str">
        <f t="shared" si="267"/>
        <v>simense</v>
      </c>
      <c r="L532" s="77">
        <f t="shared" si="267"/>
        <v>6</v>
      </c>
      <c r="M532" s="77">
        <f t="shared" si="267"/>
        <v>20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v>
      </c>
      <c r="C533" s="73">
        <f t="shared" si="265"/>
        <v>15</v>
      </c>
      <c r="D533" s="74">
        <f t="shared" si="248"/>
        <v>0</v>
      </c>
      <c r="E533" s="75">
        <f t="shared" si="249"/>
        <v>50</v>
      </c>
      <c r="F533" s="79"/>
      <c r="G533" s="82"/>
      <c r="H533" s="68" t="str">
        <f t="shared" si="266"/>
        <v>Clesim6_20211115_00_00</v>
      </c>
      <c r="I533" s="69">
        <f t="shared" ref="I533:N548" si="268">I532</f>
        <v>1</v>
      </c>
      <c r="J533" s="76" t="str">
        <f t="shared" si="268"/>
        <v>Clematis</v>
      </c>
      <c r="K533" s="76" t="str">
        <f t="shared" si="268"/>
        <v>simense</v>
      </c>
      <c r="L533" s="77">
        <f t="shared" si="268"/>
        <v>6</v>
      </c>
      <c r="M533" s="77">
        <f t="shared" si="268"/>
        <v>20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v>
      </c>
      <c r="C534" s="73">
        <f t="shared" si="265"/>
        <v>15</v>
      </c>
      <c r="D534" s="74">
        <f t="shared" si="248"/>
        <v>0</v>
      </c>
      <c r="E534" s="75">
        <f t="shared" si="249"/>
        <v>51</v>
      </c>
      <c r="F534" s="79"/>
      <c r="G534" s="82"/>
      <c r="H534" s="68" t="str">
        <f t="shared" si="266"/>
        <v>Clesim6_20211115_00_00</v>
      </c>
      <c r="I534" s="69">
        <f t="shared" si="268"/>
        <v>1</v>
      </c>
      <c r="J534" s="76" t="str">
        <f t="shared" si="268"/>
        <v>Clematis</v>
      </c>
      <c r="K534" s="76" t="str">
        <f t="shared" si="268"/>
        <v>simense</v>
      </c>
      <c r="L534" s="77">
        <f t="shared" si="268"/>
        <v>6</v>
      </c>
      <c r="M534" s="77">
        <f t="shared" si="268"/>
        <v>20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v>
      </c>
      <c r="C535" s="73">
        <f t="shared" si="265"/>
        <v>15</v>
      </c>
      <c r="D535" s="74">
        <f t="shared" si="248"/>
        <v>0</v>
      </c>
      <c r="E535" s="75">
        <f t="shared" si="249"/>
        <v>52</v>
      </c>
      <c r="F535" s="79"/>
      <c r="G535" s="82"/>
      <c r="H535" s="68" t="str">
        <f t="shared" si="266"/>
        <v>Clesim6_20211115_00_00</v>
      </c>
      <c r="I535" s="69">
        <f t="shared" si="268"/>
        <v>1</v>
      </c>
      <c r="J535" s="76" t="str">
        <f t="shared" si="268"/>
        <v>Clematis</v>
      </c>
      <c r="K535" s="76" t="str">
        <f t="shared" si="268"/>
        <v>simense</v>
      </c>
      <c r="L535" s="77">
        <f t="shared" si="268"/>
        <v>6</v>
      </c>
      <c r="M535" s="77">
        <f t="shared" si="268"/>
        <v>20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v>
      </c>
      <c r="C536" s="73">
        <f t="shared" si="265"/>
        <v>15</v>
      </c>
      <c r="D536" s="74">
        <f t="shared" si="248"/>
        <v>0</v>
      </c>
      <c r="E536" s="75">
        <f t="shared" si="249"/>
        <v>53</v>
      </c>
      <c r="F536" s="79"/>
      <c r="G536" s="82"/>
      <c r="H536" s="68" t="str">
        <f t="shared" si="266"/>
        <v>Clesim6_20211115_00_00</v>
      </c>
      <c r="I536" s="69">
        <f t="shared" si="268"/>
        <v>1</v>
      </c>
      <c r="J536" s="76" t="str">
        <f t="shared" si="268"/>
        <v>Clematis</v>
      </c>
      <c r="K536" s="76" t="str">
        <f t="shared" si="268"/>
        <v>simense</v>
      </c>
      <c r="L536" s="77">
        <f t="shared" si="268"/>
        <v>6</v>
      </c>
      <c r="M536" s="77">
        <f t="shared" si="268"/>
        <v>20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v>
      </c>
      <c r="C537" s="73">
        <f t="shared" si="265"/>
        <v>15</v>
      </c>
      <c r="D537" s="74">
        <f t="shared" si="248"/>
        <v>0</v>
      </c>
      <c r="E537" s="75">
        <f t="shared" si="249"/>
        <v>54</v>
      </c>
      <c r="F537" s="79"/>
      <c r="G537" s="82"/>
      <c r="H537" s="68" t="str">
        <f t="shared" si="266"/>
        <v>Clesim6_20211115_00_00</v>
      </c>
      <c r="I537" s="69">
        <f t="shared" si="268"/>
        <v>1</v>
      </c>
      <c r="J537" s="76" t="str">
        <f t="shared" si="268"/>
        <v>Clematis</v>
      </c>
      <c r="K537" s="76" t="str">
        <f t="shared" si="268"/>
        <v>simense</v>
      </c>
      <c r="L537" s="77">
        <f t="shared" si="268"/>
        <v>6</v>
      </c>
      <c r="M537" s="77">
        <f t="shared" si="268"/>
        <v>20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v>
      </c>
      <c r="C538" s="73">
        <f t="shared" si="265"/>
        <v>15</v>
      </c>
      <c r="D538" s="74">
        <f t="shared" si="248"/>
        <v>0</v>
      </c>
      <c r="E538" s="75">
        <f t="shared" si="249"/>
        <v>55</v>
      </c>
      <c r="F538" s="79"/>
      <c r="G538" s="82"/>
      <c r="H538" s="68" t="str">
        <f t="shared" si="266"/>
        <v>Clesim6_20211115_00_00</v>
      </c>
      <c r="I538" s="69">
        <f t="shared" si="268"/>
        <v>1</v>
      </c>
      <c r="J538" s="76" t="str">
        <f t="shared" si="268"/>
        <v>Clematis</v>
      </c>
      <c r="K538" s="76" t="str">
        <f t="shared" si="268"/>
        <v>simense</v>
      </c>
      <c r="L538" s="77">
        <f t="shared" si="268"/>
        <v>6</v>
      </c>
      <c r="M538" s="77">
        <f t="shared" si="268"/>
        <v>20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v>
      </c>
      <c r="C539" s="73">
        <f t="shared" si="265"/>
        <v>15</v>
      </c>
      <c r="D539" s="74">
        <f t="shared" si="248"/>
        <v>0</v>
      </c>
      <c r="E539" s="75">
        <f t="shared" si="249"/>
        <v>56</v>
      </c>
      <c r="F539" s="79"/>
      <c r="G539" s="82"/>
      <c r="H539" s="68" t="str">
        <f t="shared" si="266"/>
        <v>Clesim6_20211115_00_00</v>
      </c>
      <c r="I539" s="69">
        <f t="shared" si="268"/>
        <v>1</v>
      </c>
      <c r="J539" s="76" t="str">
        <f t="shared" si="268"/>
        <v>Clematis</v>
      </c>
      <c r="K539" s="76" t="str">
        <f t="shared" si="268"/>
        <v>simense</v>
      </c>
      <c r="L539" s="77">
        <f t="shared" si="268"/>
        <v>6</v>
      </c>
      <c r="M539" s="77">
        <f t="shared" si="268"/>
        <v>20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v>
      </c>
      <c r="C540" s="73">
        <f t="shared" si="265"/>
        <v>15</v>
      </c>
      <c r="D540" s="74">
        <f t="shared" si="248"/>
        <v>0</v>
      </c>
      <c r="E540" s="75">
        <f t="shared" si="249"/>
        <v>57</v>
      </c>
      <c r="F540" s="79"/>
      <c r="G540" s="82"/>
      <c r="H540" s="68" t="str">
        <f t="shared" si="266"/>
        <v>Clesim6_20211115_00_00</v>
      </c>
      <c r="I540" s="69">
        <f t="shared" si="268"/>
        <v>1</v>
      </c>
      <c r="J540" s="76" t="str">
        <f t="shared" si="268"/>
        <v>Clematis</v>
      </c>
      <c r="K540" s="76" t="str">
        <f t="shared" si="268"/>
        <v>simense</v>
      </c>
      <c r="L540" s="77">
        <f t="shared" si="268"/>
        <v>6</v>
      </c>
      <c r="M540" s="77">
        <f t="shared" si="268"/>
        <v>20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v>
      </c>
      <c r="C541" s="73">
        <f t="shared" si="265"/>
        <v>15</v>
      </c>
      <c r="D541" s="74">
        <f t="shared" si="248"/>
        <v>0</v>
      </c>
      <c r="E541" s="75">
        <f t="shared" si="249"/>
        <v>58</v>
      </c>
      <c r="F541" s="79"/>
      <c r="G541" s="82"/>
      <c r="H541" s="68" t="str">
        <f t="shared" si="266"/>
        <v>Clesim6_20211115_00_00</v>
      </c>
      <c r="I541" s="69">
        <f t="shared" si="268"/>
        <v>1</v>
      </c>
      <c r="J541" s="76" t="str">
        <f t="shared" si="268"/>
        <v>Clematis</v>
      </c>
      <c r="K541" s="76" t="str">
        <f t="shared" si="268"/>
        <v>simense</v>
      </c>
      <c r="L541" s="77">
        <f t="shared" si="268"/>
        <v>6</v>
      </c>
      <c r="M541" s="77">
        <f t="shared" si="268"/>
        <v>20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v>
      </c>
      <c r="C542" s="73">
        <f t="shared" si="265"/>
        <v>15</v>
      </c>
      <c r="D542" s="74">
        <f t="shared" si="248"/>
        <v>0</v>
      </c>
      <c r="E542" s="75">
        <f t="shared" si="249"/>
        <v>59</v>
      </c>
      <c r="F542" s="79"/>
      <c r="G542" s="82"/>
      <c r="H542" s="68" t="str">
        <f t="shared" si="266"/>
        <v>Clesim6_20211115_00_00</v>
      </c>
      <c r="I542" s="69">
        <f t="shared" si="268"/>
        <v>1</v>
      </c>
      <c r="J542" s="76" t="str">
        <f t="shared" si="268"/>
        <v>Clematis</v>
      </c>
      <c r="K542" s="76" t="str">
        <f t="shared" si="268"/>
        <v>simense</v>
      </c>
      <c r="L542" s="77">
        <f t="shared" si="268"/>
        <v>6</v>
      </c>
      <c r="M542" s="77">
        <f t="shared" si="268"/>
        <v>20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v>
      </c>
      <c r="C543" s="73">
        <f t="shared" si="265"/>
        <v>15</v>
      </c>
      <c r="D543" s="74">
        <f t="shared" si="248"/>
        <v>1</v>
      </c>
      <c r="E543" s="75">
        <f t="shared" si="249"/>
        <v>0</v>
      </c>
      <c r="F543" s="79"/>
      <c r="G543" s="82"/>
      <c r="H543" s="68" t="str">
        <f t="shared" si="266"/>
        <v>Clesim6_20211115_01_00</v>
      </c>
      <c r="I543" s="69">
        <f t="shared" si="268"/>
        <v>1</v>
      </c>
      <c r="J543" s="76" t="str">
        <f t="shared" si="268"/>
        <v>Clematis</v>
      </c>
      <c r="K543" s="76" t="str">
        <f t="shared" si="268"/>
        <v>simense</v>
      </c>
      <c r="L543" s="77">
        <f t="shared" si="268"/>
        <v>6</v>
      </c>
      <c r="M543" s="77">
        <f t="shared" si="268"/>
        <v>20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v>
      </c>
      <c r="C544" s="73">
        <f t="shared" si="265"/>
        <v>15</v>
      </c>
      <c r="D544" s="74">
        <f t="shared" si="248"/>
        <v>1</v>
      </c>
      <c r="E544" s="75">
        <f t="shared" si="249"/>
        <v>1</v>
      </c>
      <c r="F544" s="79"/>
      <c r="G544" s="82"/>
      <c r="H544" s="68" t="str">
        <f t="shared" si="266"/>
        <v>Clesim6_20211115_01_00</v>
      </c>
      <c r="I544" s="69">
        <f t="shared" si="268"/>
        <v>1</v>
      </c>
      <c r="J544" s="76" t="str">
        <f t="shared" si="268"/>
        <v>Clematis</v>
      </c>
      <c r="K544" s="76" t="str">
        <f t="shared" si="268"/>
        <v>simense</v>
      </c>
      <c r="L544" s="77">
        <f t="shared" si="268"/>
        <v>6</v>
      </c>
      <c r="M544" s="77">
        <f t="shared" si="268"/>
        <v>20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v>
      </c>
      <c r="C545" s="73">
        <f t="shared" si="265"/>
        <v>15</v>
      </c>
      <c r="D545" s="74">
        <f t="shared" si="248"/>
        <v>1</v>
      </c>
      <c r="E545" s="75">
        <f t="shared" si="249"/>
        <v>2</v>
      </c>
      <c r="F545" s="79"/>
      <c r="G545" s="82"/>
      <c r="H545" s="68" t="str">
        <f t="shared" si="266"/>
        <v>Clesim6_20211115_01_00</v>
      </c>
      <c r="I545" s="69">
        <f t="shared" si="268"/>
        <v>1</v>
      </c>
      <c r="J545" s="76" t="str">
        <f t="shared" si="268"/>
        <v>Clematis</v>
      </c>
      <c r="K545" s="76" t="str">
        <f t="shared" si="268"/>
        <v>simense</v>
      </c>
      <c r="L545" s="77">
        <f t="shared" si="268"/>
        <v>6</v>
      </c>
      <c r="M545" s="77">
        <f t="shared" si="268"/>
        <v>20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2021</v>
      </c>
      <c r="B546" s="72" t="str">
        <f t="shared" si="247"/>
        <v>Nov</v>
      </c>
      <c r="C546" s="73">
        <f t="shared" si="265"/>
        <v>15</v>
      </c>
      <c r="D546" s="74">
        <f t="shared" si="248"/>
        <v>1</v>
      </c>
      <c r="E546" s="75">
        <f t="shared" si="249"/>
        <v>3</v>
      </c>
      <c r="F546" s="79"/>
      <c r="G546" s="82"/>
      <c r="H546" s="68" t="str">
        <f t="shared" si="266"/>
        <v>Clesim6_20211115_01_00</v>
      </c>
      <c r="I546" s="69">
        <f t="shared" si="268"/>
        <v>1</v>
      </c>
      <c r="J546" s="76" t="str">
        <f t="shared" si="268"/>
        <v>Clematis</v>
      </c>
      <c r="K546" s="76" t="str">
        <f t="shared" si="268"/>
        <v>simense</v>
      </c>
      <c r="L546" s="77">
        <f t="shared" si="268"/>
        <v>6</v>
      </c>
      <c r="M546" s="77">
        <f t="shared" si="268"/>
        <v>20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v>
      </c>
      <c r="C547" s="73">
        <f t="shared" si="265"/>
        <v>15</v>
      </c>
      <c r="D547" s="74">
        <f t="shared" si="248"/>
        <v>1</v>
      </c>
      <c r="E547" s="75">
        <f t="shared" si="249"/>
        <v>4</v>
      </c>
      <c r="F547" s="79"/>
      <c r="G547" s="82"/>
      <c r="H547" s="68" t="str">
        <f t="shared" si="266"/>
        <v>Clesim6_20211115_01_00</v>
      </c>
      <c r="I547" s="69">
        <f t="shared" si="268"/>
        <v>1</v>
      </c>
      <c r="J547" s="76" t="str">
        <f t="shared" si="268"/>
        <v>Clematis</v>
      </c>
      <c r="K547" s="76" t="str">
        <f t="shared" si="268"/>
        <v>simense</v>
      </c>
      <c r="L547" s="77">
        <f t="shared" si="268"/>
        <v>6</v>
      </c>
      <c r="M547" s="77">
        <f t="shared" si="268"/>
        <v>20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v>
      </c>
      <c r="C548" s="73">
        <f t="shared" si="265"/>
        <v>15</v>
      </c>
      <c r="D548" s="74">
        <f t="shared" si="248"/>
        <v>1</v>
      </c>
      <c r="E548" s="75">
        <f t="shared" si="249"/>
        <v>5</v>
      </c>
      <c r="F548" s="79"/>
      <c r="G548" s="82"/>
      <c r="H548" s="68" t="str">
        <f t="shared" si="266"/>
        <v>Clesim6_20211115_01_00</v>
      </c>
      <c r="I548" s="69">
        <f t="shared" si="268"/>
        <v>1</v>
      </c>
      <c r="J548" s="76" t="str">
        <f t="shared" si="268"/>
        <v>Clematis</v>
      </c>
      <c r="K548" s="76" t="str">
        <f t="shared" si="268"/>
        <v>simense</v>
      </c>
      <c r="L548" s="77">
        <f t="shared" si="268"/>
        <v>6</v>
      </c>
      <c r="M548" s="77">
        <f t="shared" si="268"/>
        <v>20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v>
      </c>
      <c r="C549" s="73">
        <f t="shared" si="265"/>
        <v>15</v>
      </c>
      <c r="D549" s="74">
        <f t="shared" si="248"/>
        <v>1</v>
      </c>
      <c r="E549" s="75">
        <f t="shared" si="249"/>
        <v>6</v>
      </c>
      <c r="F549" s="79"/>
      <c r="G549" s="82"/>
      <c r="H549" s="68" t="str">
        <f t="shared" si="266"/>
        <v>Clesim6_20211115_01_00</v>
      </c>
      <c r="I549" s="69">
        <f t="shared" ref="I549:N564" si="269">I548</f>
        <v>1</v>
      </c>
      <c r="J549" s="76" t="str">
        <f t="shared" si="269"/>
        <v>Clematis</v>
      </c>
      <c r="K549" s="76" t="str">
        <f t="shared" si="269"/>
        <v>simense</v>
      </c>
      <c r="L549" s="77">
        <f t="shared" si="269"/>
        <v>6</v>
      </c>
      <c r="M549" s="77">
        <f t="shared" si="269"/>
        <v>20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v>
      </c>
      <c r="C550" s="73">
        <f t="shared" si="265"/>
        <v>15</v>
      </c>
      <c r="D550" s="74">
        <f t="shared" si="248"/>
        <v>1</v>
      </c>
      <c r="E550" s="75">
        <f t="shared" si="249"/>
        <v>7</v>
      </c>
      <c r="F550" s="79"/>
      <c r="G550" s="82"/>
      <c r="H550" s="68" t="str">
        <f t="shared" si="266"/>
        <v>Clesim6_20211115_01_00</v>
      </c>
      <c r="I550" s="69">
        <f t="shared" si="269"/>
        <v>1</v>
      </c>
      <c r="J550" s="76" t="str">
        <f t="shared" si="269"/>
        <v>Clematis</v>
      </c>
      <c r="K550" s="76" t="str">
        <f t="shared" si="269"/>
        <v>simense</v>
      </c>
      <c r="L550" s="77">
        <f t="shared" si="269"/>
        <v>6</v>
      </c>
      <c r="M550" s="77">
        <f t="shared" si="269"/>
        <v>20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v>
      </c>
      <c r="C551" s="73">
        <f t="shared" si="265"/>
        <v>15</v>
      </c>
      <c r="D551" s="74">
        <f t="shared" si="248"/>
        <v>1</v>
      </c>
      <c r="E551" s="75">
        <f t="shared" si="249"/>
        <v>8</v>
      </c>
      <c r="F551" s="79"/>
      <c r="G551" s="82"/>
      <c r="H551" s="68" t="str">
        <f t="shared" si="266"/>
        <v>Clesim6_20211115_01_00</v>
      </c>
      <c r="I551" s="69">
        <f t="shared" si="269"/>
        <v>1</v>
      </c>
      <c r="J551" s="76" t="str">
        <f t="shared" si="269"/>
        <v>Clematis</v>
      </c>
      <c r="K551" s="76" t="str">
        <f t="shared" si="269"/>
        <v>simense</v>
      </c>
      <c r="L551" s="77">
        <f t="shared" si="269"/>
        <v>6</v>
      </c>
      <c r="M551" s="77">
        <f t="shared" si="269"/>
        <v>20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v>
      </c>
      <c r="C552" s="73">
        <f t="shared" si="265"/>
        <v>15</v>
      </c>
      <c r="D552" s="74">
        <f t="shared" si="248"/>
        <v>1</v>
      </c>
      <c r="E552" s="75">
        <f t="shared" si="249"/>
        <v>9</v>
      </c>
      <c r="F552" s="79"/>
      <c r="G552" s="82"/>
      <c r="H552" s="68" t="str">
        <f t="shared" si="266"/>
        <v>Clesim6_20211115_01_00</v>
      </c>
      <c r="I552" s="69">
        <f t="shared" si="269"/>
        <v>1</v>
      </c>
      <c r="J552" s="76" t="str">
        <f t="shared" si="269"/>
        <v>Clematis</v>
      </c>
      <c r="K552" s="76" t="str">
        <f t="shared" si="269"/>
        <v>simense</v>
      </c>
      <c r="L552" s="77">
        <f t="shared" si="269"/>
        <v>6</v>
      </c>
      <c r="M552" s="77">
        <f t="shared" si="269"/>
        <v>20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v>
      </c>
      <c r="C553" s="73">
        <f t="shared" si="265"/>
        <v>15</v>
      </c>
      <c r="D553" s="74">
        <f t="shared" si="248"/>
        <v>1</v>
      </c>
      <c r="E553" s="75">
        <f t="shared" si="249"/>
        <v>10</v>
      </c>
      <c r="F553" s="79"/>
      <c r="G553" s="82"/>
      <c r="H553" s="68" t="str">
        <f t="shared" si="266"/>
        <v>Clesim6_20211115_01_00</v>
      </c>
      <c r="I553" s="69">
        <f t="shared" si="269"/>
        <v>1</v>
      </c>
      <c r="J553" s="76" t="str">
        <f t="shared" si="269"/>
        <v>Clematis</v>
      </c>
      <c r="K553" s="76" t="str">
        <f t="shared" si="269"/>
        <v>simense</v>
      </c>
      <c r="L553" s="77">
        <f t="shared" si="269"/>
        <v>6</v>
      </c>
      <c r="M553" s="77">
        <f t="shared" si="269"/>
        <v>20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v>
      </c>
      <c r="C554" s="73">
        <f t="shared" si="265"/>
        <v>15</v>
      </c>
      <c r="D554" s="74">
        <f t="shared" si="248"/>
        <v>1</v>
      </c>
      <c r="E554" s="75">
        <f t="shared" si="249"/>
        <v>11</v>
      </c>
      <c r="F554" s="79"/>
      <c r="G554" s="82"/>
      <c r="H554" s="68" t="str">
        <f t="shared" si="266"/>
        <v>Clesim6_20211115_01_00</v>
      </c>
      <c r="I554" s="69">
        <f t="shared" si="269"/>
        <v>1</v>
      </c>
      <c r="J554" s="76" t="str">
        <f t="shared" si="269"/>
        <v>Clematis</v>
      </c>
      <c r="K554" s="76" t="str">
        <f t="shared" si="269"/>
        <v>simense</v>
      </c>
      <c r="L554" s="77">
        <f t="shared" si="269"/>
        <v>6</v>
      </c>
      <c r="M554" s="77">
        <f t="shared" si="269"/>
        <v>20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v>
      </c>
      <c r="C555" s="73">
        <f t="shared" si="265"/>
        <v>15</v>
      </c>
      <c r="D555" s="74">
        <f t="shared" si="248"/>
        <v>1</v>
      </c>
      <c r="E555" s="75">
        <f t="shared" si="249"/>
        <v>12</v>
      </c>
      <c r="F555" s="79"/>
      <c r="G555" s="82"/>
      <c r="H555" s="68" t="str">
        <f t="shared" si="266"/>
        <v>Clesim6_20211115_01_00</v>
      </c>
      <c r="I555" s="69">
        <f t="shared" si="269"/>
        <v>1</v>
      </c>
      <c r="J555" s="76" t="str">
        <f t="shared" si="269"/>
        <v>Clematis</v>
      </c>
      <c r="K555" s="76" t="str">
        <f t="shared" si="269"/>
        <v>simense</v>
      </c>
      <c r="L555" s="77">
        <f t="shared" si="269"/>
        <v>6</v>
      </c>
      <c r="M555" s="77">
        <f t="shared" si="269"/>
        <v>20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v>
      </c>
      <c r="C556" s="73">
        <f t="shared" si="265"/>
        <v>15</v>
      </c>
      <c r="D556" s="74">
        <f t="shared" si="248"/>
        <v>1</v>
      </c>
      <c r="E556" s="75">
        <f t="shared" si="249"/>
        <v>13</v>
      </c>
      <c r="F556" s="79"/>
      <c r="G556" s="82"/>
      <c r="H556" s="68" t="str">
        <f t="shared" si="266"/>
        <v>Clesim6_20211115_01_00</v>
      </c>
      <c r="I556" s="69">
        <f t="shared" si="269"/>
        <v>1</v>
      </c>
      <c r="J556" s="76" t="str">
        <f t="shared" si="269"/>
        <v>Clematis</v>
      </c>
      <c r="K556" s="76" t="str">
        <f t="shared" si="269"/>
        <v>simense</v>
      </c>
      <c r="L556" s="77">
        <f t="shared" si="269"/>
        <v>6</v>
      </c>
      <c r="M556" s="77">
        <f t="shared" si="269"/>
        <v>20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v>
      </c>
      <c r="C557" s="73">
        <f t="shared" si="265"/>
        <v>15</v>
      </c>
      <c r="D557" s="74">
        <f t="shared" si="248"/>
        <v>1</v>
      </c>
      <c r="E557" s="75">
        <f t="shared" si="249"/>
        <v>14</v>
      </c>
      <c r="F557" s="79"/>
      <c r="G557" s="82"/>
      <c r="H557" s="68" t="str">
        <f t="shared" si="266"/>
        <v>Clesim6_20211115_01_00</v>
      </c>
      <c r="I557" s="69">
        <f t="shared" si="269"/>
        <v>1</v>
      </c>
      <c r="J557" s="76" t="str">
        <f t="shared" si="269"/>
        <v>Clematis</v>
      </c>
      <c r="K557" s="76" t="str">
        <f t="shared" si="269"/>
        <v>simense</v>
      </c>
      <c r="L557" s="77">
        <f t="shared" si="269"/>
        <v>6</v>
      </c>
      <c r="M557" s="77">
        <f t="shared" si="269"/>
        <v>20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v>
      </c>
      <c r="C558" s="73">
        <f t="shared" si="265"/>
        <v>15</v>
      </c>
      <c r="D558" s="74">
        <f t="shared" si="248"/>
        <v>1</v>
      </c>
      <c r="E558" s="75">
        <f t="shared" si="249"/>
        <v>15</v>
      </c>
      <c r="F558" s="79"/>
      <c r="G558" s="82"/>
      <c r="H558" s="68" t="str">
        <f t="shared" si="266"/>
        <v>Clesim6_20211115_01_00</v>
      </c>
      <c r="I558" s="69">
        <f t="shared" si="269"/>
        <v>1</v>
      </c>
      <c r="J558" s="76" t="str">
        <f t="shared" si="269"/>
        <v>Clematis</v>
      </c>
      <c r="K558" s="76" t="str">
        <f t="shared" si="269"/>
        <v>simense</v>
      </c>
      <c r="L558" s="77">
        <f t="shared" si="269"/>
        <v>6</v>
      </c>
      <c r="M558" s="77">
        <f t="shared" si="269"/>
        <v>20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v>
      </c>
      <c r="C559" s="73">
        <f t="shared" si="265"/>
        <v>15</v>
      </c>
      <c r="D559" s="74">
        <f t="shared" si="248"/>
        <v>1</v>
      </c>
      <c r="E559" s="75">
        <f t="shared" si="249"/>
        <v>16</v>
      </c>
      <c r="F559" s="79"/>
      <c r="G559" s="82"/>
      <c r="H559" s="68" t="str">
        <f t="shared" si="266"/>
        <v>Clesim6_20211115_01_00</v>
      </c>
      <c r="I559" s="69">
        <f t="shared" si="269"/>
        <v>1</v>
      </c>
      <c r="J559" s="76" t="str">
        <f t="shared" si="269"/>
        <v>Clematis</v>
      </c>
      <c r="K559" s="76" t="str">
        <f t="shared" si="269"/>
        <v>simense</v>
      </c>
      <c r="L559" s="77">
        <f t="shared" si="269"/>
        <v>6</v>
      </c>
      <c r="M559" s="77">
        <f t="shared" si="269"/>
        <v>20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v>
      </c>
      <c r="C560" s="73">
        <f t="shared" si="265"/>
        <v>15</v>
      </c>
      <c r="D560" s="74">
        <f t="shared" si="248"/>
        <v>1</v>
      </c>
      <c r="E560" s="75">
        <f t="shared" si="249"/>
        <v>17</v>
      </c>
      <c r="F560" s="79"/>
      <c r="G560" s="82"/>
      <c r="H560" s="68" t="str">
        <f t="shared" si="266"/>
        <v>Clesim6_20211115_01_00</v>
      </c>
      <c r="I560" s="69">
        <f t="shared" si="269"/>
        <v>1</v>
      </c>
      <c r="J560" s="76" t="str">
        <f t="shared" si="269"/>
        <v>Clematis</v>
      </c>
      <c r="K560" s="76" t="str">
        <f t="shared" si="269"/>
        <v>simense</v>
      </c>
      <c r="L560" s="77">
        <f t="shared" si="269"/>
        <v>6</v>
      </c>
      <c r="M560" s="77">
        <f t="shared" si="269"/>
        <v>20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v>
      </c>
      <c r="C561" s="73">
        <f t="shared" si="265"/>
        <v>15</v>
      </c>
      <c r="D561" s="74">
        <f t="shared" si="248"/>
        <v>1</v>
      </c>
      <c r="E561" s="75">
        <f t="shared" si="249"/>
        <v>18</v>
      </c>
      <c r="F561" s="79"/>
      <c r="G561" s="82"/>
      <c r="H561" s="68" t="str">
        <f t="shared" si="266"/>
        <v>Clesim6_20211115_01_00</v>
      </c>
      <c r="I561" s="69">
        <f t="shared" si="269"/>
        <v>1</v>
      </c>
      <c r="J561" s="76" t="str">
        <f t="shared" si="269"/>
        <v>Clematis</v>
      </c>
      <c r="K561" s="76" t="str">
        <f t="shared" si="269"/>
        <v>simense</v>
      </c>
      <c r="L561" s="77">
        <f t="shared" si="269"/>
        <v>6</v>
      </c>
      <c r="M561" s="77">
        <f t="shared" si="269"/>
        <v>20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v>
      </c>
      <c r="C562" s="73">
        <f t="shared" si="265"/>
        <v>15</v>
      </c>
      <c r="D562" s="74">
        <f t="shared" si="248"/>
        <v>1</v>
      </c>
      <c r="E562" s="75">
        <f t="shared" si="249"/>
        <v>19</v>
      </c>
      <c r="F562" s="79"/>
      <c r="G562" s="82"/>
      <c r="H562" s="68" t="str">
        <f t="shared" si="266"/>
        <v>Clesim6_20211115_01_00</v>
      </c>
      <c r="I562" s="69">
        <f t="shared" si="269"/>
        <v>1</v>
      </c>
      <c r="J562" s="76" t="str">
        <f t="shared" si="269"/>
        <v>Clematis</v>
      </c>
      <c r="K562" s="76" t="str">
        <f t="shared" si="269"/>
        <v>simense</v>
      </c>
      <c r="L562" s="77">
        <f t="shared" si="269"/>
        <v>6</v>
      </c>
      <c r="M562" s="77">
        <f t="shared" si="269"/>
        <v>20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2021</v>
      </c>
      <c r="B563" s="72" t="str">
        <f t="shared" si="247"/>
        <v>Nov</v>
      </c>
      <c r="C563" s="73">
        <f t="shared" si="265"/>
        <v>15</v>
      </c>
      <c r="D563" s="74">
        <f t="shared" si="248"/>
        <v>1</v>
      </c>
      <c r="E563" s="75">
        <f t="shared" si="249"/>
        <v>20</v>
      </c>
      <c r="F563" s="79">
        <v>35</v>
      </c>
      <c r="G563" s="82"/>
      <c r="H563" s="68" t="str">
        <f t="shared" si="266"/>
        <v>Clesim6_20211115_01_00</v>
      </c>
      <c r="I563" s="69">
        <f t="shared" si="269"/>
        <v>1</v>
      </c>
      <c r="J563" s="76" t="str">
        <f t="shared" si="269"/>
        <v>Clematis</v>
      </c>
      <c r="K563" s="76" t="str">
        <f t="shared" si="269"/>
        <v>simense</v>
      </c>
      <c r="L563" s="77">
        <f t="shared" si="269"/>
        <v>6</v>
      </c>
      <c r="M563" s="77">
        <f t="shared" si="269"/>
        <v>20</v>
      </c>
      <c r="N563" s="71">
        <f t="shared" si="269"/>
        <v>0</v>
      </c>
      <c r="O563" s="44"/>
      <c r="P563" s="45">
        <f t="shared" si="250"/>
        <v>1</v>
      </c>
      <c r="Q563" s="46" t="str">
        <f t="shared" si="251"/>
        <v>01:20:35</v>
      </c>
      <c r="R563" s="47" t="str">
        <f t="shared" si="252"/>
        <v>20:35</v>
      </c>
      <c r="S563" s="48">
        <f t="shared" si="241"/>
        <v>80</v>
      </c>
      <c r="T563" s="47" t="str">
        <f t="shared" si="253"/>
        <v>01</v>
      </c>
      <c r="U563" s="49">
        <v>21</v>
      </c>
      <c r="V563" s="50">
        <v>55</v>
      </c>
      <c r="W563" s="51" t="str">
        <f t="shared" si="254"/>
        <v>21:55</v>
      </c>
      <c r="X563" s="52" t="s">
        <v>58</v>
      </c>
      <c r="Y563" s="52" t="s">
        <v>78</v>
      </c>
      <c r="Z563" s="52"/>
      <c r="AA563" s="47" t="s">
        <v>58</v>
      </c>
      <c r="AB563" s="47" t="str">
        <f t="shared" si="255"/>
        <v>NA</v>
      </c>
      <c r="AC563" s="53" t="str">
        <f t="shared" si="256"/>
        <v/>
      </c>
      <c r="AD563" s="54">
        <v>2</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f t="shared" si="242"/>
        <v>0</v>
      </c>
      <c r="AX563" s="61" t="str">
        <f t="shared" si="243"/>
        <v/>
      </c>
      <c r="AY563" s="60">
        <f t="shared" si="244"/>
        <v>0</v>
      </c>
      <c r="AZ563" s="61" t="str">
        <f t="shared" si="245"/>
        <v/>
      </c>
    </row>
    <row r="564" spans="1:52" s="3" customFormat="1" hidden="1" x14ac:dyDescent="0.35">
      <c r="A564" s="72">
        <f t="shared" si="246"/>
        <v>2021</v>
      </c>
      <c r="B564" s="72" t="str">
        <f t="shared" si="247"/>
        <v>Nov</v>
      </c>
      <c r="C564" s="73">
        <f t="shared" si="265"/>
        <v>15</v>
      </c>
      <c r="D564" s="74">
        <f t="shared" si="248"/>
        <v>1</v>
      </c>
      <c r="E564" s="75">
        <f t="shared" si="249"/>
        <v>21</v>
      </c>
      <c r="F564" s="79"/>
      <c r="G564" s="82"/>
      <c r="H564" s="68" t="str">
        <f t="shared" si="266"/>
        <v>Clesim6_20211115_01_00</v>
      </c>
      <c r="I564" s="69">
        <f t="shared" si="269"/>
        <v>1</v>
      </c>
      <c r="J564" s="76" t="str">
        <f t="shared" si="269"/>
        <v>Clematis</v>
      </c>
      <c r="K564" s="76" t="str">
        <f t="shared" si="269"/>
        <v>simense</v>
      </c>
      <c r="L564" s="77">
        <f t="shared" si="269"/>
        <v>6</v>
      </c>
      <c r="M564" s="77">
        <f t="shared" si="269"/>
        <v>20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v>
      </c>
      <c r="C565" s="73">
        <f t="shared" si="265"/>
        <v>15</v>
      </c>
      <c r="D565" s="74">
        <f t="shared" si="248"/>
        <v>1</v>
      </c>
      <c r="E565" s="75">
        <f t="shared" si="249"/>
        <v>22</v>
      </c>
      <c r="F565" s="79"/>
      <c r="G565" s="82"/>
      <c r="H565" s="68" t="str">
        <f t="shared" si="266"/>
        <v>Clesim6_20211115_01_00</v>
      </c>
      <c r="I565" s="69">
        <f t="shared" ref="I565:N580" si="270">I564</f>
        <v>1</v>
      </c>
      <c r="J565" s="76" t="str">
        <f t="shared" si="270"/>
        <v>Clematis</v>
      </c>
      <c r="K565" s="76" t="str">
        <f t="shared" si="270"/>
        <v>simense</v>
      </c>
      <c r="L565" s="77">
        <f t="shared" si="270"/>
        <v>6</v>
      </c>
      <c r="M565" s="77">
        <f t="shared" si="270"/>
        <v>20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v>
      </c>
      <c r="C566" s="73">
        <f t="shared" si="265"/>
        <v>15</v>
      </c>
      <c r="D566" s="74">
        <f t="shared" si="248"/>
        <v>1</v>
      </c>
      <c r="E566" s="75">
        <f t="shared" si="249"/>
        <v>23</v>
      </c>
      <c r="F566" s="79"/>
      <c r="G566" s="82"/>
      <c r="H566" s="68" t="str">
        <f t="shared" si="266"/>
        <v>Clesim6_20211115_01_00</v>
      </c>
      <c r="I566" s="69">
        <f t="shared" si="270"/>
        <v>1</v>
      </c>
      <c r="J566" s="76" t="str">
        <f t="shared" si="270"/>
        <v>Clematis</v>
      </c>
      <c r="K566" s="76" t="str">
        <f t="shared" si="270"/>
        <v>simense</v>
      </c>
      <c r="L566" s="77">
        <f t="shared" si="270"/>
        <v>6</v>
      </c>
      <c r="M566" s="77">
        <f t="shared" si="270"/>
        <v>20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v>
      </c>
      <c r="C567" s="73">
        <f t="shared" si="265"/>
        <v>15</v>
      </c>
      <c r="D567" s="74">
        <f t="shared" si="248"/>
        <v>1</v>
      </c>
      <c r="E567" s="75">
        <f t="shared" si="249"/>
        <v>24</v>
      </c>
      <c r="F567" s="79"/>
      <c r="G567" s="82"/>
      <c r="H567" s="68" t="str">
        <f t="shared" si="266"/>
        <v>Clesim6_20211115_01_00</v>
      </c>
      <c r="I567" s="69">
        <f t="shared" si="270"/>
        <v>1</v>
      </c>
      <c r="J567" s="76" t="str">
        <f t="shared" si="270"/>
        <v>Clematis</v>
      </c>
      <c r="K567" s="76" t="str">
        <f t="shared" si="270"/>
        <v>simense</v>
      </c>
      <c r="L567" s="77">
        <f t="shared" si="270"/>
        <v>6</v>
      </c>
      <c r="M567" s="77">
        <f t="shared" si="270"/>
        <v>20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v>
      </c>
      <c r="C568" s="73">
        <f t="shared" si="265"/>
        <v>15</v>
      </c>
      <c r="D568" s="74">
        <f t="shared" si="248"/>
        <v>1</v>
      </c>
      <c r="E568" s="75">
        <f t="shared" si="249"/>
        <v>25</v>
      </c>
      <c r="F568" s="79"/>
      <c r="G568" s="82"/>
      <c r="H568" s="68" t="str">
        <f t="shared" si="266"/>
        <v>Clesim6_20211115_01_00</v>
      </c>
      <c r="I568" s="69">
        <f t="shared" si="270"/>
        <v>1</v>
      </c>
      <c r="J568" s="76" t="str">
        <f t="shared" si="270"/>
        <v>Clematis</v>
      </c>
      <c r="K568" s="76" t="str">
        <f t="shared" si="270"/>
        <v>simense</v>
      </c>
      <c r="L568" s="77">
        <f t="shared" si="270"/>
        <v>6</v>
      </c>
      <c r="M568" s="77">
        <f t="shared" si="270"/>
        <v>20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v>
      </c>
      <c r="C569" s="73">
        <f t="shared" si="265"/>
        <v>15</v>
      </c>
      <c r="D569" s="74">
        <f t="shared" si="248"/>
        <v>1</v>
      </c>
      <c r="E569" s="75">
        <f t="shared" si="249"/>
        <v>26</v>
      </c>
      <c r="F569" s="79"/>
      <c r="G569" s="82"/>
      <c r="H569" s="68" t="str">
        <f t="shared" si="266"/>
        <v>Clesim6_20211115_01_00</v>
      </c>
      <c r="I569" s="69">
        <f t="shared" si="270"/>
        <v>1</v>
      </c>
      <c r="J569" s="76" t="str">
        <f t="shared" si="270"/>
        <v>Clematis</v>
      </c>
      <c r="K569" s="76" t="str">
        <f t="shared" si="270"/>
        <v>simense</v>
      </c>
      <c r="L569" s="77">
        <f t="shared" si="270"/>
        <v>6</v>
      </c>
      <c r="M569" s="77">
        <f t="shared" si="270"/>
        <v>20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v>
      </c>
      <c r="C570" s="73">
        <f t="shared" si="265"/>
        <v>15</v>
      </c>
      <c r="D570" s="74">
        <f t="shared" si="248"/>
        <v>1</v>
      </c>
      <c r="E570" s="75">
        <f t="shared" si="249"/>
        <v>27</v>
      </c>
      <c r="F570" s="79"/>
      <c r="G570" s="82"/>
      <c r="H570" s="68" t="str">
        <f t="shared" si="266"/>
        <v>Clesim6_20211115_01_00</v>
      </c>
      <c r="I570" s="69">
        <f t="shared" si="270"/>
        <v>1</v>
      </c>
      <c r="J570" s="76" t="str">
        <f t="shared" si="270"/>
        <v>Clematis</v>
      </c>
      <c r="K570" s="76" t="str">
        <f t="shared" si="270"/>
        <v>simense</v>
      </c>
      <c r="L570" s="77">
        <f t="shared" si="270"/>
        <v>6</v>
      </c>
      <c r="M570" s="77">
        <f t="shared" si="270"/>
        <v>20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v>
      </c>
      <c r="C571" s="73">
        <f t="shared" si="265"/>
        <v>15</v>
      </c>
      <c r="D571" s="74">
        <f t="shared" si="248"/>
        <v>1</v>
      </c>
      <c r="E571" s="75">
        <f t="shared" si="249"/>
        <v>28</v>
      </c>
      <c r="F571" s="79"/>
      <c r="G571" s="82"/>
      <c r="H571" s="68" t="str">
        <f t="shared" si="266"/>
        <v>Clesim6_20211115_01_00</v>
      </c>
      <c r="I571" s="69">
        <f t="shared" si="270"/>
        <v>1</v>
      </c>
      <c r="J571" s="76" t="str">
        <f t="shared" si="270"/>
        <v>Clematis</v>
      </c>
      <c r="K571" s="76" t="str">
        <f t="shared" si="270"/>
        <v>simense</v>
      </c>
      <c r="L571" s="77">
        <f t="shared" si="270"/>
        <v>6</v>
      </c>
      <c r="M571" s="77">
        <f t="shared" si="270"/>
        <v>20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v>
      </c>
      <c r="C572" s="73">
        <f t="shared" si="265"/>
        <v>15</v>
      </c>
      <c r="D572" s="74">
        <f t="shared" si="248"/>
        <v>1</v>
      </c>
      <c r="E572" s="75">
        <f t="shared" si="249"/>
        <v>29</v>
      </c>
      <c r="F572" s="79"/>
      <c r="G572" s="82"/>
      <c r="H572" s="68" t="str">
        <f t="shared" si="266"/>
        <v>Clesim6_20211115_01_00</v>
      </c>
      <c r="I572" s="69">
        <f t="shared" si="270"/>
        <v>1</v>
      </c>
      <c r="J572" s="76" t="str">
        <f t="shared" si="270"/>
        <v>Clematis</v>
      </c>
      <c r="K572" s="76" t="str">
        <f t="shared" si="270"/>
        <v>simense</v>
      </c>
      <c r="L572" s="77">
        <f t="shared" si="270"/>
        <v>6</v>
      </c>
      <c r="M572" s="77">
        <f t="shared" si="270"/>
        <v>20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v>
      </c>
      <c r="C573" s="73">
        <f t="shared" si="265"/>
        <v>15</v>
      </c>
      <c r="D573" s="74">
        <f t="shared" si="248"/>
        <v>1</v>
      </c>
      <c r="E573" s="75">
        <f t="shared" si="249"/>
        <v>30</v>
      </c>
      <c r="F573" s="79"/>
      <c r="G573" s="82"/>
      <c r="H573" s="68" t="str">
        <f t="shared" si="266"/>
        <v>Clesim6_20211115_01_00</v>
      </c>
      <c r="I573" s="69">
        <f t="shared" si="270"/>
        <v>1</v>
      </c>
      <c r="J573" s="76" t="str">
        <f t="shared" si="270"/>
        <v>Clematis</v>
      </c>
      <c r="K573" s="76" t="str">
        <f t="shared" si="270"/>
        <v>simense</v>
      </c>
      <c r="L573" s="77">
        <f t="shared" si="270"/>
        <v>6</v>
      </c>
      <c r="M573" s="77">
        <f t="shared" si="270"/>
        <v>20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v>
      </c>
      <c r="C574" s="73">
        <f t="shared" si="265"/>
        <v>15</v>
      </c>
      <c r="D574" s="74">
        <f t="shared" si="248"/>
        <v>1</v>
      </c>
      <c r="E574" s="75">
        <f t="shared" si="249"/>
        <v>31</v>
      </c>
      <c r="F574" s="79"/>
      <c r="G574" s="82"/>
      <c r="H574" s="68" t="str">
        <f t="shared" si="266"/>
        <v>Clesim6_20211115_01_00</v>
      </c>
      <c r="I574" s="69">
        <f t="shared" si="270"/>
        <v>1</v>
      </c>
      <c r="J574" s="76" t="str">
        <f t="shared" si="270"/>
        <v>Clematis</v>
      </c>
      <c r="K574" s="76" t="str">
        <f t="shared" si="270"/>
        <v>simense</v>
      </c>
      <c r="L574" s="77">
        <f t="shared" si="270"/>
        <v>6</v>
      </c>
      <c r="M574" s="77">
        <f t="shared" si="270"/>
        <v>20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2021</v>
      </c>
      <c r="B575" s="72" t="str">
        <f t="shared" si="247"/>
        <v>Nov</v>
      </c>
      <c r="C575" s="73">
        <f t="shared" si="265"/>
        <v>15</v>
      </c>
      <c r="D575" s="74">
        <f t="shared" si="248"/>
        <v>1</v>
      </c>
      <c r="E575" s="75">
        <f t="shared" si="249"/>
        <v>32</v>
      </c>
      <c r="F575" s="79">
        <v>39</v>
      </c>
      <c r="G575" s="82"/>
      <c r="H575" s="68" t="str">
        <f t="shared" si="266"/>
        <v>Clesim6_20211115_01_00</v>
      </c>
      <c r="I575" s="69">
        <f t="shared" si="270"/>
        <v>1</v>
      </c>
      <c r="J575" s="76" t="str">
        <f t="shared" si="270"/>
        <v>Clematis</v>
      </c>
      <c r="K575" s="76" t="str">
        <f t="shared" si="270"/>
        <v>simense</v>
      </c>
      <c r="L575" s="77">
        <f t="shared" si="270"/>
        <v>6</v>
      </c>
      <c r="M575" s="77">
        <f t="shared" si="270"/>
        <v>20</v>
      </c>
      <c r="N575" s="71">
        <f t="shared" si="270"/>
        <v>0</v>
      </c>
      <c r="O575" s="44"/>
      <c r="P575" s="45">
        <f t="shared" si="250"/>
        <v>1</v>
      </c>
      <c r="Q575" s="46" t="str">
        <f t="shared" si="251"/>
        <v>01:32:39</v>
      </c>
      <c r="R575" s="47" t="str">
        <f t="shared" si="252"/>
        <v>32:39</v>
      </c>
      <c r="S575" s="48">
        <f t="shared" si="241"/>
        <v>51</v>
      </c>
      <c r="T575" s="47" t="str">
        <f t="shared" si="253"/>
        <v>01</v>
      </c>
      <c r="U575" s="129">
        <v>33</v>
      </c>
      <c r="V575" s="130">
        <v>30</v>
      </c>
      <c r="W575" s="51" t="str">
        <f t="shared" si="254"/>
        <v>33:30</v>
      </c>
      <c r="X575" s="52" t="s">
        <v>63</v>
      </c>
      <c r="Y575" s="52" t="s">
        <v>83</v>
      </c>
      <c r="Z575" s="52"/>
      <c r="AA575" s="47" t="s">
        <v>64</v>
      </c>
      <c r="AB575" s="47" t="str">
        <f t="shared" si="255"/>
        <v>NA</v>
      </c>
      <c r="AC575" s="53" t="str">
        <f t="shared" si="256"/>
        <v/>
      </c>
      <c r="AD575" s="54">
        <f t="shared" si="257"/>
        <v>1</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f t="shared" si="242"/>
        <v>0</v>
      </c>
      <c r="AX575" s="61" t="str">
        <f t="shared" si="243"/>
        <v/>
      </c>
      <c r="AY575" s="60">
        <f t="shared" si="244"/>
        <v>0</v>
      </c>
      <c r="AZ575" s="61" t="str">
        <f t="shared" si="245"/>
        <v/>
      </c>
    </row>
    <row r="576" spans="1:52" s="3" customFormat="1" hidden="1" x14ac:dyDescent="0.35">
      <c r="A576" s="72">
        <f t="shared" si="246"/>
        <v>2021</v>
      </c>
      <c r="B576" s="72" t="str">
        <f t="shared" si="247"/>
        <v>Nov</v>
      </c>
      <c r="C576" s="73">
        <f t="shared" si="265"/>
        <v>15</v>
      </c>
      <c r="D576" s="74">
        <f t="shared" si="248"/>
        <v>1</v>
      </c>
      <c r="E576" s="75">
        <f t="shared" si="249"/>
        <v>33</v>
      </c>
      <c r="F576" s="79"/>
      <c r="G576" s="82"/>
      <c r="H576" s="68" t="str">
        <f t="shared" si="266"/>
        <v>Clesim6_20211115_01_00</v>
      </c>
      <c r="I576" s="69">
        <f t="shared" si="270"/>
        <v>1</v>
      </c>
      <c r="J576" s="76" t="str">
        <f t="shared" si="270"/>
        <v>Clematis</v>
      </c>
      <c r="K576" s="76" t="str">
        <f t="shared" si="270"/>
        <v>simense</v>
      </c>
      <c r="L576" s="77">
        <f t="shared" si="270"/>
        <v>6</v>
      </c>
      <c r="M576" s="77">
        <f t="shared" si="270"/>
        <v>20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v>
      </c>
      <c r="C577" s="73">
        <f t="shared" si="265"/>
        <v>15</v>
      </c>
      <c r="D577" s="74">
        <f t="shared" si="248"/>
        <v>1</v>
      </c>
      <c r="E577" s="75">
        <f t="shared" si="249"/>
        <v>34</v>
      </c>
      <c r="F577" s="79"/>
      <c r="G577" s="82"/>
      <c r="H577" s="68" t="str">
        <f t="shared" si="266"/>
        <v>Clesim6_20211115_01_00</v>
      </c>
      <c r="I577" s="69">
        <f t="shared" si="270"/>
        <v>1</v>
      </c>
      <c r="J577" s="76" t="str">
        <f t="shared" si="270"/>
        <v>Clematis</v>
      </c>
      <c r="K577" s="76" t="str">
        <f t="shared" si="270"/>
        <v>simense</v>
      </c>
      <c r="L577" s="77">
        <f t="shared" si="270"/>
        <v>6</v>
      </c>
      <c r="M577" s="77">
        <f t="shared" si="270"/>
        <v>20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v>
      </c>
      <c r="C578" s="73">
        <f t="shared" si="265"/>
        <v>15</v>
      </c>
      <c r="D578" s="74">
        <f t="shared" si="248"/>
        <v>1</v>
      </c>
      <c r="E578" s="75">
        <f t="shared" si="249"/>
        <v>35</v>
      </c>
      <c r="F578" s="79"/>
      <c r="G578" s="82"/>
      <c r="H578" s="68" t="str">
        <f t="shared" si="266"/>
        <v>Clesim6_20211115_01_00</v>
      </c>
      <c r="I578" s="69">
        <f t="shared" si="270"/>
        <v>1</v>
      </c>
      <c r="J578" s="76" t="str">
        <f t="shared" si="270"/>
        <v>Clematis</v>
      </c>
      <c r="K578" s="76" t="str">
        <f t="shared" si="270"/>
        <v>simense</v>
      </c>
      <c r="L578" s="77">
        <f t="shared" si="270"/>
        <v>6</v>
      </c>
      <c r="M578" s="77">
        <f t="shared" si="270"/>
        <v>20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v>
      </c>
      <c r="C579" s="73">
        <f t="shared" si="265"/>
        <v>15</v>
      </c>
      <c r="D579" s="74">
        <f t="shared" si="248"/>
        <v>1</v>
      </c>
      <c r="E579" s="75">
        <f t="shared" si="249"/>
        <v>36</v>
      </c>
      <c r="F579" s="79"/>
      <c r="G579" s="82"/>
      <c r="H579" s="68" t="str">
        <f t="shared" si="266"/>
        <v>Clesim6_20211115_01_00</v>
      </c>
      <c r="I579" s="69">
        <f t="shared" si="270"/>
        <v>1</v>
      </c>
      <c r="J579" s="76" t="str">
        <f t="shared" si="270"/>
        <v>Clematis</v>
      </c>
      <c r="K579" s="76" t="str">
        <f t="shared" si="270"/>
        <v>simense</v>
      </c>
      <c r="L579" s="77">
        <f t="shared" si="270"/>
        <v>6</v>
      </c>
      <c r="M579" s="77">
        <f t="shared" si="270"/>
        <v>20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v>
      </c>
      <c r="C580" s="73">
        <f t="shared" si="265"/>
        <v>15</v>
      </c>
      <c r="D580" s="74">
        <f t="shared" ref="D580:D643" si="278">IF(IF(E579=59,D579+1,D579)=24,0,IF(E579=59,D579+1,D579))</f>
        <v>1</v>
      </c>
      <c r="E580" s="75">
        <f t="shared" ref="E580:E643" si="279">IF(E579&lt;59,E579+1,0)</f>
        <v>37</v>
      </c>
      <c r="F580" s="79"/>
      <c r="G580" s="82"/>
      <c r="H580" s="68" t="str">
        <f t="shared" si="266"/>
        <v>Clesim6_20211115_01_00</v>
      </c>
      <c r="I580" s="69">
        <f t="shared" si="270"/>
        <v>1</v>
      </c>
      <c r="J580" s="76" t="str">
        <f t="shared" si="270"/>
        <v>Clematis</v>
      </c>
      <c r="K580" s="76" t="str">
        <f t="shared" si="270"/>
        <v>simense</v>
      </c>
      <c r="L580" s="77">
        <f t="shared" si="270"/>
        <v>6</v>
      </c>
      <c r="M580" s="77">
        <f t="shared" si="270"/>
        <v>20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v>
      </c>
      <c r="C581" s="73">
        <f t="shared" ref="C581:C644" si="295">IF(AND(D581=0, E581=0), IF(TEXT(C580,"dd")=TEXT(EOMONTH(DATE(A580,MONTH(DATEVALUE(B580&amp;"1")),C580),0), "dd"), 1, C580+1), C580)</f>
        <v>15</v>
      </c>
      <c r="D581" s="74">
        <f t="shared" si="278"/>
        <v>1</v>
      </c>
      <c r="E581" s="75">
        <f t="shared" si="279"/>
        <v>38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Clesim6_20211115_01_00</v>
      </c>
      <c r="I581" s="69">
        <f t="shared" ref="I581:N596" si="297">I580</f>
        <v>1</v>
      </c>
      <c r="J581" s="76" t="str">
        <f t="shared" si="297"/>
        <v>Clematis</v>
      </c>
      <c r="K581" s="76" t="str">
        <f t="shared" si="297"/>
        <v>simense</v>
      </c>
      <c r="L581" s="77">
        <f t="shared" si="297"/>
        <v>6</v>
      </c>
      <c r="M581" s="77">
        <f t="shared" si="297"/>
        <v>20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v>
      </c>
      <c r="C582" s="73">
        <f t="shared" si="295"/>
        <v>15</v>
      </c>
      <c r="D582" s="74">
        <f t="shared" si="278"/>
        <v>1</v>
      </c>
      <c r="E582" s="75">
        <f t="shared" si="279"/>
        <v>39</v>
      </c>
      <c r="F582" s="79"/>
      <c r="G582" s="82"/>
      <c r="H582" s="68" t="str">
        <f t="shared" si="296"/>
        <v>Clesim6_20211115_01_00</v>
      </c>
      <c r="I582" s="69">
        <f t="shared" si="297"/>
        <v>1</v>
      </c>
      <c r="J582" s="76" t="str">
        <f t="shared" si="297"/>
        <v>Clematis</v>
      </c>
      <c r="K582" s="76" t="str">
        <f t="shared" si="297"/>
        <v>simense</v>
      </c>
      <c r="L582" s="77">
        <f t="shared" si="297"/>
        <v>6</v>
      </c>
      <c r="M582" s="77">
        <f t="shared" si="297"/>
        <v>20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v>
      </c>
      <c r="C583" s="73">
        <f t="shared" si="295"/>
        <v>15</v>
      </c>
      <c r="D583" s="74">
        <f t="shared" si="278"/>
        <v>1</v>
      </c>
      <c r="E583" s="75">
        <f t="shared" si="279"/>
        <v>40</v>
      </c>
      <c r="F583" s="79"/>
      <c r="G583" s="82"/>
      <c r="H583" s="68" t="str">
        <f t="shared" si="296"/>
        <v>Clesim6_20211115_01_00</v>
      </c>
      <c r="I583" s="69">
        <f t="shared" si="297"/>
        <v>1</v>
      </c>
      <c r="J583" s="76" t="str">
        <f t="shared" si="297"/>
        <v>Clematis</v>
      </c>
      <c r="K583" s="76" t="str">
        <f t="shared" si="297"/>
        <v>simense</v>
      </c>
      <c r="L583" s="77">
        <f t="shared" si="297"/>
        <v>6</v>
      </c>
      <c r="M583" s="77">
        <f t="shared" si="297"/>
        <v>20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v>
      </c>
      <c r="C584" s="73">
        <f t="shared" si="295"/>
        <v>15</v>
      </c>
      <c r="D584" s="74">
        <f t="shared" si="278"/>
        <v>1</v>
      </c>
      <c r="E584" s="75">
        <f t="shared" si="279"/>
        <v>41</v>
      </c>
      <c r="F584" s="79"/>
      <c r="G584" s="82"/>
      <c r="H584" s="68" t="str">
        <f t="shared" si="296"/>
        <v>Clesim6_20211115_01_00</v>
      </c>
      <c r="I584" s="69">
        <f t="shared" si="297"/>
        <v>1</v>
      </c>
      <c r="J584" s="76" t="str">
        <f t="shared" si="297"/>
        <v>Clematis</v>
      </c>
      <c r="K584" s="76" t="str">
        <f t="shared" si="297"/>
        <v>simense</v>
      </c>
      <c r="L584" s="77">
        <f t="shared" si="297"/>
        <v>6</v>
      </c>
      <c r="M584" s="77">
        <f t="shared" si="297"/>
        <v>20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v>
      </c>
      <c r="C585" s="73">
        <f t="shared" si="295"/>
        <v>15</v>
      </c>
      <c r="D585" s="74">
        <f t="shared" si="278"/>
        <v>1</v>
      </c>
      <c r="E585" s="75">
        <f t="shared" si="279"/>
        <v>42</v>
      </c>
      <c r="F585" s="79"/>
      <c r="G585" s="82"/>
      <c r="H585" s="68" t="str">
        <f t="shared" si="296"/>
        <v>Clesim6_20211115_01_00</v>
      </c>
      <c r="I585" s="69">
        <f t="shared" si="297"/>
        <v>1</v>
      </c>
      <c r="J585" s="76" t="str">
        <f t="shared" si="297"/>
        <v>Clematis</v>
      </c>
      <c r="K585" s="76" t="str">
        <f t="shared" si="297"/>
        <v>simense</v>
      </c>
      <c r="L585" s="77">
        <f t="shared" si="297"/>
        <v>6</v>
      </c>
      <c r="M585" s="77">
        <f t="shared" si="297"/>
        <v>20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v>
      </c>
      <c r="C586" s="73">
        <f t="shared" si="295"/>
        <v>15</v>
      </c>
      <c r="D586" s="74">
        <f t="shared" si="278"/>
        <v>1</v>
      </c>
      <c r="E586" s="75">
        <f t="shared" si="279"/>
        <v>43</v>
      </c>
      <c r="F586" s="79"/>
      <c r="G586" s="82"/>
      <c r="H586" s="68" t="str">
        <f t="shared" si="296"/>
        <v>Clesim6_20211115_01_00</v>
      </c>
      <c r="I586" s="69">
        <f t="shared" si="297"/>
        <v>1</v>
      </c>
      <c r="J586" s="76" t="str">
        <f t="shared" si="297"/>
        <v>Clematis</v>
      </c>
      <c r="K586" s="76" t="str">
        <f t="shared" si="297"/>
        <v>simense</v>
      </c>
      <c r="L586" s="77">
        <f t="shared" si="297"/>
        <v>6</v>
      </c>
      <c r="M586" s="77">
        <f t="shared" si="297"/>
        <v>20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v>
      </c>
      <c r="C587" s="73">
        <f t="shared" si="295"/>
        <v>15</v>
      </c>
      <c r="D587" s="74">
        <f t="shared" si="278"/>
        <v>1</v>
      </c>
      <c r="E587" s="75">
        <f t="shared" si="279"/>
        <v>44</v>
      </c>
      <c r="F587" s="79"/>
      <c r="G587" s="82"/>
      <c r="H587" s="68" t="str">
        <f t="shared" si="296"/>
        <v>Clesim6_20211115_01_00</v>
      </c>
      <c r="I587" s="69">
        <f t="shared" si="297"/>
        <v>1</v>
      </c>
      <c r="J587" s="76" t="str">
        <f t="shared" si="297"/>
        <v>Clematis</v>
      </c>
      <c r="K587" s="76" t="str">
        <f t="shared" si="297"/>
        <v>simense</v>
      </c>
      <c r="L587" s="77">
        <f t="shared" si="297"/>
        <v>6</v>
      </c>
      <c r="M587" s="77">
        <f t="shared" si="297"/>
        <v>20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v>
      </c>
      <c r="C588" s="73">
        <f t="shared" si="295"/>
        <v>15</v>
      </c>
      <c r="D588" s="74">
        <f t="shared" si="278"/>
        <v>1</v>
      </c>
      <c r="E588" s="75">
        <f t="shared" si="279"/>
        <v>45</v>
      </c>
      <c r="F588" s="79"/>
      <c r="G588" s="82"/>
      <c r="H588" s="68" t="str">
        <f t="shared" si="296"/>
        <v>Clesim6_20211115_01_00</v>
      </c>
      <c r="I588" s="69">
        <f t="shared" si="297"/>
        <v>1</v>
      </c>
      <c r="J588" s="76" t="str">
        <f t="shared" si="297"/>
        <v>Clematis</v>
      </c>
      <c r="K588" s="76" t="str">
        <f t="shared" si="297"/>
        <v>simense</v>
      </c>
      <c r="L588" s="77">
        <f t="shared" si="297"/>
        <v>6</v>
      </c>
      <c r="M588" s="77">
        <f t="shared" si="297"/>
        <v>20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v>
      </c>
      <c r="C589" s="73">
        <f t="shared" si="295"/>
        <v>15</v>
      </c>
      <c r="D589" s="74">
        <f t="shared" si="278"/>
        <v>1</v>
      </c>
      <c r="E589" s="75">
        <f t="shared" si="279"/>
        <v>46</v>
      </c>
      <c r="F589" s="79"/>
      <c r="G589" s="82"/>
      <c r="H589" s="68" t="str">
        <f t="shared" si="296"/>
        <v>Clesim6_20211115_01_00</v>
      </c>
      <c r="I589" s="69">
        <f t="shared" si="297"/>
        <v>1</v>
      </c>
      <c r="J589" s="76" t="str">
        <f t="shared" si="297"/>
        <v>Clematis</v>
      </c>
      <c r="K589" s="76" t="str">
        <f t="shared" si="297"/>
        <v>simense</v>
      </c>
      <c r="L589" s="77">
        <f t="shared" si="297"/>
        <v>6</v>
      </c>
      <c r="M589" s="77">
        <f t="shared" si="297"/>
        <v>20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v>
      </c>
      <c r="C590" s="73">
        <f t="shared" si="295"/>
        <v>15</v>
      </c>
      <c r="D590" s="74">
        <f t="shared" si="278"/>
        <v>1</v>
      </c>
      <c r="E590" s="75">
        <f t="shared" si="279"/>
        <v>47</v>
      </c>
      <c r="F590" s="79"/>
      <c r="G590" s="82"/>
      <c r="H590" s="68" t="str">
        <f t="shared" si="296"/>
        <v>Clesim6_20211115_01_00</v>
      </c>
      <c r="I590" s="69">
        <f t="shared" si="297"/>
        <v>1</v>
      </c>
      <c r="J590" s="76" t="str">
        <f t="shared" si="297"/>
        <v>Clematis</v>
      </c>
      <c r="K590" s="76" t="str">
        <f t="shared" si="297"/>
        <v>simense</v>
      </c>
      <c r="L590" s="77">
        <f t="shared" si="297"/>
        <v>6</v>
      </c>
      <c r="M590" s="77">
        <f t="shared" si="297"/>
        <v>20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v>
      </c>
      <c r="C591" s="73">
        <f t="shared" si="295"/>
        <v>15</v>
      </c>
      <c r="D591" s="74">
        <f t="shared" si="278"/>
        <v>1</v>
      </c>
      <c r="E591" s="75">
        <f t="shared" si="279"/>
        <v>48</v>
      </c>
      <c r="F591" s="79"/>
      <c r="G591" s="82"/>
      <c r="H591" s="68" t="str">
        <f t="shared" si="296"/>
        <v>Clesim6_20211115_01_00</v>
      </c>
      <c r="I591" s="69">
        <f t="shared" si="297"/>
        <v>1</v>
      </c>
      <c r="J591" s="76" t="str">
        <f t="shared" si="297"/>
        <v>Clematis</v>
      </c>
      <c r="K591" s="76" t="str">
        <f t="shared" si="297"/>
        <v>simense</v>
      </c>
      <c r="L591" s="77">
        <f t="shared" si="297"/>
        <v>6</v>
      </c>
      <c r="M591" s="77">
        <f t="shared" si="297"/>
        <v>20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v>
      </c>
      <c r="C592" s="73">
        <f t="shared" si="295"/>
        <v>15</v>
      </c>
      <c r="D592" s="74">
        <f t="shared" si="278"/>
        <v>1</v>
      </c>
      <c r="E592" s="75">
        <f t="shared" si="279"/>
        <v>49</v>
      </c>
      <c r="F592" s="79"/>
      <c r="G592" s="82"/>
      <c r="H592" s="68" t="str">
        <f t="shared" si="296"/>
        <v>Clesim6_20211115_01_00</v>
      </c>
      <c r="I592" s="69">
        <f t="shared" si="297"/>
        <v>1</v>
      </c>
      <c r="J592" s="76" t="str">
        <f t="shared" si="297"/>
        <v>Clematis</v>
      </c>
      <c r="K592" s="76" t="str">
        <f t="shared" si="297"/>
        <v>simense</v>
      </c>
      <c r="L592" s="77">
        <f t="shared" si="297"/>
        <v>6</v>
      </c>
      <c r="M592" s="77">
        <f t="shared" si="297"/>
        <v>20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v>
      </c>
      <c r="C593" s="73">
        <f t="shared" si="295"/>
        <v>15</v>
      </c>
      <c r="D593" s="74">
        <f t="shared" si="278"/>
        <v>1</v>
      </c>
      <c r="E593" s="75">
        <f t="shared" si="279"/>
        <v>50</v>
      </c>
      <c r="F593" s="79"/>
      <c r="G593" s="82"/>
      <c r="H593" s="68" t="str">
        <f t="shared" si="296"/>
        <v>Clesim6_20211115_01_00</v>
      </c>
      <c r="I593" s="69">
        <f t="shared" si="297"/>
        <v>1</v>
      </c>
      <c r="J593" s="76" t="str">
        <f t="shared" si="297"/>
        <v>Clematis</v>
      </c>
      <c r="K593" s="76" t="str">
        <f t="shared" si="297"/>
        <v>simense</v>
      </c>
      <c r="L593" s="77">
        <f t="shared" si="297"/>
        <v>6</v>
      </c>
      <c r="M593" s="77">
        <f t="shared" si="297"/>
        <v>20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v>
      </c>
      <c r="C594" s="73">
        <f t="shared" si="295"/>
        <v>15</v>
      </c>
      <c r="D594" s="74">
        <f t="shared" si="278"/>
        <v>1</v>
      </c>
      <c r="E594" s="75">
        <f t="shared" si="279"/>
        <v>51</v>
      </c>
      <c r="F594" s="79"/>
      <c r="G594" s="82"/>
      <c r="H594" s="68" t="str">
        <f t="shared" si="296"/>
        <v>Clesim6_20211115_01_00</v>
      </c>
      <c r="I594" s="69">
        <f t="shared" si="297"/>
        <v>1</v>
      </c>
      <c r="J594" s="76" t="str">
        <f t="shared" si="297"/>
        <v>Clematis</v>
      </c>
      <c r="K594" s="76" t="str">
        <f t="shared" si="297"/>
        <v>simense</v>
      </c>
      <c r="L594" s="77">
        <f t="shared" si="297"/>
        <v>6</v>
      </c>
      <c r="M594" s="77">
        <f t="shared" si="297"/>
        <v>20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v>
      </c>
      <c r="C595" s="73">
        <f t="shared" si="295"/>
        <v>15</v>
      </c>
      <c r="D595" s="74">
        <f t="shared" si="278"/>
        <v>1</v>
      </c>
      <c r="E595" s="75">
        <f t="shared" si="279"/>
        <v>52</v>
      </c>
      <c r="F595" s="79"/>
      <c r="G595" s="82"/>
      <c r="H595" s="68" t="str">
        <f t="shared" si="296"/>
        <v>Clesim6_20211115_01_00</v>
      </c>
      <c r="I595" s="69">
        <f t="shared" si="297"/>
        <v>1</v>
      </c>
      <c r="J595" s="76" t="str">
        <f t="shared" si="297"/>
        <v>Clematis</v>
      </c>
      <c r="K595" s="76" t="str">
        <f t="shared" si="297"/>
        <v>simense</v>
      </c>
      <c r="L595" s="77">
        <f t="shared" si="297"/>
        <v>6</v>
      </c>
      <c r="M595" s="77">
        <f t="shared" si="297"/>
        <v>20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v>
      </c>
      <c r="C596" s="73">
        <f t="shared" si="295"/>
        <v>15</v>
      </c>
      <c r="D596" s="74">
        <f t="shared" si="278"/>
        <v>1</v>
      </c>
      <c r="E596" s="75">
        <f t="shared" si="279"/>
        <v>53</v>
      </c>
      <c r="F596" s="79"/>
      <c r="G596" s="82"/>
      <c r="H596" s="68" t="str">
        <f t="shared" si="296"/>
        <v>Clesim6_20211115_01_00</v>
      </c>
      <c r="I596" s="69">
        <f t="shared" si="297"/>
        <v>1</v>
      </c>
      <c r="J596" s="76" t="str">
        <f t="shared" si="297"/>
        <v>Clematis</v>
      </c>
      <c r="K596" s="76" t="str">
        <f t="shared" si="297"/>
        <v>simense</v>
      </c>
      <c r="L596" s="77">
        <f t="shared" si="297"/>
        <v>6</v>
      </c>
      <c r="M596" s="77">
        <f t="shared" si="297"/>
        <v>20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v>
      </c>
      <c r="C597" s="73">
        <f t="shared" si="295"/>
        <v>15</v>
      </c>
      <c r="D597" s="74">
        <f t="shared" si="278"/>
        <v>1</v>
      </c>
      <c r="E597" s="75">
        <f t="shared" si="279"/>
        <v>54</v>
      </c>
      <c r="F597" s="79"/>
      <c r="G597" s="82"/>
      <c r="H597" s="68" t="str">
        <f t="shared" si="296"/>
        <v>Clesim6_20211115_01_00</v>
      </c>
      <c r="I597" s="69">
        <f t="shared" ref="I597:N612" si="298">I596</f>
        <v>1</v>
      </c>
      <c r="J597" s="76" t="str">
        <f t="shared" si="298"/>
        <v>Clematis</v>
      </c>
      <c r="K597" s="76" t="str">
        <f t="shared" si="298"/>
        <v>simense</v>
      </c>
      <c r="L597" s="77">
        <f t="shared" si="298"/>
        <v>6</v>
      </c>
      <c r="M597" s="77">
        <f t="shared" si="298"/>
        <v>20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v>
      </c>
      <c r="C598" s="73">
        <f t="shared" si="295"/>
        <v>15</v>
      </c>
      <c r="D598" s="74">
        <f t="shared" si="278"/>
        <v>1</v>
      </c>
      <c r="E598" s="75">
        <f t="shared" si="279"/>
        <v>55</v>
      </c>
      <c r="F598" s="79"/>
      <c r="G598" s="82"/>
      <c r="H598" s="68" t="str">
        <f t="shared" si="296"/>
        <v>Clesim6_20211115_01_00</v>
      </c>
      <c r="I598" s="69">
        <f t="shared" si="298"/>
        <v>1</v>
      </c>
      <c r="J598" s="76" t="str">
        <f t="shared" si="298"/>
        <v>Clematis</v>
      </c>
      <c r="K598" s="76" t="str">
        <f t="shared" si="298"/>
        <v>simense</v>
      </c>
      <c r="L598" s="77">
        <f t="shared" si="298"/>
        <v>6</v>
      </c>
      <c r="M598" s="77">
        <f t="shared" si="298"/>
        <v>20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v>
      </c>
      <c r="C599" s="73">
        <f t="shared" si="295"/>
        <v>15</v>
      </c>
      <c r="D599" s="74">
        <f t="shared" si="278"/>
        <v>1</v>
      </c>
      <c r="E599" s="75">
        <f t="shared" si="279"/>
        <v>56</v>
      </c>
      <c r="F599" s="79"/>
      <c r="G599" s="82"/>
      <c r="H599" s="68" t="str">
        <f t="shared" si="296"/>
        <v>Clesim6_20211115_01_00</v>
      </c>
      <c r="I599" s="69">
        <f t="shared" si="298"/>
        <v>1</v>
      </c>
      <c r="J599" s="76" t="str">
        <f t="shared" si="298"/>
        <v>Clematis</v>
      </c>
      <c r="K599" s="76" t="str">
        <f t="shared" si="298"/>
        <v>simense</v>
      </c>
      <c r="L599" s="77">
        <f t="shared" si="298"/>
        <v>6</v>
      </c>
      <c r="M599" s="77">
        <f t="shared" si="298"/>
        <v>20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v>
      </c>
      <c r="C600" s="73">
        <f t="shared" si="295"/>
        <v>15</v>
      </c>
      <c r="D600" s="74">
        <f t="shared" si="278"/>
        <v>1</v>
      </c>
      <c r="E600" s="75">
        <f t="shared" si="279"/>
        <v>57</v>
      </c>
      <c r="F600" s="79"/>
      <c r="G600" s="82"/>
      <c r="H600" s="68" t="str">
        <f t="shared" si="296"/>
        <v>Clesim6_20211115_01_00</v>
      </c>
      <c r="I600" s="69">
        <f t="shared" si="298"/>
        <v>1</v>
      </c>
      <c r="J600" s="76" t="str">
        <f t="shared" si="298"/>
        <v>Clematis</v>
      </c>
      <c r="K600" s="76" t="str">
        <f t="shared" si="298"/>
        <v>simense</v>
      </c>
      <c r="L600" s="77">
        <f t="shared" si="298"/>
        <v>6</v>
      </c>
      <c r="M600" s="77">
        <f t="shared" si="298"/>
        <v>20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2021</v>
      </c>
      <c r="B601" s="72" t="str">
        <f t="shared" si="277"/>
        <v>Nov</v>
      </c>
      <c r="C601" s="73">
        <f t="shared" si="295"/>
        <v>15</v>
      </c>
      <c r="D601" s="74">
        <f t="shared" si="278"/>
        <v>1</v>
      </c>
      <c r="E601" s="75">
        <f t="shared" si="279"/>
        <v>58</v>
      </c>
      <c r="F601" s="79">
        <v>57</v>
      </c>
      <c r="G601" s="82"/>
      <c r="H601" s="68" t="str">
        <f t="shared" si="296"/>
        <v>Clesim6_20211115_01_00</v>
      </c>
      <c r="I601" s="69">
        <f t="shared" si="298"/>
        <v>1</v>
      </c>
      <c r="J601" s="76" t="str">
        <f t="shared" si="298"/>
        <v>Clematis</v>
      </c>
      <c r="K601" s="76" t="str">
        <f t="shared" si="298"/>
        <v>simense</v>
      </c>
      <c r="L601" s="77">
        <f t="shared" si="298"/>
        <v>6</v>
      </c>
      <c r="M601" s="77">
        <f t="shared" si="298"/>
        <v>20</v>
      </c>
      <c r="N601" s="71">
        <f t="shared" si="298"/>
        <v>0</v>
      </c>
      <c r="O601" s="44"/>
      <c r="P601" s="45">
        <f t="shared" si="280"/>
        <v>1</v>
      </c>
      <c r="Q601" s="46" t="str">
        <f t="shared" si="281"/>
        <v>01:58:57</v>
      </c>
      <c r="R601" s="47" t="str">
        <f t="shared" si="282"/>
        <v>58:57</v>
      </c>
      <c r="S601" s="48">
        <f t="shared" si="271"/>
        <v>230</v>
      </c>
      <c r="T601" s="47">
        <v>2</v>
      </c>
      <c r="U601" s="49">
        <v>2</v>
      </c>
      <c r="V601" s="50">
        <v>47</v>
      </c>
      <c r="W601" s="51" t="str">
        <f t="shared" si="284"/>
        <v>02:47</v>
      </c>
      <c r="X601" s="123" t="s">
        <v>61</v>
      </c>
      <c r="Y601" s="52" t="s">
        <v>62</v>
      </c>
      <c r="Z601" s="52"/>
      <c r="AA601" s="47" t="s">
        <v>62</v>
      </c>
      <c r="AB601" s="47" t="str">
        <f t="shared" si="285"/>
        <v>NA</v>
      </c>
      <c r="AC601" s="53" t="str">
        <f t="shared" si="286"/>
        <v/>
      </c>
      <c r="AD601" s="54">
        <f t="shared" si="287"/>
        <v>1</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f t="shared" si="272"/>
        <v>0</v>
      </c>
      <c r="AX601" s="61" t="str">
        <f t="shared" si="273"/>
        <v/>
      </c>
      <c r="AY601" s="60">
        <f t="shared" si="274"/>
        <v>0</v>
      </c>
      <c r="AZ601" s="61" t="str">
        <f t="shared" si="275"/>
        <v/>
      </c>
    </row>
    <row r="602" spans="1:52" s="3" customFormat="1" hidden="1" x14ac:dyDescent="0.35">
      <c r="A602" s="72">
        <f t="shared" si="276"/>
        <v>2021</v>
      </c>
      <c r="B602" s="72" t="str">
        <f t="shared" si="277"/>
        <v>Nov</v>
      </c>
      <c r="C602" s="73">
        <f t="shared" si="295"/>
        <v>15</v>
      </c>
      <c r="D602" s="74">
        <f t="shared" si="278"/>
        <v>1</v>
      </c>
      <c r="E602" s="75">
        <f t="shared" si="279"/>
        <v>59</v>
      </c>
      <c r="F602" s="79"/>
      <c r="G602" s="82"/>
      <c r="H602" s="68" t="str">
        <f t="shared" si="296"/>
        <v>Clesim6_20211115_01_00</v>
      </c>
      <c r="I602" s="69">
        <f t="shared" si="298"/>
        <v>1</v>
      </c>
      <c r="J602" s="76" t="str">
        <f t="shared" si="298"/>
        <v>Clematis</v>
      </c>
      <c r="K602" s="76" t="str">
        <f t="shared" si="298"/>
        <v>simense</v>
      </c>
      <c r="L602" s="77">
        <f t="shared" si="298"/>
        <v>6</v>
      </c>
      <c r="M602" s="77">
        <f t="shared" si="298"/>
        <v>20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v>
      </c>
      <c r="C603" s="73">
        <f t="shared" si="295"/>
        <v>15</v>
      </c>
      <c r="D603" s="74">
        <f t="shared" si="278"/>
        <v>2</v>
      </c>
      <c r="E603" s="75">
        <f t="shared" si="279"/>
        <v>0</v>
      </c>
      <c r="F603" s="79"/>
      <c r="G603" s="82"/>
      <c r="H603" s="68" t="str">
        <f t="shared" si="296"/>
        <v>Clesim6_20211115_02_00</v>
      </c>
      <c r="I603" s="69">
        <f t="shared" si="298"/>
        <v>1</v>
      </c>
      <c r="J603" s="76" t="str">
        <f t="shared" si="298"/>
        <v>Clematis</v>
      </c>
      <c r="K603" s="76" t="str">
        <f t="shared" si="298"/>
        <v>simense</v>
      </c>
      <c r="L603" s="77">
        <f t="shared" si="298"/>
        <v>6</v>
      </c>
      <c r="M603" s="77">
        <f t="shared" si="298"/>
        <v>20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v>
      </c>
      <c r="C604" s="73">
        <f t="shared" si="295"/>
        <v>15</v>
      </c>
      <c r="D604" s="74">
        <f t="shared" si="278"/>
        <v>2</v>
      </c>
      <c r="E604" s="75">
        <f t="shared" si="279"/>
        <v>1</v>
      </c>
      <c r="F604" s="79"/>
      <c r="G604" s="82"/>
      <c r="H604" s="68" t="str">
        <f t="shared" si="296"/>
        <v>Clesim6_20211115_02_00</v>
      </c>
      <c r="I604" s="69">
        <f t="shared" si="298"/>
        <v>1</v>
      </c>
      <c r="J604" s="76" t="str">
        <f t="shared" si="298"/>
        <v>Clematis</v>
      </c>
      <c r="K604" s="76" t="str">
        <f t="shared" si="298"/>
        <v>simense</v>
      </c>
      <c r="L604" s="77">
        <f t="shared" si="298"/>
        <v>6</v>
      </c>
      <c r="M604" s="77">
        <f t="shared" si="298"/>
        <v>20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v>
      </c>
      <c r="C605" s="73">
        <f t="shared" si="295"/>
        <v>15</v>
      </c>
      <c r="D605" s="74">
        <f t="shared" si="278"/>
        <v>2</v>
      </c>
      <c r="E605" s="75">
        <f t="shared" si="279"/>
        <v>2</v>
      </c>
      <c r="F605" s="79"/>
      <c r="G605" s="82"/>
      <c r="H605" s="68" t="str">
        <f t="shared" si="296"/>
        <v>Clesim6_20211115_02_00</v>
      </c>
      <c r="I605" s="69">
        <f t="shared" si="298"/>
        <v>1</v>
      </c>
      <c r="J605" s="76" t="str">
        <f t="shared" si="298"/>
        <v>Clematis</v>
      </c>
      <c r="K605" s="76" t="str">
        <f t="shared" si="298"/>
        <v>simense</v>
      </c>
      <c r="L605" s="77">
        <f t="shared" si="298"/>
        <v>6</v>
      </c>
      <c r="M605" s="77">
        <f t="shared" si="298"/>
        <v>20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v>
      </c>
      <c r="C606" s="73">
        <f t="shared" si="295"/>
        <v>15</v>
      </c>
      <c r="D606" s="74">
        <f t="shared" si="278"/>
        <v>2</v>
      </c>
      <c r="E606" s="75">
        <f t="shared" si="279"/>
        <v>3</v>
      </c>
      <c r="F606" s="79"/>
      <c r="G606" s="82"/>
      <c r="H606" s="68" t="str">
        <f t="shared" si="296"/>
        <v>Clesim6_20211115_02_00</v>
      </c>
      <c r="I606" s="69">
        <f t="shared" si="298"/>
        <v>1</v>
      </c>
      <c r="J606" s="76" t="str">
        <f t="shared" si="298"/>
        <v>Clematis</v>
      </c>
      <c r="K606" s="76" t="str">
        <f t="shared" si="298"/>
        <v>simense</v>
      </c>
      <c r="L606" s="77">
        <f t="shared" si="298"/>
        <v>6</v>
      </c>
      <c r="M606" s="77">
        <f t="shared" si="298"/>
        <v>20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v>
      </c>
      <c r="C607" s="73">
        <f t="shared" si="295"/>
        <v>15</v>
      </c>
      <c r="D607" s="74">
        <f t="shared" si="278"/>
        <v>2</v>
      </c>
      <c r="E607" s="75">
        <f t="shared" si="279"/>
        <v>4</v>
      </c>
      <c r="F607" s="79"/>
      <c r="G607" s="82"/>
      <c r="H607" s="68" t="str">
        <f t="shared" si="296"/>
        <v>Clesim6_20211115_02_00</v>
      </c>
      <c r="I607" s="69">
        <f t="shared" si="298"/>
        <v>1</v>
      </c>
      <c r="J607" s="76" t="str">
        <f t="shared" si="298"/>
        <v>Clematis</v>
      </c>
      <c r="K607" s="76" t="str">
        <f t="shared" si="298"/>
        <v>simense</v>
      </c>
      <c r="L607" s="77">
        <f t="shared" si="298"/>
        <v>6</v>
      </c>
      <c r="M607" s="77">
        <f t="shared" si="298"/>
        <v>20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v>
      </c>
      <c r="C608" s="73">
        <f t="shared" si="295"/>
        <v>15</v>
      </c>
      <c r="D608" s="74">
        <f t="shared" si="278"/>
        <v>2</v>
      </c>
      <c r="E608" s="75">
        <f t="shared" si="279"/>
        <v>5</v>
      </c>
      <c r="F608" s="79"/>
      <c r="G608" s="82"/>
      <c r="H608" s="68" t="str">
        <f t="shared" si="296"/>
        <v>Clesim6_20211115_02_00</v>
      </c>
      <c r="I608" s="69">
        <f t="shared" si="298"/>
        <v>1</v>
      </c>
      <c r="J608" s="76" t="str">
        <f t="shared" si="298"/>
        <v>Clematis</v>
      </c>
      <c r="K608" s="76" t="str">
        <f t="shared" si="298"/>
        <v>simense</v>
      </c>
      <c r="L608" s="77">
        <f t="shared" si="298"/>
        <v>6</v>
      </c>
      <c r="M608" s="77">
        <f t="shared" si="298"/>
        <v>20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v>
      </c>
      <c r="C609" s="73">
        <f t="shared" si="295"/>
        <v>15</v>
      </c>
      <c r="D609" s="74">
        <f t="shared" si="278"/>
        <v>2</v>
      </c>
      <c r="E609" s="75">
        <f t="shared" si="279"/>
        <v>6</v>
      </c>
      <c r="F609" s="79"/>
      <c r="G609" s="82"/>
      <c r="H609" s="68" t="str">
        <f t="shared" si="296"/>
        <v>Clesim6_20211115_02_00</v>
      </c>
      <c r="I609" s="69">
        <f t="shared" si="298"/>
        <v>1</v>
      </c>
      <c r="J609" s="76" t="str">
        <f t="shared" si="298"/>
        <v>Clematis</v>
      </c>
      <c r="K609" s="76" t="str">
        <f t="shared" si="298"/>
        <v>simense</v>
      </c>
      <c r="L609" s="77">
        <f t="shared" si="298"/>
        <v>6</v>
      </c>
      <c r="M609" s="77">
        <f t="shared" si="298"/>
        <v>20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v>
      </c>
      <c r="C610" s="73">
        <f t="shared" si="295"/>
        <v>15</v>
      </c>
      <c r="D610" s="74">
        <f t="shared" si="278"/>
        <v>2</v>
      </c>
      <c r="E610" s="75">
        <f t="shared" si="279"/>
        <v>7</v>
      </c>
      <c r="F610" s="79"/>
      <c r="G610" s="82"/>
      <c r="H610" s="68" t="str">
        <f t="shared" si="296"/>
        <v>Clesim6_20211115_02_00</v>
      </c>
      <c r="I610" s="69">
        <f t="shared" si="298"/>
        <v>1</v>
      </c>
      <c r="J610" s="76" t="str">
        <f t="shared" si="298"/>
        <v>Clematis</v>
      </c>
      <c r="K610" s="76" t="str">
        <f t="shared" si="298"/>
        <v>simense</v>
      </c>
      <c r="L610" s="77">
        <f t="shared" si="298"/>
        <v>6</v>
      </c>
      <c r="M610" s="77">
        <f t="shared" si="298"/>
        <v>20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v>
      </c>
      <c r="C611" s="73">
        <f t="shared" si="295"/>
        <v>15</v>
      </c>
      <c r="D611" s="74">
        <f t="shared" si="278"/>
        <v>2</v>
      </c>
      <c r="E611" s="75">
        <f t="shared" si="279"/>
        <v>8</v>
      </c>
      <c r="F611" s="79"/>
      <c r="G611" s="82"/>
      <c r="H611" s="68" t="str">
        <f t="shared" si="296"/>
        <v>Clesim6_20211115_02_00</v>
      </c>
      <c r="I611" s="69">
        <f t="shared" si="298"/>
        <v>1</v>
      </c>
      <c r="J611" s="76" t="str">
        <f t="shared" si="298"/>
        <v>Clematis</v>
      </c>
      <c r="K611" s="76" t="str">
        <f t="shared" si="298"/>
        <v>simense</v>
      </c>
      <c r="L611" s="77">
        <f t="shared" si="298"/>
        <v>6</v>
      </c>
      <c r="M611" s="77">
        <f t="shared" si="298"/>
        <v>20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v>
      </c>
      <c r="C612" s="73">
        <f t="shared" si="295"/>
        <v>15</v>
      </c>
      <c r="D612" s="74">
        <f t="shared" si="278"/>
        <v>2</v>
      </c>
      <c r="E612" s="75">
        <f t="shared" si="279"/>
        <v>9</v>
      </c>
      <c r="F612" s="79"/>
      <c r="G612" s="82"/>
      <c r="H612" s="68" t="str">
        <f t="shared" si="296"/>
        <v>Clesim6_20211115_02_00</v>
      </c>
      <c r="I612" s="69">
        <f t="shared" si="298"/>
        <v>1</v>
      </c>
      <c r="J612" s="76" t="str">
        <f t="shared" si="298"/>
        <v>Clematis</v>
      </c>
      <c r="K612" s="76" t="str">
        <f t="shared" si="298"/>
        <v>simense</v>
      </c>
      <c r="L612" s="77">
        <f t="shared" si="298"/>
        <v>6</v>
      </c>
      <c r="M612" s="77">
        <f t="shared" si="298"/>
        <v>20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v>
      </c>
      <c r="C613" s="73">
        <f t="shared" si="295"/>
        <v>15</v>
      </c>
      <c r="D613" s="74">
        <f t="shared" si="278"/>
        <v>2</v>
      </c>
      <c r="E613" s="75">
        <f t="shared" si="279"/>
        <v>10</v>
      </c>
      <c r="F613" s="79"/>
      <c r="G613" s="82"/>
      <c r="H613" s="68" t="str">
        <f t="shared" si="296"/>
        <v>Clesim6_20211115_02_00</v>
      </c>
      <c r="I613" s="69">
        <f t="shared" ref="I613:N628" si="299">I612</f>
        <v>1</v>
      </c>
      <c r="J613" s="76" t="str">
        <f t="shared" si="299"/>
        <v>Clematis</v>
      </c>
      <c r="K613" s="76" t="str">
        <f t="shared" si="299"/>
        <v>simense</v>
      </c>
      <c r="L613" s="77">
        <f t="shared" si="299"/>
        <v>6</v>
      </c>
      <c r="M613" s="77">
        <f t="shared" si="299"/>
        <v>20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v>
      </c>
      <c r="C614" s="73">
        <f t="shared" si="295"/>
        <v>15</v>
      </c>
      <c r="D614" s="74">
        <f t="shared" si="278"/>
        <v>2</v>
      </c>
      <c r="E614" s="75">
        <f t="shared" si="279"/>
        <v>11</v>
      </c>
      <c r="F614" s="79"/>
      <c r="G614" s="82"/>
      <c r="H614" s="68" t="str">
        <f t="shared" si="296"/>
        <v>Clesim6_20211115_02_00</v>
      </c>
      <c r="I614" s="69">
        <f t="shared" si="299"/>
        <v>1</v>
      </c>
      <c r="J614" s="76" t="str">
        <f t="shared" si="299"/>
        <v>Clematis</v>
      </c>
      <c r="K614" s="76" t="str">
        <f t="shared" si="299"/>
        <v>simense</v>
      </c>
      <c r="L614" s="77">
        <f t="shared" si="299"/>
        <v>6</v>
      </c>
      <c r="M614" s="77">
        <f t="shared" si="299"/>
        <v>20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v>
      </c>
      <c r="C615" s="73">
        <f t="shared" si="295"/>
        <v>15</v>
      </c>
      <c r="D615" s="74">
        <f t="shared" si="278"/>
        <v>2</v>
      </c>
      <c r="E615" s="75">
        <f t="shared" si="279"/>
        <v>12</v>
      </c>
      <c r="F615" s="79"/>
      <c r="G615" s="82"/>
      <c r="H615" s="68" t="str">
        <f t="shared" si="296"/>
        <v>Clesim6_20211115_02_00</v>
      </c>
      <c r="I615" s="69">
        <f t="shared" si="299"/>
        <v>1</v>
      </c>
      <c r="J615" s="76" t="str">
        <f t="shared" si="299"/>
        <v>Clematis</v>
      </c>
      <c r="K615" s="76" t="str">
        <f t="shared" si="299"/>
        <v>simense</v>
      </c>
      <c r="L615" s="77">
        <f t="shared" si="299"/>
        <v>6</v>
      </c>
      <c r="M615" s="77">
        <f t="shared" si="299"/>
        <v>20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v>
      </c>
      <c r="C616" s="73">
        <f t="shared" si="295"/>
        <v>15</v>
      </c>
      <c r="D616" s="74">
        <f t="shared" si="278"/>
        <v>2</v>
      </c>
      <c r="E616" s="75">
        <f t="shared" si="279"/>
        <v>13</v>
      </c>
      <c r="F616" s="79"/>
      <c r="G616" s="82"/>
      <c r="H616" s="68" t="str">
        <f t="shared" si="296"/>
        <v>Clesim6_20211115_02_00</v>
      </c>
      <c r="I616" s="69">
        <f t="shared" si="299"/>
        <v>1</v>
      </c>
      <c r="J616" s="76" t="str">
        <f t="shared" si="299"/>
        <v>Clematis</v>
      </c>
      <c r="K616" s="76" t="str">
        <f t="shared" si="299"/>
        <v>simense</v>
      </c>
      <c r="L616" s="77">
        <f t="shared" si="299"/>
        <v>6</v>
      </c>
      <c r="M616" s="77">
        <f t="shared" si="299"/>
        <v>20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2021</v>
      </c>
      <c r="B617" s="72" t="str">
        <f t="shared" si="277"/>
        <v>Nov</v>
      </c>
      <c r="C617" s="73">
        <f t="shared" si="295"/>
        <v>15</v>
      </c>
      <c r="D617" s="74">
        <f t="shared" si="278"/>
        <v>2</v>
      </c>
      <c r="E617" s="75">
        <f t="shared" si="279"/>
        <v>14</v>
      </c>
      <c r="F617" s="79">
        <v>3</v>
      </c>
      <c r="G617" s="82"/>
      <c r="H617" s="68" t="str">
        <f t="shared" si="296"/>
        <v>Clesim6_20211115_02_00</v>
      </c>
      <c r="I617" s="69">
        <f t="shared" si="299"/>
        <v>1</v>
      </c>
      <c r="J617" s="76" t="str">
        <f t="shared" si="299"/>
        <v>Clematis</v>
      </c>
      <c r="K617" s="76" t="str">
        <f t="shared" si="299"/>
        <v>simense</v>
      </c>
      <c r="L617" s="77">
        <f t="shared" si="299"/>
        <v>6</v>
      </c>
      <c r="M617" s="77">
        <f t="shared" si="299"/>
        <v>20</v>
      </c>
      <c r="N617" s="71">
        <f t="shared" si="299"/>
        <v>0</v>
      </c>
      <c r="O617" s="44"/>
      <c r="P617" s="45">
        <f t="shared" si="280"/>
        <v>1</v>
      </c>
      <c r="Q617" s="46" t="str">
        <f t="shared" si="281"/>
        <v>02:14:03</v>
      </c>
      <c r="R617" s="47" t="str">
        <f t="shared" si="282"/>
        <v>14:03</v>
      </c>
      <c r="S617" s="48">
        <f t="shared" si="271"/>
        <v>246</v>
      </c>
      <c r="T617" s="47" t="str">
        <f t="shared" si="283"/>
        <v>02</v>
      </c>
      <c r="U617" s="49">
        <v>18</v>
      </c>
      <c r="V617" s="50">
        <v>9</v>
      </c>
      <c r="W617" s="51" t="str">
        <f t="shared" si="284"/>
        <v>18:09</v>
      </c>
      <c r="X617" s="123" t="s">
        <v>61</v>
      </c>
      <c r="Y617" s="52" t="s">
        <v>62</v>
      </c>
      <c r="Z617" s="52"/>
      <c r="AA617" s="47" t="s">
        <v>62</v>
      </c>
      <c r="AB617" s="47" t="str">
        <f t="shared" si="285"/>
        <v>NA</v>
      </c>
      <c r="AC617" s="53" t="str">
        <f t="shared" si="286"/>
        <v/>
      </c>
      <c r="AD617" s="54">
        <v>1</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f t="shared" si="272"/>
        <v>0</v>
      </c>
      <c r="AX617" s="61" t="str">
        <f t="shared" si="273"/>
        <v/>
      </c>
      <c r="AY617" s="60">
        <f t="shared" si="274"/>
        <v>0</v>
      </c>
      <c r="AZ617" s="61" t="str">
        <f t="shared" si="275"/>
        <v/>
      </c>
    </row>
    <row r="618" spans="1:52" s="3" customFormat="1" hidden="1" x14ac:dyDescent="0.35">
      <c r="A618" s="72">
        <f t="shared" si="276"/>
        <v>2021</v>
      </c>
      <c r="B618" s="72" t="str">
        <f t="shared" si="277"/>
        <v>Nov</v>
      </c>
      <c r="C618" s="73">
        <f t="shared" si="295"/>
        <v>15</v>
      </c>
      <c r="D618" s="74">
        <f t="shared" si="278"/>
        <v>2</v>
      </c>
      <c r="E618" s="75">
        <f t="shared" si="279"/>
        <v>15</v>
      </c>
      <c r="F618" s="79"/>
      <c r="G618" s="82"/>
      <c r="H618" s="68" t="str">
        <f t="shared" si="296"/>
        <v>Clesim6_20211115_02_00</v>
      </c>
      <c r="I618" s="69">
        <f t="shared" si="299"/>
        <v>1</v>
      </c>
      <c r="J618" s="76" t="str">
        <f t="shared" si="299"/>
        <v>Clematis</v>
      </c>
      <c r="K618" s="76" t="str">
        <f t="shared" si="299"/>
        <v>simense</v>
      </c>
      <c r="L618" s="77">
        <f t="shared" si="299"/>
        <v>6</v>
      </c>
      <c r="M618" s="77">
        <f t="shared" si="299"/>
        <v>20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v>
      </c>
      <c r="C619" s="73">
        <f t="shared" si="295"/>
        <v>15</v>
      </c>
      <c r="D619" s="74">
        <f t="shared" si="278"/>
        <v>2</v>
      </c>
      <c r="E619" s="75">
        <f t="shared" si="279"/>
        <v>16</v>
      </c>
      <c r="F619" s="79"/>
      <c r="G619" s="82"/>
      <c r="H619" s="68" t="str">
        <f t="shared" si="296"/>
        <v>Clesim6_20211115_02_00</v>
      </c>
      <c r="I619" s="69">
        <f t="shared" si="299"/>
        <v>1</v>
      </c>
      <c r="J619" s="76" t="str">
        <f t="shared" si="299"/>
        <v>Clematis</v>
      </c>
      <c r="K619" s="76" t="str">
        <f t="shared" si="299"/>
        <v>simense</v>
      </c>
      <c r="L619" s="77">
        <f t="shared" si="299"/>
        <v>6</v>
      </c>
      <c r="M619" s="77">
        <f t="shared" si="299"/>
        <v>20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v>
      </c>
      <c r="C620" s="73">
        <f t="shared" si="295"/>
        <v>15</v>
      </c>
      <c r="D620" s="74">
        <f t="shared" si="278"/>
        <v>2</v>
      </c>
      <c r="E620" s="75">
        <f t="shared" si="279"/>
        <v>17</v>
      </c>
      <c r="F620" s="79"/>
      <c r="G620" s="82"/>
      <c r="H620" s="68" t="str">
        <f t="shared" si="296"/>
        <v>Clesim6_20211115_02_00</v>
      </c>
      <c r="I620" s="69">
        <f t="shared" si="299"/>
        <v>1</v>
      </c>
      <c r="J620" s="76" t="str">
        <f t="shared" si="299"/>
        <v>Clematis</v>
      </c>
      <c r="K620" s="76" t="str">
        <f t="shared" si="299"/>
        <v>simense</v>
      </c>
      <c r="L620" s="77">
        <f t="shared" si="299"/>
        <v>6</v>
      </c>
      <c r="M620" s="77">
        <f t="shared" si="299"/>
        <v>20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v>
      </c>
      <c r="C621" s="73">
        <f t="shared" si="295"/>
        <v>15</v>
      </c>
      <c r="D621" s="74">
        <f t="shared" si="278"/>
        <v>2</v>
      </c>
      <c r="E621" s="75">
        <f t="shared" si="279"/>
        <v>18</v>
      </c>
      <c r="F621" s="79"/>
      <c r="G621" s="82"/>
      <c r="H621" s="68" t="str">
        <f t="shared" si="296"/>
        <v>Clesim6_20211115_02_00</v>
      </c>
      <c r="I621" s="69">
        <f t="shared" si="299"/>
        <v>1</v>
      </c>
      <c r="J621" s="76" t="str">
        <f t="shared" si="299"/>
        <v>Clematis</v>
      </c>
      <c r="K621" s="76" t="str">
        <f t="shared" si="299"/>
        <v>simense</v>
      </c>
      <c r="L621" s="77">
        <f t="shared" si="299"/>
        <v>6</v>
      </c>
      <c r="M621" s="77">
        <f t="shared" si="299"/>
        <v>20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v>
      </c>
      <c r="C622" s="73">
        <f t="shared" si="295"/>
        <v>15</v>
      </c>
      <c r="D622" s="74">
        <f t="shared" si="278"/>
        <v>2</v>
      </c>
      <c r="E622" s="75">
        <f t="shared" si="279"/>
        <v>19</v>
      </c>
      <c r="F622" s="79"/>
      <c r="G622" s="82"/>
      <c r="H622" s="68" t="str">
        <f t="shared" si="296"/>
        <v>Clesim6_20211115_02_00</v>
      </c>
      <c r="I622" s="69">
        <f t="shared" si="299"/>
        <v>1</v>
      </c>
      <c r="J622" s="76" t="str">
        <f t="shared" si="299"/>
        <v>Clematis</v>
      </c>
      <c r="K622" s="76" t="str">
        <f t="shared" si="299"/>
        <v>simense</v>
      </c>
      <c r="L622" s="77">
        <f t="shared" si="299"/>
        <v>6</v>
      </c>
      <c r="M622" s="77">
        <f t="shared" si="299"/>
        <v>20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v>
      </c>
      <c r="C623" s="73">
        <f t="shared" si="295"/>
        <v>15</v>
      </c>
      <c r="D623" s="74">
        <f t="shared" si="278"/>
        <v>2</v>
      </c>
      <c r="E623" s="75">
        <f t="shared" si="279"/>
        <v>20</v>
      </c>
      <c r="F623" s="79"/>
      <c r="G623" s="82"/>
      <c r="H623" s="68" t="str">
        <f t="shared" si="296"/>
        <v>Clesim6_20211115_02_00</v>
      </c>
      <c r="I623" s="69">
        <f t="shared" si="299"/>
        <v>1</v>
      </c>
      <c r="J623" s="76" t="str">
        <f t="shared" si="299"/>
        <v>Clematis</v>
      </c>
      <c r="K623" s="76" t="str">
        <f t="shared" si="299"/>
        <v>simense</v>
      </c>
      <c r="L623" s="77">
        <f t="shared" si="299"/>
        <v>6</v>
      </c>
      <c r="M623" s="77">
        <f t="shared" si="299"/>
        <v>20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v>
      </c>
      <c r="C624" s="73">
        <f t="shared" si="295"/>
        <v>15</v>
      </c>
      <c r="D624" s="74">
        <f t="shared" si="278"/>
        <v>2</v>
      </c>
      <c r="E624" s="75">
        <f t="shared" si="279"/>
        <v>21</v>
      </c>
      <c r="F624" s="79"/>
      <c r="G624" s="82"/>
      <c r="H624" s="68" t="str">
        <f t="shared" si="296"/>
        <v>Clesim6_20211115_02_00</v>
      </c>
      <c r="I624" s="69">
        <f t="shared" si="299"/>
        <v>1</v>
      </c>
      <c r="J624" s="76" t="str">
        <f t="shared" si="299"/>
        <v>Clematis</v>
      </c>
      <c r="K624" s="76" t="str">
        <f t="shared" si="299"/>
        <v>simense</v>
      </c>
      <c r="L624" s="77">
        <f t="shared" si="299"/>
        <v>6</v>
      </c>
      <c r="M624" s="77">
        <f t="shared" si="299"/>
        <v>20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v>
      </c>
      <c r="C625" s="73">
        <f t="shared" si="295"/>
        <v>15</v>
      </c>
      <c r="D625" s="74">
        <f t="shared" si="278"/>
        <v>2</v>
      </c>
      <c r="E625" s="75">
        <f t="shared" si="279"/>
        <v>22</v>
      </c>
      <c r="F625" s="79"/>
      <c r="G625" s="82"/>
      <c r="H625" s="68" t="str">
        <f t="shared" si="296"/>
        <v>Clesim6_20211115_02_00</v>
      </c>
      <c r="I625" s="69">
        <f t="shared" si="299"/>
        <v>1</v>
      </c>
      <c r="J625" s="76" t="str">
        <f t="shared" si="299"/>
        <v>Clematis</v>
      </c>
      <c r="K625" s="76" t="str">
        <f t="shared" si="299"/>
        <v>simense</v>
      </c>
      <c r="L625" s="77">
        <f t="shared" si="299"/>
        <v>6</v>
      </c>
      <c r="M625" s="77">
        <f t="shared" si="299"/>
        <v>20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v>
      </c>
      <c r="C626" s="73">
        <f t="shared" si="295"/>
        <v>15</v>
      </c>
      <c r="D626" s="74">
        <f t="shared" si="278"/>
        <v>2</v>
      </c>
      <c r="E626" s="75">
        <f t="shared" si="279"/>
        <v>23</v>
      </c>
      <c r="F626" s="79"/>
      <c r="G626" s="82"/>
      <c r="H626" s="68" t="str">
        <f t="shared" si="296"/>
        <v>Clesim6_20211115_02_00</v>
      </c>
      <c r="I626" s="69">
        <f t="shared" si="299"/>
        <v>1</v>
      </c>
      <c r="J626" s="76" t="str">
        <f t="shared" si="299"/>
        <v>Clematis</v>
      </c>
      <c r="K626" s="76" t="str">
        <f t="shared" si="299"/>
        <v>simense</v>
      </c>
      <c r="L626" s="77">
        <f t="shared" si="299"/>
        <v>6</v>
      </c>
      <c r="M626" s="77">
        <f t="shared" si="299"/>
        <v>20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v>
      </c>
      <c r="C627" s="73">
        <f t="shared" si="295"/>
        <v>15</v>
      </c>
      <c r="D627" s="74">
        <f t="shared" si="278"/>
        <v>2</v>
      </c>
      <c r="E627" s="75">
        <f t="shared" si="279"/>
        <v>24</v>
      </c>
      <c r="F627" s="79"/>
      <c r="G627" s="82"/>
      <c r="H627" s="68" t="str">
        <f t="shared" si="296"/>
        <v>Clesim6_20211115_02_00</v>
      </c>
      <c r="I627" s="69">
        <f t="shared" si="299"/>
        <v>1</v>
      </c>
      <c r="J627" s="76" t="str">
        <f t="shared" si="299"/>
        <v>Clematis</v>
      </c>
      <c r="K627" s="76" t="str">
        <f t="shared" si="299"/>
        <v>simense</v>
      </c>
      <c r="L627" s="77">
        <f t="shared" si="299"/>
        <v>6</v>
      </c>
      <c r="M627" s="77">
        <f t="shared" si="299"/>
        <v>20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v>
      </c>
      <c r="C628" s="73">
        <f t="shared" si="295"/>
        <v>15</v>
      </c>
      <c r="D628" s="74">
        <f t="shared" si="278"/>
        <v>2</v>
      </c>
      <c r="E628" s="75">
        <f t="shared" si="279"/>
        <v>25</v>
      </c>
      <c r="F628" s="79"/>
      <c r="G628" s="82"/>
      <c r="H628" s="68" t="str">
        <f t="shared" si="296"/>
        <v>Clesim6_20211115_02_00</v>
      </c>
      <c r="I628" s="69">
        <f t="shared" si="299"/>
        <v>1</v>
      </c>
      <c r="J628" s="76" t="str">
        <f t="shared" si="299"/>
        <v>Clematis</v>
      </c>
      <c r="K628" s="76" t="str">
        <f t="shared" si="299"/>
        <v>simense</v>
      </c>
      <c r="L628" s="77">
        <f t="shared" si="299"/>
        <v>6</v>
      </c>
      <c r="M628" s="77">
        <f t="shared" si="299"/>
        <v>20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v>
      </c>
      <c r="C629" s="73">
        <f t="shared" si="295"/>
        <v>15</v>
      </c>
      <c r="D629" s="74">
        <f t="shared" si="278"/>
        <v>2</v>
      </c>
      <c r="E629" s="75">
        <f t="shared" si="279"/>
        <v>26</v>
      </c>
      <c r="F629" s="79"/>
      <c r="G629" s="82"/>
      <c r="H629" s="68" t="str">
        <f t="shared" si="296"/>
        <v>Clesim6_20211115_02_00</v>
      </c>
      <c r="I629" s="69">
        <f t="shared" ref="I629:N644" si="300">I628</f>
        <v>1</v>
      </c>
      <c r="J629" s="76" t="str">
        <f t="shared" si="300"/>
        <v>Clematis</v>
      </c>
      <c r="K629" s="76" t="str">
        <f t="shared" si="300"/>
        <v>simense</v>
      </c>
      <c r="L629" s="77">
        <f t="shared" si="300"/>
        <v>6</v>
      </c>
      <c r="M629" s="77">
        <f t="shared" si="300"/>
        <v>20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v>
      </c>
      <c r="C630" s="73">
        <f t="shared" si="295"/>
        <v>15</v>
      </c>
      <c r="D630" s="74">
        <f t="shared" si="278"/>
        <v>2</v>
      </c>
      <c r="E630" s="75">
        <f t="shared" si="279"/>
        <v>27</v>
      </c>
      <c r="F630" s="79"/>
      <c r="G630" s="82"/>
      <c r="H630" s="68" t="str">
        <f t="shared" si="296"/>
        <v>Clesim6_20211115_02_00</v>
      </c>
      <c r="I630" s="69">
        <f t="shared" si="300"/>
        <v>1</v>
      </c>
      <c r="J630" s="76" t="str">
        <f t="shared" si="300"/>
        <v>Clematis</v>
      </c>
      <c r="K630" s="76" t="str">
        <f t="shared" si="300"/>
        <v>simense</v>
      </c>
      <c r="L630" s="77">
        <f t="shared" si="300"/>
        <v>6</v>
      </c>
      <c r="M630" s="77">
        <f t="shared" si="300"/>
        <v>20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v>
      </c>
      <c r="C631" s="73">
        <f t="shared" si="295"/>
        <v>15</v>
      </c>
      <c r="D631" s="74">
        <f t="shared" si="278"/>
        <v>2</v>
      </c>
      <c r="E631" s="75">
        <f t="shared" si="279"/>
        <v>28</v>
      </c>
      <c r="F631" s="79"/>
      <c r="G631" s="82"/>
      <c r="H631" s="68" t="str">
        <f t="shared" si="296"/>
        <v>Clesim6_20211115_02_00</v>
      </c>
      <c r="I631" s="69">
        <f t="shared" si="300"/>
        <v>1</v>
      </c>
      <c r="J631" s="76" t="str">
        <f t="shared" si="300"/>
        <v>Clematis</v>
      </c>
      <c r="K631" s="76" t="str">
        <f t="shared" si="300"/>
        <v>simense</v>
      </c>
      <c r="L631" s="77">
        <f t="shared" si="300"/>
        <v>6</v>
      </c>
      <c r="M631" s="77">
        <f t="shared" si="300"/>
        <v>20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v>
      </c>
      <c r="C632" s="73">
        <f t="shared" si="295"/>
        <v>15</v>
      </c>
      <c r="D632" s="74">
        <f t="shared" si="278"/>
        <v>2</v>
      </c>
      <c r="E632" s="75">
        <f t="shared" si="279"/>
        <v>29</v>
      </c>
      <c r="F632" s="79"/>
      <c r="G632" s="82"/>
      <c r="H632" s="68" t="str">
        <f t="shared" si="296"/>
        <v>Clesim6_20211115_02_00</v>
      </c>
      <c r="I632" s="69">
        <f t="shared" si="300"/>
        <v>1</v>
      </c>
      <c r="J632" s="76" t="str">
        <f t="shared" si="300"/>
        <v>Clematis</v>
      </c>
      <c r="K632" s="76" t="str">
        <f t="shared" si="300"/>
        <v>simense</v>
      </c>
      <c r="L632" s="77">
        <f t="shared" si="300"/>
        <v>6</v>
      </c>
      <c r="M632" s="77">
        <f t="shared" si="300"/>
        <v>20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v>
      </c>
      <c r="C633" s="73">
        <f t="shared" si="295"/>
        <v>15</v>
      </c>
      <c r="D633" s="74">
        <f t="shared" si="278"/>
        <v>2</v>
      </c>
      <c r="E633" s="75">
        <f t="shared" si="279"/>
        <v>30</v>
      </c>
      <c r="F633" s="79"/>
      <c r="G633" s="82"/>
      <c r="H633" s="68" t="str">
        <f t="shared" si="296"/>
        <v>Clesim6_20211115_02_00</v>
      </c>
      <c r="I633" s="69">
        <f t="shared" si="300"/>
        <v>1</v>
      </c>
      <c r="J633" s="76" t="str">
        <f t="shared" si="300"/>
        <v>Clematis</v>
      </c>
      <c r="K633" s="76" t="str">
        <f t="shared" si="300"/>
        <v>simense</v>
      </c>
      <c r="L633" s="77">
        <f t="shared" si="300"/>
        <v>6</v>
      </c>
      <c r="M633" s="77">
        <f t="shared" si="300"/>
        <v>20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v>
      </c>
      <c r="C634" s="73">
        <f t="shared" si="295"/>
        <v>15</v>
      </c>
      <c r="D634" s="74">
        <f t="shared" si="278"/>
        <v>2</v>
      </c>
      <c r="E634" s="75">
        <f t="shared" si="279"/>
        <v>31</v>
      </c>
      <c r="F634" s="79"/>
      <c r="G634" s="82"/>
      <c r="H634" s="68" t="str">
        <f t="shared" si="296"/>
        <v>Clesim6_20211115_02_00</v>
      </c>
      <c r="I634" s="69">
        <f t="shared" si="300"/>
        <v>1</v>
      </c>
      <c r="J634" s="76" t="str">
        <f t="shared" si="300"/>
        <v>Clematis</v>
      </c>
      <c r="K634" s="76" t="str">
        <f t="shared" si="300"/>
        <v>simense</v>
      </c>
      <c r="L634" s="77">
        <f t="shared" si="300"/>
        <v>6</v>
      </c>
      <c r="M634" s="77">
        <f t="shared" si="300"/>
        <v>20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v>
      </c>
      <c r="C635" s="73">
        <f t="shared" si="295"/>
        <v>15</v>
      </c>
      <c r="D635" s="74">
        <f t="shared" si="278"/>
        <v>2</v>
      </c>
      <c r="E635" s="75">
        <f t="shared" si="279"/>
        <v>32</v>
      </c>
      <c r="F635" s="79"/>
      <c r="G635" s="82"/>
      <c r="H635" s="68" t="str">
        <f t="shared" si="296"/>
        <v>Clesim6_20211115_02_00</v>
      </c>
      <c r="I635" s="69">
        <f t="shared" si="300"/>
        <v>1</v>
      </c>
      <c r="J635" s="76" t="str">
        <f t="shared" si="300"/>
        <v>Clematis</v>
      </c>
      <c r="K635" s="76" t="str">
        <f t="shared" si="300"/>
        <v>simense</v>
      </c>
      <c r="L635" s="77">
        <f t="shared" si="300"/>
        <v>6</v>
      </c>
      <c r="M635" s="77">
        <f t="shared" si="300"/>
        <v>20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v>
      </c>
      <c r="C636" s="73">
        <f t="shared" si="295"/>
        <v>15</v>
      </c>
      <c r="D636" s="74">
        <f t="shared" si="278"/>
        <v>2</v>
      </c>
      <c r="E636" s="75">
        <f t="shared" si="279"/>
        <v>33</v>
      </c>
      <c r="F636" s="79"/>
      <c r="G636" s="82"/>
      <c r="H636" s="68" t="str">
        <f t="shared" si="296"/>
        <v>Clesim6_20211115_02_00</v>
      </c>
      <c r="I636" s="69">
        <f t="shared" si="300"/>
        <v>1</v>
      </c>
      <c r="J636" s="76" t="str">
        <f t="shared" si="300"/>
        <v>Clematis</v>
      </c>
      <c r="K636" s="76" t="str">
        <f t="shared" si="300"/>
        <v>simense</v>
      </c>
      <c r="L636" s="77">
        <f t="shared" si="300"/>
        <v>6</v>
      </c>
      <c r="M636" s="77">
        <f t="shared" si="300"/>
        <v>20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v>
      </c>
      <c r="C637" s="73">
        <f t="shared" si="295"/>
        <v>15</v>
      </c>
      <c r="D637" s="74">
        <f t="shared" si="278"/>
        <v>2</v>
      </c>
      <c r="E637" s="75">
        <f t="shared" si="279"/>
        <v>34</v>
      </c>
      <c r="F637" s="79"/>
      <c r="G637" s="82"/>
      <c r="H637" s="68" t="str">
        <f t="shared" si="296"/>
        <v>Clesim6_20211115_02_00</v>
      </c>
      <c r="I637" s="69">
        <f t="shared" si="300"/>
        <v>1</v>
      </c>
      <c r="J637" s="76" t="str">
        <f t="shared" si="300"/>
        <v>Clematis</v>
      </c>
      <c r="K637" s="76" t="str">
        <f t="shared" si="300"/>
        <v>simense</v>
      </c>
      <c r="L637" s="77">
        <f t="shared" si="300"/>
        <v>6</v>
      </c>
      <c r="M637" s="77">
        <f t="shared" si="300"/>
        <v>20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v>
      </c>
      <c r="C638" s="73">
        <f t="shared" si="295"/>
        <v>15</v>
      </c>
      <c r="D638" s="74">
        <f t="shared" si="278"/>
        <v>2</v>
      </c>
      <c r="E638" s="75">
        <f t="shared" si="279"/>
        <v>35</v>
      </c>
      <c r="F638" s="79"/>
      <c r="G638" s="82"/>
      <c r="H638" s="68" t="str">
        <f t="shared" si="296"/>
        <v>Clesim6_20211115_02_00</v>
      </c>
      <c r="I638" s="69">
        <f t="shared" si="300"/>
        <v>1</v>
      </c>
      <c r="J638" s="76" t="str">
        <f t="shared" si="300"/>
        <v>Clematis</v>
      </c>
      <c r="K638" s="76" t="str">
        <f t="shared" si="300"/>
        <v>simense</v>
      </c>
      <c r="L638" s="77">
        <f t="shared" si="300"/>
        <v>6</v>
      </c>
      <c r="M638" s="77">
        <f t="shared" si="300"/>
        <v>20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v>
      </c>
      <c r="C639" s="73">
        <f t="shared" si="295"/>
        <v>15</v>
      </c>
      <c r="D639" s="74">
        <f t="shared" si="278"/>
        <v>2</v>
      </c>
      <c r="E639" s="75">
        <f t="shared" si="279"/>
        <v>36</v>
      </c>
      <c r="F639" s="79"/>
      <c r="G639" s="82"/>
      <c r="H639" s="68" t="str">
        <f t="shared" si="296"/>
        <v>Clesim6_20211115_02_00</v>
      </c>
      <c r="I639" s="69">
        <f t="shared" si="300"/>
        <v>1</v>
      </c>
      <c r="J639" s="76" t="str">
        <f t="shared" si="300"/>
        <v>Clematis</v>
      </c>
      <c r="K639" s="76" t="str">
        <f t="shared" si="300"/>
        <v>simense</v>
      </c>
      <c r="L639" s="77">
        <f t="shared" si="300"/>
        <v>6</v>
      </c>
      <c r="M639" s="77">
        <f t="shared" si="300"/>
        <v>20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v>
      </c>
      <c r="C640" s="73">
        <f t="shared" si="295"/>
        <v>15</v>
      </c>
      <c r="D640" s="74">
        <f t="shared" si="278"/>
        <v>2</v>
      </c>
      <c r="E640" s="75">
        <f t="shared" si="279"/>
        <v>37</v>
      </c>
      <c r="F640" s="79"/>
      <c r="G640" s="82"/>
      <c r="H640" s="68" t="str">
        <f t="shared" si="296"/>
        <v>Clesim6_20211115_02_00</v>
      </c>
      <c r="I640" s="69">
        <f t="shared" si="300"/>
        <v>1</v>
      </c>
      <c r="J640" s="76" t="str">
        <f t="shared" si="300"/>
        <v>Clematis</v>
      </c>
      <c r="K640" s="76" t="str">
        <f t="shared" si="300"/>
        <v>simense</v>
      </c>
      <c r="L640" s="77">
        <f t="shared" si="300"/>
        <v>6</v>
      </c>
      <c r="M640" s="77">
        <f t="shared" si="300"/>
        <v>20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v>
      </c>
      <c r="C641" s="73">
        <f t="shared" si="295"/>
        <v>15</v>
      </c>
      <c r="D641" s="74">
        <f t="shared" si="278"/>
        <v>2</v>
      </c>
      <c r="E641" s="75">
        <f t="shared" si="279"/>
        <v>38</v>
      </c>
      <c r="F641" s="79"/>
      <c r="G641" s="82"/>
      <c r="H641" s="68" t="str">
        <f t="shared" si="296"/>
        <v>Clesim6_20211115_02_00</v>
      </c>
      <c r="I641" s="69">
        <f t="shared" si="300"/>
        <v>1</v>
      </c>
      <c r="J641" s="76" t="str">
        <f t="shared" si="300"/>
        <v>Clematis</v>
      </c>
      <c r="K641" s="76" t="str">
        <f t="shared" si="300"/>
        <v>simense</v>
      </c>
      <c r="L641" s="77">
        <f t="shared" si="300"/>
        <v>6</v>
      </c>
      <c r="M641" s="77">
        <f t="shared" si="300"/>
        <v>20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v>
      </c>
      <c r="C642" s="73">
        <f t="shared" si="295"/>
        <v>15</v>
      </c>
      <c r="D642" s="74">
        <f t="shared" si="278"/>
        <v>2</v>
      </c>
      <c r="E642" s="75">
        <f t="shared" si="279"/>
        <v>39</v>
      </c>
      <c r="F642" s="79"/>
      <c r="G642" s="82"/>
      <c r="H642" s="68" t="str">
        <f t="shared" si="296"/>
        <v>Clesim6_20211115_02_00</v>
      </c>
      <c r="I642" s="69">
        <f t="shared" si="300"/>
        <v>1</v>
      </c>
      <c r="J642" s="76" t="str">
        <f t="shared" si="300"/>
        <v>Clematis</v>
      </c>
      <c r="K642" s="76" t="str">
        <f t="shared" si="300"/>
        <v>simense</v>
      </c>
      <c r="L642" s="77">
        <f t="shared" si="300"/>
        <v>6</v>
      </c>
      <c r="M642" s="77">
        <f t="shared" si="300"/>
        <v>20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v>
      </c>
      <c r="C643" s="73">
        <f t="shared" si="295"/>
        <v>15</v>
      </c>
      <c r="D643" s="74">
        <f t="shared" si="278"/>
        <v>2</v>
      </c>
      <c r="E643" s="75">
        <f t="shared" si="279"/>
        <v>40</v>
      </c>
      <c r="F643" s="79"/>
      <c r="G643" s="82"/>
      <c r="H643" s="68" t="str">
        <f t="shared" si="296"/>
        <v>Clesim6_20211115_02_00</v>
      </c>
      <c r="I643" s="69">
        <f t="shared" si="300"/>
        <v>1</v>
      </c>
      <c r="J643" s="76" t="str">
        <f t="shared" si="300"/>
        <v>Clematis</v>
      </c>
      <c r="K643" s="76" t="str">
        <f t="shared" si="300"/>
        <v>simense</v>
      </c>
      <c r="L643" s="77">
        <f t="shared" si="300"/>
        <v>6</v>
      </c>
      <c r="M643" s="77">
        <f t="shared" si="300"/>
        <v>20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v>
      </c>
      <c r="C644" s="73">
        <f t="shared" si="295"/>
        <v>15</v>
      </c>
      <c r="D644" s="74">
        <f t="shared" ref="D644:D707" si="308">IF(IF(E643=59,D643+1,D643)=24,0,IF(E643=59,D643+1,D643))</f>
        <v>2</v>
      </c>
      <c r="E644" s="75">
        <f t="shared" ref="E644:E707" si="309">IF(E643&lt;59,E643+1,0)</f>
        <v>41</v>
      </c>
      <c r="F644" s="79"/>
      <c r="G644" s="82"/>
      <c r="H644" s="68" t="str">
        <f t="shared" si="296"/>
        <v>Clesim6_20211115_02_00</v>
      </c>
      <c r="I644" s="69">
        <f t="shared" si="300"/>
        <v>1</v>
      </c>
      <c r="J644" s="76" t="str">
        <f t="shared" si="300"/>
        <v>Clematis</v>
      </c>
      <c r="K644" s="76" t="str">
        <f t="shared" si="300"/>
        <v>simense</v>
      </c>
      <c r="L644" s="77">
        <f t="shared" si="300"/>
        <v>6</v>
      </c>
      <c r="M644" s="77">
        <f t="shared" si="300"/>
        <v>20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v>
      </c>
      <c r="C645" s="73">
        <f t="shared" ref="C645:C708" si="325">IF(AND(D645=0, E645=0), IF(TEXT(C644,"dd")=TEXT(EOMONTH(DATE(A644,MONTH(DATEVALUE(B644&amp;"1")),C644),0), "dd"), 1, C644+1), C644)</f>
        <v>15</v>
      </c>
      <c r="D645" s="74">
        <f t="shared" si="308"/>
        <v>2</v>
      </c>
      <c r="E645" s="75">
        <f t="shared" si="309"/>
        <v>42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Clesim6_20211115_02_00</v>
      </c>
      <c r="I645" s="69">
        <f t="shared" ref="I645:N660" si="327">I644</f>
        <v>1</v>
      </c>
      <c r="J645" s="76" t="str">
        <f t="shared" si="327"/>
        <v>Clematis</v>
      </c>
      <c r="K645" s="76" t="str">
        <f t="shared" si="327"/>
        <v>simense</v>
      </c>
      <c r="L645" s="77">
        <f t="shared" si="327"/>
        <v>6</v>
      </c>
      <c r="M645" s="77">
        <f t="shared" si="327"/>
        <v>20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v>
      </c>
      <c r="C646" s="73">
        <f t="shared" si="325"/>
        <v>15</v>
      </c>
      <c r="D646" s="74">
        <f t="shared" si="308"/>
        <v>2</v>
      </c>
      <c r="E646" s="75">
        <f t="shared" si="309"/>
        <v>43</v>
      </c>
      <c r="F646" s="79"/>
      <c r="G646" s="82"/>
      <c r="H646" s="68" t="str">
        <f t="shared" si="326"/>
        <v>Clesim6_20211115_02_00</v>
      </c>
      <c r="I646" s="69">
        <f t="shared" si="327"/>
        <v>1</v>
      </c>
      <c r="J646" s="76" t="str">
        <f t="shared" si="327"/>
        <v>Clematis</v>
      </c>
      <c r="K646" s="76" t="str">
        <f t="shared" si="327"/>
        <v>simense</v>
      </c>
      <c r="L646" s="77">
        <f t="shared" si="327"/>
        <v>6</v>
      </c>
      <c r="M646" s="77">
        <f t="shared" si="327"/>
        <v>20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v>
      </c>
      <c r="C647" s="73">
        <f t="shared" si="325"/>
        <v>15</v>
      </c>
      <c r="D647" s="74">
        <f t="shared" si="308"/>
        <v>2</v>
      </c>
      <c r="E647" s="75">
        <f t="shared" si="309"/>
        <v>44</v>
      </c>
      <c r="F647" s="79"/>
      <c r="G647" s="82"/>
      <c r="H647" s="68" t="str">
        <f t="shared" si="326"/>
        <v>Clesim6_20211115_02_00</v>
      </c>
      <c r="I647" s="69">
        <f t="shared" si="327"/>
        <v>1</v>
      </c>
      <c r="J647" s="76" t="str">
        <f t="shared" si="327"/>
        <v>Clematis</v>
      </c>
      <c r="K647" s="76" t="str">
        <f t="shared" si="327"/>
        <v>simense</v>
      </c>
      <c r="L647" s="77">
        <f t="shared" si="327"/>
        <v>6</v>
      </c>
      <c r="M647" s="77">
        <f t="shared" si="327"/>
        <v>20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v>
      </c>
      <c r="C648" s="73">
        <f t="shared" si="325"/>
        <v>15</v>
      </c>
      <c r="D648" s="74">
        <f t="shared" si="308"/>
        <v>2</v>
      </c>
      <c r="E648" s="75">
        <f t="shared" si="309"/>
        <v>45</v>
      </c>
      <c r="F648" s="79"/>
      <c r="G648" s="82"/>
      <c r="H648" s="68" t="str">
        <f t="shared" si="326"/>
        <v>Clesim6_20211115_02_00</v>
      </c>
      <c r="I648" s="69">
        <f t="shared" si="327"/>
        <v>1</v>
      </c>
      <c r="J648" s="76" t="str">
        <f t="shared" si="327"/>
        <v>Clematis</v>
      </c>
      <c r="K648" s="76" t="str">
        <f t="shared" si="327"/>
        <v>simense</v>
      </c>
      <c r="L648" s="77">
        <f t="shared" si="327"/>
        <v>6</v>
      </c>
      <c r="M648" s="77">
        <f t="shared" si="327"/>
        <v>20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v>
      </c>
      <c r="C649" s="73">
        <f t="shared" si="325"/>
        <v>15</v>
      </c>
      <c r="D649" s="74">
        <f t="shared" si="308"/>
        <v>2</v>
      </c>
      <c r="E649" s="75">
        <f t="shared" si="309"/>
        <v>46</v>
      </c>
      <c r="F649" s="79"/>
      <c r="G649" s="82"/>
      <c r="H649" s="68" t="str">
        <f t="shared" si="326"/>
        <v>Clesim6_20211115_02_00</v>
      </c>
      <c r="I649" s="69">
        <f t="shared" si="327"/>
        <v>1</v>
      </c>
      <c r="J649" s="76" t="str">
        <f t="shared" si="327"/>
        <v>Clematis</v>
      </c>
      <c r="K649" s="76" t="str">
        <f t="shared" si="327"/>
        <v>simense</v>
      </c>
      <c r="L649" s="77">
        <f t="shared" si="327"/>
        <v>6</v>
      </c>
      <c r="M649" s="77">
        <f t="shared" si="327"/>
        <v>20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v>
      </c>
      <c r="C650" s="73">
        <f t="shared" si="325"/>
        <v>15</v>
      </c>
      <c r="D650" s="74">
        <f t="shared" si="308"/>
        <v>2</v>
      </c>
      <c r="E650" s="75">
        <f t="shared" si="309"/>
        <v>47</v>
      </c>
      <c r="F650" s="79"/>
      <c r="G650" s="82"/>
      <c r="H650" s="68" t="str">
        <f t="shared" si="326"/>
        <v>Clesim6_20211115_02_00</v>
      </c>
      <c r="I650" s="69">
        <f t="shared" si="327"/>
        <v>1</v>
      </c>
      <c r="J650" s="76" t="str">
        <f t="shared" si="327"/>
        <v>Clematis</v>
      </c>
      <c r="K650" s="76" t="str">
        <f t="shared" si="327"/>
        <v>simense</v>
      </c>
      <c r="L650" s="77">
        <f t="shared" si="327"/>
        <v>6</v>
      </c>
      <c r="M650" s="77">
        <f t="shared" si="327"/>
        <v>20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v>
      </c>
      <c r="C651" s="73">
        <f t="shared" si="325"/>
        <v>15</v>
      </c>
      <c r="D651" s="74">
        <f t="shared" si="308"/>
        <v>2</v>
      </c>
      <c r="E651" s="75">
        <f t="shared" si="309"/>
        <v>48</v>
      </c>
      <c r="F651" s="79"/>
      <c r="G651" s="82"/>
      <c r="H651" s="68" t="str">
        <f t="shared" si="326"/>
        <v>Clesim6_20211115_02_00</v>
      </c>
      <c r="I651" s="69">
        <f t="shared" si="327"/>
        <v>1</v>
      </c>
      <c r="J651" s="76" t="str">
        <f t="shared" si="327"/>
        <v>Clematis</v>
      </c>
      <c r="K651" s="76" t="str">
        <f t="shared" si="327"/>
        <v>simense</v>
      </c>
      <c r="L651" s="77">
        <f t="shared" si="327"/>
        <v>6</v>
      </c>
      <c r="M651" s="77">
        <f t="shared" si="327"/>
        <v>20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v>
      </c>
      <c r="C652" s="73">
        <f t="shared" si="325"/>
        <v>15</v>
      </c>
      <c r="D652" s="74">
        <f t="shared" si="308"/>
        <v>2</v>
      </c>
      <c r="E652" s="75">
        <f t="shared" si="309"/>
        <v>49</v>
      </c>
      <c r="F652" s="79"/>
      <c r="G652" s="82"/>
      <c r="H652" s="68" t="str">
        <f t="shared" si="326"/>
        <v>Clesim6_20211115_02_00</v>
      </c>
      <c r="I652" s="69">
        <f t="shared" si="327"/>
        <v>1</v>
      </c>
      <c r="J652" s="76" t="str">
        <f t="shared" si="327"/>
        <v>Clematis</v>
      </c>
      <c r="K652" s="76" t="str">
        <f t="shared" si="327"/>
        <v>simense</v>
      </c>
      <c r="L652" s="77">
        <f t="shared" si="327"/>
        <v>6</v>
      </c>
      <c r="M652" s="77">
        <f t="shared" si="327"/>
        <v>20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v>
      </c>
      <c r="C653" s="73">
        <f t="shared" si="325"/>
        <v>15</v>
      </c>
      <c r="D653" s="74">
        <f t="shared" si="308"/>
        <v>2</v>
      </c>
      <c r="E653" s="75">
        <f t="shared" si="309"/>
        <v>50</v>
      </c>
      <c r="F653" s="79"/>
      <c r="G653" s="82"/>
      <c r="H653" s="68" t="str">
        <f t="shared" si="326"/>
        <v>Clesim6_20211115_02_00</v>
      </c>
      <c r="I653" s="69">
        <f t="shared" si="327"/>
        <v>1</v>
      </c>
      <c r="J653" s="76" t="str">
        <f t="shared" si="327"/>
        <v>Clematis</v>
      </c>
      <c r="K653" s="76" t="str">
        <f t="shared" si="327"/>
        <v>simense</v>
      </c>
      <c r="L653" s="77">
        <f t="shared" si="327"/>
        <v>6</v>
      </c>
      <c r="M653" s="77">
        <f t="shared" si="327"/>
        <v>20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v>
      </c>
      <c r="C654" s="73">
        <f t="shared" si="325"/>
        <v>15</v>
      </c>
      <c r="D654" s="74">
        <f t="shared" si="308"/>
        <v>2</v>
      </c>
      <c r="E654" s="75">
        <f t="shared" si="309"/>
        <v>51</v>
      </c>
      <c r="F654" s="79"/>
      <c r="G654" s="82"/>
      <c r="H654" s="68" t="str">
        <f t="shared" si="326"/>
        <v>Clesim6_20211115_02_00</v>
      </c>
      <c r="I654" s="69">
        <f t="shared" si="327"/>
        <v>1</v>
      </c>
      <c r="J654" s="76" t="str">
        <f t="shared" si="327"/>
        <v>Clematis</v>
      </c>
      <c r="K654" s="76" t="str">
        <f t="shared" si="327"/>
        <v>simense</v>
      </c>
      <c r="L654" s="77">
        <f t="shared" si="327"/>
        <v>6</v>
      </c>
      <c r="M654" s="77">
        <f t="shared" si="327"/>
        <v>20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v>
      </c>
      <c r="C655" s="73">
        <f t="shared" si="325"/>
        <v>15</v>
      </c>
      <c r="D655" s="74">
        <f t="shared" si="308"/>
        <v>2</v>
      </c>
      <c r="E655" s="75">
        <f t="shared" si="309"/>
        <v>52</v>
      </c>
      <c r="F655" s="79"/>
      <c r="G655" s="82"/>
      <c r="H655" s="68" t="str">
        <f t="shared" si="326"/>
        <v>Clesim6_20211115_02_00</v>
      </c>
      <c r="I655" s="69">
        <f t="shared" si="327"/>
        <v>1</v>
      </c>
      <c r="J655" s="76" t="str">
        <f t="shared" si="327"/>
        <v>Clematis</v>
      </c>
      <c r="K655" s="76" t="str">
        <f t="shared" si="327"/>
        <v>simense</v>
      </c>
      <c r="L655" s="77">
        <f t="shared" si="327"/>
        <v>6</v>
      </c>
      <c r="M655" s="77">
        <f t="shared" si="327"/>
        <v>20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v>
      </c>
      <c r="C656" s="73">
        <f t="shared" si="325"/>
        <v>15</v>
      </c>
      <c r="D656" s="74">
        <f t="shared" si="308"/>
        <v>2</v>
      </c>
      <c r="E656" s="75">
        <f t="shared" si="309"/>
        <v>53</v>
      </c>
      <c r="F656" s="79"/>
      <c r="G656" s="82"/>
      <c r="H656" s="68" t="str">
        <f t="shared" si="326"/>
        <v>Clesim6_20211115_02_00</v>
      </c>
      <c r="I656" s="69">
        <f t="shared" si="327"/>
        <v>1</v>
      </c>
      <c r="J656" s="76" t="str">
        <f t="shared" si="327"/>
        <v>Clematis</v>
      </c>
      <c r="K656" s="76" t="str">
        <f t="shared" si="327"/>
        <v>simense</v>
      </c>
      <c r="L656" s="77">
        <f t="shared" si="327"/>
        <v>6</v>
      </c>
      <c r="M656" s="77">
        <f t="shared" si="327"/>
        <v>20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v>
      </c>
      <c r="C657" s="73">
        <f t="shared" si="325"/>
        <v>15</v>
      </c>
      <c r="D657" s="74">
        <f t="shared" si="308"/>
        <v>2</v>
      </c>
      <c r="E657" s="75">
        <f t="shared" si="309"/>
        <v>54</v>
      </c>
      <c r="F657" s="79"/>
      <c r="G657" s="82"/>
      <c r="H657" s="68" t="str">
        <f t="shared" si="326"/>
        <v>Clesim6_20211115_02_00</v>
      </c>
      <c r="I657" s="69">
        <f t="shared" si="327"/>
        <v>1</v>
      </c>
      <c r="J657" s="76" t="str">
        <f t="shared" si="327"/>
        <v>Clematis</v>
      </c>
      <c r="K657" s="76" t="str">
        <f t="shared" si="327"/>
        <v>simense</v>
      </c>
      <c r="L657" s="77">
        <f t="shared" si="327"/>
        <v>6</v>
      </c>
      <c r="M657" s="77">
        <f t="shared" si="327"/>
        <v>20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v>
      </c>
      <c r="C658" s="73">
        <f t="shared" si="325"/>
        <v>15</v>
      </c>
      <c r="D658" s="74">
        <f t="shared" si="308"/>
        <v>2</v>
      </c>
      <c r="E658" s="75">
        <f t="shared" si="309"/>
        <v>55</v>
      </c>
      <c r="F658" s="79"/>
      <c r="G658" s="82"/>
      <c r="H658" s="68" t="str">
        <f t="shared" si="326"/>
        <v>Clesim6_20211115_02_00</v>
      </c>
      <c r="I658" s="69">
        <f t="shared" si="327"/>
        <v>1</v>
      </c>
      <c r="J658" s="76" t="str">
        <f t="shared" si="327"/>
        <v>Clematis</v>
      </c>
      <c r="K658" s="76" t="str">
        <f t="shared" si="327"/>
        <v>simense</v>
      </c>
      <c r="L658" s="77">
        <f t="shared" si="327"/>
        <v>6</v>
      </c>
      <c r="M658" s="77">
        <f t="shared" si="327"/>
        <v>20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v>
      </c>
      <c r="C659" s="73">
        <f t="shared" si="325"/>
        <v>15</v>
      </c>
      <c r="D659" s="74">
        <f t="shared" si="308"/>
        <v>2</v>
      </c>
      <c r="E659" s="75">
        <f t="shared" si="309"/>
        <v>56</v>
      </c>
      <c r="F659" s="79"/>
      <c r="G659" s="82"/>
      <c r="H659" s="68" t="str">
        <f t="shared" si="326"/>
        <v>Clesim6_20211115_02_00</v>
      </c>
      <c r="I659" s="69">
        <f t="shared" si="327"/>
        <v>1</v>
      </c>
      <c r="J659" s="76" t="str">
        <f t="shared" si="327"/>
        <v>Clematis</v>
      </c>
      <c r="K659" s="76" t="str">
        <f t="shared" si="327"/>
        <v>simense</v>
      </c>
      <c r="L659" s="77">
        <f t="shared" si="327"/>
        <v>6</v>
      </c>
      <c r="M659" s="77">
        <f t="shared" si="327"/>
        <v>20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v>
      </c>
      <c r="C660" s="73">
        <f t="shared" si="325"/>
        <v>15</v>
      </c>
      <c r="D660" s="74">
        <f t="shared" si="308"/>
        <v>2</v>
      </c>
      <c r="E660" s="75">
        <f t="shared" si="309"/>
        <v>57</v>
      </c>
      <c r="F660" s="79"/>
      <c r="G660" s="82"/>
      <c r="H660" s="68" t="str">
        <f t="shared" si="326"/>
        <v>Clesim6_20211115_02_00</v>
      </c>
      <c r="I660" s="69">
        <f t="shared" si="327"/>
        <v>1</v>
      </c>
      <c r="J660" s="76" t="str">
        <f t="shared" si="327"/>
        <v>Clematis</v>
      </c>
      <c r="K660" s="76" t="str">
        <f t="shared" si="327"/>
        <v>simense</v>
      </c>
      <c r="L660" s="77">
        <f t="shared" si="327"/>
        <v>6</v>
      </c>
      <c r="M660" s="77">
        <f t="shared" si="327"/>
        <v>20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v>
      </c>
      <c r="C661" s="73">
        <f t="shared" si="325"/>
        <v>15</v>
      </c>
      <c r="D661" s="74">
        <f t="shared" si="308"/>
        <v>2</v>
      </c>
      <c r="E661" s="75">
        <f t="shared" si="309"/>
        <v>58</v>
      </c>
      <c r="F661" s="79"/>
      <c r="G661" s="82"/>
      <c r="H661" s="68" t="str">
        <f t="shared" si="326"/>
        <v>Clesim6_20211115_02_00</v>
      </c>
      <c r="I661" s="69">
        <f t="shared" ref="I661:N676" si="328">I660</f>
        <v>1</v>
      </c>
      <c r="J661" s="76" t="str">
        <f t="shared" si="328"/>
        <v>Clematis</v>
      </c>
      <c r="K661" s="76" t="str">
        <f t="shared" si="328"/>
        <v>simense</v>
      </c>
      <c r="L661" s="77">
        <f t="shared" si="328"/>
        <v>6</v>
      </c>
      <c r="M661" s="77">
        <f t="shared" si="328"/>
        <v>20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v>
      </c>
      <c r="C662" s="73">
        <f t="shared" si="325"/>
        <v>15</v>
      </c>
      <c r="D662" s="74">
        <f t="shared" si="308"/>
        <v>2</v>
      </c>
      <c r="E662" s="75">
        <f t="shared" si="309"/>
        <v>59</v>
      </c>
      <c r="F662" s="79"/>
      <c r="G662" s="82"/>
      <c r="H662" s="68" t="str">
        <f t="shared" si="326"/>
        <v>Clesim6_20211115_02_00</v>
      </c>
      <c r="I662" s="69">
        <f t="shared" si="328"/>
        <v>1</v>
      </c>
      <c r="J662" s="76" t="str">
        <f t="shared" si="328"/>
        <v>Clematis</v>
      </c>
      <c r="K662" s="76" t="str">
        <f t="shared" si="328"/>
        <v>simense</v>
      </c>
      <c r="L662" s="77">
        <f t="shared" si="328"/>
        <v>6</v>
      </c>
      <c r="M662" s="77">
        <f t="shared" si="328"/>
        <v>20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v>
      </c>
      <c r="C663" s="73">
        <f t="shared" si="325"/>
        <v>15</v>
      </c>
      <c r="D663" s="74">
        <f t="shared" si="308"/>
        <v>3</v>
      </c>
      <c r="E663" s="75">
        <f t="shared" si="309"/>
        <v>0</v>
      </c>
      <c r="F663" s="79"/>
      <c r="G663" s="82"/>
      <c r="H663" s="68" t="str">
        <f t="shared" si="326"/>
        <v>Clesim6_20211115_03_00</v>
      </c>
      <c r="I663" s="69">
        <f t="shared" si="328"/>
        <v>1</v>
      </c>
      <c r="J663" s="76" t="str">
        <f t="shared" si="328"/>
        <v>Clematis</v>
      </c>
      <c r="K663" s="76" t="str">
        <f t="shared" si="328"/>
        <v>simense</v>
      </c>
      <c r="L663" s="77">
        <f t="shared" si="328"/>
        <v>6</v>
      </c>
      <c r="M663" s="77">
        <f t="shared" si="328"/>
        <v>20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v>
      </c>
      <c r="C664" s="73">
        <f t="shared" si="325"/>
        <v>15</v>
      </c>
      <c r="D664" s="74">
        <f t="shared" si="308"/>
        <v>3</v>
      </c>
      <c r="E664" s="75">
        <f t="shared" si="309"/>
        <v>1</v>
      </c>
      <c r="F664" s="79"/>
      <c r="G664" s="82"/>
      <c r="H664" s="68" t="str">
        <f t="shared" si="326"/>
        <v>Clesim6_20211115_03_00</v>
      </c>
      <c r="I664" s="69">
        <f t="shared" si="328"/>
        <v>1</v>
      </c>
      <c r="J664" s="76" t="str">
        <f t="shared" si="328"/>
        <v>Clematis</v>
      </c>
      <c r="K664" s="76" t="str">
        <f t="shared" si="328"/>
        <v>simense</v>
      </c>
      <c r="L664" s="77">
        <f t="shared" si="328"/>
        <v>6</v>
      </c>
      <c r="M664" s="77">
        <f t="shared" si="328"/>
        <v>20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v>
      </c>
      <c r="C665" s="73">
        <f t="shared" si="325"/>
        <v>15</v>
      </c>
      <c r="D665" s="74">
        <f t="shared" si="308"/>
        <v>3</v>
      </c>
      <c r="E665" s="75">
        <f t="shared" si="309"/>
        <v>2</v>
      </c>
      <c r="F665" s="79"/>
      <c r="G665" s="82"/>
      <c r="H665" s="68" t="str">
        <f t="shared" si="326"/>
        <v>Clesim6_20211115_03_00</v>
      </c>
      <c r="I665" s="69">
        <f t="shared" si="328"/>
        <v>1</v>
      </c>
      <c r="J665" s="76" t="str">
        <f t="shared" si="328"/>
        <v>Clematis</v>
      </c>
      <c r="K665" s="76" t="str">
        <f t="shared" si="328"/>
        <v>simense</v>
      </c>
      <c r="L665" s="77">
        <f t="shared" si="328"/>
        <v>6</v>
      </c>
      <c r="M665" s="77">
        <f t="shared" si="328"/>
        <v>20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v>
      </c>
      <c r="C666" s="73">
        <f t="shared" si="325"/>
        <v>15</v>
      </c>
      <c r="D666" s="74">
        <f t="shared" si="308"/>
        <v>3</v>
      </c>
      <c r="E666" s="75">
        <f t="shared" si="309"/>
        <v>3</v>
      </c>
      <c r="F666" s="79"/>
      <c r="G666" s="82"/>
      <c r="H666" s="68" t="str">
        <f t="shared" si="326"/>
        <v>Clesim6_20211115_03_00</v>
      </c>
      <c r="I666" s="69">
        <f t="shared" si="328"/>
        <v>1</v>
      </c>
      <c r="J666" s="76" t="str">
        <f t="shared" si="328"/>
        <v>Clematis</v>
      </c>
      <c r="K666" s="76" t="str">
        <f t="shared" si="328"/>
        <v>simense</v>
      </c>
      <c r="L666" s="77">
        <f t="shared" si="328"/>
        <v>6</v>
      </c>
      <c r="M666" s="77">
        <f t="shared" si="328"/>
        <v>20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v>
      </c>
      <c r="C667" s="73">
        <f t="shared" si="325"/>
        <v>15</v>
      </c>
      <c r="D667" s="74">
        <f t="shared" si="308"/>
        <v>3</v>
      </c>
      <c r="E667" s="75">
        <f t="shared" si="309"/>
        <v>4</v>
      </c>
      <c r="F667" s="79"/>
      <c r="G667" s="82"/>
      <c r="H667" s="68" t="str">
        <f t="shared" si="326"/>
        <v>Clesim6_20211115_03_00</v>
      </c>
      <c r="I667" s="69">
        <f t="shared" si="328"/>
        <v>1</v>
      </c>
      <c r="J667" s="76" t="str">
        <f t="shared" si="328"/>
        <v>Clematis</v>
      </c>
      <c r="K667" s="76" t="str">
        <f t="shared" si="328"/>
        <v>simense</v>
      </c>
      <c r="L667" s="77">
        <f t="shared" si="328"/>
        <v>6</v>
      </c>
      <c r="M667" s="77">
        <f t="shared" si="328"/>
        <v>20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v>
      </c>
      <c r="C668" s="73">
        <f t="shared" si="325"/>
        <v>15</v>
      </c>
      <c r="D668" s="74">
        <f t="shared" si="308"/>
        <v>3</v>
      </c>
      <c r="E668" s="75">
        <f t="shared" si="309"/>
        <v>5</v>
      </c>
      <c r="F668" s="79"/>
      <c r="G668" s="82"/>
      <c r="H668" s="68" t="str">
        <f t="shared" si="326"/>
        <v>Clesim6_20211115_03_00</v>
      </c>
      <c r="I668" s="69">
        <f t="shared" si="328"/>
        <v>1</v>
      </c>
      <c r="J668" s="76" t="str">
        <f t="shared" si="328"/>
        <v>Clematis</v>
      </c>
      <c r="K668" s="76" t="str">
        <f t="shared" si="328"/>
        <v>simense</v>
      </c>
      <c r="L668" s="77">
        <f t="shared" si="328"/>
        <v>6</v>
      </c>
      <c r="M668" s="77">
        <f t="shared" si="328"/>
        <v>20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v>
      </c>
      <c r="C669" s="73">
        <f t="shared" si="325"/>
        <v>15</v>
      </c>
      <c r="D669" s="74">
        <f t="shared" si="308"/>
        <v>3</v>
      </c>
      <c r="E669" s="75">
        <f t="shared" si="309"/>
        <v>6</v>
      </c>
      <c r="F669" s="79"/>
      <c r="G669" s="82"/>
      <c r="H669" s="68" t="str">
        <f t="shared" si="326"/>
        <v>Clesim6_20211115_03_00</v>
      </c>
      <c r="I669" s="69">
        <f t="shared" si="328"/>
        <v>1</v>
      </c>
      <c r="J669" s="76" t="str">
        <f t="shared" si="328"/>
        <v>Clematis</v>
      </c>
      <c r="K669" s="76" t="str">
        <f t="shared" si="328"/>
        <v>simense</v>
      </c>
      <c r="L669" s="77">
        <f t="shared" si="328"/>
        <v>6</v>
      </c>
      <c r="M669" s="77">
        <f t="shared" si="328"/>
        <v>20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v>
      </c>
      <c r="C670" s="73">
        <f t="shared" si="325"/>
        <v>15</v>
      </c>
      <c r="D670" s="74">
        <f t="shared" si="308"/>
        <v>3</v>
      </c>
      <c r="E670" s="75">
        <f t="shared" si="309"/>
        <v>7</v>
      </c>
      <c r="F670" s="79"/>
      <c r="G670" s="82"/>
      <c r="H670" s="68" t="str">
        <f t="shared" si="326"/>
        <v>Clesim6_20211115_03_00</v>
      </c>
      <c r="I670" s="69">
        <f t="shared" si="328"/>
        <v>1</v>
      </c>
      <c r="J670" s="76" t="str">
        <f t="shared" si="328"/>
        <v>Clematis</v>
      </c>
      <c r="K670" s="76" t="str">
        <f t="shared" si="328"/>
        <v>simense</v>
      </c>
      <c r="L670" s="77">
        <f t="shared" si="328"/>
        <v>6</v>
      </c>
      <c r="M670" s="77">
        <f t="shared" si="328"/>
        <v>20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v>
      </c>
      <c r="C671" s="73">
        <f t="shared" si="325"/>
        <v>15</v>
      </c>
      <c r="D671" s="74">
        <f t="shared" si="308"/>
        <v>3</v>
      </c>
      <c r="E671" s="75">
        <f t="shared" si="309"/>
        <v>8</v>
      </c>
      <c r="F671" s="79"/>
      <c r="G671" s="82"/>
      <c r="H671" s="68" t="str">
        <f t="shared" si="326"/>
        <v>Clesim6_20211115_03_00</v>
      </c>
      <c r="I671" s="69">
        <f t="shared" si="328"/>
        <v>1</v>
      </c>
      <c r="J671" s="76" t="str">
        <f t="shared" si="328"/>
        <v>Clematis</v>
      </c>
      <c r="K671" s="76" t="str">
        <f t="shared" si="328"/>
        <v>simense</v>
      </c>
      <c r="L671" s="77">
        <f t="shared" si="328"/>
        <v>6</v>
      </c>
      <c r="M671" s="77">
        <f t="shared" si="328"/>
        <v>20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v>
      </c>
      <c r="C672" s="73">
        <f t="shared" si="325"/>
        <v>15</v>
      </c>
      <c r="D672" s="74">
        <f t="shared" si="308"/>
        <v>3</v>
      </c>
      <c r="E672" s="75">
        <f t="shared" si="309"/>
        <v>9</v>
      </c>
      <c r="F672" s="79"/>
      <c r="G672" s="82"/>
      <c r="H672" s="68" t="str">
        <f t="shared" si="326"/>
        <v>Clesim6_20211115_03_00</v>
      </c>
      <c r="I672" s="69">
        <f t="shared" si="328"/>
        <v>1</v>
      </c>
      <c r="J672" s="76" t="str">
        <f t="shared" si="328"/>
        <v>Clematis</v>
      </c>
      <c r="K672" s="76" t="str">
        <f t="shared" si="328"/>
        <v>simense</v>
      </c>
      <c r="L672" s="77">
        <f t="shared" si="328"/>
        <v>6</v>
      </c>
      <c r="M672" s="77">
        <f t="shared" si="328"/>
        <v>20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v>
      </c>
      <c r="C673" s="73">
        <f t="shared" si="325"/>
        <v>15</v>
      </c>
      <c r="D673" s="74">
        <f t="shared" si="308"/>
        <v>3</v>
      </c>
      <c r="E673" s="75">
        <f t="shared" si="309"/>
        <v>10</v>
      </c>
      <c r="F673" s="79"/>
      <c r="G673" s="82"/>
      <c r="H673" s="68" t="str">
        <f t="shared" si="326"/>
        <v>Clesim6_20211115_03_00</v>
      </c>
      <c r="I673" s="69">
        <f t="shared" si="328"/>
        <v>1</v>
      </c>
      <c r="J673" s="76" t="str">
        <f t="shared" si="328"/>
        <v>Clematis</v>
      </c>
      <c r="K673" s="76" t="str">
        <f t="shared" si="328"/>
        <v>simense</v>
      </c>
      <c r="L673" s="77">
        <f t="shared" si="328"/>
        <v>6</v>
      </c>
      <c r="M673" s="77">
        <f t="shared" si="328"/>
        <v>20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v>
      </c>
      <c r="C674" s="73">
        <f t="shared" si="325"/>
        <v>15</v>
      </c>
      <c r="D674" s="74">
        <f t="shared" si="308"/>
        <v>3</v>
      </c>
      <c r="E674" s="75">
        <f t="shared" si="309"/>
        <v>11</v>
      </c>
      <c r="F674" s="79"/>
      <c r="G674" s="82"/>
      <c r="H674" s="68" t="str">
        <f t="shared" si="326"/>
        <v>Clesim6_20211115_03_00</v>
      </c>
      <c r="I674" s="69">
        <f t="shared" si="328"/>
        <v>1</v>
      </c>
      <c r="J674" s="76" t="str">
        <f t="shared" si="328"/>
        <v>Clematis</v>
      </c>
      <c r="K674" s="76" t="str">
        <f t="shared" si="328"/>
        <v>simense</v>
      </c>
      <c r="L674" s="77">
        <f t="shared" si="328"/>
        <v>6</v>
      </c>
      <c r="M674" s="77">
        <f t="shared" si="328"/>
        <v>20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v>
      </c>
      <c r="C675" s="73">
        <f t="shared" si="325"/>
        <v>15</v>
      </c>
      <c r="D675" s="74">
        <f t="shared" si="308"/>
        <v>3</v>
      </c>
      <c r="E675" s="75">
        <f t="shared" si="309"/>
        <v>12</v>
      </c>
      <c r="F675" s="79"/>
      <c r="G675" s="82"/>
      <c r="H675" s="68" t="str">
        <f t="shared" si="326"/>
        <v>Clesim6_20211115_03_00</v>
      </c>
      <c r="I675" s="69">
        <f t="shared" si="328"/>
        <v>1</v>
      </c>
      <c r="J675" s="76" t="str">
        <f t="shared" si="328"/>
        <v>Clematis</v>
      </c>
      <c r="K675" s="76" t="str">
        <f t="shared" si="328"/>
        <v>simense</v>
      </c>
      <c r="L675" s="77">
        <f t="shared" si="328"/>
        <v>6</v>
      </c>
      <c r="M675" s="77">
        <f t="shared" si="328"/>
        <v>20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v>
      </c>
      <c r="C676" s="73">
        <f t="shared" si="325"/>
        <v>15</v>
      </c>
      <c r="D676" s="74">
        <f t="shared" si="308"/>
        <v>3</v>
      </c>
      <c r="E676" s="75">
        <f t="shared" si="309"/>
        <v>13</v>
      </c>
      <c r="F676" s="79"/>
      <c r="G676" s="82"/>
      <c r="H676" s="68" t="str">
        <f t="shared" si="326"/>
        <v>Clesim6_20211115_03_00</v>
      </c>
      <c r="I676" s="69">
        <f t="shared" si="328"/>
        <v>1</v>
      </c>
      <c r="J676" s="76" t="str">
        <f t="shared" si="328"/>
        <v>Clematis</v>
      </c>
      <c r="K676" s="76" t="str">
        <f t="shared" si="328"/>
        <v>simense</v>
      </c>
      <c r="L676" s="77">
        <f t="shared" si="328"/>
        <v>6</v>
      </c>
      <c r="M676" s="77">
        <f t="shared" si="328"/>
        <v>20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v>
      </c>
      <c r="C677" s="73">
        <f t="shared" si="325"/>
        <v>15</v>
      </c>
      <c r="D677" s="74">
        <f t="shared" si="308"/>
        <v>3</v>
      </c>
      <c r="E677" s="75">
        <f t="shared" si="309"/>
        <v>14</v>
      </c>
      <c r="F677" s="79"/>
      <c r="G677" s="82"/>
      <c r="H677" s="68" t="str">
        <f t="shared" si="326"/>
        <v>Clesim6_20211115_03_00</v>
      </c>
      <c r="I677" s="69">
        <f t="shared" ref="I677:N692" si="329">I676</f>
        <v>1</v>
      </c>
      <c r="J677" s="76" t="str">
        <f t="shared" si="329"/>
        <v>Clematis</v>
      </c>
      <c r="K677" s="76" t="str">
        <f t="shared" si="329"/>
        <v>simense</v>
      </c>
      <c r="L677" s="77">
        <f t="shared" si="329"/>
        <v>6</v>
      </c>
      <c r="M677" s="77">
        <f t="shared" si="329"/>
        <v>20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v>
      </c>
      <c r="C678" s="73">
        <f t="shared" si="325"/>
        <v>15</v>
      </c>
      <c r="D678" s="74">
        <f t="shared" si="308"/>
        <v>3</v>
      </c>
      <c r="E678" s="75">
        <f t="shared" si="309"/>
        <v>15</v>
      </c>
      <c r="F678" s="79"/>
      <c r="G678" s="82"/>
      <c r="H678" s="68" t="str">
        <f t="shared" si="326"/>
        <v>Clesim6_20211115_03_00</v>
      </c>
      <c r="I678" s="69">
        <f t="shared" si="329"/>
        <v>1</v>
      </c>
      <c r="J678" s="76" t="str">
        <f t="shared" si="329"/>
        <v>Clematis</v>
      </c>
      <c r="K678" s="76" t="str">
        <f t="shared" si="329"/>
        <v>simense</v>
      </c>
      <c r="L678" s="77">
        <f t="shared" si="329"/>
        <v>6</v>
      </c>
      <c r="M678" s="77">
        <f t="shared" si="329"/>
        <v>20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v>
      </c>
      <c r="C679" s="73">
        <f t="shared" si="325"/>
        <v>15</v>
      </c>
      <c r="D679" s="74">
        <f t="shared" si="308"/>
        <v>3</v>
      </c>
      <c r="E679" s="75">
        <f t="shared" si="309"/>
        <v>16</v>
      </c>
      <c r="F679" s="79"/>
      <c r="G679" s="82"/>
      <c r="H679" s="68" t="str">
        <f t="shared" si="326"/>
        <v>Clesim6_20211115_03_00</v>
      </c>
      <c r="I679" s="69">
        <f t="shared" si="329"/>
        <v>1</v>
      </c>
      <c r="J679" s="76" t="str">
        <f t="shared" si="329"/>
        <v>Clematis</v>
      </c>
      <c r="K679" s="76" t="str">
        <f t="shared" si="329"/>
        <v>simense</v>
      </c>
      <c r="L679" s="77">
        <f t="shared" si="329"/>
        <v>6</v>
      </c>
      <c r="M679" s="77">
        <f t="shared" si="329"/>
        <v>20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v>
      </c>
      <c r="C680" s="73">
        <f t="shared" si="325"/>
        <v>15</v>
      </c>
      <c r="D680" s="74">
        <f t="shared" si="308"/>
        <v>3</v>
      </c>
      <c r="E680" s="75">
        <f t="shared" si="309"/>
        <v>17</v>
      </c>
      <c r="F680" s="79"/>
      <c r="G680" s="82"/>
      <c r="H680" s="68" t="str">
        <f t="shared" si="326"/>
        <v>Clesim6_20211115_03_00</v>
      </c>
      <c r="I680" s="69">
        <f t="shared" si="329"/>
        <v>1</v>
      </c>
      <c r="J680" s="76" t="str">
        <f t="shared" si="329"/>
        <v>Clematis</v>
      </c>
      <c r="K680" s="76" t="str">
        <f t="shared" si="329"/>
        <v>simense</v>
      </c>
      <c r="L680" s="77">
        <f t="shared" si="329"/>
        <v>6</v>
      </c>
      <c r="M680" s="77">
        <f t="shared" si="329"/>
        <v>20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v>
      </c>
      <c r="C681" s="73">
        <f t="shared" si="325"/>
        <v>15</v>
      </c>
      <c r="D681" s="74">
        <f t="shared" si="308"/>
        <v>3</v>
      </c>
      <c r="E681" s="75">
        <f t="shared" si="309"/>
        <v>18</v>
      </c>
      <c r="F681" s="79"/>
      <c r="G681" s="82"/>
      <c r="H681" s="68" t="str">
        <f t="shared" si="326"/>
        <v>Clesim6_20211115_03_00</v>
      </c>
      <c r="I681" s="69">
        <f t="shared" si="329"/>
        <v>1</v>
      </c>
      <c r="J681" s="76" t="str">
        <f t="shared" si="329"/>
        <v>Clematis</v>
      </c>
      <c r="K681" s="76" t="str">
        <f t="shared" si="329"/>
        <v>simense</v>
      </c>
      <c r="L681" s="77">
        <f t="shared" si="329"/>
        <v>6</v>
      </c>
      <c r="M681" s="77">
        <f t="shared" si="329"/>
        <v>20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v>
      </c>
      <c r="C682" s="73">
        <f t="shared" si="325"/>
        <v>15</v>
      </c>
      <c r="D682" s="74">
        <f t="shared" si="308"/>
        <v>3</v>
      </c>
      <c r="E682" s="75">
        <f t="shared" si="309"/>
        <v>19</v>
      </c>
      <c r="F682" s="79"/>
      <c r="G682" s="82"/>
      <c r="H682" s="68" t="str">
        <f t="shared" si="326"/>
        <v>Clesim6_20211115_03_00</v>
      </c>
      <c r="I682" s="69">
        <f t="shared" si="329"/>
        <v>1</v>
      </c>
      <c r="J682" s="76" t="str">
        <f t="shared" si="329"/>
        <v>Clematis</v>
      </c>
      <c r="K682" s="76" t="str">
        <f t="shared" si="329"/>
        <v>simense</v>
      </c>
      <c r="L682" s="77">
        <f t="shared" si="329"/>
        <v>6</v>
      </c>
      <c r="M682" s="77">
        <f t="shared" si="329"/>
        <v>20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v>
      </c>
      <c r="C683" s="73">
        <f t="shared" si="325"/>
        <v>15</v>
      </c>
      <c r="D683" s="74">
        <f t="shared" si="308"/>
        <v>3</v>
      </c>
      <c r="E683" s="75">
        <f t="shared" si="309"/>
        <v>20</v>
      </c>
      <c r="F683" s="79"/>
      <c r="G683" s="82"/>
      <c r="H683" s="68" t="str">
        <f t="shared" si="326"/>
        <v>Clesim6_20211115_03_00</v>
      </c>
      <c r="I683" s="69">
        <f t="shared" si="329"/>
        <v>1</v>
      </c>
      <c r="J683" s="76" t="str">
        <f t="shared" si="329"/>
        <v>Clematis</v>
      </c>
      <c r="K683" s="76" t="str">
        <f t="shared" si="329"/>
        <v>simense</v>
      </c>
      <c r="L683" s="77">
        <f t="shared" si="329"/>
        <v>6</v>
      </c>
      <c r="M683" s="77">
        <f t="shared" si="329"/>
        <v>20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v>
      </c>
      <c r="C684" s="73">
        <f t="shared" si="325"/>
        <v>15</v>
      </c>
      <c r="D684" s="74">
        <f t="shared" si="308"/>
        <v>3</v>
      </c>
      <c r="E684" s="75">
        <f t="shared" si="309"/>
        <v>21</v>
      </c>
      <c r="F684" s="79"/>
      <c r="G684" s="82"/>
      <c r="H684" s="68" t="str">
        <f t="shared" si="326"/>
        <v>Clesim6_20211115_03_00</v>
      </c>
      <c r="I684" s="69">
        <f t="shared" si="329"/>
        <v>1</v>
      </c>
      <c r="J684" s="76" t="str">
        <f t="shared" si="329"/>
        <v>Clematis</v>
      </c>
      <c r="K684" s="76" t="str">
        <f t="shared" si="329"/>
        <v>simense</v>
      </c>
      <c r="L684" s="77">
        <f t="shared" si="329"/>
        <v>6</v>
      </c>
      <c r="M684" s="77">
        <f t="shared" si="329"/>
        <v>20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v>
      </c>
      <c r="C685" s="73">
        <f t="shared" si="325"/>
        <v>15</v>
      </c>
      <c r="D685" s="74">
        <f t="shared" si="308"/>
        <v>3</v>
      </c>
      <c r="E685" s="75">
        <f t="shared" si="309"/>
        <v>22</v>
      </c>
      <c r="F685" s="79"/>
      <c r="G685" s="82"/>
      <c r="H685" s="68" t="str">
        <f t="shared" si="326"/>
        <v>Clesim6_20211115_03_00</v>
      </c>
      <c r="I685" s="69">
        <f t="shared" si="329"/>
        <v>1</v>
      </c>
      <c r="J685" s="76" t="str">
        <f t="shared" si="329"/>
        <v>Clematis</v>
      </c>
      <c r="K685" s="76" t="str">
        <f t="shared" si="329"/>
        <v>simense</v>
      </c>
      <c r="L685" s="77">
        <f t="shared" si="329"/>
        <v>6</v>
      </c>
      <c r="M685" s="77">
        <f t="shared" si="329"/>
        <v>20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v>
      </c>
      <c r="C686" s="73">
        <f t="shared" si="325"/>
        <v>15</v>
      </c>
      <c r="D686" s="74">
        <f t="shared" si="308"/>
        <v>3</v>
      </c>
      <c r="E686" s="75">
        <f t="shared" si="309"/>
        <v>23</v>
      </c>
      <c r="F686" s="79"/>
      <c r="G686" s="82"/>
      <c r="H686" s="68" t="str">
        <f t="shared" si="326"/>
        <v>Clesim6_20211115_03_00</v>
      </c>
      <c r="I686" s="69">
        <f t="shared" si="329"/>
        <v>1</v>
      </c>
      <c r="J686" s="76" t="str">
        <f t="shared" si="329"/>
        <v>Clematis</v>
      </c>
      <c r="K686" s="76" t="str">
        <f t="shared" si="329"/>
        <v>simense</v>
      </c>
      <c r="L686" s="77">
        <f t="shared" si="329"/>
        <v>6</v>
      </c>
      <c r="M686" s="77">
        <f t="shared" si="329"/>
        <v>20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v>
      </c>
      <c r="C687" s="73">
        <f t="shared" si="325"/>
        <v>15</v>
      </c>
      <c r="D687" s="74">
        <f t="shared" si="308"/>
        <v>3</v>
      </c>
      <c r="E687" s="75">
        <f t="shared" si="309"/>
        <v>24</v>
      </c>
      <c r="F687" s="79"/>
      <c r="G687" s="82"/>
      <c r="H687" s="68" t="str">
        <f t="shared" si="326"/>
        <v>Clesim6_20211115_03_00</v>
      </c>
      <c r="I687" s="69">
        <f t="shared" si="329"/>
        <v>1</v>
      </c>
      <c r="J687" s="76" t="str">
        <f t="shared" si="329"/>
        <v>Clematis</v>
      </c>
      <c r="K687" s="76" t="str">
        <f t="shared" si="329"/>
        <v>simense</v>
      </c>
      <c r="L687" s="77">
        <f t="shared" si="329"/>
        <v>6</v>
      </c>
      <c r="M687" s="77">
        <f t="shared" si="329"/>
        <v>20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v>
      </c>
      <c r="C688" s="73">
        <f t="shared" si="325"/>
        <v>15</v>
      </c>
      <c r="D688" s="74">
        <f t="shared" si="308"/>
        <v>3</v>
      </c>
      <c r="E688" s="75">
        <f t="shared" si="309"/>
        <v>25</v>
      </c>
      <c r="F688" s="79"/>
      <c r="G688" s="82"/>
      <c r="H688" s="68" t="str">
        <f t="shared" si="326"/>
        <v>Clesim6_20211115_03_00</v>
      </c>
      <c r="I688" s="69">
        <f t="shared" si="329"/>
        <v>1</v>
      </c>
      <c r="J688" s="76" t="str">
        <f t="shared" si="329"/>
        <v>Clematis</v>
      </c>
      <c r="K688" s="76" t="str">
        <f t="shared" si="329"/>
        <v>simense</v>
      </c>
      <c r="L688" s="77">
        <f t="shared" si="329"/>
        <v>6</v>
      </c>
      <c r="M688" s="77">
        <f t="shared" si="329"/>
        <v>20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v>
      </c>
      <c r="C689" s="73">
        <f t="shared" si="325"/>
        <v>15</v>
      </c>
      <c r="D689" s="74">
        <f t="shared" si="308"/>
        <v>3</v>
      </c>
      <c r="E689" s="75">
        <f t="shared" si="309"/>
        <v>26</v>
      </c>
      <c r="F689" s="79"/>
      <c r="G689" s="82"/>
      <c r="H689" s="68" t="str">
        <f t="shared" si="326"/>
        <v>Clesim6_20211115_03_00</v>
      </c>
      <c r="I689" s="69">
        <f t="shared" si="329"/>
        <v>1</v>
      </c>
      <c r="J689" s="76" t="str">
        <f t="shared" si="329"/>
        <v>Clematis</v>
      </c>
      <c r="K689" s="76" t="str">
        <f t="shared" si="329"/>
        <v>simense</v>
      </c>
      <c r="L689" s="77">
        <f t="shared" si="329"/>
        <v>6</v>
      </c>
      <c r="M689" s="77">
        <f t="shared" si="329"/>
        <v>20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v>
      </c>
      <c r="C690" s="73">
        <f t="shared" si="325"/>
        <v>15</v>
      </c>
      <c r="D690" s="74">
        <f t="shared" si="308"/>
        <v>3</v>
      </c>
      <c r="E690" s="75">
        <f t="shared" si="309"/>
        <v>27</v>
      </c>
      <c r="F690" s="79"/>
      <c r="G690" s="82"/>
      <c r="H690" s="68" t="str">
        <f t="shared" si="326"/>
        <v>Clesim6_20211115_03_00</v>
      </c>
      <c r="I690" s="69">
        <f t="shared" si="329"/>
        <v>1</v>
      </c>
      <c r="J690" s="76" t="str">
        <f t="shared" si="329"/>
        <v>Clematis</v>
      </c>
      <c r="K690" s="76" t="str">
        <f t="shared" si="329"/>
        <v>simense</v>
      </c>
      <c r="L690" s="77">
        <f t="shared" si="329"/>
        <v>6</v>
      </c>
      <c r="M690" s="77">
        <f t="shared" si="329"/>
        <v>20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v>
      </c>
      <c r="C691" s="73">
        <f t="shared" si="325"/>
        <v>15</v>
      </c>
      <c r="D691" s="74">
        <f t="shared" si="308"/>
        <v>3</v>
      </c>
      <c r="E691" s="75">
        <f t="shared" si="309"/>
        <v>28</v>
      </c>
      <c r="F691" s="79"/>
      <c r="G691" s="82"/>
      <c r="H691" s="68" t="str">
        <f t="shared" si="326"/>
        <v>Clesim6_20211115_03_00</v>
      </c>
      <c r="I691" s="69">
        <f t="shared" si="329"/>
        <v>1</v>
      </c>
      <c r="J691" s="76" t="str">
        <f t="shared" si="329"/>
        <v>Clematis</v>
      </c>
      <c r="K691" s="76" t="str">
        <f t="shared" si="329"/>
        <v>simense</v>
      </c>
      <c r="L691" s="77">
        <f t="shared" si="329"/>
        <v>6</v>
      </c>
      <c r="M691" s="77">
        <f t="shared" si="329"/>
        <v>20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v>
      </c>
      <c r="C692" s="73">
        <f t="shared" si="325"/>
        <v>15</v>
      </c>
      <c r="D692" s="74">
        <f t="shared" si="308"/>
        <v>3</v>
      </c>
      <c r="E692" s="75">
        <f t="shared" si="309"/>
        <v>29</v>
      </c>
      <c r="F692" s="79"/>
      <c r="G692" s="82"/>
      <c r="H692" s="68" t="str">
        <f t="shared" si="326"/>
        <v>Clesim6_20211115_03_00</v>
      </c>
      <c r="I692" s="69">
        <f t="shared" si="329"/>
        <v>1</v>
      </c>
      <c r="J692" s="76" t="str">
        <f t="shared" si="329"/>
        <v>Clematis</v>
      </c>
      <c r="K692" s="76" t="str">
        <f t="shared" si="329"/>
        <v>simense</v>
      </c>
      <c r="L692" s="77">
        <f t="shared" si="329"/>
        <v>6</v>
      </c>
      <c r="M692" s="77">
        <f t="shared" si="329"/>
        <v>20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v>
      </c>
      <c r="C693" s="73">
        <f t="shared" si="325"/>
        <v>15</v>
      </c>
      <c r="D693" s="74">
        <f t="shared" si="308"/>
        <v>3</v>
      </c>
      <c r="E693" s="75">
        <f t="shared" si="309"/>
        <v>30</v>
      </c>
      <c r="F693" s="79"/>
      <c r="G693" s="82"/>
      <c r="H693" s="68" t="str">
        <f t="shared" si="326"/>
        <v>Clesim6_20211115_03_00</v>
      </c>
      <c r="I693" s="69">
        <f t="shared" ref="I693:N708" si="330">I692</f>
        <v>1</v>
      </c>
      <c r="J693" s="76" t="str">
        <f t="shared" si="330"/>
        <v>Clematis</v>
      </c>
      <c r="K693" s="76" t="str">
        <f t="shared" si="330"/>
        <v>simense</v>
      </c>
      <c r="L693" s="77">
        <f t="shared" si="330"/>
        <v>6</v>
      </c>
      <c r="M693" s="77">
        <f t="shared" si="330"/>
        <v>20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v>
      </c>
      <c r="C694" s="73">
        <f t="shared" si="325"/>
        <v>15</v>
      </c>
      <c r="D694" s="74">
        <f t="shared" si="308"/>
        <v>3</v>
      </c>
      <c r="E694" s="75">
        <f t="shared" si="309"/>
        <v>31</v>
      </c>
      <c r="F694" s="79"/>
      <c r="G694" s="82"/>
      <c r="H694" s="68" t="str">
        <f t="shared" si="326"/>
        <v>Clesim6_20211115_03_00</v>
      </c>
      <c r="I694" s="69">
        <f t="shared" si="330"/>
        <v>1</v>
      </c>
      <c r="J694" s="76" t="str">
        <f t="shared" si="330"/>
        <v>Clematis</v>
      </c>
      <c r="K694" s="76" t="str">
        <f t="shared" si="330"/>
        <v>simense</v>
      </c>
      <c r="L694" s="77">
        <f t="shared" si="330"/>
        <v>6</v>
      </c>
      <c r="M694" s="77">
        <f t="shared" si="330"/>
        <v>20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v>
      </c>
      <c r="C695" s="73">
        <f t="shared" si="325"/>
        <v>15</v>
      </c>
      <c r="D695" s="74">
        <f t="shared" si="308"/>
        <v>3</v>
      </c>
      <c r="E695" s="75">
        <f t="shared" si="309"/>
        <v>32</v>
      </c>
      <c r="F695" s="79"/>
      <c r="G695" s="82"/>
      <c r="H695" s="68" t="str">
        <f t="shared" si="326"/>
        <v>Clesim6_20211115_03_00</v>
      </c>
      <c r="I695" s="69">
        <f t="shared" si="330"/>
        <v>1</v>
      </c>
      <c r="J695" s="76" t="str">
        <f t="shared" si="330"/>
        <v>Clematis</v>
      </c>
      <c r="K695" s="76" t="str">
        <f t="shared" si="330"/>
        <v>simense</v>
      </c>
      <c r="L695" s="77">
        <f t="shared" si="330"/>
        <v>6</v>
      </c>
      <c r="M695" s="77">
        <f t="shared" si="330"/>
        <v>20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v>
      </c>
      <c r="C696" s="73">
        <f t="shared" si="325"/>
        <v>15</v>
      </c>
      <c r="D696" s="74">
        <f t="shared" si="308"/>
        <v>3</v>
      </c>
      <c r="E696" s="75">
        <f t="shared" si="309"/>
        <v>33</v>
      </c>
      <c r="F696" s="79"/>
      <c r="G696" s="82"/>
      <c r="H696" s="68" t="str">
        <f t="shared" si="326"/>
        <v>Clesim6_20211115_03_00</v>
      </c>
      <c r="I696" s="69">
        <f t="shared" si="330"/>
        <v>1</v>
      </c>
      <c r="J696" s="76" t="str">
        <f t="shared" si="330"/>
        <v>Clematis</v>
      </c>
      <c r="K696" s="76" t="str">
        <f t="shared" si="330"/>
        <v>simense</v>
      </c>
      <c r="L696" s="77">
        <f t="shared" si="330"/>
        <v>6</v>
      </c>
      <c r="M696" s="77">
        <f t="shared" si="330"/>
        <v>20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v>
      </c>
      <c r="C697" s="73">
        <f t="shared" si="325"/>
        <v>15</v>
      </c>
      <c r="D697" s="74">
        <f t="shared" si="308"/>
        <v>3</v>
      </c>
      <c r="E697" s="75">
        <f t="shared" si="309"/>
        <v>34</v>
      </c>
      <c r="F697" s="79"/>
      <c r="G697" s="82"/>
      <c r="H697" s="68" t="str">
        <f t="shared" si="326"/>
        <v>Clesim6_20211115_03_00</v>
      </c>
      <c r="I697" s="69">
        <f t="shared" si="330"/>
        <v>1</v>
      </c>
      <c r="J697" s="76" t="str">
        <f t="shared" si="330"/>
        <v>Clematis</v>
      </c>
      <c r="K697" s="76" t="str">
        <f t="shared" si="330"/>
        <v>simense</v>
      </c>
      <c r="L697" s="77">
        <f t="shared" si="330"/>
        <v>6</v>
      </c>
      <c r="M697" s="77">
        <f t="shared" si="330"/>
        <v>20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v>
      </c>
      <c r="C698" s="73">
        <f t="shared" si="325"/>
        <v>15</v>
      </c>
      <c r="D698" s="74">
        <f t="shared" si="308"/>
        <v>3</v>
      </c>
      <c r="E698" s="75">
        <f t="shared" si="309"/>
        <v>35</v>
      </c>
      <c r="F698" s="79"/>
      <c r="G698" s="82"/>
      <c r="H698" s="68" t="str">
        <f t="shared" si="326"/>
        <v>Clesim6_20211115_03_00</v>
      </c>
      <c r="I698" s="69">
        <f t="shared" si="330"/>
        <v>1</v>
      </c>
      <c r="J698" s="76" t="str">
        <f t="shared" si="330"/>
        <v>Clematis</v>
      </c>
      <c r="K698" s="76" t="str">
        <f t="shared" si="330"/>
        <v>simense</v>
      </c>
      <c r="L698" s="77">
        <f t="shared" si="330"/>
        <v>6</v>
      </c>
      <c r="M698" s="77">
        <f t="shared" si="330"/>
        <v>20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v>
      </c>
      <c r="C699" s="73">
        <f t="shared" si="325"/>
        <v>15</v>
      </c>
      <c r="D699" s="74">
        <f t="shared" si="308"/>
        <v>3</v>
      </c>
      <c r="E699" s="75">
        <f t="shared" si="309"/>
        <v>36</v>
      </c>
      <c r="F699" s="79"/>
      <c r="G699" s="82"/>
      <c r="H699" s="68" t="str">
        <f t="shared" si="326"/>
        <v>Clesim6_20211115_03_00</v>
      </c>
      <c r="I699" s="69">
        <f t="shared" si="330"/>
        <v>1</v>
      </c>
      <c r="J699" s="76" t="str">
        <f t="shared" si="330"/>
        <v>Clematis</v>
      </c>
      <c r="K699" s="76" t="str">
        <f t="shared" si="330"/>
        <v>simense</v>
      </c>
      <c r="L699" s="77">
        <f t="shared" si="330"/>
        <v>6</v>
      </c>
      <c r="M699" s="77">
        <f t="shared" si="330"/>
        <v>20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v>
      </c>
      <c r="C700" s="73">
        <f t="shared" si="325"/>
        <v>15</v>
      </c>
      <c r="D700" s="74">
        <f t="shared" si="308"/>
        <v>3</v>
      </c>
      <c r="E700" s="75">
        <f t="shared" si="309"/>
        <v>37</v>
      </c>
      <c r="F700" s="79"/>
      <c r="G700" s="82"/>
      <c r="H700" s="68" t="str">
        <f t="shared" si="326"/>
        <v>Clesim6_20211115_03_00</v>
      </c>
      <c r="I700" s="69">
        <f t="shared" si="330"/>
        <v>1</v>
      </c>
      <c r="J700" s="76" t="str">
        <f t="shared" si="330"/>
        <v>Clematis</v>
      </c>
      <c r="K700" s="76" t="str">
        <f t="shared" si="330"/>
        <v>simense</v>
      </c>
      <c r="L700" s="77">
        <f t="shared" si="330"/>
        <v>6</v>
      </c>
      <c r="M700" s="77">
        <f t="shared" si="330"/>
        <v>20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v>
      </c>
      <c r="C701" s="73">
        <f t="shared" si="325"/>
        <v>15</v>
      </c>
      <c r="D701" s="74">
        <f t="shared" si="308"/>
        <v>3</v>
      </c>
      <c r="E701" s="75">
        <f t="shared" si="309"/>
        <v>38</v>
      </c>
      <c r="F701" s="79"/>
      <c r="G701" s="82"/>
      <c r="H701" s="68" t="str">
        <f t="shared" si="326"/>
        <v>Clesim6_20211115_03_00</v>
      </c>
      <c r="I701" s="69">
        <f t="shared" si="330"/>
        <v>1</v>
      </c>
      <c r="J701" s="76" t="str">
        <f t="shared" si="330"/>
        <v>Clematis</v>
      </c>
      <c r="K701" s="76" t="str">
        <f t="shared" si="330"/>
        <v>simense</v>
      </c>
      <c r="L701" s="77">
        <f t="shared" si="330"/>
        <v>6</v>
      </c>
      <c r="M701" s="77">
        <f t="shared" si="330"/>
        <v>20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v>
      </c>
      <c r="C702" s="73">
        <f t="shared" si="325"/>
        <v>15</v>
      </c>
      <c r="D702" s="74">
        <f t="shared" si="308"/>
        <v>3</v>
      </c>
      <c r="E702" s="75">
        <f t="shared" si="309"/>
        <v>39</v>
      </c>
      <c r="F702" s="79"/>
      <c r="G702" s="82"/>
      <c r="H702" s="68" t="str">
        <f t="shared" si="326"/>
        <v>Clesim6_20211115_03_00</v>
      </c>
      <c r="I702" s="69">
        <f t="shared" si="330"/>
        <v>1</v>
      </c>
      <c r="J702" s="76" t="str">
        <f t="shared" si="330"/>
        <v>Clematis</v>
      </c>
      <c r="K702" s="76" t="str">
        <f t="shared" si="330"/>
        <v>simense</v>
      </c>
      <c r="L702" s="77">
        <f t="shared" si="330"/>
        <v>6</v>
      </c>
      <c r="M702" s="77">
        <f t="shared" si="330"/>
        <v>20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v>
      </c>
      <c r="C703" s="73">
        <f t="shared" si="325"/>
        <v>15</v>
      </c>
      <c r="D703" s="74">
        <f t="shared" si="308"/>
        <v>3</v>
      </c>
      <c r="E703" s="75">
        <f t="shared" si="309"/>
        <v>40</v>
      </c>
      <c r="F703" s="79"/>
      <c r="G703" s="82"/>
      <c r="H703" s="68" t="str">
        <f t="shared" si="326"/>
        <v>Clesim6_20211115_03_00</v>
      </c>
      <c r="I703" s="69">
        <f t="shared" si="330"/>
        <v>1</v>
      </c>
      <c r="J703" s="76" t="str">
        <f t="shared" si="330"/>
        <v>Clematis</v>
      </c>
      <c r="K703" s="76" t="str">
        <f t="shared" si="330"/>
        <v>simense</v>
      </c>
      <c r="L703" s="77">
        <f t="shared" si="330"/>
        <v>6</v>
      </c>
      <c r="M703" s="77">
        <f t="shared" si="330"/>
        <v>20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v>
      </c>
      <c r="C704" s="73">
        <f t="shared" si="325"/>
        <v>15</v>
      </c>
      <c r="D704" s="74">
        <f t="shared" si="308"/>
        <v>3</v>
      </c>
      <c r="E704" s="75">
        <f t="shared" si="309"/>
        <v>41</v>
      </c>
      <c r="F704" s="79"/>
      <c r="G704" s="82"/>
      <c r="H704" s="68" t="str">
        <f t="shared" si="326"/>
        <v>Clesim6_20211115_03_00</v>
      </c>
      <c r="I704" s="69">
        <f t="shared" si="330"/>
        <v>1</v>
      </c>
      <c r="J704" s="76" t="str">
        <f t="shared" si="330"/>
        <v>Clematis</v>
      </c>
      <c r="K704" s="76" t="str">
        <f t="shared" si="330"/>
        <v>simense</v>
      </c>
      <c r="L704" s="77">
        <f t="shared" si="330"/>
        <v>6</v>
      </c>
      <c r="M704" s="77">
        <f t="shared" si="330"/>
        <v>20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v>
      </c>
      <c r="C705" s="73">
        <f t="shared" si="325"/>
        <v>15</v>
      </c>
      <c r="D705" s="74">
        <f t="shared" si="308"/>
        <v>3</v>
      </c>
      <c r="E705" s="75">
        <f t="shared" si="309"/>
        <v>42</v>
      </c>
      <c r="F705" s="79"/>
      <c r="G705" s="82"/>
      <c r="H705" s="68" t="str">
        <f t="shared" si="326"/>
        <v>Clesim6_20211115_03_00</v>
      </c>
      <c r="I705" s="69">
        <f t="shared" si="330"/>
        <v>1</v>
      </c>
      <c r="J705" s="76" t="str">
        <f t="shared" si="330"/>
        <v>Clematis</v>
      </c>
      <c r="K705" s="76" t="str">
        <f t="shared" si="330"/>
        <v>simense</v>
      </c>
      <c r="L705" s="77">
        <f t="shared" si="330"/>
        <v>6</v>
      </c>
      <c r="M705" s="77">
        <f t="shared" si="330"/>
        <v>20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v>
      </c>
      <c r="C706" s="73">
        <f t="shared" si="325"/>
        <v>15</v>
      </c>
      <c r="D706" s="74">
        <f t="shared" si="308"/>
        <v>3</v>
      </c>
      <c r="E706" s="75">
        <f t="shared" si="309"/>
        <v>43</v>
      </c>
      <c r="F706" s="79"/>
      <c r="G706" s="82"/>
      <c r="H706" s="68" t="str">
        <f t="shared" si="326"/>
        <v>Clesim6_20211115_03_00</v>
      </c>
      <c r="I706" s="69">
        <f t="shared" si="330"/>
        <v>1</v>
      </c>
      <c r="J706" s="76" t="str">
        <f t="shared" si="330"/>
        <v>Clematis</v>
      </c>
      <c r="K706" s="76" t="str">
        <f t="shared" si="330"/>
        <v>simense</v>
      </c>
      <c r="L706" s="77">
        <f t="shared" si="330"/>
        <v>6</v>
      </c>
      <c r="M706" s="77">
        <f t="shared" si="330"/>
        <v>20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v>
      </c>
      <c r="C707" s="73">
        <f t="shared" si="325"/>
        <v>15</v>
      </c>
      <c r="D707" s="74">
        <f t="shared" si="308"/>
        <v>3</v>
      </c>
      <c r="E707" s="75">
        <f t="shared" si="309"/>
        <v>44</v>
      </c>
      <c r="F707" s="79"/>
      <c r="G707" s="82"/>
      <c r="H707" s="68" t="str">
        <f t="shared" si="326"/>
        <v>Clesim6_20211115_03_00</v>
      </c>
      <c r="I707" s="69">
        <f t="shared" si="330"/>
        <v>1</v>
      </c>
      <c r="J707" s="76" t="str">
        <f t="shared" si="330"/>
        <v>Clematis</v>
      </c>
      <c r="K707" s="76" t="str">
        <f t="shared" si="330"/>
        <v>simense</v>
      </c>
      <c r="L707" s="77">
        <f t="shared" si="330"/>
        <v>6</v>
      </c>
      <c r="M707" s="77">
        <f t="shared" si="330"/>
        <v>20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v>
      </c>
      <c r="C708" s="73">
        <f t="shared" si="325"/>
        <v>15</v>
      </c>
      <c r="D708" s="74">
        <f t="shared" ref="D708:D771" si="338">IF(IF(E707=59,D707+1,D707)=24,0,IF(E707=59,D707+1,D707))</f>
        <v>3</v>
      </c>
      <c r="E708" s="75">
        <f t="shared" ref="E708:E771" si="339">IF(E707&lt;59,E707+1,0)</f>
        <v>45</v>
      </c>
      <c r="F708" s="79"/>
      <c r="G708" s="82"/>
      <c r="H708" s="68" t="str">
        <f t="shared" si="326"/>
        <v>Clesim6_20211115_03_00</v>
      </c>
      <c r="I708" s="69">
        <f t="shared" si="330"/>
        <v>1</v>
      </c>
      <c r="J708" s="76" t="str">
        <f t="shared" si="330"/>
        <v>Clematis</v>
      </c>
      <c r="K708" s="76" t="str">
        <f t="shared" si="330"/>
        <v>simense</v>
      </c>
      <c r="L708" s="77">
        <f t="shared" si="330"/>
        <v>6</v>
      </c>
      <c r="M708" s="77">
        <f t="shared" si="330"/>
        <v>20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v>
      </c>
      <c r="C709" s="73">
        <f t="shared" ref="C709:C772" si="355">IF(AND(D709=0, E709=0), IF(TEXT(C708,"dd")=TEXT(EOMONTH(DATE(A708,MONTH(DATEVALUE(B708&amp;"1")),C708),0), "dd"), 1, C708+1), C708)</f>
        <v>15</v>
      </c>
      <c r="D709" s="74">
        <f t="shared" si="338"/>
        <v>3</v>
      </c>
      <c r="E709" s="75">
        <f t="shared" si="339"/>
        <v>46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Clesim6_20211115_03_00</v>
      </c>
      <c r="I709" s="69">
        <f t="shared" ref="I709:N724" si="357">I708</f>
        <v>1</v>
      </c>
      <c r="J709" s="76" t="str">
        <f t="shared" si="357"/>
        <v>Clematis</v>
      </c>
      <c r="K709" s="76" t="str">
        <f t="shared" si="357"/>
        <v>simense</v>
      </c>
      <c r="L709" s="77">
        <f t="shared" si="357"/>
        <v>6</v>
      </c>
      <c r="M709" s="77">
        <f t="shared" si="357"/>
        <v>20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v>
      </c>
      <c r="C710" s="73">
        <f t="shared" si="355"/>
        <v>15</v>
      </c>
      <c r="D710" s="74">
        <f t="shared" si="338"/>
        <v>3</v>
      </c>
      <c r="E710" s="75">
        <f t="shared" si="339"/>
        <v>47</v>
      </c>
      <c r="F710" s="79"/>
      <c r="G710" s="82"/>
      <c r="H710" s="68" t="str">
        <f t="shared" si="356"/>
        <v>Clesim6_20211115_03_00</v>
      </c>
      <c r="I710" s="69">
        <f t="shared" si="357"/>
        <v>1</v>
      </c>
      <c r="J710" s="76" t="str">
        <f t="shared" si="357"/>
        <v>Clematis</v>
      </c>
      <c r="K710" s="76" t="str">
        <f t="shared" si="357"/>
        <v>simense</v>
      </c>
      <c r="L710" s="77">
        <f t="shared" si="357"/>
        <v>6</v>
      </c>
      <c r="M710" s="77">
        <f t="shared" si="357"/>
        <v>20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v>
      </c>
      <c r="C711" s="73">
        <f t="shared" si="355"/>
        <v>15</v>
      </c>
      <c r="D711" s="74">
        <f t="shared" si="338"/>
        <v>3</v>
      </c>
      <c r="E711" s="75">
        <f t="shared" si="339"/>
        <v>48</v>
      </c>
      <c r="F711" s="79"/>
      <c r="G711" s="82"/>
      <c r="H711" s="68" t="str">
        <f t="shared" si="356"/>
        <v>Clesim6_20211115_03_00</v>
      </c>
      <c r="I711" s="69">
        <f t="shared" si="357"/>
        <v>1</v>
      </c>
      <c r="J711" s="76" t="str">
        <f t="shared" si="357"/>
        <v>Clematis</v>
      </c>
      <c r="K711" s="76" t="str">
        <f t="shared" si="357"/>
        <v>simense</v>
      </c>
      <c r="L711" s="77">
        <f t="shared" si="357"/>
        <v>6</v>
      </c>
      <c r="M711" s="77">
        <f t="shared" si="357"/>
        <v>20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v>
      </c>
      <c r="C712" s="73">
        <f t="shared" si="355"/>
        <v>15</v>
      </c>
      <c r="D712" s="74">
        <f t="shared" si="338"/>
        <v>3</v>
      </c>
      <c r="E712" s="75">
        <f t="shared" si="339"/>
        <v>49</v>
      </c>
      <c r="F712" s="79"/>
      <c r="G712" s="82"/>
      <c r="H712" s="68" t="str">
        <f t="shared" si="356"/>
        <v>Clesim6_20211115_03_00</v>
      </c>
      <c r="I712" s="69">
        <f t="shared" si="357"/>
        <v>1</v>
      </c>
      <c r="J712" s="76" t="str">
        <f t="shared" si="357"/>
        <v>Clematis</v>
      </c>
      <c r="K712" s="76" t="str">
        <f t="shared" si="357"/>
        <v>simense</v>
      </c>
      <c r="L712" s="77">
        <f t="shared" si="357"/>
        <v>6</v>
      </c>
      <c r="M712" s="77">
        <f t="shared" si="357"/>
        <v>20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v>
      </c>
      <c r="C713" s="73">
        <f t="shared" si="355"/>
        <v>15</v>
      </c>
      <c r="D713" s="74">
        <f t="shared" si="338"/>
        <v>3</v>
      </c>
      <c r="E713" s="75">
        <f t="shared" si="339"/>
        <v>50</v>
      </c>
      <c r="F713" s="79"/>
      <c r="G713" s="82"/>
      <c r="H713" s="68" t="str">
        <f t="shared" si="356"/>
        <v>Clesim6_20211115_03_00</v>
      </c>
      <c r="I713" s="69">
        <f t="shared" si="357"/>
        <v>1</v>
      </c>
      <c r="J713" s="76" t="str">
        <f t="shared" si="357"/>
        <v>Clematis</v>
      </c>
      <c r="K713" s="76" t="str">
        <f t="shared" si="357"/>
        <v>simense</v>
      </c>
      <c r="L713" s="77">
        <f t="shared" si="357"/>
        <v>6</v>
      </c>
      <c r="M713" s="77">
        <f t="shared" si="357"/>
        <v>20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v>
      </c>
      <c r="C714" s="73">
        <f t="shared" si="355"/>
        <v>15</v>
      </c>
      <c r="D714" s="74">
        <f t="shared" si="338"/>
        <v>3</v>
      </c>
      <c r="E714" s="75">
        <f t="shared" si="339"/>
        <v>51</v>
      </c>
      <c r="F714" s="79"/>
      <c r="G714" s="82"/>
      <c r="H714" s="68" t="str">
        <f t="shared" si="356"/>
        <v>Clesim6_20211115_03_00</v>
      </c>
      <c r="I714" s="69">
        <f t="shared" si="357"/>
        <v>1</v>
      </c>
      <c r="J714" s="76" t="str">
        <f t="shared" si="357"/>
        <v>Clematis</v>
      </c>
      <c r="K714" s="76" t="str">
        <f t="shared" si="357"/>
        <v>simense</v>
      </c>
      <c r="L714" s="77">
        <f t="shared" si="357"/>
        <v>6</v>
      </c>
      <c r="M714" s="77">
        <f t="shared" si="357"/>
        <v>20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v>
      </c>
      <c r="C715" s="73">
        <f t="shared" si="355"/>
        <v>15</v>
      </c>
      <c r="D715" s="74">
        <f t="shared" si="338"/>
        <v>3</v>
      </c>
      <c r="E715" s="75">
        <f t="shared" si="339"/>
        <v>52</v>
      </c>
      <c r="F715" s="79"/>
      <c r="G715" s="82"/>
      <c r="H715" s="68" t="str">
        <f t="shared" si="356"/>
        <v>Clesim6_20211115_03_00</v>
      </c>
      <c r="I715" s="69">
        <f t="shared" si="357"/>
        <v>1</v>
      </c>
      <c r="J715" s="76" t="str">
        <f t="shared" si="357"/>
        <v>Clematis</v>
      </c>
      <c r="K715" s="76" t="str">
        <f t="shared" si="357"/>
        <v>simense</v>
      </c>
      <c r="L715" s="77">
        <f t="shared" si="357"/>
        <v>6</v>
      </c>
      <c r="M715" s="77">
        <f t="shared" si="357"/>
        <v>20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v>
      </c>
      <c r="C716" s="73">
        <f t="shared" si="355"/>
        <v>15</v>
      </c>
      <c r="D716" s="74">
        <f t="shared" si="338"/>
        <v>3</v>
      </c>
      <c r="E716" s="75">
        <f t="shared" si="339"/>
        <v>53</v>
      </c>
      <c r="F716" s="79"/>
      <c r="G716" s="82"/>
      <c r="H716" s="68" t="str">
        <f t="shared" si="356"/>
        <v>Clesim6_20211115_03_00</v>
      </c>
      <c r="I716" s="69">
        <f t="shared" si="357"/>
        <v>1</v>
      </c>
      <c r="J716" s="76" t="str">
        <f t="shared" si="357"/>
        <v>Clematis</v>
      </c>
      <c r="K716" s="76" t="str">
        <f t="shared" si="357"/>
        <v>simense</v>
      </c>
      <c r="L716" s="77">
        <f t="shared" si="357"/>
        <v>6</v>
      </c>
      <c r="M716" s="77">
        <f t="shared" si="357"/>
        <v>20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v>
      </c>
      <c r="C717" s="73">
        <f t="shared" si="355"/>
        <v>15</v>
      </c>
      <c r="D717" s="74">
        <f t="shared" si="338"/>
        <v>3</v>
      </c>
      <c r="E717" s="75">
        <f t="shared" si="339"/>
        <v>54</v>
      </c>
      <c r="F717" s="79"/>
      <c r="G717" s="82"/>
      <c r="H717" s="68" t="str">
        <f t="shared" si="356"/>
        <v>Clesim6_20211115_03_00</v>
      </c>
      <c r="I717" s="69">
        <f t="shared" si="357"/>
        <v>1</v>
      </c>
      <c r="J717" s="76" t="str">
        <f t="shared" si="357"/>
        <v>Clematis</v>
      </c>
      <c r="K717" s="76" t="str">
        <f t="shared" si="357"/>
        <v>simense</v>
      </c>
      <c r="L717" s="77">
        <f t="shared" si="357"/>
        <v>6</v>
      </c>
      <c r="M717" s="77">
        <f t="shared" si="357"/>
        <v>20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v>
      </c>
      <c r="C718" s="73">
        <f t="shared" si="355"/>
        <v>15</v>
      </c>
      <c r="D718" s="74">
        <f t="shared" si="338"/>
        <v>3</v>
      </c>
      <c r="E718" s="75">
        <f t="shared" si="339"/>
        <v>55</v>
      </c>
      <c r="F718" s="79"/>
      <c r="G718" s="82"/>
      <c r="H718" s="68" t="str">
        <f t="shared" si="356"/>
        <v>Clesim6_20211115_03_00</v>
      </c>
      <c r="I718" s="69">
        <f t="shared" si="357"/>
        <v>1</v>
      </c>
      <c r="J718" s="76" t="str">
        <f t="shared" si="357"/>
        <v>Clematis</v>
      </c>
      <c r="K718" s="76" t="str">
        <f t="shared" si="357"/>
        <v>simense</v>
      </c>
      <c r="L718" s="77">
        <f t="shared" si="357"/>
        <v>6</v>
      </c>
      <c r="M718" s="77">
        <f t="shared" si="357"/>
        <v>20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v>
      </c>
      <c r="C719" s="73">
        <f t="shared" si="355"/>
        <v>15</v>
      </c>
      <c r="D719" s="74">
        <f t="shared" si="338"/>
        <v>3</v>
      </c>
      <c r="E719" s="75">
        <f t="shared" si="339"/>
        <v>56</v>
      </c>
      <c r="F719" s="79"/>
      <c r="G719" s="82"/>
      <c r="H719" s="68" t="str">
        <f t="shared" si="356"/>
        <v>Clesim6_20211115_03_00</v>
      </c>
      <c r="I719" s="69">
        <f t="shared" si="357"/>
        <v>1</v>
      </c>
      <c r="J719" s="76" t="str">
        <f t="shared" si="357"/>
        <v>Clematis</v>
      </c>
      <c r="K719" s="76" t="str">
        <f t="shared" si="357"/>
        <v>simense</v>
      </c>
      <c r="L719" s="77">
        <f t="shared" si="357"/>
        <v>6</v>
      </c>
      <c r="M719" s="77">
        <f t="shared" si="357"/>
        <v>20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v>
      </c>
      <c r="C720" s="73">
        <f t="shared" si="355"/>
        <v>15</v>
      </c>
      <c r="D720" s="74">
        <f t="shared" si="338"/>
        <v>3</v>
      </c>
      <c r="E720" s="75">
        <f t="shared" si="339"/>
        <v>57</v>
      </c>
      <c r="F720" s="79"/>
      <c r="G720" s="82"/>
      <c r="H720" s="68" t="str">
        <f t="shared" si="356"/>
        <v>Clesim6_20211115_03_00</v>
      </c>
      <c r="I720" s="69">
        <f t="shared" si="357"/>
        <v>1</v>
      </c>
      <c r="J720" s="76" t="str">
        <f t="shared" si="357"/>
        <v>Clematis</v>
      </c>
      <c r="K720" s="76" t="str">
        <f t="shared" si="357"/>
        <v>simense</v>
      </c>
      <c r="L720" s="77">
        <f t="shared" si="357"/>
        <v>6</v>
      </c>
      <c r="M720" s="77">
        <f t="shared" si="357"/>
        <v>20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v>
      </c>
      <c r="C721" s="73">
        <f t="shared" si="355"/>
        <v>15</v>
      </c>
      <c r="D721" s="74">
        <f t="shared" si="338"/>
        <v>3</v>
      </c>
      <c r="E721" s="75">
        <f t="shared" si="339"/>
        <v>58</v>
      </c>
      <c r="F721" s="79"/>
      <c r="G721" s="82"/>
      <c r="H721" s="68" t="str">
        <f t="shared" si="356"/>
        <v>Clesim6_20211115_03_00</v>
      </c>
      <c r="I721" s="69">
        <f t="shared" si="357"/>
        <v>1</v>
      </c>
      <c r="J721" s="76" t="str">
        <f t="shared" si="357"/>
        <v>Clematis</v>
      </c>
      <c r="K721" s="76" t="str">
        <f t="shared" si="357"/>
        <v>simense</v>
      </c>
      <c r="L721" s="77">
        <f t="shared" si="357"/>
        <v>6</v>
      </c>
      <c r="M721" s="77">
        <f t="shared" si="357"/>
        <v>20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v>
      </c>
      <c r="C722" s="73">
        <f t="shared" si="355"/>
        <v>15</v>
      </c>
      <c r="D722" s="74">
        <f t="shared" si="338"/>
        <v>3</v>
      </c>
      <c r="E722" s="75">
        <f t="shared" si="339"/>
        <v>59</v>
      </c>
      <c r="F722" s="79"/>
      <c r="G722" s="82"/>
      <c r="H722" s="68" t="str">
        <f t="shared" si="356"/>
        <v>Clesim6_20211115_03_00</v>
      </c>
      <c r="I722" s="69">
        <f t="shared" si="357"/>
        <v>1</v>
      </c>
      <c r="J722" s="76" t="str">
        <f t="shared" si="357"/>
        <v>Clematis</v>
      </c>
      <c r="K722" s="76" t="str">
        <f t="shared" si="357"/>
        <v>simense</v>
      </c>
      <c r="L722" s="77">
        <f t="shared" si="357"/>
        <v>6</v>
      </c>
      <c r="M722" s="77">
        <f t="shared" si="357"/>
        <v>20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v>
      </c>
      <c r="C723" s="73">
        <f t="shared" si="355"/>
        <v>15</v>
      </c>
      <c r="D723" s="74">
        <f t="shared" si="338"/>
        <v>4</v>
      </c>
      <c r="E723" s="75">
        <f t="shared" si="339"/>
        <v>0</v>
      </c>
      <c r="F723" s="79"/>
      <c r="G723" s="82"/>
      <c r="H723" s="68" t="str">
        <f t="shared" si="356"/>
        <v>Clesim6_20211115_04_00</v>
      </c>
      <c r="I723" s="69">
        <f t="shared" si="357"/>
        <v>1</v>
      </c>
      <c r="J723" s="76" t="str">
        <f t="shared" si="357"/>
        <v>Clematis</v>
      </c>
      <c r="K723" s="76" t="str">
        <f t="shared" si="357"/>
        <v>simense</v>
      </c>
      <c r="L723" s="77">
        <f t="shared" si="357"/>
        <v>6</v>
      </c>
      <c r="M723" s="77">
        <f t="shared" si="357"/>
        <v>20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v>
      </c>
      <c r="C724" s="73">
        <f t="shared" si="355"/>
        <v>15</v>
      </c>
      <c r="D724" s="74">
        <f t="shared" si="338"/>
        <v>4</v>
      </c>
      <c r="E724" s="75">
        <f t="shared" si="339"/>
        <v>1</v>
      </c>
      <c r="F724" s="79"/>
      <c r="G724" s="82"/>
      <c r="H724" s="68" t="str">
        <f t="shared" si="356"/>
        <v>Clesim6_20211115_04_00</v>
      </c>
      <c r="I724" s="69">
        <f t="shared" si="357"/>
        <v>1</v>
      </c>
      <c r="J724" s="76" t="str">
        <f t="shared" si="357"/>
        <v>Clematis</v>
      </c>
      <c r="K724" s="76" t="str">
        <f t="shared" si="357"/>
        <v>simense</v>
      </c>
      <c r="L724" s="77">
        <f t="shared" si="357"/>
        <v>6</v>
      </c>
      <c r="M724" s="77">
        <f t="shared" si="357"/>
        <v>20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v>
      </c>
      <c r="C725" s="73">
        <f t="shared" si="355"/>
        <v>15</v>
      </c>
      <c r="D725" s="74">
        <f t="shared" si="338"/>
        <v>4</v>
      </c>
      <c r="E725" s="75">
        <f t="shared" si="339"/>
        <v>2</v>
      </c>
      <c r="F725" s="79"/>
      <c r="G725" s="82"/>
      <c r="H725" s="68" t="str">
        <f t="shared" si="356"/>
        <v>Clesim6_20211115_04_00</v>
      </c>
      <c r="I725" s="69">
        <f t="shared" ref="I725:N740" si="358">I724</f>
        <v>1</v>
      </c>
      <c r="J725" s="76" t="str">
        <f t="shared" si="358"/>
        <v>Clematis</v>
      </c>
      <c r="K725" s="76" t="str">
        <f t="shared" si="358"/>
        <v>simense</v>
      </c>
      <c r="L725" s="77">
        <f t="shared" si="358"/>
        <v>6</v>
      </c>
      <c r="M725" s="77">
        <f t="shared" si="358"/>
        <v>20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v>
      </c>
      <c r="C726" s="73">
        <f t="shared" si="355"/>
        <v>15</v>
      </c>
      <c r="D726" s="74">
        <f t="shared" si="338"/>
        <v>4</v>
      </c>
      <c r="E726" s="75">
        <f t="shared" si="339"/>
        <v>3</v>
      </c>
      <c r="F726" s="79"/>
      <c r="G726" s="82"/>
      <c r="H726" s="68" t="str">
        <f t="shared" si="356"/>
        <v>Clesim6_20211115_04_00</v>
      </c>
      <c r="I726" s="69">
        <f t="shared" si="358"/>
        <v>1</v>
      </c>
      <c r="J726" s="76" t="str">
        <f t="shared" si="358"/>
        <v>Clematis</v>
      </c>
      <c r="K726" s="76" t="str">
        <f t="shared" si="358"/>
        <v>simense</v>
      </c>
      <c r="L726" s="77">
        <f t="shared" si="358"/>
        <v>6</v>
      </c>
      <c r="M726" s="77">
        <f t="shared" si="358"/>
        <v>20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v>
      </c>
      <c r="C727" s="73">
        <f t="shared" si="355"/>
        <v>15</v>
      </c>
      <c r="D727" s="74">
        <f t="shared" si="338"/>
        <v>4</v>
      </c>
      <c r="E727" s="75">
        <f t="shared" si="339"/>
        <v>4</v>
      </c>
      <c r="F727" s="79"/>
      <c r="G727" s="82"/>
      <c r="H727" s="68" t="str">
        <f t="shared" si="356"/>
        <v>Clesim6_20211115_04_00</v>
      </c>
      <c r="I727" s="69">
        <f t="shared" si="358"/>
        <v>1</v>
      </c>
      <c r="J727" s="76" t="str">
        <f t="shared" si="358"/>
        <v>Clematis</v>
      </c>
      <c r="K727" s="76" t="str">
        <f t="shared" si="358"/>
        <v>simense</v>
      </c>
      <c r="L727" s="77">
        <f t="shared" si="358"/>
        <v>6</v>
      </c>
      <c r="M727" s="77">
        <f t="shared" si="358"/>
        <v>20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v>
      </c>
      <c r="C728" s="73">
        <f t="shared" si="355"/>
        <v>15</v>
      </c>
      <c r="D728" s="74">
        <f t="shared" si="338"/>
        <v>4</v>
      </c>
      <c r="E728" s="75">
        <f t="shared" si="339"/>
        <v>5</v>
      </c>
      <c r="F728" s="79"/>
      <c r="G728" s="82"/>
      <c r="H728" s="68" t="str">
        <f t="shared" si="356"/>
        <v>Clesim6_20211115_04_00</v>
      </c>
      <c r="I728" s="69">
        <f t="shared" si="358"/>
        <v>1</v>
      </c>
      <c r="J728" s="76" t="str">
        <f t="shared" si="358"/>
        <v>Clematis</v>
      </c>
      <c r="K728" s="76" t="str">
        <f t="shared" si="358"/>
        <v>simense</v>
      </c>
      <c r="L728" s="77">
        <f t="shared" si="358"/>
        <v>6</v>
      </c>
      <c r="M728" s="77">
        <f t="shared" si="358"/>
        <v>20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v>
      </c>
      <c r="C729" s="73">
        <f t="shared" si="355"/>
        <v>15</v>
      </c>
      <c r="D729" s="74">
        <f t="shared" si="338"/>
        <v>4</v>
      </c>
      <c r="E729" s="75">
        <f t="shared" si="339"/>
        <v>6</v>
      </c>
      <c r="F729" s="79"/>
      <c r="G729" s="82"/>
      <c r="H729" s="68" t="str">
        <f t="shared" si="356"/>
        <v>Clesim6_20211115_04_00</v>
      </c>
      <c r="I729" s="69">
        <f t="shared" si="358"/>
        <v>1</v>
      </c>
      <c r="J729" s="76" t="str">
        <f t="shared" si="358"/>
        <v>Clematis</v>
      </c>
      <c r="K729" s="76" t="str">
        <f t="shared" si="358"/>
        <v>simense</v>
      </c>
      <c r="L729" s="77">
        <f t="shared" si="358"/>
        <v>6</v>
      </c>
      <c r="M729" s="77">
        <f t="shared" si="358"/>
        <v>20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v>
      </c>
      <c r="C730" s="73">
        <f t="shared" si="355"/>
        <v>15</v>
      </c>
      <c r="D730" s="74">
        <f t="shared" si="338"/>
        <v>4</v>
      </c>
      <c r="E730" s="75">
        <f t="shared" si="339"/>
        <v>7</v>
      </c>
      <c r="F730" s="79"/>
      <c r="G730" s="82"/>
      <c r="H730" s="68" t="str">
        <f t="shared" si="356"/>
        <v>Clesim6_20211115_04_00</v>
      </c>
      <c r="I730" s="69">
        <f t="shared" si="358"/>
        <v>1</v>
      </c>
      <c r="J730" s="76" t="str">
        <f t="shared" si="358"/>
        <v>Clematis</v>
      </c>
      <c r="K730" s="76" t="str">
        <f t="shared" si="358"/>
        <v>simense</v>
      </c>
      <c r="L730" s="77">
        <f t="shared" si="358"/>
        <v>6</v>
      </c>
      <c r="M730" s="77">
        <f t="shared" si="358"/>
        <v>20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v>
      </c>
      <c r="C731" s="73">
        <f t="shared" si="355"/>
        <v>15</v>
      </c>
      <c r="D731" s="74">
        <f t="shared" si="338"/>
        <v>4</v>
      </c>
      <c r="E731" s="75">
        <f t="shared" si="339"/>
        <v>8</v>
      </c>
      <c r="F731" s="79"/>
      <c r="G731" s="82"/>
      <c r="H731" s="68" t="str">
        <f t="shared" si="356"/>
        <v>Clesim6_20211115_04_00</v>
      </c>
      <c r="I731" s="69">
        <f t="shared" si="358"/>
        <v>1</v>
      </c>
      <c r="J731" s="76" t="str">
        <f t="shared" si="358"/>
        <v>Clematis</v>
      </c>
      <c r="K731" s="76" t="str">
        <f t="shared" si="358"/>
        <v>simense</v>
      </c>
      <c r="L731" s="77">
        <f t="shared" si="358"/>
        <v>6</v>
      </c>
      <c r="M731" s="77">
        <f t="shared" si="358"/>
        <v>20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v>
      </c>
      <c r="C732" s="73">
        <f t="shared" si="355"/>
        <v>15</v>
      </c>
      <c r="D732" s="74">
        <f t="shared" si="338"/>
        <v>4</v>
      </c>
      <c r="E732" s="75">
        <f t="shared" si="339"/>
        <v>9</v>
      </c>
      <c r="F732" s="79"/>
      <c r="G732" s="82"/>
      <c r="H732" s="68" t="str">
        <f t="shared" si="356"/>
        <v>Clesim6_20211115_04_00</v>
      </c>
      <c r="I732" s="69">
        <f t="shared" si="358"/>
        <v>1</v>
      </c>
      <c r="J732" s="76" t="str">
        <f t="shared" si="358"/>
        <v>Clematis</v>
      </c>
      <c r="K732" s="76" t="str">
        <f t="shared" si="358"/>
        <v>simense</v>
      </c>
      <c r="L732" s="77">
        <f t="shared" si="358"/>
        <v>6</v>
      </c>
      <c r="M732" s="77">
        <f t="shared" si="358"/>
        <v>20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v>
      </c>
      <c r="C733" s="73">
        <f t="shared" si="355"/>
        <v>15</v>
      </c>
      <c r="D733" s="74">
        <f t="shared" si="338"/>
        <v>4</v>
      </c>
      <c r="E733" s="75">
        <f t="shared" si="339"/>
        <v>10</v>
      </c>
      <c r="F733" s="79"/>
      <c r="G733" s="82"/>
      <c r="H733" s="68" t="str">
        <f t="shared" si="356"/>
        <v>Clesim6_20211115_04_00</v>
      </c>
      <c r="I733" s="69">
        <f t="shared" si="358"/>
        <v>1</v>
      </c>
      <c r="J733" s="76" t="str">
        <f t="shared" si="358"/>
        <v>Clematis</v>
      </c>
      <c r="K733" s="76" t="str">
        <f t="shared" si="358"/>
        <v>simense</v>
      </c>
      <c r="L733" s="77">
        <f t="shared" si="358"/>
        <v>6</v>
      </c>
      <c r="M733" s="77">
        <f t="shared" si="358"/>
        <v>20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v>
      </c>
      <c r="C734" s="73">
        <f t="shared" si="355"/>
        <v>15</v>
      </c>
      <c r="D734" s="74">
        <f t="shared" si="338"/>
        <v>4</v>
      </c>
      <c r="E734" s="75">
        <f t="shared" si="339"/>
        <v>11</v>
      </c>
      <c r="F734" s="79"/>
      <c r="G734" s="82"/>
      <c r="H734" s="68" t="str">
        <f t="shared" si="356"/>
        <v>Clesim6_20211115_04_00</v>
      </c>
      <c r="I734" s="69">
        <f t="shared" si="358"/>
        <v>1</v>
      </c>
      <c r="J734" s="76" t="str">
        <f t="shared" si="358"/>
        <v>Clematis</v>
      </c>
      <c r="K734" s="76" t="str">
        <f t="shared" si="358"/>
        <v>simense</v>
      </c>
      <c r="L734" s="77">
        <f t="shared" si="358"/>
        <v>6</v>
      </c>
      <c r="M734" s="77">
        <f t="shared" si="358"/>
        <v>20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v>
      </c>
      <c r="C735" s="73">
        <f t="shared" si="355"/>
        <v>15</v>
      </c>
      <c r="D735" s="74">
        <f t="shared" si="338"/>
        <v>4</v>
      </c>
      <c r="E735" s="75">
        <f t="shared" si="339"/>
        <v>12</v>
      </c>
      <c r="F735" s="79"/>
      <c r="G735" s="82"/>
      <c r="H735" s="68" t="str">
        <f t="shared" si="356"/>
        <v>Clesim6_20211115_04_00</v>
      </c>
      <c r="I735" s="69">
        <f t="shared" si="358"/>
        <v>1</v>
      </c>
      <c r="J735" s="76" t="str">
        <f t="shared" si="358"/>
        <v>Clematis</v>
      </c>
      <c r="K735" s="76" t="str">
        <f t="shared" si="358"/>
        <v>simense</v>
      </c>
      <c r="L735" s="77">
        <f t="shared" si="358"/>
        <v>6</v>
      </c>
      <c r="M735" s="77">
        <f t="shared" si="358"/>
        <v>20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v>
      </c>
      <c r="C736" s="73">
        <f t="shared" si="355"/>
        <v>15</v>
      </c>
      <c r="D736" s="74">
        <f t="shared" si="338"/>
        <v>4</v>
      </c>
      <c r="E736" s="75">
        <f t="shared" si="339"/>
        <v>13</v>
      </c>
      <c r="F736" s="79"/>
      <c r="G736" s="82"/>
      <c r="H736" s="68" t="str">
        <f t="shared" si="356"/>
        <v>Clesim6_20211115_04_00</v>
      </c>
      <c r="I736" s="69">
        <f t="shared" si="358"/>
        <v>1</v>
      </c>
      <c r="J736" s="76" t="str">
        <f t="shared" si="358"/>
        <v>Clematis</v>
      </c>
      <c r="K736" s="76" t="str">
        <f t="shared" si="358"/>
        <v>simense</v>
      </c>
      <c r="L736" s="77">
        <f t="shared" si="358"/>
        <v>6</v>
      </c>
      <c r="M736" s="77">
        <f t="shared" si="358"/>
        <v>20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v>
      </c>
      <c r="C737" s="73">
        <f t="shared" si="355"/>
        <v>15</v>
      </c>
      <c r="D737" s="74">
        <f t="shared" si="338"/>
        <v>4</v>
      </c>
      <c r="E737" s="75">
        <f t="shared" si="339"/>
        <v>14</v>
      </c>
      <c r="F737" s="79"/>
      <c r="G737" s="82"/>
      <c r="H737" s="68" t="str">
        <f t="shared" si="356"/>
        <v>Clesim6_20211115_04_00</v>
      </c>
      <c r="I737" s="69">
        <f t="shared" si="358"/>
        <v>1</v>
      </c>
      <c r="J737" s="76" t="str">
        <f t="shared" si="358"/>
        <v>Clematis</v>
      </c>
      <c r="K737" s="76" t="str">
        <f t="shared" si="358"/>
        <v>simense</v>
      </c>
      <c r="L737" s="77">
        <f t="shared" si="358"/>
        <v>6</v>
      </c>
      <c r="M737" s="77">
        <f t="shared" si="358"/>
        <v>20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v>
      </c>
      <c r="C738" s="73">
        <f t="shared" si="355"/>
        <v>15</v>
      </c>
      <c r="D738" s="74">
        <f t="shared" si="338"/>
        <v>4</v>
      </c>
      <c r="E738" s="75">
        <f t="shared" si="339"/>
        <v>15</v>
      </c>
      <c r="F738" s="79"/>
      <c r="G738" s="82"/>
      <c r="H738" s="68" t="str">
        <f t="shared" si="356"/>
        <v>Clesim6_20211115_04_00</v>
      </c>
      <c r="I738" s="69">
        <f t="shared" si="358"/>
        <v>1</v>
      </c>
      <c r="J738" s="76" t="str">
        <f t="shared" si="358"/>
        <v>Clematis</v>
      </c>
      <c r="K738" s="76" t="str">
        <f t="shared" si="358"/>
        <v>simense</v>
      </c>
      <c r="L738" s="77">
        <f t="shared" si="358"/>
        <v>6</v>
      </c>
      <c r="M738" s="77">
        <f t="shared" si="358"/>
        <v>20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v>
      </c>
      <c r="C739" s="73">
        <f t="shared" si="355"/>
        <v>15</v>
      </c>
      <c r="D739" s="74">
        <f t="shared" si="338"/>
        <v>4</v>
      </c>
      <c r="E739" s="75">
        <f t="shared" si="339"/>
        <v>16</v>
      </c>
      <c r="F739" s="79"/>
      <c r="G739" s="82"/>
      <c r="H739" s="68" t="str">
        <f t="shared" si="356"/>
        <v>Clesim6_20211115_04_00</v>
      </c>
      <c r="I739" s="69">
        <f t="shared" si="358"/>
        <v>1</v>
      </c>
      <c r="J739" s="76" t="str">
        <f t="shared" si="358"/>
        <v>Clematis</v>
      </c>
      <c r="K739" s="76" t="str">
        <f t="shared" si="358"/>
        <v>simense</v>
      </c>
      <c r="L739" s="77">
        <f t="shared" si="358"/>
        <v>6</v>
      </c>
      <c r="M739" s="77">
        <f t="shared" si="358"/>
        <v>20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v>
      </c>
      <c r="C740" s="73">
        <f t="shared" si="355"/>
        <v>15</v>
      </c>
      <c r="D740" s="74">
        <f t="shared" si="338"/>
        <v>4</v>
      </c>
      <c r="E740" s="75">
        <f t="shared" si="339"/>
        <v>17</v>
      </c>
      <c r="F740" s="79"/>
      <c r="G740" s="82"/>
      <c r="H740" s="68" t="str">
        <f t="shared" si="356"/>
        <v>Clesim6_20211115_04_00</v>
      </c>
      <c r="I740" s="69">
        <f t="shared" si="358"/>
        <v>1</v>
      </c>
      <c r="J740" s="76" t="str">
        <f t="shared" si="358"/>
        <v>Clematis</v>
      </c>
      <c r="K740" s="76" t="str">
        <f t="shared" si="358"/>
        <v>simense</v>
      </c>
      <c r="L740" s="77">
        <f t="shared" si="358"/>
        <v>6</v>
      </c>
      <c r="M740" s="77">
        <f t="shared" si="358"/>
        <v>20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v>
      </c>
      <c r="C741" s="73">
        <f t="shared" si="355"/>
        <v>15</v>
      </c>
      <c r="D741" s="74">
        <f t="shared" si="338"/>
        <v>4</v>
      </c>
      <c r="E741" s="75">
        <f t="shared" si="339"/>
        <v>18</v>
      </c>
      <c r="F741" s="79"/>
      <c r="G741" s="82"/>
      <c r="H741" s="68" t="str">
        <f t="shared" si="356"/>
        <v>Clesim6_20211115_04_00</v>
      </c>
      <c r="I741" s="69">
        <f t="shared" ref="I741:N756" si="359">I740</f>
        <v>1</v>
      </c>
      <c r="J741" s="76" t="str">
        <f t="shared" si="359"/>
        <v>Clematis</v>
      </c>
      <c r="K741" s="76" t="str">
        <f t="shared" si="359"/>
        <v>simense</v>
      </c>
      <c r="L741" s="77">
        <f t="shared" si="359"/>
        <v>6</v>
      </c>
      <c r="M741" s="77">
        <f t="shared" si="359"/>
        <v>20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v>
      </c>
      <c r="C742" s="73">
        <f t="shared" si="355"/>
        <v>15</v>
      </c>
      <c r="D742" s="74">
        <f t="shared" si="338"/>
        <v>4</v>
      </c>
      <c r="E742" s="75">
        <f t="shared" si="339"/>
        <v>19</v>
      </c>
      <c r="F742" s="79"/>
      <c r="G742" s="82"/>
      <c r="H742" s="68" t="str">
        <f t="shared" si="356"/>
        <v>Clesim6_20211115_04_00</v>
      </c>
      <c r="I742" s="69">
        <f t="shared" si="359"/>
        <v>1</v>
      </c>
      <c r="J742" s="76" t="str">
        <f t="shared" si="359"/>
        <v>Clematis</v>
      </c>
      <c r="K742" s="76" t="str">
        <f t="shared" si="359"/>
        <v>simense</v>
      </c>
      <c r="L742" s="77">
        <f t="shared" si="359"/>
        <v>6</v>
      </c>
      <c r="M742" s="77">
        <f t="shared" si="359"/>
        <v>20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v>
      </c>
      <c r="C743" s="73">
        <f t="shared" si="355"/>
        <v>15</v>
      </c>
      <c r="D743" s="74">
        <f t="shared" si="338"/>
        <v>4</v>
      </c>
      <c r="E743" s="75">
        <f t="shared" si="339"/>
        <v>20</v>
      </c>
      <c r="F743" s="79"/>
      <c r="G743" s="82"/>
      <c r="H743" s="68" t="str">
        <f t="shared" si="356"/>
        <v>Clesim6_20211115_04_00</v>
      </c>
      <c r="I743" s="69">
        <f t="shared" si="359"/>
        <v>1</v>
      </c>
      <c r="J743" s="76" t="str">
        <f t="shared" si="359"/>
        <v>Clematis</v>
      </c>
      <c r="K743" s="76" t="str">
        <f t="shared" si="359"/>
        <v>simense</v>
      </c>
      <c r="L743" s="77">
        <f t="shared" si="359"/>
        <v>6</v>
      </c>
      <c r="M743" s="77">
        <f t="shared" si="359"/>
        <v>20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v>
      </c>
      <c r="C744" s="73">
        <f t="shared" si="355"/>
        <v>15</v>
      </c>
      <c r="D744" s="74">
        <f t="shared" si="338"/>
        <v>4</v>
      </c>
      <c r="E744" s="75">
        <f t="shared" si="339"/>
        <v>21</v>
      </c>
      <c r="F744" s="79"/>
      <c r="G744" s="82"/>
      <c r="H744" s="68" t="str">
        <f t="shared" si="356"/>
        <v>Clesim6_20211115_04_00</v>
      </c>
      <c r="I744" s="69">
        <f t="shared" si="359"/>
        <v>1</v>
      </c>
      <c r="J744" s="76" t="str">
        <f t="shared" si="359"/>
        <v>Clematis</v>
      </c>
      <c r="K744" s="76" t="str">
        <f t="shared" si="359"/>
        <v>simense</v>
      </c>
      <c r="L744" s="77">
        <f t="shared" si="359"/>
        <v>6</v>
      </c>
      <c r="M744" s="77">
        <f t="shared" si="359"/>
        <v>20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v>
      </c>
      <c r="C745" s="73">
        <f t="shared" si="355"/>
        <v>15</v>
      </c>
      <c r="D745" s="74">
        <f t="shared" si="338"/>
        <v>4</v>
      </c>
      <c r="E745" s="75">
        <f t="shared" si="339"/>
        <v>22</v>
      </c>
      <c r="F745" s="79"/>
      <c r="G745" s="82"/>
      <c r="H745" s="68" t="str">
        <f t="shared" si="356"/>
        <v>Clesim6_20211115_04_00</v>
      </c>
      <c r="I745" s="69">
        <f t="shared" si="359"/>
        <v>1</v>
      </c>
      <c r="J745" s="76" t="str">
        <f t="shared" si="359"/>
        <v>Clematis</v>
      </c>
      <c r="K745" s="76" t="str">
        <f t="shared" si="359"/>
        <v>simense</v>
      </c>
      <c r="L745" s="77">
        <f t="shared" si="359"/>
        <v>6</v>
      </c>
      <c r="M745" s="77">
        <f t="shared" si="359"/>
        <v>20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v>
      </c>
      <c r="C746" s="73">
        <f t="shared" si="355"/>
        <v>15</v>
      </c>
      <c r="D746" s="74">
        <f t="shared" si="338"/>
        <v>4</v>
      </c>
      <c r="E746" s="75">
        <f t="shared" si="339"/>
        <v>23</v>
      </c>
      <c r="F746" s="79"/>
      <c r="G746" s="82"/>
      <c r="H746" s="68" t="str">
        <f t="shared" si="356"/>
        <v>Clesim6_20211115_04_00</v>
      </c>
      <c r="I746" s="69">
        <f t="shared" si="359"/>
        <v>1</v>
      </c>
      <c r="J746" s="76" t="str">
        <f t="shared" si="359"/>
        <v>Clematis</v>
      </c>
      <c r="K746" s="76" t="str">
        <f t="shared" si="359"/>
        <v>simense</v>
      </c>
      <c r="L746" s="77">
        <f t="shared" si="359"/>
        <v>6</v>
      </c>
      <c r="M746" s="77">
        <f t="shared" si="359"/>
        <v>20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v>
      </c>
      <c r="C747" s="73">
        <f t="shared" si="355"/>
        <v>15</v>
      </c>
      <c r="D747" s="74">
        <f t="shared" si="338"/>
        <v>4</v>
      </c>
      <c r="E747" s="75">
        <f t="shared" si="339"/>
        <v>24</v>
      </c>
      <c r="F747" s="79"/>
      <c r="G747" s="82"/>
      <c r="H747" s="68" t="str">
        <f t="shared" si="356"/>
        <v>Clesim6_20211115_04_00</v>
      </c>
      <c r="I747" s="69">
        <f t="shared" si="359"/>
        <v>1</v>
      </c>
      <c r="J747" s="76" t="str">
        <f t="shared" si="359"/>
        <v>Clematis</v>
      </c>
      <c r="K747" s="76" t="str">
        <f t="shared" si="359"/>
        <v>simense</v>
      </c>
      <c r="L747" s="77">
        <f t="shared" si="359"/>
        <v>6</v>
      </c>
      <c r="M747" s="77">
        <f t="shared" si="359"/>
        <v>20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v>
      </c>
      <c r="C748" s="73">
        <f t="shared" si="355"/>
        <v>15</v>
      </c>
      <c r="D748" s="74">
        <f t="shared" si="338"/>
        <v>4</v>
      </c>
      <c r="E748" s="75">
        <f t="shared" si="339"/>
        <v>25</v>
      </c>
      <c r="F748" s="79"/>
      <c r="G748" s="82"/>
      <c r="H748" s="68" t="str">
        <f t="shared" si="356"/>
        <v>Clesim6_20211115_04_00</v>
      </c>
      <c r="I748" s="69">
        <f t="shared" si="359"/>
        <v>1</v>
      </c>
      <c r="J748" s="76" t="str">
        <f t="shared" si="359"/>
        <v>Clematis</v>
      </c>
      <c r="K748" s="76" t="str">
        <f t="shared" si="359"/>
        <v>simense</v>
      </c>
      <c r="L748" s="77">
        <f t="shared" si="359"/>
        <v>6</v>
      </c>
      <c r="M748" s="77">
        <f t="shared" si="359"/>
        <v>20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v>
      </c>
      <c r="C749" s="73">
        <f t="shared" si="355"/>
        <v>15</v>
      </c>
      <c r="D749" s="74">
        <f t="shared" si="338"/>
        <v>4</v>
      </c>
      <c r="E749" s="75">
        <f t="shared" si="339"/>
        <v>26</v>
      </c>
      <c r="F749" s="79"/>
      <c r="G749" s="82"/>
      <c r="H749" s="68" t="str">
        <f t="shared" si="356"/>
        <v>Clesim6_20211115_04_00</v>
      </c>
      <c r="I749" s="69">
        <f t="shared" si="359"/>
        <v>1</v>
      </c>
      <c r="J749" s="76" t="str">
        <f t="shared" si="359"/>
        <v>Clematis</v>
      </c>
      <c r="K749" s="76" t="str">
        <f t="shared" si="359"/>
        <v>simense</v>
      </c>
      <c r="L749" s="77">
        <f t="shared" si="359"/>
        <v>6</v>
      </c>
      <c r="M749" s="77">
        <f t="shared" si="359"/>
        <v>20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v>
      </c>
      <c r="C750" s="73">
        <f t="shared" si="355"/>
        <v>15</v>
      </c>
      <c r="D750" s="74">
        <f t="shared" si="338"/>
        <v>4</v>
      </c>
      <c r="E750" s="75">
        <f t="shared" si="339"/>
        <v>27</v>
      </c>
      <c r="F750" s="79"/>
      <c r="G750" s="82"/>
      <c r="H750" s="68" t="str">
        <f t="shared" si="356"/>
        <v>Clesim6_20211115_04_00</v>
      </c>
      <c r="I750" s="69">
        <f t="shared" si="359"/>
        <v>1</v>
      </c>
      <c r="J750" s="76" t="str">
        <f t="shared" si="359"/>
        <v>Clematis</v>
      </c>
      <c r="K750" s="76" t="str">
        <f t="shared" si="359"/>
        <v>simense</v>
      </c>
      <c r="L750" s="77">
        <f t="shared" si="359"/>
        <v>6</v>
      </c>
      <c r="M750" s="77">
        <f t="shared" si="359"/>
        <v>20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v>
      </c>
      <c r="C751" s="73">
        <f t="shared" si="355"/>
        <v>15</v>
      </c>
      <c r="D751" s="74">
        <f t="shared" si="338"/>
        <v>4</v>
      </c>
      <c r="E751" s="75">
        <f t="shared" si="339"/>
        <v>28</v>
      </c>
      <c r="F751" s="79"/>
      <c r="G751" s="82"/>
      <c r="H751" s="68" t="str">
        <f t="shared" si="356"/>
        <v>Clesim6_20211115_04_00</v>
      </c>
      <c r="I751" s="69">
        <f t="shared" si="359"/>
        <v>1</v>
      </c>
      <c r="J751" s="76" t="str">
        <f t="shared" si="359"/>
        <v>Clematis</v>
      </c>
      <c r="K751" s="76" t="str">
        <f t="shared" si="359"/>
        <v>simense</v>
      </c>
      <c r="L751" s="77">
        <f t="shared" si="359"/>
        <v>6</v>
      </c>
      <c r="M751" s="77">
        <f t="shared" si="359"/>
        <v>20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v>
      </c>
      <c r="C752" s="73">
        <f t="shared" si="355"/>
        <v>15</v>
      </c>
      <c r="D752" s="74">
        <f t="shared" si="338"/>
        <v>4</v>
      </c>
      <c r="E752" s="75">
        <f t="shared" si="339"/>
        <v>29</v>
      </c>
      <c r="F752" s="79"/>
      <c r="G752" s="82"/>
      <c r="H752" s="68" t="str">
        <f t="shared" si="356"/>
        <v>Clesim6_20211115_04_00</v>
      </c>
      <c r="I752" s="69">
        <f t="shared" si="359"/>
        <v>1</v>
      </c>
      <c r="J752" s="76" t="str">
        <f t="shared" si="359"/>
        <v>Clematis</v>
      </c>
      <c r="K752" s="76" t="str">
        <f t="shared" si="359"/>
        <v>simense</v>
      </c>
      <c r="L752" s="77">
        <f t="shared" si="359"/>
        <v>6</v>
      </c>
      <c r="M752" s="77">
        <f t="shared" si="359"/>
        <v>20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v>
      </c>
      <c r="C753" s="73">
        <f t="shared" si="355"/>
        <v>15</v>
      </c>
      <c r="D753" s="74">
        <f t="shared" si="338"/>
        <v>4</v>
      </c>
      <c r="E753" s="75">
        <f t="shared" si="339"/>
        <v>30</v>
      </c>
      <c r="F753" s="79"/>
      <c r="G753" s="82"/>
      <c r="H753" s="68" t="str">
        <f t="shared" si="356"/>
        <v>Clesim6_20211115_04_00</v>
      </c>
      <c r="I753" s="69">
        <f t="shared" si="359"/>
        <v>1</v>
      </c>
      <c r="J753" s="76" t="str">
        <f t="shared" si="359"/>
        <v>Clematis</v>
      </c>
      <c r="K753" s="76" t="str">
        <f t="shared" si="359"/>
        <v>simense</v>
      </c>
      <c r="L753" s="77">
        <f t="shared" si="359"/>
        <v>6</v>
      </c>
      <c r="M753" s="77">
        <f t="shared" si="359"/>
        <v>20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v>
      </c>
      <c r="C754" s="73">
        <f t="shared" si="355"/>
        <v>15</v>
      </c>
      <c r="D754" s="74">
        <f t="shared" si="338"/>
        <v>4</v>
      </c>
      <c r="E754" s="75">
        <f t="shared" si="339"/>
        <v>31</v>
      </c>
      <c r="F754" s="79"/>
      <c r="G754" s="82"/>
      <c r="H754" s="68" t="str">
        <f t="shared" si="356"/>
        <v>Clesim6_20211115_04_00</v>
      </c>
      <c r="I754" s="69">
        <f t="shared" si="359"/>
        <v>1</v>
      </c>
      <c r="J754" s="76" t="str">
        <f t="shared" si="359"/>
        <v>Clematis</v>
      </c>
      <c r="K754" s="76" t="str">
        <f t="shared" si="359"/>
        <v>simense</v>
      </c>
      <c r="L754" s="77">
        <f t="shared" si="359"/>
        <v>6</v>
      </c>
      <c r="M754" s="77">
        <f t="shared" si="359"/>
        <v>20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v>
      </c>
      <c r="C755" s="73">
        <f t="shared" si="355"/>
        <v>15</v>
      </c>
      <c r="D755" s="74">
        <f t="shared" si="338"/>
        <v>4</v>
      </c>
      <c r="E755" s="75">
        <f t="shared" si="339"/>
        <v>32</v>
      </c>
      <c r="F755" s="79"/>
      <c r="G755" s="82"/>
      <c r="H755" s="68" t="str">
        <f t="shared" si="356"/>
        <v>Clesim6_20211115_04_00</v>
      </c>
      <c r="I755" s="69">
        <f t="shared" si="359"/>
        <v>1</v>
      </c>
      <c r="J755" s="76" t="str">
        <f t="shared" si="359"/>
        <v>Clematis</v>
      </c>
      <c r="K755" s="76" t="str">
        <f t="shared" si="359"/>
        <v>simense</v>
      </c>
      <c r="L755" s="77">
        <f t="shared" si="359"/>
        <v>6</v>
      </c>
      <c r="M755" s="77">
        <f t="shared" si="359"/>
        <v>20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v>
      </c>
      <c r="C756" s="73">
        <f t="shared" si="355"/>
        <v>15</v>
      </c>
      <c r="D756" s="74">
        <f t="shared" si="338"/>
        <v>4</v>
      </c>
      <c r="E756" s="75">
        <f t="shared" si="339"/>
        <v>33</v>
      </c>
      <c r="F756" s="79"/>
      <c r="G756" s="82"/>
      <c r="H756" s="68" t="str">
        <f t="shared" si="356"/>
        <v>Clesim6_20211115_04_00</v>
      </c>
      <c r="I756" s="69">
        <f t="shared" si="359"/>
        <v>1</v>
      </c>
      <c r="J756" s="76" t="str">
        <f t="shared" si="359"/>
        <v>Clematis</v>
      </c>
      <c r="K756" s="76" t="str">
        <f t="shared" si="359"/>
        <v>simense</v>
      </c>
      <c r="L756" s="77">
        <f t="shared" si="359"/>
        <v>6</v>
      </c>
      <c r="M756" s="77">
        <f t="shared" si="359"/>
        <v>20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v>
      </c>
      <c r="C757" s="73">
        <f t="shared" si="355"/>
        <v>15</v>
      </c>
      <c r="D757" s="74">
        <f t="shared" si="338"/>
        <v>4</v>
      </c>
      <c r="E757" s="75">
        <f t="shared" si="339"/>
        <v>34</v>
      </c>
      <c r="F757" s="79"/>
      <c r="G757" s="82"/>
      <c r="H757" s="68" t="str">
        <f t="shared" si="356"/>
        <v>Clesim6_20211115_04_00</v>
      </c>
      <c r="I757" s="69">
        <f t="shared" ref="I757:N772" si="360">I756</f>
        <v>1</v>
      </c>
      <c r="J757" s="76" t="str">
        <f t="shared" si="360"/>
        <v>Clematis</v>
      </c>
      <c r="K757" s="76" t="str">
        <f t="shared" si="360"/>
        <v>simense</v>
      </c>
      <c r="L757" s="77">
        <f t="shared" si="360"/>
        <v>6</v>
      </c>
      <c r="M757" s="77">
        <f t="shared" si="360"/>
        <v>20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v>
      </c>
      <c r="C758" s="73">
        <f t="shared" si="355"/>
        <v>15</v>
      </c>
      <c r="D758" s="74">
        <f t="shared" si="338"/>
        <v>4</v>
      </c>
      <c r="E758" s="75">
        <f t="shared" si="339"/>
        <v>35</v>
      </c>
      <c r="F758" s="79"/>
      <c r="G758" s="82"/>
      <c r="H758" s="68" t="str">
        <f t="shared" si="356"/>
        <v>Clesim6_20211115_04_00</v>
      </c>
      <c r="I758" s="69">
        <f t="shared" si="360"/>
        <v>1</v>
      </c>
      <c r="J758" s="76" t="str">
        <f t="shared" si="360"/>
        <v>Clematis</v>
      </c>
      <c r="K758" s="76" t="str">
        <f t="shared" si="360"/>
        <v>simense</v>
      </c>
      <c r="L758" s="77">
        <f t="shared" si="360"/>
        <v>6</v>
      </c>
      <c r="M758" s="77">
        <f t="shared" si="360"/>
        <v>20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v>
      </c>
      <c r="C759" s="73">
        <f t="shared" si="355"/>
        <v>15</v>
      </c>
      <c r="D759" s="74">
        <f t="shared" si="338"/>
        <v>4</v>
      </c>
      <c r="E759" s="75">
        <f t="shared" si="339"/>
        <v>36</v>
      </c>
      <c r="F759" s="79"/>
      <c r="G759" s="82"/>
      <c r="H759" s="68" t="str">
        <f t="shared" si="356"/>
        <v>Clesim6_20211115_04_00</v>
      </c>
      <c r="I759" s="69">
        <f t="shared" si="360"/>
        <v>1</v>
      </c>
      <c r="J759" s="76" t="str">
        <f t="shared" si="360"/>
        <v>Clematis</v>
      </c>
      <c r="K759" s="76" t="str">
        <f t="shared" si="360"/>
        <v>simense</v>
      </c>
      <c r="L759" s="77">
        <f t="shared" si="360"/>
        <v>6</v>
      </c>
      <c r="M759" s="77">
        <f t="shared" si="360"/>
        <v>20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v>
      </c>
      <c r="C760" s="73">
        <f t="shared" si="355"/>
        <v>15</v>
      </c>
      <c r="D760" s="74">
        <f t="shared" si="338"/>
        <v>4</v>
      </c>
      <c r="E760" s="75">
        <f t="shared" si="339"/>
        <v>37</v>
      </c>
      <c r="F760" s="79"/>
      <c r="G760" s="82"/>
      <c r="H760" s="68" t="str">
        <f t="shared" si="356"/>
        <v>Clesim6_20211115_04_00</v>
      </c>
      <c r="I760" s="69">
        <f t="shared" si="360"/>
        <v>1</v>
      </c>
      <c r="J760" s="76" t="str">
        <f t="shared" si="360"/>
        <v>Clematis</v>
      </c>
      <c r="K760" s="76" t="str">
        <f t="shared" si="360"/>
        <v>simense</v>
      </c>
      <c r="L760" s="77">
        <f t="shared" si="360"/>
        <v>6</v>
      </c>
      <c r="M760" s="77">
        <f t="shared" si="360"/>
        <v>20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v>
      </c>
      <c r="C761" s="73">
        <f t="shared" si="355"/>
        <v>15</v>
      </c>
      <c r="D761" s="74">
        <f t="shared" si="338"/>
        <v>4</v>
      </c>
      <c r="E761" s="75">
        <f t="shared" si="339"/>
        <v>38</v>
      </c>
      <c r="F761" s="79"/>
      <c r="G761" s="82"/>
      <c r="H761" s="68" t="str">
        <f t="shared" si="356"/>
        <v>Clesim6_20211115_04_00</v>
      </c>
      <c r="I761" s="69">
        <f t="shared" si="360"/>
        <v>1</v>
      </c>
      <c r="J761" s="76" t="str">
        <f t="shared" si="360"/>
        <v>Clematis</v>
      </c>
      <c r="K761" s="76" t="str">
        <f t="shared" si="360"/>
        <v>simense</v>
      </c>
      <c r="L761" s="77">
        <f t="shared" si="360"/>
        <v>6</v>
      </c>
      <c r="M761" s="77">
        <f t="shared" si="360"/>
        <v>20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v>
      </c>
      <c r="C762" s="73">
        <f t="shared" si="355"/>
        <v>15</v>
      </c>
      <c r="D762" s="74">
        <f t="shared" si="338"/>
        <v>4</v>
      </c>
      <c r="E762" s="75">
        <f t="shared" si="339"/>
        <v>39</v>
      </c>
      <c r="F762" s="79"/>
      <c r="G762" s="82"/>
      <c r="H762" s="68" t="str">
        <f t="shared" si="356"/>
        <v>Clesim6_20211115_04_00</v>
      </c>
      <c r="I762" s="69">
        <f t="shared" si="360"/>
        <v>1</v>
      </c>
      <c r="J762" s="76" t="str">
        <f t="shared" si="360"/>
        <v>Clematis</v>
      </c>
      <c r="K762" s="76" t="str">
        <f t="shared" si="360"/>
        <v>simense</v>
      </c>
      <c r="L762" s="77">
        <f t="shared" si="360"/>
        <v>6</v>
      </c>
      <c r="M762" s="77">
        <f t="shared" si="360"/>
        <v>20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v>
      </c>
      <c r="C763" s="73">
        <f t="shared" si="355"/>
        <v>15</v>
      </c>
      <c r="D763" s="74">
        <f t="shared" si="338"/>
        <v>4</v>
      </c>
      <c r="E763" s="75">
        <f t="shared" si="339"/>
        <v>40</v>
      </c>
      <c r="F763" s="79"/>
      <c r="G763" s="82"/>
      <c r="H763" s="68" t="str">
        <f t="shared" si="356"/>
        <v>Clesim6_20211115_04_00</v>
      </c>
      <c r="I763" s="69">
        <f t="shared" si="360"/>
        <v>1</v>
      </c>
      <c r="J763" s="76" t="str">
        <f t="shared" si="360"/>
        <v>Clematis</v>
      </c>
      <c r="K763" s="76" t="str">
        <f t="shared" si="360"/>
        <v>simense</v>
      </c>
      <c r="L763" s="77">
        <f t="shared" si="360"/>
        <v>6</v>
      </c>
      <c r="M763" s="77">
        <f t="shared" si="360"/>
        <v>20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v>
      </c>
      <c r="C764" s="73">
        <f t="shared" si="355"/>
        <v>15</v>
      </c>
      <c r="D764" s="74">
        <f t="shared" si="338"/>
        <v>4</v>
      </c>
      <c r="E764" s="75">
        <f t="shared" si="339"/>
        <v>41</v>
      </c>
      <c r="F764" s="79"/>
      <c r="G764" s="82"/>
      <c r="H764" s="68" t="str">
        <f t="shared" si="356"/>
        <v>Clesim6_20211115_04_00</v>
      </c>
      <c r="I764" s="69">
        <f t="shared" si="360"/>
        <v>1</v>
      </c>
      <c r="J764" s="76" t="str">
        <f t="shared" si="360"/>
        <v>Clematis</v>
      </c>
      <c r="K764" s="76" t="str">
        <f t="shared" si="360"/>
        <v>simense</v>
      </c>
      <c r="L764" s="77">
        <f t="shared" si="360"/>
        <v>6</v>
      </c>
      <c r="M764" s="77">
        <f t="shared" si="360"/>
        <v>20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v>
      </c>
      <c r="C765" s="73">
        <f t="shared" si="355"/>
        <v>15</v>
      </c>
      <c r="D765" s="74">
        <f t="shared" si="338"/>
        <v>4</v>
      </c>
      <c r="E765" s="75">
        <f t="shared" si="339"/>
        <v>42</v>
      </c>
      <c r="F765" s="79"/>
      <c r="G765" s="82"/>
      <c r="H765" s="68" t="str">
        <f t="shared" si="356"/>
        <v>Clesim6_20211115_04_00</v>
      </c>
      <c r="I765" s="69">
        <f t="shared" si="360"/>
        <v>1</v>
      </c>
      <c r="J765" s="76" t="str">
        <f t="shared" si="360"/>
        <v>Clematis</v>
      </c>
      <c r="K765" s="76" t="str">
        <f t="shared" si="360"/>
        <v>simense</v>
      </c>
      <c r="L765" s="77">
        <f t="shared" si="360"/>
        <v>6</v>
      </c>
      <c r="M765" s="77">
        <f t="shared" si="360"/>
        <v>20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v>
      </c>
      <c r="C766" s="73">
        <f t="shared" si="355"/>
        <v>15</v>
      </c>
      <c r="D766" s="74">
        <f t="shared" si="338"/>
        <v>4</v>
      </c>
      <c r="E766" s="75">
        <f t="shared" si="339"/>
        <v>43</v>
      </c>
      <c r="F766" s="79"/>
      <c r="G766" s="82"/>
      <c r="H766" s="68" t="str">
        <f t="shared" si="356"/>
        <v>Clesim6_20211115_04_00</v>
      </c>
      <c r="I766" s="69">
        <f t="shared" si="360"/>
        <v>1</v>
      </c>
      <c r="J766" s="76" t="str">
        <f t="shared" si="360"/>
        <v>Clematis</v>
      </c>
      <c r="K766" s="76" t="str">
        <f t="shared" si="360"/>
        <v>simense</v>
      </c>
      <c r="L766" s="77">
        <f t="shared" si="360"/>
        <v>6</v>
      </c>
      <c r="M766" s="77">
        <f t="shared" si="360"/>
        <v>20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v>
      </c>
      <c r="C767" s="73">
        <f t="shared" si="355"/>
        <v>15</v>
      </c>
      <c r="D767" s="74">
        <f t="shared" si="338"/>
        <v>4</v>
      </c>
      <c r="E767" s="75">
        <f t="shared" si="339"/>
        <v>44</v>
      </c>
      <c r="F767" s="79"/>
      <c r="G767" s="82"/>
      <c r="H767" s="68" t="str">
        <f t="shared" si="356"/>
        <v>Clesim6_20211115_04_00</v>
      </c>
      <c r="I767" s="69">
        <f t="shared" si="360"/>
        <v>1</v>
      </c>
      <c r="J767" s="76" t="str">
        <f t="shared" si="360"/>
        <v>Clematis</v>
      </c>
      <c r="K767" s="76" t="str">
        <f t="shared" si="360"/>
        <v>simense</v>
      </c>
      <c r="L767" s="77">
        <f t="shared" si="360"/>
        <v>6</v>
      </c>
      <c r="M767" s="77">
        <f t="shared" si="360"/>
        <v>20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v>
      </c>
      <c r="C768" s="73">
        <f t="shared" si="355"/>
        <v>15</v>
      </c>
      <c r="D768" s="74">
        <f t="shared" si="338"/>
        <v>4</v>
      </c>
      <c r="E768" s="75">
        <f t="shared" si="339"/>
        <v>45</v>
      </c>
      <c r="F768" s="79"/>
      <c r="G768" s="82"/>
      <c r="H768" s="68" t="str">
        <f t="shared" si="356"/>
        <v>Clesim6_20211115_04_00</v>
      </c>
      <c r="I768" s="69">
        <f t="shared" si="360"/>
        <v>1</v>
      </c>
      <c r="J768" s="76" t="str">
        <f t="shared" si="360"/>
        <v>Clematis</v>
      </c>
      <c r="K768" s="76" t="str">
        <f t="shared" si="360"/>
        <v>simense</v>
      </c>
      <c r="L768" s="77">
        <f t="shared" si="360"/>
        <v>6</v>
      </c>
      <c r="M768" s="77">
        <f t="shared" si="360"/>
        <v>20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v>
      </c>
      <c r="C769" s="73">
        <f t="shared" si="355"/>
        <v>15</v>
      </c>
      <c r="D769" s="74">
        <f t="shared" si="338"/>
        <v>4</v>
      </c>
      <c r="E769" s="75">
        <f t="shared" si="339"/>
        <v>46</v>
      </c>
      <c r="F769" s="79"/>
      <c r="G769" s="82"/>
      <c r="H769" s="68" t="str">
        <f t="shared" si="356"/>
        <v>Clesim6_20211115_04_00</v>
      </c>
      <c r="I769" s="69">
        <f t="shared" si="360"/>
        <v>1</v>
      </c>
      <c r="J769" s="76" t="str">
        <f t="shared" si="360"/>
        <v>Clematis</v>
      </c>
      <c r="K769" s="76" t="str">
        <f t="shared" si="360"/>
        <v>simense</v>
      </c>
      <c r="L769" s="77">
        <f t="shared" si="360"/>
        <v>6</v>
      </c>
      <c r="M769" s="77">
        <f t="shared" si="360"/>
        <v>20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v>
      </c>
      <c r="C770" s="73">
        <f t="shared" si="355"/>
        <v>15</v>
      </c>
      <c r="D770" s="74">
        <f t="shared" si="338"/>
        <v>4</v>
      </c>
      <c r="E770" s="75">
        <f t="shared" si="339"/>
        <v>47</v>
      </c>
      <c r="F770" s="79"/>
      <c r="G770" s="82"/>
      <c r="H770" s="68" t="str">
        <f t="shared" si="356"/>
        <v>Clesim6_20211115_04_00</v>
      </c>
      <c r="I770" s="69">
        <f t="shared" si="360"/>
        <v>1</v>
      </c>
      <c r="J770" s="76" t="str">
        <f t="shared" si="360"/>
        <v>Clematis</v>
      </c>
      <c r="K770" s="76" t="str">
        <f t="shared" si="360"/>
        <v>simense</v>
      </c>
      <c r="L770" s="77">
        <f t="shared" si="360"/>
        <v>6</v>
      </c>
      <c r="M770" s="77">
        <f t="shared" si="360"/>
        <v>20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v>
      </c>
      <c r="C771" s="73">
        <f t="shared" si="355"/>
        <v>15</v>
      </c>
      <c r="D771" s="74">
        <f t="shared" si="338"/>
        <v>4</v>
      </c>
      <c r="E771" s="75">
        <f t="shared" si="339"/>
        <v>48</v>
      </c>
      <c r="F771" s="79"/>
      <c r="G771" s="82"/>
      <c r="H771" s="68" t="str">
        <f t="shared" si="356"/>
        <v>Clesim6_20211115_04_00</v>
      </c>
      <c r="I771" s="69">
        <f t="shared" si="360"/>
        <v>1</v>
      </c>
      <c r="J771" s="76" t="str">
        <f t="shared" si="360"/>
        <v>Clematis</v>
      </c>
      <c r="K771" s="76" t="str">
        <f t="shared" si="360"/>
        <v>simense</v>
      </c>
      <c r="L771" s="77">
        <f t="shared" si="360"/>
        <v>6</v>
      </c>
      <c r="M771" s="77">
        <f t="shared" si="360"/>
        <v>20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v>
      </c>
      <c r="C772" s="73">
        <f t="shared" si="355"/>
        <v>15</v>
      </c>
      <c r="D772" s="74">
        <f t="shared" ref="D772:D835" si="368">IF(IF(E771=59,D771+1,D771)=24,0,IF(E771=59,D771+1,D771))</f>
        <v>4</v>
      </c>
      <c r="E772" s="75">
        <f t="shared" ref="E772:E835" si="369">IF(E771&lt;59,E771+1,0)</f>
        <v>49</v>
      </c>
      <c r="F772" s="79"/>
      <c r="G772" s="82"/>
      <c r="H772" s="68" t="str">
        <f t="shared" si="356"/>
        <v>Clesim6_20211115_04_00</v>
      </c>
      <c r="I772" s="69">
        <f t="shared" si="360"/>
        <v>1</v>
      </c>
      <c r="J772" s="76" t="str">
        <f t="shared" si="360"/>
        <v>Clematis</v>
      </c>
      <c r="K772" s="76" t="str">
        <f t="shared" si="360"/>
        <v>simense</v>
      </c>
      <c r="L772" s="77">
        <f t="shared" si="360"/>
        <v>6</v>
      </c>
      <c r="M772" s="77">
        <f t="shared" si="360"/>
        <v>20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v>
      </c>
      <c r="C773" s="73">
        <f t="shared" ref="C773:C836" si="385">IF(AND(D773=0, E773=0), IF(TEXT(C772,"dd")=TEXT(EOMONTH(DATE(A772,MONTH(DATEVALUE(B772&amp;"1")),C772),0), "dd"), 1, C772+1), C772)</f>
        <v>15</v>
      </c>
      <c r="D773" s="74">
        <f t="shared" si="368"/>
        <v>4</v>
      </c>
      <c r="E773" s="75">
        <f t="shared" si="369"/>
        <v>50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Clesim6_20211115_04_00</v>
      </c>
      <c r="I773" s="69">
        <f t="shared" ref="I773:N788" si="387">I772</f>
        <v>1</v>
      </c>
      <c r="J773" s="76" t="str">
        <f t="shared" si="387"/>
        <v>Clematis</v>
      </c>
      <c r="K773" s="76" t="str">
        <f t="shared" si="387"/>
        <v>simense</v>
      </c>
      <c r="L773" s="77">
        <f t="shared" si="387"/>
        <v>6</v>
      </c>
      <c r="M773" s="77">
        <f t="shared" si="387"/>
        <v>20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v>
      </c>
      <c r="C774" s="73">
        <f t="shared" si="385"/>
        <v>15</v>
      </c>
      <c r="D774" s="74">
        <f t="shared" si="368"/>
        <v>4</v>
      </c>
      <c r="E774" s="75">
        <f t="shared" si="369"/>
        <v>51</v>
      </c>
      <c r="F774" s="79"/>
      <c r="G774" s="82"/>
      <c r="H774" s="68" t="str">
        <f t="shared" si="386"/>
        <v>Clesim6_20211115_04_00</v>
      </c>
      <c r="I774" s="69">
        <f t="shared" si="387"/>
        <v>1</v>
      </c>
      <c r="J774" s="76" t="str">
        <f t="shared" si="387"/>
        <v>Clematis</v>
      </c>
      <c r="K774" s="76" t="str">
        <f t="shared" si="387"/>
        <v>simense</v>
      </c>
      <c r="L774" s="77">
        <f t="shared" si="387"/>
        <v>6</v>
      </c>
      <c r="M774" s="77">
        <f t="shared" si="387"/>
        <v>20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v>
      </c>
      <c r="C775" s="73">
        <f t="shared" si="385"/>
        <v>15</v>
      </c>
      <c r="D775" s="74">
        <f t="shared" si="368"/>
        <v>4</v>
      </c>
      <c r="E775" s="75">
        <f t="shared" si="369"/>
        <v>52</v>
      </c>
      <c r="F775" s="79"/>
      <c r="G775" s="82"/>
      <c r="H775" s="68" t="str">
        <f t="shared" si="386"/>
        <v>Clesim6_20211115_04_00</v>
      </c>
      <c r="I775" s="69">
        <f t="shared" si="387"/>
        <v>1</v>
      </c>
      <c r="J775" s="76" t="str">
        <f t="shared" si="387"/>
        <v>Clematis</v>
      </c>
      <c r="K775" s="76" t="str">
        <f t="shared" si="387"/>
        <v>simense</v>
      </c>
      <c r="L775" s="77">
        <f t="shared" si="387"/>
        <v>6</v>
      </c>
      <c r="M775" s="77">
        <f t="shared" si="387"/>
        <v>20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v>
      </c>
      <c r="C776" s="73">
        <f t="shared" si="385"/>
        <v>15</v>
      </c>
      <c r="D776" s="74">
        <f t="shared" si="368"/>
        <v>4</v>
      </c>
      <c r="E776" s="75">
        <f t="shared" si="369"/>
        <v>53</v>
      </c>
      <c r="F776" s="79"/>
      <c r="G776" s="82"/>
      <c r="H776" s="68" t="str">
        <f t="shared" si="386"/>
        <v>Clesim6_20211115_04_00</v>
      </c>
      <c r="I776" s="69">
        <f t="shared" si="387"/>
        <v>1</v>
      </c>
      <c r="J776" s="76" t="str">
        <f t="shared" si="387"/>
        <v>Clematis</v>
      </c>
      <c r="K776" s="76" t="str">
        <f t="shared" si="387"/>
        <v>simense</v>
      </c>
      <c r="L776" s="77">
        <f t="shared" si="387"/>
        <v>6</v>
      </c>
      <c r="M776" s="77">
        <f t="shared" si="387"/>
        <v>20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v>
      </c>
      <c r="C777" s="73">
        <f t="shared" si="385"/>
        <v>15</v>
      </c>
      <c r="D777" s="74">
        <f t="shared" si="368"/>
        <v>4</v>
      </c>
      <c r="E777" s="75">
        <f t="shared" si="369"/>
        <v>54</v>
      </c>
      <c r="F777" s="79"/>
      <c r="G777" s="82"/>
      <c r="H777" s="68" t="str">
        <f t="shared" si="386"/>
        <v>Clesim6_20211115_04_00</v>
      </c>
      <c r="I777" s="69">
        <f t="shared" si="387"/>
        <v>1</v>
      </c>
      <c r="J777" s="76" t="str">
        <f t="shared" si="387"/>
        <v>Clematis</v>
      </c>
      <c r="K777" s="76" t="str">
        <f t="shared" si="387"/>
        <v>simense</v>
      </c>
      <c r="L777" s="77">
        <f t="shared" si="387"/>
        <v>6</v>
      </c>
      <c r="M777" s="77">
        <f t="shared" si="387"/>
        <v>20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v>
      </c>
      <c r="C778" s="73">
        <f t="shared" si="385"/>
        <v>15</v>
      </c>
      <c r="D778" s="74">
        <f t="shared" si="368"/>
        <v>4</v>
      </c>
      <c r="E778" s="75">
        <f t="shared" si="369"/>
        <v>55</v>
      </c>
      <c r="F778" s="79"/>
      <c r="G778" s="82"/>
      <c r="H778" s="68" t="str">
        <f t="shared" si="386"/>
        <v>Clesim6_20211115_04_00</v>
      </c>
      <c r="I778" s="69">
        <f t="shared" si="387"/>
        <v>1</v>
      </c>
      <c r="J778" s="76" t="str">
        <f t="shared" si="387"/>
        <v>Clematis</v>
      </c>
      <c r="K778" s="76" t="str">
        <f t="shared" si="387"/>
        <v>simense</v>
      </c>
      <c r="L778" s="77">
        <f t="shared" si="387"/>
        <v>6</v>
      </c>
      <c r="M778" s="77">
        <f t="shared" si="387"/>
        <v>20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v>
      </c>
      <c r="C779" s="73">
        <f t="shared" si="385"/>
        <v>15</v>
      </c>
      <c r="D779" s="74">
        <f t="shared" si="368"/>
        <v>4</v>
      </c>
      <c r="E779" s="75">
        <f t="shared" si="369"/>
        <v>56</v>
      </c>
      <c r="F779" s="79"/>
      <c r="G779" s="82"/>
      <c r="H779" s="68" t="str">
        <f t="shared" si="386"/>
        <v>Clesim6_20211115_04_00</v>
      </c>
      <c r="I779" s="69">
        <f t="shared" si="387"/>
        <v>1</v>
      </c>
      <c r="J779" s="76" t="str">
        <f t="shared" si="387"/>
        <v>Clematis</v>
      </c>
      <c r="K779" s="76" t="str">
        <f t="shared" si="387"/>
        <v>simense</v>
      </c>
      <c r="L779" s="77">
        <f t="shared" si="387"/>
        <v>6</v>
      </c>
      <c r="M779" s="77">
        <f t="shared" si="387"/>
        <v>20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v>
      </c>
      <c r="C780" s="73">
        <f t="shared" si="385"/>
        <v>15</v>
      </c>
      <c r="D780" s="74">
        <f t="shared" si="368"/>
        <v>4</v>
      </c>
      <c r="E780" s="75">
        <f t="shared" si="369"/>
        <v>57</v>
      </c>
      <c r="F780" s="79"/>
      <c r="G780" s="82"/>
      <c r="H780" s="68" t="str">
        <f t="shared" si="386"/>
        <v>Clesim6_20211115_04_00</v>
      </c>
      <c r="I780" s="69">
        <f t="shared" si="387"/>
        <v>1</v>
      </c>
      <c r="J780" s="76" t="str">
        <f t="shared" si="387"/>
        <v>Clematis</v>
      </c>
      <c r="K780" s="76" t="str">
        <f t="shared" si="387"/>
        <v>simense</v>
      </c>
      <c r="L780" s="77">
        <f t="shared" si="387"/>
        <v>6</v>
      </c>
      <c r="M780" s="77">
        <f t="shared" si="387"/>
        <v>20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v>
      </c>
      <c r="C781" s="73">
        <f t="shared" si="385"/>
        <v>15</v>
      </c>
      <c r="D781" s="74">
        <f t="shared" si="368"/>
        <v>4</v>
      </c>
      <c r="E781" s="75">
        <f t="shared" si="369"/>
        <v>58</v>
      </c>
      <c r="F781" s="79"/>
      <c r="G781" s="82"/>
      <c r="H781" s="68" t="str">
        <f t="shared" si="386"/>
        <v>Clesim6_20211115_04_00</v>
      </c>
      <c r="I781" s="69">
        <f t="shared" si="387"/>
        <v>1</v>
      </c>
      <c r="J781" s="76" t="str">
        <f t="shared" si="387"/>
        <v>Clematis</v>
      </c>
      <c r="K781" s="76" t="str">
        <f t="shared" si="387"/>
        <v>simense</v>
      </c>
      <c r="L781" s="77">
        <f t="shared" si="387"/>
        <v>6</v>
      </c>
      <c r="M781" s="77">
        <f t="shared" si="387"/>
        <v>20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v>
      </c>
      <c r="C782" s="73">
        <f t="shared" si="385"/>
        <v>15</v>
      </c>
      <c r="D782" s="74">
        <f t="shared" si="368"/>
        <v>4</v>
      </c>
      <c r="E782" s="75">
        <f t="shared" si="369"/>
        <v>59</v>
      </c>
      <c r="F782" s="79"/>
      <c r="G782" s="82"/>
      <c r="H782" s="68" t="str">
        <f t="shared" si="386"/>
        <v>Clesim6_20211115_04_00</v>
      </c>
      <c r="I782" s="69">
        <f t="shared" si="387"/>
        <v>1</v>
      </c>
      <c r="J782" s="76" t="str">
        <f t="shared" si="387"/>
        <v>Clematis</v>
      </c>
      <c r="K782" s="76" t="str">
        <f t="shared" si="387"/>
        <v>simense</v>
      </c>
      <c r="L782" s="77">
        <f t="shared" si="387"/>
        <v>6</v>
      </c>
      <c r="M782" s="77">
        <f t="shared" si="387"/>
        <v>20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v>
      </c>
      <c r="C783" s="73">
        <f t="shared" si="385"/>
        <v>15</v>
      </c>
      <c r="D783" s="74">
        <f t="shared" si="368"/>
        <v>5</v>
      </c>
      <c r="E783" s="75">
        <f t="shared" si="369"/>
        <v>0</v>
      </c>
      <c r="F783" s="79"/>
      <c r="G783" s="82"/>
      <c r="H783" s="68" t="str">
        <f t="shared" si="386"/>
        <v>Clesim6_20211115_05_00</v>
      </c>
      <c r="I783" s="69">
        <f t="shared" si="387"/>
        <v>1</v>
      </c>
      <c r="J783" s="76" t="str">
        <f t="shared" si="387"/>
        <v>Clematis</v>
      </c>
      <c r="K783" s="76" t="str">
        <f t="shared" si="387"/>
        <v>simense</v>
      </c>
      <c r="L783" s="77">
        <f t="shared" si="387"/>
        <v>6</v>
      </c>
      <c r="M783" s="77">
        <f t="shared" si="387"/>
        <v>20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v>
      </c>
      <c r="C784" s="73">
        <f t="shared" si="385"/>
        <v>15</v>
      </c>
      <c r="D784" s="74">
        <f t="shared" si="368"/>
        <v>5</v>
      </c>
      <c r="E784" s="75">
        <f t="shared" si="369"/>
        <v>1</v>
      </c>
      <c r="F784" s="79"/>
      <c r="G784" s="82"/>
      <c r="H784" s="68" t="str">
        <f t="shared" si="386"/>
        <v>Clesim6_20211115_05_00</v>
      </c>
      <c r="I784" s="69">
        <f t="shared" si="387"/>
        <v>1</v>
      </c>
      <c r="J784" s="76" t="str">
        <f t="shared" si="387"/>
        <v>Clematis</v>
      </c>
      <c r="K784" s="76" t="str">
        <f t="shared" si="387"/>
        <v>simense</v>
      </c>
      <c r="L784" s="77">
        <f t="shared" si="387"/>
        <v>6</v>
      </c>
      <c r="M784" s="77">
        <f t="shared" si="387"/>
        <v>20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v>
      </c>
      <c r="C785" s="73">
        <f t="shared" si="385"/>
        <v>15</v>
      </c>
      <c r="D785" s="74">
        <f t="shared" si="368"/>
        <v>5</v>
      </c>
      <c r="E785" s="75">
        <f t="shared" si="369"/>
        <v>2</v>
      </c>
      <c r="F785" s="79"/>
      <c r="G785" s="82"/>
      <c r="H785" s="68" t="str">
        <f t="shared" si="386"/>
        <v>Clesim6_20211115_05_00</v>
      </c>
      <c r="I785" s="69">
        <f t="shared" si="387"/>
        <v>1</v>
      </c>
      <c r="J785" s="76" t="str">
        <f t="shared" si="387"/>
        <v>Clematis</v>
      </c>
      <c r="K785" s="76" t="str">
        <f t="shared" si="387"/>
        <v>simense</v>
      </c>
      <c r="L785" s="77">
        <f t="shared" si="387"/>
        <v>6</v>
      </c>
      <c r="M785" s="77">
        <f t="shared" si="387"/>
        <v>20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v>
      </c>
      <c r="C786" s="73">
        <f t="shared" si="385"/>
        <v>15</v>
      </c>
      <c r="D786" s="74">
        <f t="shared" si="368"/>
        <v>5</v>
      </c>
      <c r="E786" s="75">
        <f t="shared" si="369"/>
        <v>3</v>
      </c>
      <c r="F786" s="79"/>
      <c r="G786" s="82"/>
      <c r="H786" s="68" t="str">
        <f t="shared" si="386"/>
        <v>Clesim6_20211115_05_00</v>
      </c>
      <c r="I786" s="69">
        <f t="shared" si="387"/>
        <v>1</v>
      </c>
      <c r="J786" s="76" t="str">
        <f t="shared" si="387"/>
        <v>Clematis</v>
      </c>
      <c r="K786" s="76" t="str">
        <f t="shared" si="387"/>
        <v>simense</v>
      </c>
      <c r="L786" s="77">
        <f t="shared" si="387"/>
        <v>6</v>
      </c>
      <c r="M786" s="77">
        <f t="shared" si="387"/>
        <v>20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v>
      </c>
      <c r="C787" s="73">
        <f t="shared" si="385"/>
        <v>15</v>
      </c>
      <c r="D787" s="74">
        <f t="shared" si="368"/>
        <v>5</v>
      </c>
      <c r="E787" s="75">
        <f t="shared" si="369"/>
        <v>4</v>
      </c>
      <c r="F787" s="79"/>
      <c r="G787" s="82"/>
      <c r="H787" s="68" t="str">
        <f t="shared" si="386"/>
        <v>Clesim6_20211115_05_00</v>
      </c>
      <c r="I787" s="69">
        <f t="shared" si="387"/>
        <v>1</v>
      </c>
      <c r="J787" s="76" t="str">
        <f t="shared" si="387"/>
        <v>Clematis</v>
      </c>
      <c r="K787" s="76" t="str">
        <f t="shared" si="387"/>
        <v>simense</v>
      </c>
      <c r="L787" s="77">
        <f t="shared" si="387"/>
        <v>6</v>
      </c>
      <c r="M787" s="77">
        <f t="shared" si="387"/>
        <v>20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v>
      </c>
      <c r="C788" s="73">
        <f t="shared" si="385"/>
        <v>15</v>
      </c>
      <c r="D788" s="74">
        <f t="shared" si="368"/>
        <v>5</v>
      </c>
      <c r="E788" s="75">
        <f t="shared" si="369"/>
        <v>5</v>
      </c>
      <c r="F788" s="79"/>
      <c r="G788" s="82"/>
      <c r="H788" s="68" t="str">
        <f t="shared" si="386"/>
        <v>Clesim6_20211115_05_00</v>
      </c>
      <c r="I788" s="69">
        <f t="shared" si="387"/>
        <v>1</v>
      </c>
      <c r="J788" s="76" t="str">
        <f t="shared" si="387"/>
        <v>Clematis</v>
      </c>
      <c r="K788" s="76" t="str">
        <f t="shared" si="387"/>
        <v>simense</v>
      </c>
      <c r="L788" s="77">
        <f t="shared" si="387"/>
        <v>6</v>
      </c>
      <c r="M788" s="77">
        <f t="shared" si="387"/>
        <v>20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v>
      </c>
      <c r="C789" s="73">
        <f t="shared" si="385"/>
        <v>15</v>
      </c>
      <c r="D789" s="74">
        <f t="shared" si="368"/>
        <v>5</v>
      </c>
      <c r="E789" s="75">
        <f t="shared" si="369"/>
        <v>6</v>
      </c>
      <c r="F789" s="79"/>
      <c r="G789" s="82"/>
      <c r="H789" s="68" t="str">
        <f t="shared" si="386"/>
        <v>Clesim6_20211115_05_00</v>
      </c>
      <c r="I789" s="69">
        <f t="shared" ref="I789:N804" si="388">I788</f>
        <v>1</v>
      </c>
      <c r="J789" s="76" t="str">
        <f t="shared" si="388"/>
        <v>Clematis</v>
      </c>
      <c r="K789" s="76" t="str">
        <f t="shared" si="388"/>
        <v>simense</v>
      </c>
      <c r="L789" s="77">
        <f t="shared" si="388"/>
        <v>6</v>
      </c>
      <c r="M789" s="77">
        <f t="shared" si="388"/>
        <v>20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v>
      </c>
      <c r="C790" s="73">
        <f t="shared" si="385"/>
        <v>15</v>
      </c>
      <c r="D790" s="74">
        <f t="shared" si="368"/>
        <v>5</v>
      </c>
      <c r="E790" s="75">
        <f t="shared" si="369"/>
        <v>7</v>
      </c>
      <c r="F790" s="79"/>
      <c r="G790" s="82"/>
      <c r="H790" s="68" t="str">
        <f t="shared" si="386"/>
        <v>Clesim6_20211115_05_00</v>
      </c>
      <c r="I790" s="69">
        <f t="shared" si="388"/>
        <v>1</v>
      </c>
      <c r="J790" s="76" t="str">
        <f t="shared" si="388"/>
        <v>Clematis</v>
      </c>
      <c r="K790" s="76" t="str">
        <f t="shared" si="388"/>
        <v>simense</v>
      </c>
      <c r="L790" s="77">
        <f t="shared" si="388"/>
        <v>6</v>
      </c>
      <c r="M790" s="77">
        <f t="shared" si="388"/>
        <v>20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v>
      </c>
      <c r="C791" s="73">
        <f t="shared" si="385"/>
        <v>15</v>
      </c>
      <c r="D791" s="74">
        <f t="shared" si="368"/>
        <v>5</v>
      </c>
      <c r="E791" s="75">
        <f t="shared" si="369"/>
        <v>8</v>
      </c>
      <c r="F791" s="79"/>
      <c r="G791" s="82"/>
      <c r="H791" s="68" t="str">
        <f t="shared" si="386"/>
        <v>Clesim6_20211115_05_00</v>
      </c>
      <c r="I791" s="69">
        <f t="shared" si="388"/>
        <v>1</v>
      </c>
      <c r="J791" s="76" t="str">
        <f t="shared" si="388"/>
        <v>Clematis</v>
      </c>
      <c r="K791" s="76" t="str">
        <f t="shared" si="388"/>
        <v>simense</v>
      </c>
      <c r="L791" s="77">
        <f t="shared" si="388"/>
        <v>6</v>
      </c>
      <c r="M791" s="77">
        <f t="shared" si="388"/>
        <v>20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v>
      </c>
      <c r="C792" s="73">
        <f t="shared" si="385"/>
        <v>15</v>
      </c>
      <c r="D792" s="74">
        <f t="shared" si="368"/>
        <v>5</v>
      </c>
      <c r="E792" s="75">
        <f t="shared" si="369"/>
        <v>9</v>
      </c>
      <c r="F792" s="79"/>
      <c r="G792" s="82"/>
      <c r="H792" s="68" t="str">
        <f t="shared" si="386"/>
        <v>Clesim6_20211115_05_00</v>
      </c>
      <c r="I792" s="69">
        <f t="shared" si="388"/>
        <v>1</v>
      </c>
      <c r="J792" s="76" t="str">
        <f t="shared" si="388"/>
        <v>Clematis</v>
      </c>
      <c r="K792" s="76" t="str">
        <f t="shared" si="388"/>
        <v>simense</v>
      </c>
      <c r="L792" s="77">
        <f t="shared" si="388"/>
        <v>6</v>
      </c>
      <c r="M792" s="77">
        <f t="shared" si="388"/>
        <v>20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v>
      </c>
      <c r="C793" s="73">
        <f t="shared" si="385"/>
        <v>15</v>
      </c>
      <c r="D793" s="74">
        <f t="shared" si="368"/>
        <v>5</v>
      </c>
      <c r="E793" s="75">
        <f t="shared" si="369"/>
        <v>10</v>
      </c>
      <c r="F793" s="79"/>
      <c r="G793" s="82"/>
      <c r="H793" s="68" t="str">
        <f t="shared" si="386"/>
        <v>Clesim6_20211115_05_00</v>
      </c>
      <c r="I793" s="69">
        <f t="shared" si="388"/>
        <v>1</v>
      </c>
      <c r="J793" s="76" t="str">
        <f t="shared" si="388"/>
        <v>Clematis</v>
      </c>
      <c r="K793" s="76" t="str">
        <f t="shared" si="388"/>
        <v>simense</v>
      </c>
      <c r="L793" s="77">
        <f t="shared" si="388"/>
        <v>6</v>
      </c>
      <c r="M793" s="77">
        <f t="shared" si="388"/>
        <v>20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v>
      </c>
      <c r="C794" s="73">
        <f t="shared" si="385"/>
        <v>15</v>
      </c>
      <c r="D794" s="74">
        <f t="shared" si="368"/>
        <v>5</v>
      </c>
      <c r="E794" s="75">
        <f t="shared" si="369"/>
        <v>11</v>
      </c>
      <c r="F794" s="79"/>
      <c r="G794" s="82"/>
      <c r="H794" s="68" t="str">
        <f t="shared" si="386"/>
        <v>Clesim6_20211115_05_00</v>
      </c>
      <c r="I794" s="69">
        <f t="shared" si="388"/>
        <v>1</v>
      </c>
      <c r="J794" s="76" t="str">
        <f t="shared" si="388"/>
        <v>Clematis</v>
      </c>
      <c r="K794" s="76" t="str">
        <f t="shared" si="388"/>
        <v>simense</v>
      </c>
      <c r="L794" s="77">
        <f t="shared" si="388"/>
        <v>6</v>
      </c>
      <c r="M794" s="77">
        <f t="shared" si="388"/>
        <v>20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v>
      </c>
      <c r="C795" s="73">
        <f t="shared" si="385"/>
        <v>15</v>
      </c>
      <c r="D795" s="74">
        <f t="shared" si="368"/>
        <v>5</v>
      </c>
      <c r="E795" s="75">
        <f t="shared" si="369"/>
        <v>12</v>
      </c>
      <c r="F795" s="79"/>
      <c r="G795" s="82"/>
      <c r="H795" s="68" t="str">
        <f t="shared" si="386"/>
        <v>Clesim6_20211115_05_00</v>
      </c>
      <c r="I795" s="69">
        <f t="shared" si="388"/>
        <v>1</v>
      </c>
      <c r="J795" s="76" t="str">
        <f t="shared" si="388"/>
        <v>Clematis</v>
      </c>
      <c r="K795" s="76" t="str">
        <f t="shared" si="388"/>
        <v>simense</v>
      </c>
      <c r="L795" s="77">
        <f t="shared" si="388"/>
        <v>6</v>
      </c>
      <c r="M795" s="77">
        <f t="shared" si="388"/>
        <v>20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v>
      </c>
      <c r="C796" s="73">
        <f t="shared" si="385"/>
        <v>15</v>
      </c>
      <c r="D796" s="74">
        <f t="shared" si="368"/>
        <v>5</v>
      </c>
      <c r="E796" s="75">
        <f t="shared" si="369"/>
        <v>13</v>
      </c>
      <c r="F796" s="79"/>
      <c r="G796" s="82"/>
      <c r="H796" s="68" t="str">
        <f t="shared" si="386"/>
        <v>Clesim6_20211115_05_00</v>
      </c>
      <c r="I796" s="69">
        <f t="shared" si="388"/>
        <v>1</v>
      </c>
      <c r="J796" s="76" t="str">
        <f t="shared" si="388"/>
        <v>Clematis</v>
      </c>
      <c r="K796" s="76" t="str">
        <f t="shared" si="388"/>
        <v>simense</v>
      </c>
      <c r="L796" s="77">
        <f t="shared" si="388"/>
        <v>6</v>
      </c>
      <c r="M796" s="77">
        <f t="shared" si="388"/>
        <v>20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v>
      </c>
      <c r="C797" s="73">
        <f t="shared" si="385"/>
        <v>15</v>
      </c>
      <c r="D797" s="74">
        <f t="shared" si="368"/>
        <v>5</v>
      </c>
      <c r="E797" s="75">
        <f t="shared" si="369"/>
        <v>14</v>
      </c>
      <c r="F797" s="79"/>
      <c r="G797" s="82"/>
      <c r="H797" s="68" t="str">
        <f t="shared" si="386"/>
        <v>Clesim6_20211115_05_00</v>
      </c>
      <c r="I797" s="69">
        <f t="shared" si="388"/>
        <v>1</v>
      </c>
      <c r="J797" s="76" t="str">
        <f t="shared" si="388"/>
        <v>Clematis</v>
      </c>
      <c r="K797" s="76" t="str">
        <f t="shared" si="388"/>
        <v>simense</v>
      </c>
      <c r="L797" s="77">
        <f t="shared" si="388"/>
        <v>6</v>
      </c>
      <c r="M797" s="77">
        <f t="shared" si="388"/>
        <v>20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v>
      </c>
      <c r="C798" s="73">
        <f t="shared" si="385"/>
        <v>15</v>
      </c>
      <c r="D798" s="74">
        <f t="shared" si="368"/>
        <v>5</v>
      </c>
      <c r="E798" s="75">
        <f t="shared" si="369"/>
        <v>15</v>
      </c>
      <c r="F798" s="79"/>
      <c r="G798" s="82"/>
      <c r="H798" s="68" t="str">
        <f t="shared" si="386"/>
        <v>Clesim6_20211115_05_00</v>
      </c>
      <c r="I798" s="69">
        <f t="shared" si="388"/>
        <v>1</v>
      </c>
      <c r="J798" s="76" t="str">
        <f t="shared" si="388"/>
        <v>Clematis</v>
      </c>
      <c r="K798" s="76" t="str">
        <f t="shared" si="388"/>
        <v>simense</v>
      </c>
      <c r="L798" s="77">
        <f t="shared" si="388"/>
        <v>6</v>
      </c>
      <c r="M798" s="77">
        <f t="shared" si="388"/>
        <v>20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v>
      </c>
      <c r="C799" s="73">
        <f t="shared" si="385"/>
        <v>15</v>
      </c>
      <c r="D799" s="74">
        <f t="shared" si="368"/>
        <v>5</v>
      </c>
      <c r="E799" s="75">
        <f t="shared" si="369"/>
        <v>16</v>
      </c>
      <c r="F799" s="79"/>
      <c r="G799" s="82"/>
      <c r="H799" s="68" t="str">
        <f t="shared" si="386"/>
        <v>Clesim6_20211115_05_00</v>
      </c>
      <c r="I799" s="69">
        <f t="shared" si="388"/>
        <v>1</v>
      </c>
      <c r="J799" s="76" t="str">
        <f t="shared" si="388"/>
        <v>Clematis</v>
      </c>
      <c r="K799" s="76" t="str">
        <f t="shared" si="388"/>
        <v>simense</v>
      </c>
      <c r="L799" s="77">
        <f t="shared" si="388"/>
        <v>6</v>
      </c>
      <c r="M799" s="77">
        <f t="shared" si="388"/>
        <v>20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v>
      </c>
      <c r="C800" s="73">
        <f t="shared" si="385"/>
        <v>15</v>
      </c>
      <c r="D800" s="74">
        <f t="shared" si="368"/>
        <v>5</v>
      </c>
      <c r="E800" s="75">
        <f t="shared" si="369"/>
        <v>17</v>
      </c>
      <c r="F800" s="79"/>
      <c r="G800" s="82"/>
      <c r="H800" s="68" t="str">
        <f t="shared" si="386"/>
        <v>Clesim6_20211115_05_00</v>
      </c>
      <c r="I800" s="69">
        <f t="shared" si="388"/>
        <v>1</v>
      </c>
      <c r="J800" s="76" t="str">
        <f t="shared" si="388"/>
        <v>Clematis</v>
      </c>
      <c r="K800" s="76" t="str">
        <f t="shared" si="388"/>
        <v>simense</v>
      </c>
      <c r="L800" s="77">
        <f t="shared" si="388"/>
        <v>6</v>
      </c>
      <c r="M800" s="77">
        <f t="shared" si="388"/>
        <v>20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v>
      </c>
      <c r="C801" s="73">
        <f t="shared" si="385"/>
        <v>15</v>
      </c>
      <c r="D801" s="74">
        <f t="shared" si="368"/>
        <v>5</v>
      </c>
      <c r="E801" s="75">
        <f t="shared" si="369"/>
        <v>18</v>
      </c>
      <c r="F801" s="79"/>
      <c r="G801" s="82"/>
      <c r="H801" s="68" t="str">
        <f t="shared" si="386"/>
        <v>Clesim6_20211115_05_00</v>
      </c>
      <c r="I801" s="69">
        <f t="shared" si="388"/>
        <v>1</v>
      </c>
      <c r="J801" s="76" t="str">
        <f t="shared" si="388"/>
        <v>Clematis</v>
      </c>
      <c r="K801" s="76" t="str">
        <f t="shared" si="388"/>
        <v>simense</v>
      </c>
      <c r="L801" s="77">
        <f t="shared" si="388"/>
        <v>6</v>
      </c>
      <c r="M801" s="77">
        <f t="shared" si="388"/>
        <v>20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v>
      </c>
      <c r="C802" s="73">
        <f t="shared" si="385"/>
        <v>15</v>
      </c>
      <c r="D802" s="74">
        <f t="shared" si="368"/>
        <v>5</v>
      </c>
      <c r="E802" s="75">
        <f t="shared" si="369"/>
        <v>19</v>
      </c>
      <c r="F802" s="79"/>
      <c r="G802" s="82"/>
      <c r="H802" s="68" t="str">
        <f t="shared" si="386"/>
        <v>Clesim6_20211115_05_00</v>
      </c>
      <c r="I802" s="69">
        <f t="shared" si="388"/>
        <v>1</v>
      </c>
      <c r="J802" s="76" t="str">
        <f t="shared" si="388"/>
        <v>Clematis</v>
      </c>
      <c r="K802" s="76" t="str">
        <f t="shared" si="388"/>
        <v>simense</v>
      </c>
      <c r="L802" s="77">
        <f t="shared" si="388"/>
        <v>6</v>
      </c>
      <c r="M802" s="77">
        <f t="shared" si="388"/>
        <v>20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v>
      </c>
      <c r="C803" s="73">
        <f t="shared" si="385"/>
        <v>15</v>
      </c>
      <c r="D803" s="74">
        <f t="shared" si="368"/>
        <v>5</v>
      </c>
      <c r="E803" s="75">
        <f t="shared" si="369"/>
        <v>20</v>
      </c>
      <c r="F803" s="79"/>
      <c r="G803" s="82"/>
      <c r="H803" s="68" t="str">
        <f t="shared" si="386"/>
        <v>Clesim6_20211115_05_00</v>
      </c>
      <c r="I803" s="69">
        <f t="shared" si="388"/>
        <v>1</v>
      </c>
      <c r="J803" s="76" t="str">
        <f t="shared" si="388"/>
        <v>Clematis</v>
      </c>
      <c r="K803" s="76" t="str">
        <f t="shared" si="388"/>
        <v>simense</v>
      </c>
      <c r="L803" s="77">
        <f t="shared" si="388"/>
        <v>6</v>
      </c>
      <c r="M803" s="77">
        <f t="shared" si="388"/>
        <v>20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v>
      </c>
      <c r="C804" s="73">
        <f t="shared" si="385"/>
        <v>15</v>
      </c>
      <c r="D804" s="74">
        <f t="shared" si="368"/>
        <v>5</v>
      </c>
      <c r="E804" s="75">
        <f t="shared" si="369"/>
        <v>21</v>
      </c>
      <c r="F804" s="79"/>
      <c r="G804" s="82"/>
      <c r="H804" s="68" t="str">
        <f t="shared" si="386"/>
        <v>Clesim6_20211115_05_00</v>
      </c>
      <c r="I804" s="69">
        <f t="shared" si="388"/>
        <v>1</v>
      </c>
      <c r="J804" s="76" t="str">
        <f t="shared" si="388"/>
        <v>Clematis</v>
      </c>
      <c r="K804" s="76" t="str">
        <f t="shared" si="388"/>
        <v>simense</v>
      </c>
      <c r="L804" s="77">
        <f t="shared" si="388"/>
        <v>6</v>
      </c>
      <c r="M804" s="77">
        <f t="shared" si="388"/>
        <v>20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v>
      </c>
      <c r="C805" s="73">
        <f t="shared" si="385"/>
        <v>15</v>
      </c>
      <c r="D805" s="74">
        <f t="shared" si="368"/>
        <v>5</v>
      </c>
      <c r="E805" s="75">
        <f t="shared" si="369"/>
        <v>22</v>
      </c>
      <c r="F805" s="79"/>
      <c r="G805" s="82"/>
      <c r="H805" s="68" t="str">
        <f t="shared" si="386"/>
        <v>Clesim6_20211115_05_00</v>
      </c>
      <c r="I805" s="69">
        <f t="shared" ref="I805:N820" si="389">I804</f>
        <v>1</v>
      </c>
      <c r="J805" s="76" t="str">
        <f t="shared" si="389"/>
        <v>Clematis</v>
      </c>
      <c r="K805" s="76" t="str">
        <f t="shared" si="389"/>
        <v>simense</v>
      </c>
      <c r="L805" s="77">
        <f t="shared" si="389"/>
        <v>6</v>
      </c>
      <c r="M805" s="77">
        <f t="shared" si="389"/>
        <v>20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v>
      </c>
      <c r="C806" s="73">
        <f t="shared" si="385"/>
        <v>15</v>
      </c>
      <c r="D806" s="74">
        <f t="shared" si="368"/>
        <v>5</v>
      </c>
      <c r="E806" s="75">
        <f t="shared" si="369"/>
        <v>23</v>
      </c>
      <c r="F806" s="79"/>
      <c r="G806" s="82"/>
      <c r="H806" s="68" t="str">
        <f t="shared" si="386"/>
        <v>Clesim6_20211115_05_00</v>
      </c>
      <c r="I806" s="69">
        <f t="shared" si="389"/>
        <v>1</v>
      </c>
      <c r="J806" s="76" t="str">
        <f t="shared" si="389"/>
        <v>Clematis</v>
      </c>
      <c r="K806" s="76" t="str">
        <f t="shared" si="389"/>
        <v>simense</v>
      </c>
      <c r="L806" s="77">
        <f t="shared" si="389"/>
        <v>6</v>
      </c>
      <c r="M806" s="77">
        <f t="shared" si="389"/>
        <v>20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v>
      </c>
      <c r="C807" s="73">
        <f t="shared" si="385"/>
        <v>15</v>
      </c>
      <c r="D807" s="74">
        <f t="shared" si="368"/>
        <v>5</v>
      </c>
      <c r="E807" s="75">
        <f t="shared" si="369"/>
        <v>24</v>
      </c>
      <c r="F807" s="79"/>
      <c r="G807" s="82"/>
      <c r="H807" s="68" t="str">
        <f t="shared" si="386"/>
        <v>Clesim6_20211115_05_00</v>
      </c>
      <c r="I807" s="69">
        <f t="shared" si="389"/>
        <v>1</v>
      </c>
      <c r="J807" s="76" t="str">
        <f t="shared" si="389"/>
        <v>Clematis</v>
      </c>
      <c r="K807" s="76" t="str">
        <f t="shared" si="389"/>
        <v>simense</v>
      </c>
      <c r="L807" s="77">
        <f t="shared" si="389"/>
        <v>6</v>
      </c>
      <c r="M807" s="77">
        <f t="shared" si="389"/>
        <v>20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v>
      </c>
      <c r="C808" s="73">
        <f t="shared" si="385"/>
        <v>15</v>
      </c>
      <c r="D808" s="74">
        <f t="shared" si="368"/>
        <v>5</v>
      </c>
      <c r="E808" s="75">
        <f t="shared" si="369"/>
        <v>25</v>
      </c>
      <c r="F808" s="79"/>
      <c r="G808" s="82"/>
      <c r="H808" s="68" t="str">
        <f t="shared" si="386"/>
        <v>Clesim6_20211115_05_00</v>
      </c>
      <c r="I808" s="69">
        <f t="shared" si="389"/>
        <v>1</v>
      </c>
      <c r="J808" s="76" t="str">
        <f t="shared" si="389"/>
        <v>Clematis</v>
      </c>
      <c r="K808" s="76" t="str">
        <f t="shared" si="389"/>
        <v>simense</v>
      </c>
      <c r="L808" s="77">
        <f t="shared" si="389"/>
        <v>6</v>
      </c>
      <c r="M808" s="77">
        <f t="shared" si="389"/>
        <v>20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v>
      </c>
      <c r="C809" s="73">
        <f t="shared" si="385"/>
        <v>15</v>
      </c>
      <c r="D809" s="74">
        <f t="shared" si="368"/>
        <v>5</v>
      </c>
      <c r="E809" s="75">
        <f t="shared" si="369"/>
        <v>26</v>
      </c>
      <c r="F809" s="79"/>
      <c r="G809" s="82"/>
      <c r="H809" s="68" t="str">
        <f t="shared" si="386"/>
        <v>Clesim6_20211115_05_00</v>
      </c>
      <c r="I809" s="69">
        <f t="shared" si="389"/>
        <v>1</v>
      </c>
      <c r="J809" s="76" t="str">
        <f t="shared" si="389"/>
        <v>Clematis</v>
      </c>
      <c r="K809" s="76" t="str">
        <f t="shared" si="389"/>
        <v>simense</v>
      </c>
      <c r="L809" s="77">
        <f t="shared" si="389"/>
        <v>6</v>
      </c>
      <c r="M809" s="77">
        <f t="shared" si="389"/>
        <v>20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v>
      </c>
      <c r="C810" s="73">
        <f t="shared" si="385"/>
        <v>15</v>
      </c>
      <c r="D810" s="74">
        <f t="shared" si="368"/>
        <v>5</v>
      </c>
      <c r="E810" s="75">
        <f t="shared" si="369"/>
        <v>27</v>
      </c>
      <c r="F810" s="79"/>
      <c r="G810" s="82"/>
      <c r="H810" s="68" t="str">
        <f t="shared" si="386"/>
        <v>Clesim6_20211115_05_00</v>
      </c>
      <c r="I810" s="69">
        <f t="shared" si="389"/>
        <v>1</v>
      </c>
      <c r="J810" s="76" t="str">
        <f t="shared" si="389"/>
        <v>Clematis</v>
      </c>
      <c r="K810" s="76" t="str">
        <f t="shared" si="389"/>
        <v>simense</v>
      </c>
      <c r="L810" s="77">
        <f t="shared" si="389"/>
        <v>6</v>
      </c>
      <c r="M810" s="77">
        <f t="shared" si="389"/>
        <v>20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v>
      </c>
      <c r="C811" s="73">
        <f t="shared" si="385"/>
        <v>15</v>
      </c>
      <c r="D811" s="74">
        <f t="shared" si="368"/>
        <v>5</v>
      </c>
      <c r="E811" s="75">
        <f t="shared" si="369"/>
        <v>28</v>
      </c>
      <c r="F811" s="79"/>
      <c r="G811" s="82"/>
      <c r="H811" s="68" t="str">
        <f t="shared" si="386"/>
        <v>Clesim6_20211115_05_00</v>
      </c>
      <c r="I811" s="69">
        <f t="shared" si="389"/>
        <v>1</v>
      </c>
      <c r="J811" s="76" t="str">
        <f t="shared" si="389"/>
        <v>Clematis</v>
      </c>
      <c r="K811" s="76" t="str">
        <f t="shared" si="389"/>
        <v>simense</v>
      </c>
      <c r="L811" s="77">
        <f t="shared" si="389"/>
        <v>6</v>
      </c>
      <c r="M811" s="77">
        <f t="shared" si="389"/>
        <v>20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v>
      </c>
      <c r="C812" s="73">
        <f t="shared" si="385"/>
        <v>15</v>
      </c>
      <c r="D812" s="74">
        <f t="shared" si="368"/>
        <v>5</v>
      </c>
      <c r="E812" s="75">
        <f t="shared" si="369"/>
        <v>29</v>
      </c>
      <c r="F812" s="79"/>
      <c r="G812" s="82"/>
      <c r="H812" s="68" t="str">
        <f t="shared" si="386"/>
        <v>Clesim6_20211115_05_00</v>
      </c>
      <c r="I812" s="69">
        <f t="shared" si="389"/>
        <v>1</v>
      </c>
      <c r="J812" s="76" t="str">
        <f t="shared" si="389"/>
        <v>Clematis</v>
      </c>
      <c r="K812" s="76" t="str">
        <f t="shared" si="389"/>
        <v>simense</v>
      </c>
      <c r="L812" s="77">
        <f t="shared" si="389"/>
        <v>6</v>
      </c>
      <c r="M812" s="77">
        <f t="shared" si="389"/>
        <v>20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v>
      </c>
      <c r="C813" s="73">
        <f t="shared" si="385"/>
        <v>15</v>
      </c>
      <c r="D813" s="74">
        <f t="shared" si="368"/>
        <v>5</v>
      </c>
      <c r="E813" s="75">
        <f t="shared" si="369"/>
        <v>30</v>
      </c>
      <c r="F813" s="79"/>
      <c r="G813" s="82"/>
      <c r="H813" s="68" t="str">
        <f t="shared" si="386"/>
        <v>Clesim6_20211115_05_00</v>
      </c>
      <c r="I813" s="69">
        <f t="shared" si="389"/>
        <v>1</v>
      </c>
      <c r="J813" s="76" t="str">
        <f t="shared" si="389"/>
        <v>Clematis</v>
      </c>
      <c r="K813" s="76" t="str">
        <f t="shared" si="389"/>
        <v>simense</v>
      </c>
      <c r="L813" s="77">
        <f t="shared" si="389"/>
        <v>6</v>
      </c>
      <c r="M813" s="77">
        <f t="shared" si="389"/>
        <v>20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v>
      </c>
      <c r="C814" s="73">
        <f t="shared" si="385"/>
        <v>15</v>
      </c>
      <c r="D814" s="74">
        <f t="shared" si="368"/>
        <v>5</v>
      </c>
      <c r="E814" s="75">
        <f t="shared" si="369"/>
        <v>31</v>
      </c>
      <c r="F814" s="79"/>
      <c r="G814" s="82"/>
      <c r="H814" s="68" t="str">
        <f t="shared" si="386"/>
        <v>Clesim6_20211115_05_00</v>
      </c>
      <c r="I814" s="69">
        <f t="shared" si="389"/>
        <v>1</v>
      </c>
      <c r="J814" s="76" t="str">
        <f t="shared" si="389"/>
        <v>Clematis</v>
      </c>
      <c r="K814" s="76" t="str">
        <f t="shared" si="389"/>
        <v>simense</v>
      </c>
      <c r="L814" s="77">
        <f t="shared" si="389"/>
        <v>6</v>
      </c>
      <c r="M814" s="77">
        <f t="shared" si="389"/>
        <v>20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v>
      </c>
      <c r="C815" s="73">
        <f t="shared" si="385"/>
        <v>15</v>
      </c>
      <c r="D815" s="74">
        <f t="shared" si="368"/>
        <v>5</v>
      </c>
      <c r="E815" s="75">
        <f t="shared" si="369"/>
        <v>32</v>
      </c>
      <c r="F815" s="79"/>
      <c r="G815" s="82"/>
      <c r="H815" s="68" t="str">
        <f t="shared" si="386"/>
        <v>Clesim6_20211115_05_00</v>
      </c>
      <c r="I815" s="69">
        <f t="shared" si="389"/>
        <v>1</v>
      </c>
      <c r="J815" s="76" t="str">
        <f t="shared" si="389"/>
        <v>Clematis</v>
      </c>
      <c r="K815" s="76" t="str">
        <f t="shared" si="389"/>
        <v>simense</v>
      </c>
      <c r="L815" s="77">
        <f t="shared" si="389"/>
        <v>6</v>
      </c>
      <c r="M815" s="77">
        <f t="shared" si="389"/>
        <v>20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v>
      </c>
      <c r="C816" s="73">
        <f t="shared" si="385"/>
        <v>15</v>
      </c>
      <c r="D816" s="74">
        <f t="shared" si="368"/>
        <v>5</v>
      </c>
      <c r="E816" s="75">
        <f t="shared" si="369"/>
        <v>33</v>
      </c>
      <c r="F816" s="79"/>
      <c r="G816" s="82"/>
      <c r="H816" s="68" t="str">
        <f t="shared" si="386"/>
        <v>Clesim6_20211115_05_00</v>
      </c>
      <c r="I816" s="69">
        <f t="shared" si="389"/>
        <v>1</v>
      </c>
      <c r="J816" s="76" t="str">
        <f t="shared" si="389"/>
        <v>Clematis</v>
      </c>
      <c r="K816" s="76" t="str">
        <f t="shared" si="389"/>
        <v>simense</v>
      </c>
      <c r="L816" s="77">
        <f t="shared" si="389"/>
        <v>6</v>
      </c>
      <c r="M816" s="77">
        <f t="shared" si="389"/>
        <v>20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v>
      </c>
      <c r="C817" s="73">
        <f t="shared" si="385"/>
        <v>15</v>
      </c>
      <c r="D817" s="74">
        <f t="shared" si="368"/>
        <v>5</v>
      </c>
      <c r="E817" s="75">
        <f t="shared" si="369"/>
        <v>34</v>
      </c>
      <c r="F817" s="79"/>
      <c r="G817" s="82"/>
      <c r="H817" s="68" t="str">
        <f t="shared" si="386"/>
        <v>Clesim6_20211115_05_00</v>
      </c>
      <c r="I817" s="69">
        <f t="shared" si="389"/>
        <v>1</v>
      </c>
      <c r="J817" s="76" t="str">
        <f t="shared" si="389"/>
        <v>Clematis</v>
      </c>
      <c r="K817" s="76" t="str">
        <f t="shared" si="389"/>
        <v>simense</v>
      </c>
      <c r="L817" s="77">
        <f t="shared" si="389"/>
        <v>6</v>
      </c>
      <c r="M817" s="77">
        <f t="shared" si="389"/>
        <v>20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v>
      </c>
      <c r="C818" s="73">
        <f t="shared" si="385"/>
        <v>15</v>
      </c>
      <c r="D818" s="74">
        <f t="shared" si="368"/>
        <v>5</v>
      </c>
      <c r="E818" s="75">
        <f t="shared" si="369"/>
        <v>35</v>
      </c>
      <c r="F818" s="79"/>
      <c r="G818" s="82"/>
      <c r="H818" s="68" t="str">
        <f t="shared" si="386"/>
        <v>Clesim6_20211115_05_00</v>
      </c>
      <c r="I818" s="69">
        <f t="shared" si="389"/>
        <v>1</v>
      </c>
      <c r="J818" s="76" t="str">
        <f t="shared" si="389"/>
        <v>Clematis</v>
      </c>
      <c r="K818" s="76" t="str">
        <f t="shared" si="389"/>
        <v>simense</v>
      </c>
      <c r="L818" s="77">
        <f t="shared" si="389"/>
        <v>6</v>
      </c>
      <c r="M818" s="77">
        <f t="shared" si="389"/>
        <v>20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v>
      </c>
      <c r="C819" s="73">
        <f t="shared" si="385"/>
        <v>15</v>
      </c>
      <c r="D819" s="74">
        <f t="shared" si="368"/>
        <v>5</v>
      </c>
      <c r="E819" s="75">
        <f t="shared" si="369"/>
        <v>36</v>
      </c>
      <c r="F819" s="79"/>
      <c r="G819" s="82"/>
      <c r="H819" s="68" t="str">
        <f t="shared" si="386"/>
        <v>Clesim6_20211115_05_00</v>
      </c>
      <c r="I819" s="69">
        <f t="shared" si="389"/>
        <v>1</v>
      </c>
      <c r="J819" s="76" t="str">
        <f t="shared" si="389"/>
        <v>Clematis</v>
      </c>
      <c r="K819" s="76" t="str">
        <f t="shared" si="389"/>
        <v>simense</v>
      </c>
      <c r="L819" s="77">
        <f t="shared" si="389"/>
        <v>6</v>
      </c>
      <c r="M819" s="77">
        <f t="shared" si="389"/>
        <v>20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v>
      </c>
      <c r="C820" s="73">
        <f t="shared" si="385"/>
        <v>15</v>
      </c>
      <c r="D820" s="74">
        <f t="shared" si="368"/>
        <v>5</v>
      </c>
      <c r="E820" s="75">
        <f t="shared" si="369"/>
        <v>37</v>
      </c>
      <c r="F820" s="79"/>
      <c r="G820" s="82"/>
      <c r="H820" s="68" t="str">
        <f t="shared" si="386"/>
        <v>Clesim6_20211115_05_00</v>
      </c>
      <c r="I820" s="69">
        <f t="shared" si="389"/>
        <v>1</v>
      </c>
      <c r="J820" s="76" t="str">
        <f t="shared" si="389"/>
        <v>Clematis</v>
      </c>
      <c r="K820" s="76" t="str">
        <f t="shared" si="389"/>
        <v>simense</v>
      </c>
      <c r="L820" s="77">
        <f t="shared" si="389"/>
        <v>6</v>
      </c>
      <c r="M820" s="77">
        <f t="shared" si="389"/>
        <v>20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v>
      </c>
      <c r="C821" s="73">
        <f t="shared" si="385"/>
        <v>15</v>
      </c>
      <c r="D821" s="74">
        <f t="shared" si="368"/>
        <v>5</v>
      </c>
      <c r="E821" s="75">
        <f t="shared" si="369"/>
        <v>38</v>
      </c>
      <c r="F821" s="79"/>
      <c r="G821" s="82"/>
      <c r="H821" s="68" t="str">
        <f t="shared" si="386"/>
        <v>Clesim6_20211115_05_00</v>
      </c>
      <c r="I821" s="69">
        <f t="shared" ref="I821:N836" si="390">I820</f>
        <v>1</v>
      </c>
      <c r="J821" s="76" t="str">
        <f t="shared" si="390"/>
        <v>Clematis</v>
      </c>
      <c r="K821" s="76" t="str">
        <f t="shared" si="390"/>
        <v>simense</v>
      </c>
      <c r="L821" s="77">
        <f t="shared" si="390"/>
        <v>6</v>
      </c>
      <c r="M821" s="77">
        <f t="shared" si="390"/>
        <v>20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v>
      </c>
      <c r="C822" s="73">
        <f t="shared" si="385"/>
        <v>15</v>
      </c>
      <c r="D822" s="74">
        <f t="shared" si="368"/>
        <v>5</v>
      </c>
      <c r="E822" s="75">
        <f t="shared" si="369"/>
        <v>39</v>
      </c>
      <c r="F822" s="79"/>
      <c r="G822" s="82"/>
      <c r="H822" s="68" t="str">
        <f t="shared" si="386"/>
        <v>Clesim6_20211115_05_00</v>
      </c>
      <c r="I822" s="69">
        <f t="shared" si="390"/>
        <v>1</v>
      </c>
      <c r="J822" s="76" t="str">
        <f t="shared" si="390"/>
        <v>Clematis</v>
      </c>
      <c r="K822" s="76" t="str">
        <f t="shared" si="390"/>
        <v>simense</v>
      </c>
      <c r="L822" s="77">
        <f t="shared" si="390"/>
        <v>6</v>
      </c>
      <c r="M822" s="77">
        <f t="shared" si="390"/>
        <v>20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v>
      </c>
      <c r="C823" s="73">
        <f t="shared" si="385"/>
        <v>15</v>
      </c>
      <c r="D823" s="74">
        <f t="shared" si="368"/>
        <v>5</v>
      </c>
      <c r="E823" s="75">
        <f t="shared" si="369"/>
        <v>40</v>
      </c>
      <c r="F823" s="79"/>
      <c r="G823" s="82"/>
      <c r="H823" s="68" t="str">
        <f t="shared" si="386"/>
        <v>Clesim6_20211115_05_00</v>
      </c>
      <c r="I823" s="69">
        <f t="shared" si="390"/>
        <v>1</v>
      </c>
      <c r="J823" s="76" t="str">
        <f t="shared" si="390"/>
        <v>Clematis</v>
      </c>
      <c r="K823" s="76" t="str">
        <f t="shared" si="390"/>
        <v>simense</v>
      </c>
      <c r="L823" s="77">
        <f t="shared" si="390"/>
        <v>6</v>
      </c>
      <c r="M823" s="77">
        <f t="shared" si="390"/>
        <v>20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v>
      </c>
      <c r="C824" s="73">
        <f t="shared" si="385"/>
        <v>15</v>
      </c>
      <c r="D824" s="74">
        <f t="shared" si="368"/>
        <v>5</v>
      </c>
      <c r="E824" s="75">
        <f t="shared" si="369"/>
        <v>41</v>
      </c>
      <c r="F824" s="79"/>
      <c r="G824" s="82"/>
      <c r="H824" s="68" t="str">
        <f t="shared" si="386"/>
        <v>Clesim6_20211115_05_00</v>
      </c>
      <c r="I824" s="69">
        <f t="shared" si="390"/>
        <v>1</v>
      </c>
      <c r="J824" s="76" t="str">
        <f t="shared" si="390"/>
        <v>Clematis</v>
      </c>
      <c r="K824" s="76" t="str">
        <f t="shared" si="390"/>
        <v>simense</v>
      </c>
      <c r="L824" s="77">
        <f t="shared" si="390"/>
        <v>6</v>
      </c>
      <c r="M824" s="77">
        <f t="shared" si="390"/>
        <v>20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v>
      </c>
      <c r="C825" s="73">
        <f t="shared" si="385"/>
        <v>15</v>
      </c>
      <c r="D825" s="74">
        <f t="shared" si="368"/>
        <v>5</v>
      </c>
      <c r="E825" s="75">
        <f t="shared" si="369"/>
        <v>42</v>
      </c>
      <c r="F825" s="79"/>
      <c r="G825" s="82"/>
      <c r="H825" s="68" t="str">
        <f t="shared" si="386"/>
        <v>Clesim6_20211115_05_00</v>
      </c>
      <c r="I825" s="69">
        <f t="shared" si="390"/>
        <v>1</v>
      </c>
      <c r="J825" s="76" t="str">
        <f t="shared" si="390"/>
        <v>Clematis</v>
      </c>
      <c r="K825" s="76" t="str">
        <f t="shared" si="390"/>
        <v>simense</v>
      </c>
      <c r="L825" s="77">
        <f t="shared" si="390"/>
        <v>6</v>
      </c>
      <c r="M825" s="77">
        <f t="shared" si="390"/>
        <v>20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v>
      </c>
      <c r="C826" s="73">
        <f t="shared" si="385"/>
        <v>15</v>
      </c>
      <c r="D826" s="74">
        <f t="shared" si="368"/>
        <v>5</v>
      </c>
      <c r="E826" s="75">
        <f t="shared" si="369"/>
        <v>43</v>
      </c>
      <c r="F826" s="79"/>
      <c r="G826" s="82"/>
      <c r="H826" s="68" t="str">
        <f t="shared" si="386"/>
        <v>Clesim6_20211115_05_00</v>
      </c>
      <c r="I826" s="69">
        <f t="shared" si="390"/>
        <v>1</v>
      </c>
      <c r="J826" s="76" t="str">
        <f t="shared" si="390"/>
        <v>Clematis</v>
      </c>
      <c r="K826" s="76" t="str">
        <f t="shared" si="390"/>
        <v>simense</v>
      </c>
      <c r="L826" s="77">
        <f t="shared" si="390"/>
        <v>6</v>
      </c>
      <c r="M826" s="77">
        <f t="shared" si="390"/>
        <v>20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v>
      </c>
      <c r="C827" s="73">
        <f t="shared" si="385"/>
        <v>15</v>
      </c>
      <c r="D827" s="74">
        <f t="shared" si="368"/>
        <v>5</v>
      </c>
      <c r="E827" s="75">
        <f t="shared" si="369"/>
        <v>44</v>
      </c>
      <c r="F827" s="79"/>
      <c r="G827" s="82"/>
      <c r="H827" s="68" t="str">
        <f t="shared" si="386"/>
        <v>Clesim6_20211115_05_00</v>
      </c>
      <c r="I827" s="69">
        <f t="shared" si="390"/>
        <v>1</v>
      </c>
      <c r="J827" s="76" t="str">
        <f t="shared" si="390"/>
        <v>Clematis</v>
      </c>
      <c r="K827" s="76" t="str">
        <f t="shared" si="390"/>
        <v>simense</v>
      </c>
      <c r="L827" s="77">
        <f t="shared" si="390"/>
        <v>6</v>
      </c>
      <c r="M827" s="77">
        <f t="shared" si="390"/>
        <v>20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v>
      </c>
      <c r="C828" s="73">
        <f t="shared" si="385"/>
        <v>15</v>
      </c>
      <c r="D828" s="74">
        <f t="shared" si="368"/>
        <v>5</v>
      </c>
      <c r="E828" s="75">
        <f t="shared" si="369"/>
        <v>45</v>
      </c>
      <c r="F828" s="79"/>
      <c r="G828" s="82"/>
      <c r="H828" s="68" t="str">
        <f t="shared" si="386"/>
        <v>Clesim6_20211115_05_00</v>
      </c>
      <c r="I828" s="69">
        <f t="shared" si="390"/>
        <v>1</v>
      </c>
      <c r="J828" s="76" t="str">
        <f t="shared" si="390"/>
        <v>Clematis</v>
      </c>
      <c r="K828" s="76" t="str">
        <f t="shared" si="390"/>
        <v>simense</v>
      </c>
      <c r="L828" s="77">
        <f t="shared" si="390"/>
        <v>6</v>
      </c>
      <c r="M828" s="77">
        <f t="shared" si="390"/>
        <v>20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v>
      </c>
      <c r="C829" s="73">
        <f t="shared" si="385"/>
        <v>15</v>
      </c>
      <c r="D829" s="74">
        <f t="shared" si="368"/>
        <v>5</v>
      </c>
      <c r="E829" s="75">
        <f t="shared" si="369"/>
        <v>46</v>
      </c>
      <c r="F829" s="79"/>
      <c r="G829" s="82"/>
      <c r="H829" s="68" t="str">
        <f t="shared" si="386"/>
        <v>Clesim6_20211115_05_00</v>
      </c>
      <c r="I829" s="69">
        <f t="shared" si="390"/>
        <v>1</v>
      </c>
      <c r="J829" s="76" t="str">
        <f t="shared" si="390"/>
        <v>Clematis</v>
      </c>
      <c r="K829" s="76" t="str">
        <f t="shared" si="390"/>
        <v>simense</v>
      </c>
      <c r="L829" s="77">
        <f t="shared" si="390"/>
        <v>6</v>
      </c>
      <c r="M829" s="77">
        <f t="shared" si="390"/>
        <v>20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v>
      </c>
      <c r="C830" s="73">
        <f t="shared" si="385"/>
        <v>15</v>
      </c>
      <c r="D830" s="74">
        <f t="shared" si="368"/>
        <v>5</v>
      </c>
      <c r="E830" s="75">
        <f t="shared" si="369"/>
        <v>47</v>
      </c>
      <c r="F830" s="79"/>
      <c r="G830" s="82"/>
      <c r="H830" s="68" t="str">
        <f t="shared" si="386"/>
        <v>Clesim6_20211115_05_00</v>
      </c>
      <c r="I830" s="69">
        <f t="shared" si="390"/>
        <v>1</v>
      </c>
      <c r="J830" s="76" t="str">
        <f t="shared" si="390"/>
        <v>Clematis</v>
      </c>
      <c r="K830" s="76" t="str">
        <f t="shared" si="390"/>
        <v>simense</v>
      </c>
      <c r="L830" s="77">
        <f t="shared" si="390"/>
        <v>6</v>
      </c>
      <c r="M830" s="77">
        <f t="shared" si="390"/>
        <v>20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v>
      </c>
      <c r="C831" s="73">
        <f t="shared" si="385"/>
        <v>15</v>
      </c>
      <c r="D831" s="74">
        <f t="shared" si="368"/>
        <v>5</v>
      </c>
      <c r="E831" s="75">
        <f t="shared" si="369"/>
        <v>48</v>
      </c>
      <c r="F831" s="79"/>
      <c r="G831" s="82"/>
      <c r="H831" s="68" t="str">
        <f t="shared" si="386"/>
        <v>Clesim6_20211115_05_00</v>
      </c>
      <c r="I831" s="69">
        <f t="shared" si="390"/>
        <v>1</v>
      </c>
      <c r="J831" s="76" t="str">
        <f t="shared" si="390"/>
        <v>Clematis</v>
      </c>
      <c r="K831" s="76" t="str">
        <f t="shared" si="390"/>
        <v>simense</v>
      </c>
      <c r="L831" s="77">
        <f t="shared" si="390"/>
        <v>6</v>
      </c>
      <c r="M831" s="77">
        <f t="shared" si="390"/>
        <v>20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v>
      </c>
      <c r="C832" s="73">
        <f t="shared" si="385"/>
        <v>15</v>
      </c>
      <c r="D832" s="74">
        <f t="shared" si="368"/>
        <v>5</v>
      </c>
      <c r="E832" s="75">
        <f t="shared" si="369"/>
        <v>49</v>
      </c>
      <c r="F832" s="79"/>
      <c r="G832" s="82"/>
      <c r="H832" s="68" t="str">
        <f t="shared" si="386"/>
        <v>Clesim6_20211115_05_00</v>
      </c>
      <c r="I832" s="69">
        <f t="shared" si="390"/>
        <v>1</v>
      </c>
      <c r="J832" s="76" t="str">
        <f t="shared" si="390"/>
        <v>Clematis</v>
      </c>
      <c r="K832" s="76" t="str">
        <f t="shared" si="390"/>
        <v>simense</v>
      </c>
      <c r="L832" s="77">
        <f t="shared" si="390"/>
        <v>6</v>
      </c>
      <c r="M832" s="77">
        <f t="shared" si="390"/>
        <v>20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v>
      </c>
      <c r="C833" s="73">
        <f t="shared" si="385"/>
        <v>15</v>
      </c>
      <c r="D833" s="74">
        <f t="shared" si="368"/>
        <v>5</v>
      </c>
      <c r="E833" s="75">
        <f t="shared" si="369"/>
        <v>50</v>
      </c>
      <c r="F833" s="79"/>
      <c r="G833" s="82"/>
      <c r="H833" s="68" t="str">
        <f t="shared" si="386"/>
        <v>Clesim6_20211115_05_00</v>
      </c>
      <c r="I833" s="69">
        <f t="shared" si="390"/>
        <v>1</v>
      </c>
      <c r="J833" s="76" t="str">
        <f t="shared" si="390"/>
        <v>Clematis</v>
      </c>
      <c r="K833" s="76" t="str">
        <f t="shared" si="390"/>
        <v>simense</v>
      </c>
      <c r="L833" s="77">
        <f t="shared" si="390"/>
        <v>6</v>
      </c>
      <c r="M833" s="77">
        <f t="shared" si="390"/>
        <v>20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v>
      </c>
      <c r="C834" s="73">
        <f t="shared" si="385"/>
        <v>15</v>
      </c>
      <c r="D834" s="74">
        <f t="shared" si="368"/>
        <v>5</v>
      </c>
      <c r="E834" s="75">
        <f t="shared" si="369"/>
        <v>51</v>
      </c>
      <c r="F834" s="79"/>
      <c r="G834" s="82"/>
      <c r="H834" s="68" t="str">
        <f t="shared" si="386"/>
        <v>Clesim6_20211115_05_00</v>
      </c>
      <c r="I834" s="69">
        <f t="shared" si="390"/>
        <v>1</v>
      </c>
      <c r="J834" s="76" t="str">
        <f t="shared" si="390"/>
        <v>Clematis</v>
      </c>
      <c r="K834" s="76" t="str">
        <f t="shared" si="390"/>
        <v>simense</v>
      </c>
      <c r="L834" s="77">
        <f t="shared" si="390"/>
        <v>6</v>
      </c>
      <c r="M834" s="77">
        <f t="shared" si="390"/>
        <v>20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v>
      </c>
      <c r="C835" s="73">
        <f t="shared" si="385"/>
        <v>15</v>
      </c>
      <c r="D835" s="74">
        <f t="shared" si="368"/>
        <v>5</v>
      </c>
      <c r="E835" s="75">
        <f t="shared" si="369"/>
        <v>52</v>
      </c>
      <c r="F835" s="79"/>
      <c r="G835" s="82"/>
      <c r="H835" s="68" t="str">
        <f t="shared" si="386"/>
        <v>Clesim6_20211115_05_00</v>
      </c>
      <c r="I835" s="69">
        <f t="shared" si="390"/>
        <v>1</v>
      </c>
      <c r="J835" s="76" t="str">
        <f t="shared" si="390"/>
        <v>Clematis</v>
      </c>
      <c r="K835" s="76" t="str">
        <f t="shared" si="390"/>
        <v>simense</v>
      </c>
      <c r="L835" s="77">
        <f t="shared" si="390"/>
        <v>6</v>
      </c>
      <c r="M835" s="77">
        <f t="shared" si="390"/>
        <v>20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v>
      </c>
      <c r="C836" s="73">
        <f t="shared" si="385"/>
        <v>15</v>
      </c>
      <c r="D836" s="74">
        <f t="shared" ref="D836:D899" si="398">IF(IF(E835=59,D835+1,D835)=24,0,IF(E835=59,D835+1,D835))</f>
        <v>5</v>
      </c>
      <c r="E836" s="75">
        <f t="shared" ref="E836:E899" si="399">IF(E835&lt;59,E835+1,0)</f>
        <v>53</v>
      </c>
      <c r="F836" s="79"/>
      <c r="G836" s="82"/>
      <c r="H836" s="68" t="str">
        <f t="shared" si="386"/>
        <v>Clesim6_20211115_05_00</v>
      </c>
      <c r="I836" s="69">
        <f t="shared" si="390"/>
        <v>1</v>
      </c>
      <c r="J836" s="76" t="str">
        <f t="shared" si="390"/>
        <v>Clematis</v>
      </c>
      <c r="K836" s="76" t="str">
        <f t="shared" si="390"/>
        <v>simense</v>
      </c>
      <c r="L836" s="77">
        <f t="shared" si="390"/>
        <v>6</v>
      </c>
      <c r="M836" s="77">
        <f t="shared" si="390"/>
        <v>20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v>
      </c>
      <c r="C837" s="73">
        <f t="shared" ref="C837:C900" si="415">IF(AND(D837=0, E837=0), IF(TEXT(C836,"dd")=TEXT(EOMONTH(DATE(A836,MONTH(DATEVALUE(B836&amp;"1")),C836),0), "dd"), 1, C836+1), C836)</f>
        <v>15</v>
      </c>
      <c r="D837" s="74">
        <f t="shared" si="398"/>
        <v>5</v>
      </c>
      <c r="E837" s="75">
        <f t="shared" si="399"/>
        <v>54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Clesim6_20211115_05_00</v>
      </c>
      <c r="I837" s="69">
        <f t="shared" ref="I837:N852" si="417">I836</f>
        <v>1</v>
      </c>
      <c r="J837" s="76" t="str">
        <f t="shared" si="417"/>
        <v>Clematis</v>
      </c>
      <c r="K837" s="76" t="str">
        <f t="shared" si="417"/>
        <v>simense</v>
      </c>
      <c r="L837" s="77">
        <f t="shared" si="417"/>
        <v>6</v>
      </c>
      <c r="M837" s="77">
        <f t="shared" si="417"/>
        <v>20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v>
      </c>
      <c r="C838" s="73">
        <f t="shared" si="415"/>
        <v>15</v>
      </c>
      <c r="D838" s="74">
        <f t="shared" si="398"/>
        <v>5</v>
      </c>
      <c r="E838" s="75">
        <f t="shared" si="399"/>
        <v>55</v>
      </c>
      <c r="F838" s="79"/>
      <c r="G838" s="82"/>
      <c r="H838" s="68" t="str">
        <f t="shared" si="416"/>
        <v>Clesim6_20211115_05_00</v>
      </c>
      <c r="I838" s="69">
        <f t="shared" si="417"/>
        <v>1</v>
      </c>
      <c r="J838" s="76" t="str">
        <f t="shared" si="417"/>
        <v>Clematis</v>
      </c>
      <c r="K838" s="76" t="str">
        <f t="shared" si="417"/>
        <v>simense</v>
      </c>
      <c r="L838" s="77">
        <f t="shared" si="417"/>
        <v>6</v>
      </c>
      <c r="M838" s="77">
        <f t="shared" si="417"/>
        <v>20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v>
      </c>
      <c r="C839" s="73">
        <f t="shared" si="415"/>
        <v>15</v>
      </c>
      <c r="D839" s="74">
        <f t="shared" si="398"/>
        <v>5</v>
      </c>
      <c r="E839" s="75">
        <f t="shared" si="399"/>
        <v>56</v>
      </c>
      <c r="F839" s="79"/>
      <c r="G839" s="82"/>
      <c r="H839" s="68" t="str">
        <f t="shared" si="416"/>
        <v>Clesim6_20211115_05_00</v>
      </c>
      <c r="I839" s="69">
        <f t="shared" si="417"/>
        <v>1</v>
      </c>
      <c r="J839" s="76" t="str">
        <f t="shared" si="417"/>
        <v>Clematis</v>
      </c>
      <c r="K839" s="76" t="str">
        <f t="shared" si="417"/>
        <v>simense</v>
      </c>
      <c r="L839" s="77">
        <f t="shared" si="417"/>
        <v>6</v>
      </c>
      <c r="M839" s="77">
        <f t="shared" si="417"/>
        <v>20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v>
      </c>
      <c r="C840" s="73">
        <f t="shared" si="415"/>
        <v>15</v>
      </c>
      <c r="D840" s="74">
        <f t="shared" si="398"/>
        <v>5</v>
      </c>
      <c r="E840" s="75">
        <f t="shared" si="399"/>
        <v>57</v>
      </c>
      <c r="F840" s="79"/>
      <c r="G840" s="82"/>
      <c r="H840" s="68" t="str">
        <f t="shared" si="416"/>
        <v>Clesim6_20211115_05_00</v>
      </c>
      <c r="I840" s="69">
        <f t="shared" si="417"/>
        <v>1</v>
      </c>
      <c r="J840" s="76" t="str">
        <f t="shared" si="417"/>
        <v>Clematis</v>
      </c>
      <c r="K840" s="76" t="str">
        <f t="shared" si="417"/>
        <v>simense</v>
      </c>
      <c r="L840" s="77">
        <f t="shared" si="417"/>
        <v>6</v>
      </c>
      <c r="M840" s="77">
        <f t="shared" si="417"/>
        <v>20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v>
      </c>
      <c r="C841" s="73">
        <f t="shared" si="415"/>
        <v>15</v>
      </c>
      <c r="D841" s="74">
        <f t="shared" si="398"/>
        <v>5</v>
      </c>
      <c r="E841" s="75">
        <f t="shared" si="399"/>
        <v>58</v>
      </c>
      <c r="F841" s="79"/>
      <c r="G841" s="82"/>
      <c r="H841" s="68" t="str">
        <f t="shared" si="416"/>
        <v>Clesim6_20211115_05_00</v>
      </c>
      <c r="I841" s="69">
        <f t="shared" si="417"/>
        <v>1</v>
      </c>
      <c r="J841" s="76" t="str">
        <f t="shared" si="417"/>
        <v>Clematis</v>
      </c>
      <c r="K841" s="76" t="str">
        <f t="shared" si="417"/>
        <v>simense</v>
      </c>
      <c r="L841" s="77">
        <f t="shared" si="417"/>
        <v>6</v>
      </c>
      <c r="M841" s="77">
        <f t="shared" si="417"/>
        <v>20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v>
      </c>
      <c r="C842" s="73">
        <f t="shared" si="415"/>
        <v>15</v>
      </c>
      <c r="D842" s="74">
        <f t="shared" si="398"/>
        <v>5</v>
      </c>
      <c r="E842" s="75">
        <f t="shared" si="399"/>
        <v>59</v>
      </c>
      <c r="F842" s="79"/>
      <c r="G842" s="82"/>
      <c r="H842" s="68" t="str">
        <f t="shared" si="416"/>
        <v>Clesim6_20211115_05_00</v>
      </c>
      <c r="I842" s="69">
        <f t="shared" si="417"/>
        <v>1</v>
      </c>
      <c r="J842" s="76" t="str">
        <f t="shared" si="417"/>
        <v>Clematis</v>
      </c>
      <c r="K842" s="76" t="str">
        <f t="shared" si="417"/>
        <v>simense</v>
      </c>
      <c r="L842" s="77">
        <f t="shared" si="417"/>
        <v>6</v>
      </c>
      <c r="M842" s="77">
        <f t="shared" si="417"/>
        <v>20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v>
      </c>
      <c r="C843" s="73">
        <f t="shared" si="415"/>
        <v>15</v>
      </c>
      <c r="D843" s="74">
        <f t="shared" si="398"/>
        <v>6</v>
      </c>
      <c r="E843" s="75">
        <f t="shared" si="399"/>
        <v>0</v>
      </c>
      <c r="F843" s="79"/>
      <c r="G843" s="82"/>
      <c r="H843" s="68" t="str">
        <f t="shared" si="416"/>
        <v>Clesim6_20211115_06_00</v>
      </c>
      <c r="I843" s="69">
        <f t="shared" si="417"/>
        <v>1</v>
      </c>
      <c r="J843" s="76" t="str">
        <f t="shared" si="417"/>
        <v>Clematis</v>
      </c>
      <c r="K843" s="76" t="str">
        <f t="shared" si="417"/>
        <v>simense</v>
      </c>
      <c r="L843" s="77">
        <f t="shared" si="417"/>
        <v>6</v>
      </c>
      <c r="M843" s="77">
        <f t="shared" si="417"/>
        <v>20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v>
      </c>
      <c r="C844" s="73">
        <f t="shared" si="415"/>
        <v>15</v>
      </c>
      <c r="D844" s="74">
        <f t="shared" si="398"/>
        <v>6</v>
      </c>
      <c r="E844" s="75">
        <f t="shared" si="399"/>
        <v>1</v>
      </c>
      <c r="F844" s="79"/>
      <c r="G844" s="82"/>
      <c r="H844" s="68" t="str">
        <f t="shared" si="416"/>
        <v>Clesim6_20211115_06_00</v>
      </c>
      <c r="I844" s="69">
        <f t="shared" si="417"/>
        <v>1</v>
      </c>
      <c r="J844" s="76" t="str">
        <f t="shared" si="417"/>
        <v>Clematis</v>
      </c>
      <c r="K844" s="76" t="str">
        <f t="shared" si="417"/>
        <v>simense</v>
      </c>
      <c r="L844" s="77">
        <f t="shared" si="417"/>
        <v>6</v>
      </c>
      <c r="M844" s="77">
        <f t="shared" si="417"/>
        <v>20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v>
      </c>
      <c r="C845" s="73">
        <f t="shared" si="415"/>
        <v>15</v>
      </c>
      <c r="D845" s="74">
        <f t="shared" si="398"/>
        <v>6</v>
      </c>
      <c r="E845" s="75">
        <f t="shared" si="399"/>
        <v>2</v>
      </c>
      <c r="F845" s="79"/>
      <c r="G845" s="82"/>
      <c r="H845" s="68" t="str">
        <f t="shared" si="416"/>
        <v>Clesim6_20211115_06_00</v>
      </c>
      <c r="I845" s="69">
        <f t="shared" si="417"/>
        <v>1</v>
      </c>
      <c r="J845" s="76" t="str">
        <f t="shared" si="417"/>
        <v>Clematis</v>
      </c>
      <c r="K845" s="76" t="str">
        <f t="shared" si="417"/>
        <v>simense</v>
      </c>
      <c r="L845" s="77">
        <f t="shared" si="417"/>
        <v>6</v>
      </c>
      <c r="M845" s="77">
        <f t="shared" si="417"/>
        <v>20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v>
      </c>
      <c r="C846" s="73">
        <f t="shared" si="415"/>
        <v>15</v>
      </c>
      <c r="D846" s="74">
        <f t="shared" si="398"/>
        <v>6</v>
      </c>
      <c r="E846" s="75">
        <f t="shared" si="399"/>
        <v>3</v>
      </c>
      <c r="F846" s="79"/>
      <c r="G846" s="82"/>
      <c r="H846" s="68" t="str">
        <f t="shared" si="416"/>
        <v>Clesim6_20211115_06_00</v>
      </c>
      <c r="I846" s="69">
        <f t="shared" si="417"/>
        <v>1</v>
      </c>
      <c r="J846" s="76" t="str">
        <f t="shared" si="417"/>
        <v>Clematis</v>
      </c>
      <c r="K846" s="76" t="str">
        <f t="shared" si="417"/>
        <v>simense</v>
      </c>
      <c r="L846" s="77">
        <f t="shared" si="417"/>
        <v>6</v>
      </c>
      <c r="M846" s="77">
        <f t="shared" si="417"/>
        <v>20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v>
      </c>
      <c r="C847" s="73">
        <f t="shared" si="415"/>
        <v>15</v>
      </c>
      <c r="D847" s="74">
        <f t="shared" si="398"/>
        <v>6</v>
      </c>
      <c r="E847" s="75">
        <f t="shared" si="399"/>
        <v>4</v>
      </c>
      <c r="F847" s="79"/>
      <c r="G847" s="82"/>
      <c r="H847" s="68" t="str">
        <f t="shared" si="416"/>
        <v>Clesim6_20211115_06_00</v>
      </c>
      <c r="I847" s="69">
        <f t="shared" si="417"/>
        <v>1</v>
      </c>
      <c r="J847" s="76" t="str">
        <f t="shared" si="417"/>
        <v>Clematis</v>
      </c>
      <c r="K847" s="76" t="str">
        <f t="shared" si="417"/>
        <v>simense</v>
      </c>
      <c r="L847" s="77">
        <f t="shared" si="417"/>
        <v>6</v>
      </c>
      <c r="M847" s="77">
        <f t="shared" si="417"/>
        <v>20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v>
      </c>
      <c r="C848" s="73">
        <f t="shared" si="415"/>
        <v>15</v>
      </c>
      <c r="D848" s="74">
        <f t="shared" si="398"/>
        <v>6</v>
      </c>
      <c r="E848" s="75">
        <f t="shared" si="399"/>
        <v>5</v>
      </c>
      <c r="F848" s="79"/>
      <c r="G848" s="82"/>
      <c r="H848" s="68" t="str">
        <f t="shared" si="416"/>
        <v>Clesim6_20211115_06_00</v>
      </c>
      <c r="I848" s="69">
        <f t="shared" si="417"/>
        <v>1</v>
      </c>
      <c r="J848" s="76" t="str">
        <f t="shared" si="417"/>
        <v>Clematis</v>
      </c>
      <c r="K848" s="76" t="str">
        <f t="shared" si="417"/>
        <v>simense</v>
      </c>
      <c r="L848" s="77">
        <f t="shared" si="417"/>
        <v>6</v>
      </c>
      <c r="M848" s="77">
        <f t="shared" si="417"/>
        <v>20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v>
      </c>
      <c r="C849" s="73">
        <f t="shared" si="415"/>
        <v>15</v>
      </c>
      <c r="D849" s="74">
        <f t="shared" si="398"/>
        <v>6</v>
      </c>
      <c r="E849" s="75">
        <f t="shared" si="399"/>
        <v>6</v>
      </c>
      <c r="F849" s="79"/>
      <c r="G849" s="82"/>
      <c r="H849" s="68" t="str">
        <f t="shared" si="416"/>
        <v>Clesim6_20211115_06_00</v>
      </c>
      <c r="I849" s="69">
        <f t="shared" si="417"/>
        <v>1</v>
      </c>
      <c r="J849" s="76" t="str">
        <f t="shared" si="417"/>
        <v>Clematis</v>
      </c>
      <c r="K849" s="76" t="str">
        <f t="shared" si="417"/>
        <v>simense</v>
      </c>
      <c r="L849" s="77">
        <f t="shared" si="417"/>
        <v>6</v>
      </c>
      <c r="M849" s="77">
        <f t="shared" si="417"/>
        <v>20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v>
      </c>
      <c r="C850" s="73">
        <f t="shared" si="415"/>
        <v>15</v>
      </c>
      <c r="D850" s="74">
        <f t="shared" si="398"/>
        <v>6</v>
      </c>
      <c r="E850" s="75">
        <f t="shared" si="399"/>
        <v>7</v>
      </c>
      <c r="F850" s="79"/>
      <c r="G850" s="82"/>
      <c r="H850" s="68" t="str">
        <f t="shared" si="416"/>
        <v>Clesim6_20211115_06_00</v>
      </c>
      <c r="I850" s="69">
        <f t="shared" si="417"/>
        <v>1</v>
      </c>
      <c r="J850" s="76" t="str">
        <f t="shared" si="417"/>
        <v>Clematis</v>
      </c>
      <c r="K850" s="76" t="str">
        <f t="shared" si="417"/>
        <v>simense</v>
      </c>
      <c r="L850" s="77">
        <f t="shared" si="417"/>
        <v>6</v>
      </c>
      <c r="M850" s="77">
        <f t="shared" si="417"/>
        <v>20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v>
      </c>
      <c r="C851" s="73">
        <f t="shared" si="415"/>
        <v>15</v>
      </c>
      <c r="D851" s="74">
        <f t="shared" si="398"/>
        <v>6</v>
      </c>
      <c r="E851" s="75">
        <f t="shared" si="399"/>
        <v>8</v>
      </c>
      <c r="F851" s="79"/>
      <c r="G851" s="82"/>
      <c r="H851" s="68" t="str">
        <f t="shared" si="416"/>
        <v>Clesim6_20211115_06_00</v>
      </c>
      <c r="I851" s="69">
        <f t="shared" si="417"/>
        <v>1</v>
      </c>
      <c r="J851" s="76" t="str">
        <f t="shared" si="417"/>
        <v>Clematis</v>
      </c>
      <c r="K851" s="76" t="str">
        <f t="shared" si="417"/>
        <v>simense</v>
      </c>
      <c r="L851" s="77">
        <f t="shared" si="417"/>
        <v>6</v>
      </c>
      <c r="M851" s="77">
        <f t="shared" si="417"/>
        <v>20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v>
      </c>
      <c r="C852" s="73">
        <f t="shared" si="415"/>
        <v>15</v>
      </c>
      <c r="D852" s="74">
        <f t="shared" si="398"/>
        <v>6</v>
      </c>
      <c r="E852" s="75">
        <f t="shared" si="399"/>
        <v>9</v>
      </c>
      <c r="F852" s="79"/>
      <c r="G852" s="82"/>
      <c r="H852" s="68" t="str">
        <f t="shared" si="416"/>
        <v>Clesim6_20211115_06_00</v>
      </c>
      <c r="I852" s="69">
        <f t="shared" si="417"/>
        <v>1</v>
      </c>
      <c r="J852" s="76" t="str">
        <f t="shared" si="417"/>
        <v>Clematis</v>
      </c>
      <c r="K852" s="76" t="str">
        <f t="shared" si="417"/>
        <v>simense</v>
      </c>
      <c r="L852" s="77">
        <f t="shared" si="417"/>
        <v>6</v>
      </c>
      <c r="M852" s="77">
        <f t="shared" si="417"/>
        <v>20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v>
      </c>
      <c r="C853" s="73">
        <f t="shared" si="415"/>
        <v>15</v>
      </c>
      <c r="D853" s="74">
        <f t="shared" si="398"/>
        <v>6</v>
      </c>
      <c r="E853" s="75">
        <f t="shared" si="399"/>
        <v>10</v>
      </c>
      <c r="F853" s="79"/>
      <c r="G853" s="82"/>
      <c r="H853" s="68" t="str">
        <f t="shared" si="416"/>
        <v>Clesim6_20211115_06_00</v>
      </c>
      <c r="I853" s="69">
        <f t="shared" ref="I853:N868" si="418">I852</f>
        <v>1</v>
      </c>
      <c r="J853" s="76" t="str">
        <f t="shared" si="418"/>
        <v>Clematis</v>
      </c>
      <c r="K853" s="76" t="str">
        <f t="shared" si="418"/>
        <v>simense</v>
      </c>
      <c r="L853" s="77">
        <f t="shared" si="418"/>
        <v>6</v>
      </c>
      <c r="M853" s="77">
        <f t="shared" si="418"/>
        <v>20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v>
      </c>
      <c r="C854" s="73">
        <f t="shared" si="415"/>
        <v>15</v>
      </c>
      <c r="D854" s="74">
        <f t="shared" si="398"/>
        <v>6</v>
      </c>
      <c r="E854" s="75">
        <f t="shared" si="399"/>
        <v>11</v>
      </c>
      <c r="F854" s="79"/>
      <c r="G854" s="82"/>
      <c r="H854" s="68" t="str">
        <f t="shared" si="416"/>
        <v>Clesim6_20211115_06_00</v>
      </c>
      <c r="I854" s="69">
        <f t="shared" si="418"/>
        <v>1</v>
      </c>
      <c r="J854" s="76" t="str">
        <f t="shared" si="418"/>
        <v>Clematis</v>
      </c>
      <c r="K854" s="76" t="str">
        <f t="shared" si="418"/>
        <v>simense</v>
      </c>
      <c r="L854" s="77">
        <f t="shared" si="418"/>
        <v>6</v>
      </c>
      <c r="M854" s="77">
        <f t="shared" si="418"/>
        <v>20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v>
      </c>
      <c r="C855" s="73">
        <f t="shared" si="415"/>
        <v>15</v>
      </c>
      <c r="D855" s="74">
        <f t="shared" si="398"/>
        <v>6</v>
      </c>
      <c r="E855" s="75">
        <f t="shared" si="399"/>
        <v>12</v>
      </c>
      <c r="F855" s="79"/>
      <c r="G855" s="82"/>
      <c r="H855" s="68" t="str">
        <f t="shared" si="416"/>
        <v>Clesim6_20211115_06_00</v>
      </c>
      <c r="I855" s="69">
        <f t="shared" si="418"/>
        <v>1</v>
      </c>
      <c r="J855" s="76" t="str">
        <f t="shared" si="418"/>
        <v>Clematis</v>
      </c>
      <c r="K855" s="76" t="str">
        <f t="shared" si="418"/>
        <v>simense</v>
      </c>
      <c r="L855" s="77">
        <f t="shared" si="418"/>
        <v>6</v>
      </c>
      <c r="M855" s="77">
        <f t="shared" si="418"/>
        <v>20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v>
      </c>
      <c r="C856" s="73">
        <f t="shared" si="415"/>
        <v>15</v>
      </c>
      <c r="D856" s="74">
        <f t="shared" si="398"/>
        <v>6</v>
      </c>
      <c r="E856" s="75">
        <f t="shared" si="399"/>
        <v>13</v>
      </c>
      <c r="F856" s="79"/>
      <c r="G856" s="82"/>
      <c r="H856" s="68" t="str">
        <f t="shared" si="416"/>
        <v>Clesim6_20211115_06_00</v>
      </c>
      <c r="I856" s="69">
        <f t="shared" si="418"/>
        <v>1</v>
      </c>
      <c r="J856" s="76" t="str">
        <f t="shared" si="418"/>
        <v>Clematis</v>
      </c>
      <c r="K856" s="76" t="str">
        <f t="shared" si="418"/>
        <v>simense</v>
      </c>
      <c r="L856" s="77">
        <f t="shared" si="418"/>
        <v>6</v>
      </c>
      <c r="M856" s="77">
        <f t="shared" si="418"/>
        <v>20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v>
      </c>
      <c r="C857" s="73">
        <f t="shared" si="415"/>
        <v>15</v>
      </c>
      <c r="D857" s="74">
        <f t="shared" si="398"/>
        <v>6</v>
      </c>
      <c r="E857" s="75">
        <f t="shared" si="399"/>
        <v>14</v>
      </c>
      <c r="F857" s="79"/>
      <c r="G857" s="82"/>
      <c r="H857" s="68" t="str">
        <f t="shared" si="416"/>
        <v>Clesim6_20211115_06_00</v>
      </c>
      <c r="I857" s="69">
        <f t="shared" si="418"/>
        <v>1</v>
      </c>
      <c r="J857" s="76" t="str">
        <f t="shared" si="418"/>
        <v>Clematis</v>
      </c>
      <c r="K857" s="76" t="str">
        <f t="shared" si="418"/>
        <v>simense</v>
      </c>
      <c r="L857" s="77">
        <f t="shared" si="418"/>
        <v>6</v>
      </c>
      <c r="M857" s="77">
        <f t="shared" si="418"/>
        <v>20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v>
      </c>
      <c r="C858" s="73">
        <f t="shared" si="415"/>
        <v>15</v>
      </c>
      <c r="D858" s="74">
        <f t="shared" si="398"/>
        <v>6</v>
      </c>
      <c r="E858" s="75">
        <f t="shared" si="399"/>
        <v>15</v>
      </c>
      <c r="F858" s="79"/>
      <c r="G858" s="82"/>
      <c r="H858" s="68" t="str">
        <f t="shared" si="416"/>
        <v>Clesim6_20211115_06_00</v>
      </c>
      <c r="I858" s="69">
        <f t="shared" si="418"/>
        <v>1</v>
      </c>
      <c r="J858" s="76" t="str">
        <f t="shared" si="418"/>
        <v>Clematis</v>
      </c>
      <c r="K858" s="76" t="str">
        <f t="shared" si="418"/>
        <v>simense</v>
      </c>
      <c r="L858" s="77">
        <f t="shared" si="418"/>
        <v>6</v>
      </c>
      <c r="M858" s="77">
        <f t="shared" si="418"/>
        <v>20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v>
      </c>
      <c r="C859" s="73">
        <f t="shared" si="415"/>
        <v>15</v>
      </c>
      <c r="D859" s="74">
        <f t="shared" si="398"/>
        <v>6</v>
      </c>
      <c r="E859" s="75">
        <f t="shared" si="399"/>
        <v>16</v>
      </c>
      <c r="F859" s="79"/>
      <c r="G859" s="82"/>
      <c r="H859" s="68" t="str">
        <f t="shared" si="416"/>
        <v>Clesim6_20211115_06_00</v>
      </c>
      <c r="I859" s="69">
        <f t="shared" si="418"/>
        <v>1</v>
      </c>
      <c r="J859" s="76" t="str">
        <f t="shared" si="418"/>
        <v>Clematis</v>
      </c>
      <c r="K859" s="76" t="str">
        <f t="shared" si="418"/>
        <v>simense</v>
      </c>
      <c r="L859" s="77">
        <f t="shared" si="418"/>
        <v>6</v>
      </c>
      <c r="M859" s="77">
        <f t="shared" si="418"/>
        <v>20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v>
      </c>
      <c r="C860" s="73">
        <f t="shared" si="415"/>
        <v>15</v>
      </c>
      <c r="D860" s="74">
        <f t="shared" si="398"/>
        <v>6</v>
      </c>
      <c r="E860" s="75">
        <f t="shared" si="399"/>
        <v>17</v>
      </c>
      <c r="F860" s="79"/>
      <c r="G860" s="82"/>
      <c r="H860" s="68" t="str">
        <f t="shared" si="416"/>
        <v>Clesim6_20211115_06_00</v>
      </c>
      <c r="I860" s="69">
        <f t="shared" si="418"/>
        <v>1</v>
      </c>
      <c r="J860" s="76" t="str">
        <f t="shared" si="418"/>
        <v>Clematis</v>
      </c>
      <c r="K860" s="76" t="str">
        <f t="shared" si="418"/>
        <v>simense</v>
      </c>
      <c r="L860" s="77">
        <f t="shared" si="418"/>
        <v>6</v>
      </c>
      <c r="M860" s="77">
        <f t="shared" si="418"/>
        <v>20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v>
      </c>
      <c r="C861" s="73">
        <f t="shared" si="415"/>
        <v>15</v>
      </c>
      <c r="D861" s="74">
        <f t="shared" si="398"/>
        <v>6</v>
      </c>
      <c r="E861" s="75">
        <f t="shared" si="399"/>
        <v>18</v>
      </c>
      <c r="F861" s="79"/>
      <c r="G861" s="82"/>
      <c r="H861" s="68" t="str">
        <f t="shared" si="416"/>
        <v>Clesim6_20211115_06_00</v>
      </c>
      <c r="I861" s="69">
        <f t="shared" si="418"/>
        <v>1</v>
      </c>
      <c r="J861" s="76" t="str">
        <f t="shared" si="418"/>
        <v>Clematis</v>
      </c>
      <c r="K861" s="76" t="str">
        <f t="shared" si="418"/>
        <v>simense</v>
      </c>
      <c r="L861" s="77">
        <f t="shared" si="418"/>
        <v>6</v>
      </c>
      <c r="M861" s="77">
        <f t="shared" si="418"/>
        <v>20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v>
      </c>
      <c r="C862" s="73">
        <f t="shared" si="415"/>
        <v>15</v>
      </c>
      <c r="D862" s="74">
        <f t="shared" si="398"/>
        <v>6</v>
      </c>
      <c r="E862" s="75">
        <f t="shared" si="399"/>
        <v>19</v>
      </c>
      <c r="F862" s="79"/>
      <c r="G862" s="82"/>
      <c r="H862" s="68" t="str">
        <f t="shared" si="416"/>
        <v>Clesim6_20211115_06_00</v>
      </c>
      <c r="I862" s="69">
        <f t="shared" si="418"/>
        <v>1</v>
      </c>
      <c r="J862" s="76" t="str">
        <f t="shared" si="418"/>
        <v>Clematis</v>
      </c>
      <c r="K862" s="76" t="str">
        <f t="shared" si="418"/>
        <v>simense</v>
      </c>
      <c r="L862" s="77">
        <f t="shared" si="418"/>
        <v>6</v>
      </c>
      <c r="M862" s="77">
        <f t="shared" si="418"/>
        <v>20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v>
      </c>
      <c r="C863" s="73">
        <f t="shared" si="415"/>
        <v>15</v>
      </c>
      <c r="D863" s="74">
        <f t="shared" si="398"/>
        <v>6</v>
      </c>
      <c r="E863" s="75">
        <f t="shared" si="399"/>
        <v>20</v>
      </c>
      <c r="F863" s="79"/>
      <c r="G863" s="82"/>
      <c r="H863" s="68" t="str">
        <f t="shared" si="416"/>
        <v>Clesim6_20211115_06_00</v>
      </c>
      <c r="I863" s="69">
        <f t="shared" si="418"/>
        <v>1</v>
      </c>
      <c r="J863" s="76" t="str">
        <f t="shared" si="418"/>
        <v>Clematis</v>
      </c>
      <c r="K863" s="76" t="str">
        <f t="shared" si="418"/>
        <v>simense</v>
      </c>
      <c r="L863" s="77">
        <f t="shared" si="418"/>
        <v>6</v>
      </c>
      <c r="M863" s="77">
        <f t="shared" si="418"/>
        <v>20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v>
      </c>
      <c r="C864" s="73">
        <f t="shared" si="415"/>
        <v>15</v>
      </c>
      <c r="D864" s="74">
        <f t="shared" si="398"/>
        <v>6</v>
      </c>
      <c r="E864" s="75">
        <f t="shared" si="399"/>
        <v>21</v>
      </c>
      <c r="F864" s="79"/>
      <c r="G864" s="82"/>
      <c r="H864" s="68" t="str">
        <f t="shared" si="416"/>
        <v>Clesim6_20211115_06_00</v>
      </c>
      <c r="I864" s="69">
        <f t="shared" si="418"/>
        <v>1</v>
      </c>
      <c r="J864" s="76" t="str">
        <f t="shared" si="418"/>
        <v>Clematis</v>
      </c>
      <c r="K864" s="76" t="str">
        <f t="shared" si="418"/>
        <v>simense</v>
      </c>
      <c r="L864" s="77">
        <f t="shared" si="418"/>
        <v>6</v>
      </c>
      <c r="M864" s="77">
        <f t="shared" si="418"/>
        <v>20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v>
      </c>
      <c r="C865" s="73">
        <f t="shared" si="415"/>
        <v>15</v>
      </c>
      <c r="D865" s="74">
        <f t="shared" si="398"/>
        <v>6</v>
      </c>
      <c r="E865" s="75">
        <f t="shared" si="399"/>
        <v>22</v>
      </c>
      <c r="F865" s="79"/>
      <c r="G865" s="82"/>
      <c r="H865" s="68" t="str">
        <f t="shared" si="416"/>
        <v>Clesim6_20211115_06_00</v>
      </c>
      <c r="I865" s="69">
        <f t="shared" si="418"/>
        <v>1</v>
      </c>
      <c r="J865" s="76" t="str">
        <f t="shared" si="418"/>
        <v>Clematis</v>
      </c>
      <c r="K865" s="76" t="str">
        <f t="shared" si="418"/>
        <v>simense</v>
      </c>
      <c r="L865" s="77">
        <f t="shared" si="418"/>
        <v>6</v>
      </c>
      <c r="M865" s="77">
        <f t="shared" si="418"/>
        <v>20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v>
      </c>
      <c r="C866" s="73">
        <f t="shared" si="415"/>
        <v>15</v>
      </c>
      <c r="D866" s="74">
        <f t="shared" si="398"/>
        <v>6</v>
      </c>
      <c r="E866" s="75">
        <f t="shared" si="399"/>
        <v>23</v>
      </c>
      <c r="F866" s="79"/>
      <c r="G866" s="82"/>
      <c r="H866" s="68" t="str">
        <f t="shared" si="416"/>
        <v>Clesim6_20211115_06_00</v>
      </c>
      <c r="I866" s="69">
        <f t="shared" si="418"/>
        <v>1</v>
      </c>
      <c r="J866" s="76" t="str">
        <f t="shared" si="418"/>
        <v>Clematis</v>
      </c>
      <c r="K866" s="76" t="str">
        <f t="shared" si="418"/>
        <v>simense</v>
      </c>
      <c r="L866" s="77">
        <f t="shared" si="418"/>
        <v>6</v>
      </c>
      <c r="M866" s="77">
        <f t="shared" si="418"/>
        <v>20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v>
      </c>
      <c r="C867" s="73">
        <f t="shared" si="415"/>
        <v>15</v>
      </c>
      <c r="D867" s="74">
        <f t="shared" si="398"/>
        <v>6</v>
      </c>
      <c r="E867" s="75">
        <f t="shared" si="399"/>
        <v>24</v>
      </c>
      <c r="F867" s="79"/>
      <c r="G867" s="82"/>
      <c r="H867" s="68" t="str">
        <f t="shared" si="416"/>
        <v>Clesim6_20211115_06_00</v>
      </c>
      <c r="I867" s="69">
        <f t="shared" si="418"/>
        <v>1</v>
      </c>
      <c r="J867" s="76" t="str">
        <f t="shared" si="418"/>
        <v>Clematis</v>
      </c>
      <c r="K867" s="76" t="str">
        <f t="shared" si="418"/>
        <v>simense</v>
      </c>
      <c r="L867" s="77">
        <f t="shared" si="418"/>
        <v>6</v>
      </c>
      <c r="M867" s="77">
        <f t="shared" si="418"/>
        <v>20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v>
      </c>
      <c r="C868" s="73">
        <f t="shared" si="415"/>
        <v>15</v>
      </c>
      <c r="D868" s="74">
        <f t="shared" si="398"/>
        <v>6</v>
      </c>
      <c r="E868" s="75">
        <f t="shared" si="399"/>
        <v>25</v>
      </c>
      <c r="F868" s="79"/>
      <c r="G868" s="82"/>
      <c r="H868" s="68" t="str">
        <f t="shared" si="416"/>
        <v>Clesim6_20211115_06_00</v>
      </c>
      <c r="I868" s="69">
        <f t="shared" si="418"/>
        <v>1</v>
      </c>
      <c r="J868" s="76" t="str">
        <f t="shared" si="418"/>
        <v>Clematis</v>
      </c>
      <c r="K868" s="76" t="str">
        <f t="shared" si="418"/>
        <v>simense</v>
      </c>
      <c r="L868" s="77">
        <f t="shared" si="418"/>
        <v>6</v>
      </c>
      <c r="M868" s="77">
        <f t="shared" si="418"/>
        <v>20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v>
      </c>
      <c r="C869" s="73">
        <f t="shared" si="415"/>
        <v>15</v>
      </c>
      <c r="D869" s="74">
        <f t="shared" si="398"/>
        <v>6</v>
      </c>
      <c r="E869" s="75">
        <f t="shared" si="399"/>
        <v>26</v>
      </c>
      <c r="F869" s="79"/>
      <c r="G869" s="82"/>
      <c r="H869" s="68" t="str">
        <f t="shared" si="416"/>
        <v>Clesim6_20211115_06_00</v>
      </c>
      <c r="I869" s="69">
        <f t="shared" ref="I869:N884" si="419">I868</f>
        <v>1</v>
      </c>
      <c r="J869" s="76" t="str">
        <f t="shared" si="419"/>
        <v>Clematis</v>
      </c>
      <c r="K869" s="76" t="str">
        <f t="shared" si="419"/>
        <v>simense</v>
      </c>
      <c r="L869" s="77">
        <f t="shared" si="419"/>
        <v>6</v>
      </c>
      <c r="M869" s="77">
        <f t="shared" si="419"/>
        <v>20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v>
      </c>
      <c r="C870" s="73">
        <f t="shared" si="415"/>
        <v>15</v>
      </c>
      <c r="D870" s="74">
        <f t="shared" si="398"/>
        <v>6</v>
      </c>
      <c r="E870" s="75">
        <f t="shared" si="399"/>
        <v>27</v>
      </c>
      <c r="F870" s="79"/>
      <c r="G870" s="82"/>
      <c r="H870" s="68" t="str">
        <f t="shared" si="416"/>
        <v>Clesim6_20211115_06_00</v>
      </c>
      <c r="I870" s="69">
        <f t="shared" si="419"/>
        <v>1</v>
      </c>
      <c r="J870" s="76" t="str">
        <f t="shared" si="419"/>
        <v>Clematis</v>
      </c>
      <c r="K870" s="76" t="str">
        <f t="shared" si="419"/>
        <v>simense</v>
      </c>
      <c r="L870" s="77">
        <f t="shared" si="419"/>
        <v>6</v>
      </c>
      <c r="M870" s="77">
        <f t="shared" si="419"/>
        <v>20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v>
      </c>
      <c r="C871" s="73">
        <f t="shared" si="415"/>
        <v>15</v>
      </c>
      <c r="D871" s="74">
        <f t="shared" si="398"/>
        <v>6</v>
      </c>
      <c r="E871" s="75">
        <f t="shared" si="399"/>
        <v>28</v>
      </c>
      <c r="F871" s="79"/>
      <c r="G871" s="82"/>
      <c r="H871" s="68" t="str">
        <f t="shared" si="416"/>
        <v>Clesim6_20211115_06_00</v>
      </c>
      <c r="I871" s="69">
        <f t="shared" si="419"/>
        <v>1</v>
      </c>
      <c r="J871" s="76" t="str">
        <f t="shared" si="419"/>
        <v>Clematis</v>
      </c>
      <c r="K871" s="76" t="str">
        <f t="shared" si="419"/>
        <v>simense</v>
      </c>
      <c r="L871" s="77">
        <f t="shared" si="419"/>
        <v>6</v>
      </c>
      <c r="M871" s="77">
        <f t="shared" si="419"/>
        <v>20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v>
      </c>
      <c r="C872" s="73">
        <f t="shared" si="415"/>
        <v>15</v>
      </c>
      <c r="D872" s="74">
        <f t="shared" si="398"/>
        <v>6</v>
      </c>
      <c r="E872" s="75">
        <f t="shared" si="399"/>
        <v>29</v>
      </c>
      <c r="F872" s="79"/>
      <c r="G872" s="82"/>
      <c r="H872" s="68" t="str">
        <f t="shared" si="416"/>
        <v>Clesim6_20211115_06_00</v>
      </c>
      <c r="I872" s="69">
        <f t="shared" si="419"/>
        <v>1</v>
      </c>
      <c r="J872" s="76" t="str">
        <f t="shared" si="419"/>
        <v>Clematis</v>
      </c>
      <c r="K872" s="76" t="str">
        <f t="shared" si="419"/>
        <v>simense</v>
      </c>
      <c r="L872" s="77">
        <f t="shared" si="419"/>
        <v>6</v>
      </c>
      <c r="M872" s="77">
        <f t="shared" si="419"/>
        <v>20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v>
      </c>
      <c r="C873" s="73">
        <f t="shared" si="415"/>
        <v>15</v>
      </c>
      <c r="D873" s="74">
        <f t="shared" si="398"/>
        <v>6</v>
      </c>
      <c r="E873" s="75">
        <f t="shared" si="399"/>
        <v>30</v>
      </c>
      <c r="F873" s="79"/>
      <c r="G873" s="82"/>
      <c r="H873" s="68" t="str">
        <f t="shared" si="416"/>
        <v>Clesim6_20211115_06_00</v>
      </c>
      <c r="I873" s="69">
        <f t="shared" si="419"/>
        <v>1</v>
      </c>
      <c r="J873" s="76" t="str">
        <f t="shared" si="419"/>
        <v>Clematis</v>
      </c>
      <c r="K873" s="76" t="str">
        <f t="shared" si="419"/>
        <v>simense</v>
      </c>
      <c r="L873" s="77">
        <f t="shared" si="419"/>
        <v>6</v>
      </c>
      <c r="M873" s="77">
        <f t="shared" si="419"/>
        <v>20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v>
      </c>
      <c r="C874" s="73">
        <f t="shared" si="415"/>
        <v>15</v>
      </c>
      <c r="D874" s="74">
        <f t="shared" si="398"/>
        <v>6</v>
      </c>
      <c r="E874" s="75">
        <f t="shared" si="399"/>
        <v>31</v>
      </c>
      <c r="F874" s="79"/>
      <c r="G874" s="82"/>
      <c r="H874" s="68" t="str">
        <f t="shared" si="416"/>
        <v>Clesim6_20211115_06_00</v>
      </c>
      <c r="I874" s="69">
        <f t="shared" si="419"/>
        <v>1</v>
      </c>
      <c r="J874" s="76" t="str">
        <f t="shared" si="419"/>
        <v>Clematis</v>
      </c>
      <c r="K874" s="76" t="str">
        <f t="shared" si="419"/>
        <v>simense</v>
      </c>
      <c r="L874" s="77">
        <f t="shared" si="419"/>
        <v>6</v>
      </c>
      <c r="M874" s="77">
        <f t="shared" si="419"/>
        <v>20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v>
      </c>
      <c r="C875" s="73">
        <f t="shared" si="415"/>
        <v>15</v>
      </c>
      <c r="D875" s="74">
        <f t="shared" si="398"/>
        <v>6</v>
      </c>
      <c r="E875" s="75">
        <f t="shared" si="399"/>
        <v>32</v>
      </c>
      <c r="F875" s="79"/>
      <c r="G875" s="82"/>
      <c r="H875" s="68" t="str">
        <f t="shared" si="416"/>
        <v>Clesim6_20211115_06_00</v>
      </c>
      <c r="I875" s="69">
        <f t="shared" si="419"/>
        <v>1</v>
      </c>
      <c r="J875" s="76" t="str">
        <f t="shared" si="419"/>
        <v>Clematis</v>
      </c>
      <c r="K875" s="76" t="str">
        <f t="shared" si="419"/>
        <v>simense</v>
      </c>
      <c r="L875" s="77">
        <f t="shared" si="419"/>
        <v>6</v>
      </c>
      <c r="M875" s="77">
        <f t="shared" si="419"/>
        <v>20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v>
      </c>
      <c r="C876" s="73">
        <f t="shared" si="415"/>
        <v>15</v>
      </c>
      <c r="D876" s="74">
        <f t="shared" si="398"/>
        <v>6</v>
      </c>
      <c r="E876" s="75">
        <f t="shared" si="399"/>
        <v>33</v>
      </c>
      <c r="F876" s="79"/>
      <c r="G876" s="82"/>
      <c r="H876" s="68" t="str">
        <f t="shared" si="416"/>
        <v>Clesim6_20211115_06_00</v>
      </c>
      <c r="I876" s="69">
        <f t="shared" si="419"/>
        <v>1</v>
      </c>
      <c r="J876" s="76" t="str">
        <f t="shared" si="419"/>
        <v>Clematis</v>
      </c>
      <c r="K876" s="76" t="str">
        <f t="shared" si="419"/>
        <v>simense</v>
      </c>
      <c r="L876" s="77">
        <f t="shared" si="419"/>
        <v>6</v>
      </c>
      <c r="M876" s="77">
        <f t="shared" si="419"/>
        <v>20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v>
      </c>
      <c r="C877" s="73">
        <f t="shared" si="415"/>
        <v>15</v>
      </c>
      <c r="D877" s="74">
        <f t="shared" si="398"/>
        <v>6</v>
      </c>
      <c r="E877" s="75">
        <f t="shared" si="399"/>
        <v>34</v>
      </c>
      <c r="F877" s="79"/>
      <c r="G877" s="82"/>
      <c r="H877" s="68" t="str">
        <f t="shared" si="416"/>
        <v>Clesim6_20211115_06_00</v>
      </c>
      <c r="I877" s="69">
        <f t="shared" si="419"/>
        <v>1</v>
      </c>
      <c r="J877" s="76" t="str">
        <f t="shared" si="419"/>
        <v>Clematis</v>
      </c>
      <c r="K877" s="76" t="str">
        <f t="shared" si="419"/>
        <v>simense</v>
      </c>
      <c r="L877" s="77">
        <f t="shared" si="419"/>
        <v>6</v>
      </c>
      <c r="M877" s="77">
        <f t="shared" si="419"/>
        <v>20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v>
      </c>
      <c r="C878" s="73">
        <f t="shared" si="415"/>
        <v>15</v>
      </c>
      <c r="D878" s="74">
        <f t="shared" si="398"/>
        <v>6</v>
      </c>
      <c r="E878" s="75">
        <f t="shared" si="399"/>
        <v>35</v>
      </c>
      <c r="F878" s="79"/>
      <c r="G878" s="82"/>
      <c r="H878" s="68" t="str">
        <f t="shared" si="416"/>
        <v>Clesim6_20211115_06_00</v>
      </c>
      <c r="I878" s="69">
        <f t="shared" si="419"/>
        <v>1</v>
      </c>
      <c r="J878" s="76" t="str">
        <f t="shared" si="419"/>
        <v>Clematis</v>
      </c>
      <c r="K878" s="76" t="str">
        <f t="shared" si="419"/>
        <v>simense</v>
      </c>
      <c r="L878" s="77">
        <f t="shared" si="419"/>
        <v>6</v>
      </c>
      <c r="M878" s="77">
        <f t="shared" si="419"/>
        <v>20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v>
      </c>
      <c r="C879" s="73">
        <f t="shared" si="415"/>
        <v>15</v>
      </c>
      <c r="D879" s="74">
        <f t="shared" si="398"/>
        <v>6</v>
      </c>
      <c r="E879" s="75">
        <f t="shared" si="399"/>
        <v>36</v>
      </c>
      <c r="F879" s="79"/>
      <c r="G879" s="82"/>
      <c r="H879" s="68" t="str">
        <f t="shared" si="416"/>
        <v>Clesim6_20211115_06_00</v>
      </c>
      <c r="I879" s="69">
        <f t="shared" si="419"/>
        <v>1</v>
      </c>
      <c r="J879" s="76" t="str">
        <f t="shared" si="419"/>
        <v>Clematis</v>
      </c>
      <c r="K879" s="76" t="str">
        <f t="shared" si="419"/>
        <v>simense</v>
      </c>
      <c r="L879" s="77">
        <f t="shared" si="419"/>
        <v>6</v>
      </c>
      <c r="M879" s="77">
        <f t="shared" si="419"/>
        <v>20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v>
      </c>
      <c r="C880" s="73">
        <f t="shared" si="415"/>
        <v>15</v>
      </c>
      <c r="D880" s="74">
        <f t="shared" si="398"/>
        <v>6</v>
      </c>
      <c r="E880" s="75">
        <f t="shared" si="399"/>
        <v>37</v>
      </c>
      <c r="F880" s="79"/>
      <c r="G880" s="82"/>
      <c r="H880" s="68" t="str">
        <f t="shared" si="416"/>
        <v>Clesim6_20211115_06_00</v>
      </c>
      <c r="I880" s="69">
        <f t="shared" si="419"/>
        <v>1</v>
      </c>
      <c r="J880" s="76" t="str">
        <f t="shared" si="419"/>
        <v>Clematis</v>
      </c>
      <c r="K880" s="76" t="str">
        <f t="shared" si="419"/>
        <v>simense</v>
      </c>
      <c r="L880" s="77">
        <f t="shared" si="419"/>
        <v>6</v>
      </c>
      <c r="M880" s="77">
        <f t="shared" si="419"/>
        <v>20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v>
      </c>
      <c r="C881" s="73">
        <f t="shared" si="415"/>
        <v>15</v>
      </c>
      <c r="D881" s="74">
        <f t="shared" si="398"/>
        <v>6</v>
      </c>
      <c r="E881" s="75">
        <f t="shared" si="399"/>
        <v>38</v>
      </c>
      <c r="F881" s="79"/>
      <c r="G881" s="82"/>
      <c r="H881" s="68" t="str">
        <f t="shared" si="416"/>
        <v>Clesim6_20211115_06_00</v>
      </c>
      <c r="I881" s="69">
        <f t="shared" si="419"/>
        <v>1</v>
      </c>
      <c r="J881" s="76" t="str">
        <f t="shared" si="419"/>
        <v>Clematis</v>
      </c>
      <c r="K881" s="76" t="str">
        <f t="shared" si="419"/>
        <v>simense</v>
      </c>
      <c r="L881" s="77">
        <f t="shared" si="419"/>
        <v>6</v>
      </c>
      <c r="M881" s="77">
        <f t="shared" si="419"/>
        <v>20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v>
      </c>
      <c r="C882" s="73">
        <f t="shared" si="415"/>
        <v>15</v>
      </c>
      <c r="D882" s="74">
        <f t="shared" si="398"/>
        <v>6</v>
      </c>
      <c r="E882" s="75">
        <f t="shared" si="399"/>
        <v>39</v>
      </c>
      <c r="F882" s="79"/>
      <c r="G882" s="82"/>
      <c r="H882" s="68" t="str">
        <f t="shared" si="416"/>
        <v>Clesim6_20211115_06_00</v>
      </c>
      <c r="I882" s="69">
        <f t="shared" si="419"/>
        <v>1</v>
      </c>
      <c r="J882" s="76" t="str">
        <f t="shared" si="419"/>
        <v>Clematis</v>
      </c>
      <c r="K882" s="76" t="str">
        <f t="shared" si="419"/>
        <v>simense</v>
      </c>
      <c r="L882" s="77">
        <f t="shared" si="419"/>
        <v>6</v>
      </c>
      <c r="M882" s="77">
        <f t="shared" si="419"/>
        <v>20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v>
      </c>
      <c r="C883" s="73">
        <f t="shared" si="415"/>
        <v>15</v>
      </c>
      <c r="D883" s="74">
        <f t="shared" si="398"/>
        <v>6</v>
      </c>
      <c r="E883" s="75">
        <f t="shared" si="399"/>
        <v>40</v>
      </c>
      <c r="F883" s="79"/>
      <c r="G883" s="82"/>
      <c r="H883" s="68" t="str">
        <f t="shared" si="416"/>
        <v>Clesim6_20211115_06_00</v>
      </c>
      <c r="I883" s="69">
        <f t="shared" si="419"/>
        <v>1</v>
      </c>
      <c r="J883" s="76" t="str">
        <f t="shared" si="419"/>
        <v>Clematis</v>
      </c>
      <c r="K883" s="76" t="str">
        <f t="shared" si="419"/>
        <v>simense</v>
      </c>
      <c r="L883" s="77">
        <f t="shared" si="419"/>
        <v>6</v>
      </c>
      <c r="M883" s="77">
        <f t="shared" si="419"/>
        <v>20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v>
      </c>
      <c r="C884" s="73">
        <f t="shared" si="415"/>
        <v>15</v>
      </c>
      <c r="D884" s="74">
        <f t="shared" si="398"/>
        <v>6</v>
      </c>
      <c r="E884" s="75">
        <f t="shared" si="399"/>
        <v>41</v>
      </c>
      <c r="F884" s="79"/>
      <c r="G884" s="82"/>
      <c r="H884" s="68" t="str">
        <f t="shared" si="416"/>
        <v>Clesim6_20211115_06_00</v>
      </c>
      <c r="I884" s="69">
        <f t="shared" si="419"/>
        <v>1</v>
      </c>
      <c r="J884" s="76" t="str">
        <f t="shared" si="419"/>
        <v>Clematis</v>
      </c>
      <c r="K884" s="76" t="str">
        <f t="shared" si="419"/>
        <v>simense</v>
      </c>
      <c r="L884" s="77">
        <f t="shared" si="419"/>
        <v>6</v>
      </c>
      <c r="M884" s="77">
        <f t="shared" si="419"/>
        <v>20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v>
      </c>
      <c r="C885" s="73">
        <f t="shared" si="415"/>
        <v>15</v>
      </c>
      <c r="D885" s="74">
        <f t="shared" si="398"/>
        <v>6</v>
      </c>
      <c r="E885" s="75">
        <f t="shared" si="399"/>
        <v>42</v>
      </c>
      <c r="F885" s="79"/>
      <c r="G885" s="82"/>
      <c r="H885" s="68" t="str">
        <f t="shared" si="416"/>
        <v>Clesim6_20211115_06_00</v>
      </c>
      <c r="I885" s="69">
        <f t="shared" ref="I885:N900" si="420">I884</f>
        <v>1</v>
      </c>
      <c r="J885" s="76" t="str">
        <f t="shared" si="420"/>
        <v>Clematis</v>
      </c>
      <c r="K885" s="76" t="str">
        <f t="shared" si="420"/>
        <v>simense</v>
      </c>
      <c r="L885" s="77">
        <f t="shared" si="420"/>
        <v>6</v>
      </c>
      <c r="M885" s="77">
        <f t="shared" si="420"/>
        <v>20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v>
      </c>
      <c r="C886" s="73">
        <f t="shared" si="415"/>
        <v>15</v>
      </c>
      <c r="D886" s="74">
        <f t="shared" si="398"/>
        <v>6</v>
      </c>
      <c r="E886" s="75">
        <f t="shared" si="399"/>
        <v>43</v>
      </c>
      <c r="F886" s="79"/>
      <c r="G886" s="82"/>
      <c r="H886" s="68" t="str">
        <f t="shared" si="416"/>
        <v>Clesim6_20211115_06_00</v>
      </c>
      <c r="I886" s="69">
        <f t="shared" si="420"/>
        <v>1</v>
      </c>
      <c r="J886" s="76" t="str">
        <f t="shared" si="420"/>
        <v>Clematis</v>
      </c>
      <c r="K886" s="76" t="str">
        <f t="shared" si="420"/>
        <v>simense</v>
      </c>
      <c r="L886" s="77">
        <f t="shared" si="420"/>
        <v>6</v>
      </c>
      <c r="M886" s="77">
        <f t="shared" si="420"/>
        <v>20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v>
      </c>
      <c r="C887" s="73">
        <f t="shared" si="415"/>
        <v>15</v>
      </c>
      <c r="D887" s="74">
        <f t="shared" si="398"/>
        <v>6</v>
      </c>
      <c r="E887" s="75">
        <f t="shared" si="399"/>
        <v>44</v>
      </c>
      <c r="F887" s="79"/>
      <c r="G887" s="82"/>
      <c r="H887" s="68" t="str">
        <f t="shared" si="416"/>
        <v>Clesim6_20211115_06_00</v>
      </c>
      <c r="I887" s="69">
        <f t="shared" si="420"/>
        <v>1</v>
      </c>
      <c r="J887" s="76" t="str">
        <f t="shared" si="420"/>
        <v>Clematis</v>
      </c>
      <c r="K887" s="76" t="str">
        <f t="shared" si="420"/>
        <v>simense</v>
      </c>
      <c r="L887" s="77">
        <f t="shared" si="420"/>
        <v>6</v>
      </c>
      <c r="M887" s="77">
        <f t="shared" si="420"/>
        <v>20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v>
      </c>
      <c r="C888" s="73">
        <f t="shared" si="415"/>
        <v>15</v>
      </c>
      <c r="D888" s="74">
        <f t="shared" si="398"/>
        <v>6</v>
      </c>
      <c r="E888" s="75">
        <f t="shared" si="399"/>
        <v>45</v>
      </c>
      <c r="F888" s="79"/>
      <c r="G888" s="82"/>
      <c r="H888" s="68" t="str">
        <f t="shared" si="416"/>
        <v>Clesim6_20211115_06_00</v>
      </c>
      <c r="I888" s="69">
        <f t="shared" si="420"/>
        <v>1</v>
      </c>
      <c r="J888" s="76" t="str">
        <f t="shared" si="420"/>
        <v>Clematis</v>
      </c>
      <c r="K888" s="76" t="str">
        <f t="shared" si="420"/>
        <v>simense</v>
      </c>
      <c r="L888" s="77">
        <f t="shared" si="420"/>
        <v>6</v>
      </c>
      <c r="M888" s="77">
        <f t="shared" si="420"/>
        <v>20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v>
      </c>
      <c r="C889" s="73">
        <f t="shared" si="415"/>
        <v>15</v>
      </c>
      <c r="D889" s="74">
        <f t="shared" si="398"/>
        <v>6</v>
      </c>
      <c r="E889" s="75">
        <f t="shared" si="399"/>
        <v>46</v>
      </c>
      <c r="F889" s="79"/>
      <c r="G889" s="82"/>
      <c r="H889" s="68" t="str">
        <f t="shared" si="416"/>
        <v>Clesim6_20211115_06_00</v>
      </c>
      <c r="I889" s="69">
        <f t="shared" si="420"/>
        <v>1</v>
      </c>
      <c r="J889" s="76" t="str">
        <f t="shared" si="420"/>
        <v>Clematis</v>
      </c>
      <c r="K889" s="76" t="str">
        <f t="shared" si="420"/>
        <v>simense</v>
      </c>
      <c r="L889" s="77">
        <f t="shared" si="420"/>
        <v>6</v>
      </c>
      <c r="M889" s="77">
        <f t="shared" si="420"/>
        <v>20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v>
      </c>
      <c r="C890" s="73">
        <f t="shared" si="415"/>
        <v>15</v>
      </c>
      <c r="D890" s="74">
        <f t="shared" si="398"/>
        <v>6</v>
      </c>
      <c r="E890" s="75">
        <f t="shared" si="399"/>
        <v>47</v>
      </c>
      <c r="F890" s="79"/>
      <c r="G890" s="82"/>
      <c r="H890" s="68" t="str">
        <f t="shared" si="416"/>
        <v>Clesim6_20211115_06_00</v>
      </c>
      <c r="I890" s="69">
        <f t="shared" si="420"/>
        <v>1</v>
      </c>
      <c r="J890" s="76" t="str">
        <f t="shared" si="420"/>
        <v>Clematis</v>
      </c>
      <c r="K890" s="76" t="str">
        <f t="shared" si="420"/>
        <v>simense</v>
      </c>
      <c r="L890" s="77">
        <f t="shared" si="420"/>
        <v>6</v>
      </c>
      <c r="M890" s="77">
        <f t="shared" si="420"/>
        <v>20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v>
      </c>
      <c r="C891" s="73">
        <f t="shared" si="415"/>
        <v>15</v>
      </c>
      <c r="D891" s="74">
        <f t="shared" si="398"/>
        <v>6</v>
      </c>
      <c r="E891" s="75">
        <f t="shared" si="399"/>
        <v>48</v>
      </c>
      <c r="F891" s="79"/>
      <c r="G891" s="82"/>
      <c r="H891" s="68" t="str">
        <f t="shared" si="416"/>
        <v>Clesim6_20211115_06_00</v>
      </c>
      <c r="I891" s="69">
        <f t="shared" si="420"/>
        <v>1</v>
      </c>
      <c r="J891" s="76" t="str">
        <f t="shared" si="420"/>
        <v>Clematis</v>
      </c>
      <c r="K891" s="76" t="str">
        <f t="shared" si="420"/>
        <v>simense</v>
      </c>
      <c r="L891" s="77">
        <f t="shared" si="420"/>
        <v>6</v>
      </c>
      <c r="M891" s="77">
        <f t="shared" si="420"/>
        <v>20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v>
      </c>
      <c r="C892" s="73">
        <f t="shared" si="415"/>
        <v>15</v>
      </c>
      <c r="D892" s="74">
        <f t="shared" si="398"/>
        <v>6</v>
      </c>
      <c r="E892" s="75">
        <f t="shared" si="399"/>
        <v>49</v>
      </c>
      <c r="F892" s="79"/>
      <c r="G892" s="82"/>
      <c r="H892" s="68" t="str">
        <f t="shared" si="416"/>
        <v>Clesim6_20211115_06_00</v>
      </c>
      <c r="I892" s="69">
        <f t="shared" si="420"/>
        <v>1</v>
      </c>
      <c r="J892" s="76" t="str">
        <f t="shared" si="420"/>
        <v>Clematis</v>
      </c>
      <c r="K892" s="76" t="str">
        <f t="shared" si="420"/>
        <v>simense</v>
      </c>
      <c r="L892" s="77">
        <f t="shared" si="420"/>
        <v>6</v>
      </c>
      <c r="M892" s="77">
        <f t="shared" si="420"/>
        <v>20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v>
      </c>
      <c r="C893" s="73">
        <f t="shared" si="415"/>
        <v>15</v>
      </c>
      <c r="D893" s="74">
        <f t="shared" si="398"/>
        <v>6</v>
      </c>
      <c r="E893" s="75">
        <f t="shared" si="399"/>
        <v>50</v>
      </c>
      <c r="F893" s="79"/>
      <c r="G893" s="82"/>
      <c r="H893" s="68" t="str">
        <f t="shared" si="416"/>
        <v>Clesim6_20211115_06_00</v>
      </c>
      <c r="I893" s="69">
        <f t="shared" si="420"/>
        <v>1</v>
      </c>
      <c r="J893" s="76" t="str">
        <f t="shared" si="420"/>
        <v>Clematis</v>
      </c>
      <c r="K893" s="76" t="str">
        <f t="shared" si="420"/>
        <v>simense</v>
      </c>
      <c r="L893" s="77">
        <f t="shared" si="420"/>
        <v>6</v>
      </c>
      <c r="M893" s="77">
        <f t="shared" si="420"/>
        <v>20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v>
      </c>
      <c r="C894" s="73">
        <f t="shared" si="415"/>
        <v>15</v>
      </c>
      <c r="D894" s="74">
        <f t="shared" si="398"/>
        <v>6</v>
      </c>
      <c r="E894" s="75">
        <f t="shared" si="399"/>
        <v>51</v>
      </c>
      <c r="F894" s="79"/>
      <c r="G894" s="82"/>
      <c r="H894" s="68" t="str">
        <f t="shared" si="416"/>
        <v>Clesim6_20211115_06_00</v>
      </c>
      <c r="I894" s="69">
        <f t="shared" si="420"/>
        <v>1</v>
      </c>
      <c r="J894" s="76" t="str">
        <f t="shared" si="420"/>
        <v>Clematis</v>
      </c>
      <c r="K894" s="76" t="str">
        <f t="shared" si="420"/>
        <v>simense</v>
      </c>
      <c r="L894" s="77">
        <f t="shared" si="420"/>
        <v>6</v>
      </c>
      <c r="M894" s="77">
        <f t="shared" si="420"/>
        <v>20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v>
      </c>
      <c r="C895" s="73">
        <f t="shared" si="415"/>
        <v>15</v>
      </c>
      <c r="D895" s="74">
        <f t="shared" si="398"/>
        <v>6</v>
      </c>
      <c r="E895" s="75">
        <f t="shared" si="399"/>
        <v>52</v>
      </c>
      <c r="F895" s="79"/>
      <c r="G895" s="82"/>
      <c r="H895" s="68" t="str">
        <f t="shared" si="416"/>
        <v>Clesim6_20211115_06_00</v>
      </c>
      <c r="I895" s="69">
        <f t="shared" si="420"/>
        <v>1</v>
      </c>
      <c r="J895" s="76" t="str">
        <f t="shared" si="420"/>
        <v>Clematis</v>
      </c>
      <c r="K895" s="76" t="str">
        <f t="shared" si="420"/>
        <v>simense</v>
      </c>
      <c r="L895" s="77">
        <f t="shared" si="420"/>
        <v>6</v>
      </c>
      <c r="M895" s="77">
        <f t="shared" si="420"/>
        <v>20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v>
      </c>
      <c r="C896" s="73">
        <f t="shared" si="415"/>
        <v>15</v>
      </c>
      <c r="D896" s="74">
        <f t="shared" si="398"/>
        <v>6</v>
      </c>
      <c r="E896" s="75">
        <f t="shared" si="399"/>
        <v>53</v>
      </c>
      <c r="F896" s="79"/>
      <c r="G896" s="82"/>
      <c r="H896" s="68" t="str">
        <f t="shared" si="416"/>
        <v>Clesim6_20211115_06_00</v>
      </c>
      <c r="I896" s="69">
        <f t="shared" si="420"/>
        <v>1</v>
      </c>
      <c r="J896" s="76" t="str">
        <f t="shared" si="420"/>
        <v>Clematis</v>
      </c>
      <c r="K896" s="76" t="str">
        <f t="shared" si="420"/>
        <v>simense</v>
      </c>
      <c r="L896" s="77">
        <f t="shared" si="420"/>
        <v>6</v>
      </c>
      <c r="M896" s="77">
        <f t="shared" si="420"/>
        <v>20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v>
      </c>
      <c r="C897" s="73">
        <f t="shared" si="415"/>
        <v>15</v>
      </c>
      <c r="D897" s="74">
        <f t="shared" si="398"/>
        <v>6</v>
      </c>
      <c r="E897" s="75">
        <f t="shared" si="399"/>
        <v>54</v>
      </c>
      <c r="F897" s="79"/>
      <c r="G897" s="82"/>
      <c r="H897" s="68" t="str">
        <f t="shared" si="416"/>
        <v>Clesim6_20211115_06_00</v>
      </c>
      <c r="I897" s="69">
        <f t="shared" si="420"/>
        <v>1</v>
      </c>
      <c r="J897" s="76" t="str">
        <f t="shared" si="420"/>
        <v>Clematis</v>
      </c>
      <c r="K897" s="76" t="str">
        <f t="shared" si="420"/>
        <v>simense</v>
      </c>
      <c r="L897" s="77">
        <f t="shared" si="420"/>
        <v>6</v>
      </c>
      <c r="M897" s="77">
        <f t="shared" si="420"/>
        <v>20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v>
      </c>
      <c r="C898" s="73">
        <f t="shared" si="415"/>
        <v>15</v>
      </c>
      <c r="D898" s="74">
        <f t="shared" si="398"/>
        <v>6</v>
      </c>
      <c r="E898" s="75">
        <f t="shared" si="399"/>
        <v>55</v>
      </c>
      <c r="F898" s="79"/>
      <c r="G898" s="82"/>
      <c r="H898" s="68" t="str">
        <f t="shared" si="416"/>
        <v>Clesim6_20211115_06_00</v>
      </c>
      <c r="I898" s="69">
        <f t="shared" si="420"/>
        <v>1</v>
      </c>
      <c r="J898" s="76" t="str">
        <f t="shared" si="420"/>
        <v>Clematis</v>
      </c>
      <c r="K898" s="76" t="str">
        <f t="shared" si="420"/>
        <v>simense</v>
      </c>
      <c r="L898" s="77">
        <f t="shared" si="420"/>
        <v>6</v>
      </c>
      <c r="M898" s="77">
        <f t="shared" si="420"/>
        <v>20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2021</v>
      </c>
      <c r="B899" s="72" t="str">
        <f t="shared" si="397"/>
        <v>Nov</v>
      </c>
      <c r="C899" s="73">
        <f t="shared" si="415"/>
        <v>15</v>
      </c>
      <c r="D899" s="74">
        <f t="shared" si="398"/>
        <v>6</v>
      </c>
      <c r="E899" s="75">
        <f t="shared" si="399"/>
        <v>56</v>
      </c>
      <c r="F899" s="79"/>
      <c r="G899" s="82"/>
      <c r="H899" s="68" t="str">
        <f t="shared" si="416"/>
        <v>Clesim6_20211115_06_00</v>
      </c>
      <c r="I899" s="69">
        <f t="shared" si="420"/>
        <v>1</v>
      </c>
      <c r="J899" s="76" t="str">
        <f t="shared" si="420"/>
        <v>Clematis</v>
      </c>
      <c r="K899" s="76" t="str">
        <f t="shared" si="420"/>
        <v>simense</v>
      </c>
      <c r="L899" s="77">
        <f t="shared" si="420"/>
        <v>6</v>
      </c>
      <c r="M899" s="77">
        <f t="shared" si="420"/>
        <v>20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v>
      </c>
      <c r="C900" s="73">
        <f t="shared" si="415"/>
        <v>15</v>
      </c>
      <c r="D900" s="74">
        <f t="shared" ref="D900:D963" si="428">IF(IF(E899=59,D899+1,D899)=24,0,IF(E899=59,D899+1,D899))</f>
        <v>6</v>
      </c>
      <c r="E900" s="75">
        <f t="shared" ref="E900:E963" si="429">IF(E899&lt;59,E899+1,0)</f>
        <v>57</v>
      </c>
      <c r="F900" s="79"/>
      <c r="G900" s="82"/>
      <c r="H900" s="68" t="str">
        <f t="shared" si="416"/>
        <v>Clesim6_20211115_06_00</v>
      </c>
      <c r="I900" s="69">
        <f t="shared" si="420"/>
        <v>1</v>
      </c>
      <c r="J900" s="76" t="str">
        <f t="shared" si="420"/>
        <v>Clematis</v>
      </c>
      <c r="K900" s="76" t="str">
        <f t="shared" si="420"/>
        <v>simense</v>
      </c>
      <c r="L900" s="77">
        <f t="shared" si="420"/>
        <v>6</v>
      </c>
      <c r="M900" s="77">
        <f t="shared" si="420"/>
        <v>20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v>
      </c>
      <c r="C901" s="73">
        <f t="shared" ref="C901:C964" si="445">IF(AND(D901=0, E901=0), IF(TEXT(C900,"dd")=TEXT(EOMONTH(DATE(A900,MONTH(DATEVALUE(B900&amp;"1")),C900),0), "dd"), 1, C900+1), C900)</f>
        <v>15</v>
      </c>
      <c r="D901" s="74">
        <f t="shared" si="428"/>
        <v>6</v>
      </c>
      <c r="E901" s="75">
        <f t="shared" si="429"/>
        <v>58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Clesim6_20211115_06_00</v>
      </c>
      <c r="I901" s="69">
        <f t="shared" ref="I901:N916" si="447">I900</f>
        <v>1</v>
      </c>
      <c r="J901" s="76" t="str">
        <f t="shared" si="447"/>
        <v>Clematis</v>
      </c>
      <c r="K901" s="76" t="str">
        <f t="shared" si="447"/>
        <v>simense</v>
      </c>
      <c r="L901" s="77">
        <f t="shared" si="447"/>
        <v>6</v>
      </c>
      <c r="M901" s="77">
        <f t="shared" si="447"/>
        <v>20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v>
      </c>
      <c r="C902" s="73">
        <f t="shared" si="445"/>
        <v>15</v>
      </c>
      <c r="D902" s="74">
        <f t="shared" si="428"/>
        <v>6</v>
      </c>
      <c r="E902" s="75">
        <f t="shared" si="429"/>
        <v>59</v>
      </c>
      <c r="F902" s="79"/>
      <c r="G902" s="82"/>
      <c r="H902" s="68" t="str">
        <f t="shared" si="446"/>
        <v>Clesim6_20211115_06_00</v>
      </c>
      <c r="I902" s="69">
        <f t="shared" si="447"/>
        <v>1</v>
      </c>
      <c r="J902" s="76" t="str">
        <f t="shared" si="447"/>
        <v>Clematis</v>
      </c>
      <c r="K902" s="76" t="str">
        <f t="shared" si="447"/>
        <v>simense</v>
      </c>
      <c r="L902" s="77">
        <f t="shared" si="447"/>
        <v>6</v>
      </c>
      <c r="M902" s="77">
        <f t="shared" si="447"/>
        <v>20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v>
      </c>
      <c r="C903" s="73">
        <f t="shared" si="445"/>
        <v>15</v>
      </c>
      <c r="D903" s="74">
        <f t="shared" si="428"/>
        <v>7</v>
      </c>
      <c r="E903" s="75">
        <f t="shared" si="429"/>
        <v>0</v>
      </c>
      <c r="F903" s="79"/>
      <c r="G903" s="82"/>
      <c r="H903" s="68" t="str">
        <f t="shared" si="446"/>
        <v>Clesim6_20211115_07_00</v>
      </c>
      <c r="I903" s="69">
        <f t="shared" si="447"/>
        <v>1</v>
      </c>
      <c r="J903" s="76" t="str">
        <f t="shared" si="447"/>
        <v>Clematis</v>
      </c>
      <c r="K903" s="76" t="str">
        <f t="shared" si="447"/>
        <v>simense</v>
      </c>
      <c r="L903" s="77">
        <f t="shared" si="447"/>
        <v>6</v>
      </c>
      <c r="M903" s="77">
        <f t="shared" si="447"/>
        <v>20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v>
      </c>
      <c r="C904" s="73">
        <f t="shared" si="445"/>
        <v>15</v>
      </c>
      <c r="D904" s="74">
        <f t="shared" si="428"/>
        <v>7</v>
      </c>
      <c r="E904" s="75">
        <f t="shared" si="429"/>
        <v>1</v>
      </c>
      <c r="F904" s="79"/>
      <c r="G904" s="82"/>
      <c r="H904" s="68" t="str">
        <f t="shared" si="446"/>
        <v>Clesim6_20211115_07_00</v>
      </c>
      <c r="I904" s="69">
        <f t="shared" si="447"/>
        <v>1</v>
      </c>
      <c r="J904" s="76" t="str">
        <f t="shared" si="447"/>
        <v>Clematis</v>
      </c>
      <c r="K904" s="76" t="str">
        <f t="shared" si="447"/>
        <v>simense</v>
      </c>
      <c r="L904" s="77">
        <f t="shared" si="447"/>
        <v>6</v>
      </c>
      <c r="M904" s="77">
        <f t="shared" si="447"/>
        <v>20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v>
      </c>
      <c r="C905" s="73">
        <f t="shared" si="445"/>
        <v>15</v>
      </c>
      <c r="D905" s="74">
        <f t="shared" si="428"/>
        <v>7</v>
      </c>
      <c r="E905" s="75">
        <f t="shared" si="429"/>
        <v>2</v>
      </c>
      <c r="F905" s="79"/>
      <c r="G905" s="82"/>
      <c r="H905" s="68" t="str">
        <f t="shared" si="446"/>
        <v>Clesim6_20211115_07_00</v>
      </c>
      <c r="I905" s="69">
        <f t="shared" si="447"/>
        <v>1</v>
      </c>
      <c r="J905" s="76" t="str">
        <f t="shared" si="447"/>
        <v>Clematis</v>
      </c>
      <c r="K905" s="76" t="str">
        <f t="shared" si="447"/>
        <v>simense</v>
      </c>
      <c r="L905" s="77">
        <f t="shared" si="447"/>
        <v>6</v>
      </c>
      <c r="M905" s="77">
        <f t="shared" si="447"/>
        <v>20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v>
      </c>
      <c r="C906" s="73">
        <f t="shared" si="445"/>
        <v>15</v>
      </c>
      <c r="D906" s="74">
        <f t="shared" si="428"/>
        <v>7</v>
      </c>
      <c r="E906" s="75">
        <f t="shared" si="429"/>
        <v>3</v>
      </c>
      <c r="F906" s="79"/>
      <c r="G906" s="82"/>
      <c r="H906" s="68" t="str">
        <f t="shared" si="446"/>
        <v>Clesim6_20211115_07_00</v>
      </c>
      <c r="I906" s="69">
        <f t="shared" si="447"/>
        <v>1</v>
      </c>
      <c r="J906" s="76" t="str">
        <f t="shared" si="447"/>
        <v>Clematis</v>
      </c>
      <c r="K906" s="76" t="str">
        <f t="shared" si="447"/>
        <v>simense</v>
      </c>
      <c r="L906" s="77">
        <f t="shared" si="447"/>
        <v>6</v>
      </c>
      <c r="M906" s="77">
        <f t="shared" si="447"/>
        <v>20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v>
      </c>
      <c r="C907" s="73">
        <f t="shared" si="445"/>
        <v>15</v>
      </c>
      <c r="D907" s="74">
        <f t="shared" si="428"/>
        <v>7</v>
      </c>
      <c r="E907" s="75">
        <f t="shared" si="429"/>
        <v>4</v>
      </c>
      <c r="F907" s="79"/>
      <c r="G907" s="82"/>
      <c r="H907" s="68" t="str">
        <f t="shared" si="446"/>
        <v>Clesim6_20211115_07_00</v>
      </c>
      <c r="I907" s="69">
        <f t="shared" si="447"/>
        <v>1</v>
      </c>
      <c r="J907" s="76" t="str">
        <f t="shared" si="447"/>
        <v>Clematis</v>
      </c>
      <c r="K907" s="76" t="str">
        <f t="shared" si="447"/>
        <v>simense</v>
      </c>
      <c r="L907" s="77">
        <f t="shared" si="447"/>
        <v>6</v>
      </c>
      <c r="M907" s="77">
        <f t="shared" si="447"/>
        <v>20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v>
      </c>
      <c r="C908" s="73">
        <f t="shared" si="445"/>
        <v>15</v>
      </c>
      <c r="D908" s="74">
        <f t="shared" si="428"/>
        <v>7</v>
      </c>
      <c r="E908" s="75">
        <f t="shared" si="429"/>
        <v>5</v>
      </c>
      <c r="F908" s="79"/>
      <c r="G908" s="82"/>
      <c r="H908" s="68" t="str">
        <f t="shared" si="446"/>
        <v>Clesim6_20211115_07_00</v>
      </c>
      <c r="I908" s="69">
        <f t="shared" si="447"/>
        <v>1</v>
      </c>
      <c r="J908" s="76" t="str">
        <f t="shared" si="447"/>
        <v>Clematis</v>
      </c>
      <c r="K908" s="76" t="str">
        <f t="shared" si="447"/>
        <v>simense</v>
      </c>
      <c r="L908" s="77">
        <f t="shared" si="447"/>
        <v>6</v>
      </c>
      <c r="M908" s="77">
        <f t="shared" si="447"/>
        <v>20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v>
      </c>
      <c r="C909" s="73">
        <f t="shared" si="445"/>
        <v>15</v>
      </c>
      <c r="D909" s="74">
        <f t="shared" si="428"/>
        <v>7</v>
      </c>
      <c r="E909" s="75">
        <f t="shared" si="429"/>
        <v>6</v>
      </c>
      <c r="F909" s="79"/>
      <c r="G909" s="82"/>
      <c r="H909" s="68" t="str">
        <f t="shared" si="446"/>
        <v>Clesim6_20211115_07_00</v>
      </c>
      <c r="I909" s="69">
        <f t="shared" si="447"/>
        <v>1</v>
      </c>
      <c r="J909" s="76" t="str">
        <f t="shared" si="447"/>
        <v>Clematis</v>
      </c>
      <c r="K909" s="76" t="str">
        <f t="shared" si="447"/>
        <v>simense</v>
      </c>
      <c r="L909" s="77">
        <f t="shared" si="447"/>
        <v>6</v>
      </c>
      <c r="M909" s="77">
        <f t="shared" si="447"/>
        <v>20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v>
      </c>
      <c r="C910" s="73">
        <f t="shared" si="445"/>
        <v>15</v>
      </c>
      <c r="D910" s="74">
        <f t="shared" si="428"/>
        <v>7</v>
      </c>
      <c r="E910" s="75">
        <f t="shared" si="429"/>
        <v>7</v>
      </c>
      <c r="F910" s="79"/>
      <c r="G910" s="82"/>
      <c r="H910" s="68" t="str">
        <f t="shared" si="446"/>
        <v>Clesim6_20211115_07_00</v>
      </c>
      <c r="I910" s="69">
        <f t="shared" si="447"/>
        <v>1</v>
      </c>
      <c r="J910" s="76" t="str">
        <f t="shared" si="447"/>
        <v>Clematis</v>
      </c>
      <c r="K910" s="76" t="str">
        <f t="shared" si="447"/>
        <v>simense</v>
      </c>
      <c r="L910" s="77">
        <f t="shared" si="447"/>
        <v>6</v>
      </c>
      <c r="M910" s="77">
        <f t="shared" si="447"/>
        <v>20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v>
      </c>
      <c r="C911" s="73">
        <f t="shared" si="445"/>
        <v>15</v>
      </c>
      <c r="D911" s="74">
        <f t="shared" si="428"/>
        <v>7</v>
      </c>
      <c r="E911" s="75">
        <f t="shared" si="429"/>
        <v>8</v>
      </c>
      <c r="F911" s="79"/>
      <c r="G911" s="82"/>
      <c r="H911" s="68" t="str">
        <f t="shared" si="446"/>
        <v>Clesim6_20211115_07_00</v>
      </c>
      <c r="I911" s="69">
        <f t="shared" si="447"/>
        <v>1</v>
      </c>
      <c r="J911" s="76" t="str">
        <f t="shared" si="447"/>
        <v>Clematis</v>
      </c>
      <c r="K911" s="76" t="str">
        <f t="shared" si="447"/>
        <v>simense</v>
      </c>
      <c r="L911" s="77">
        <f t="shared" si="447"/>
        <v>6</v>
      </c>
      <c r="M911" s="77">
        <f t="shared" si="447"/>
        <v>20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v>
      </c>
      <c r="C912" s="73">
        <f t="shared" si="445"/>
        <v>15</v>
      </c>
      <c r="D912" s="74">
        <f t="shared" si="428"/>
        <v>7</v>
      </c>
      <c r="E912" s="75">
        <f t="shared" si="429"/>
        <v>9</v>
      </c>
      <c r="F912" s="79"/>
      <c r="G912" s="82"/>
      <c r="H912" s="68" t="str">
        <f t="shared" si="446"/>
        <v>Clesim6_20211115_07_00</v>
      </c>
      <c r="I912" s="69">
        <f t="shared" si="447"/>
        <v>1</v>
      </c>
      <c r="J912" s="76" t="str">
        <f t="shared" si="447"/>
        <v>Clematis</v>
      </c>
      <c r="K912" s="76" t="str">
        <f t="shared" si="447"/>
        <v>simense</v>
      </c>
      <c r="L912" s="77">
        <f t="shared" si="447"/>
        <v>6</v>
      </c>
      <c r="M912" s="77">
        <f t="shared" si="447"/>
        <v>20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2021</v>
      </c>
      <c r="B913" s="72" t="str">
        <f t="shared" si="427"/>
        <v>Nov</v>
      </c>
      <c r="C913" s="73">
        <f t="shared" si="445"/>
        <v>15</v>
      </c>
      <c r="D913" s="74">
        <f t="shared" si="428"/>
        <v>7</v>
      </c>
      <c r="E913" s="75">
        <f t="shared" si="429"/>
        <v>10</v>
      </c>
      <c r="F913" s="79"/>
      <c r="G913" s="82"/>
      <c r="H913" s="68" t="str">
        <f t="shared" si="446"/>
        <v>Clesim6_20211115_07_00</v>
      </c>
      <c r="I913" s="69">
        <f t="shared" si="447"/>
        <v>1</v>
      </c>
      <c r="J913" s="76" t="str">
        <f t="shared" si="447"/>
        <v>Clematis</v>
      </c>
      <c r="K913" s="76" t="str">
        <f t="shared" si="447"/>
        <v>simense</v>
      </c>
      <c r="L913" s="77">
        <f t="shared" si="447"/>
        <v>6</v>
      </c>
      <c r="M913" s="77">
        <f t="shared" si="447"/>
        <v>20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v>
      </c>
      <c r="C914" s="73">
        <f t="shared" si="445"/>
        <v>15</v>
      </c>
      <c r="D914" s="74">
        <f t="shared" si="428"/>
        <v>7</v>
      </c>
      <c r="E914" s="75">
        <f t="shared" si="429"/>
        <v>11</v>
      </c>
      <c r="F914" s="79"/>
      <c r="G914" s="82"/>
      <c r="H914" s="68" t="str">
        <f t="shared" si="446"/>
        <v>Clesim6_20211115_07_00</v>
      </c>
      <c r="I914" s="69">
        <f t="shared" si="447"/>
        <v>1</v>
      </c>
      <c r="J914" s="76" t="str">
        <f t="shared" si="447"/>
        <v>Clematis</v>
      </c>
      <c r="K914" s="76" t="str">
        <f t="shared" si="447"/>
        <v>simense</v>
      </c>
      <c r="L914" s="77">
        <f t="shared" si="447"/>
        <v>6</v>
      </c>
      <c r="M914" s="77">
        <f t="shared" si="447"/>
        <v>20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v>
      </c>
      <c r="C915" s="73">
        <f t="shared" si="445"/>
        <v>15</v>
      </c>
      <c r="D915" s="74">
        <f t="shared" si="428"/>
        <v>7</v>
      </c>
      <c r="E915" s="75">
        <f t="shared" si="429"/>
        <v>12</v>
      </c>
      <c r="F915" s="79"/>
      <c r="G915" s="82"/>
      <c r="H915" s="68" t="str">
        <f t="shared" si="446"/>
        <v>Clesim6_20211115_07_00</v>
      </c>
      <c r="I915" s="69">
        <f t="shared" si="447"/>
        <v>1</v>
      </c>
      <c r="J915" s="76" t="str">
        <f t="shared" si="447"/>
        <v>Clematis</v>
      </c>
      <c r="K915" s="76" t="str">
        <f t="shared" si="447"/>
        <v>simense</v>
      </c>
      <c r="L915" s="77">
        <f t="shared" si="447"/>
        <v>6</v>
      </c>
      <c r="M915" s="77">
        <f t="shared" si="447"/>
        <v>20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v>
      </c>
      <c r="C916" s="73">
        <f t="shared" si="445"/>
        <v>15</v>
      </c>
      <c r="D916" s="74">
        <f t="shared" si="428"/>
        <v>7</v>
      </c>
      <c r="E916" s="75">
        <f t="shared" si="429"/>
        <v>13</v>
      </c>
      <c r="F916" s="79"/>
      <c r="G916" s="82"/>
      <c r="H916" s="68" t="str">
        <f t="shared" si="446"/>
        <v>Clesim6_20211115_07_00</v>
      </c>
      <c r="I916" s="69">
        <f t="shared" si="447"/>
        <v>1</v>
      </c>
      <c r="J916" s="76" t="str">
        <f t="shared" si="447"/>
        <v>Clematis</v>
      </c>
      <c r="K916" s="76" t="str">
        <f t="shared" si="447"/>
        <v>simense</v>
      </c>
      <c r="L916" s="77">
        <f t="shared" si="447"/>
        <v>6</v>
      </c>
      <c r="M916" s="77">
        <f t="shared" si="447"/>
        <v>20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2021</v>
      </c>
      <c r="B917" s="72" t="str">
        <f t="shared" si="427"/>
        <v>Nov</v>
      </c>
      <c r="C917" s="73">
        <f t="shared" si="445"/>
        <v>15</v>
      </c>
      <c r="D917" s="74">
        <f t="shared" si="428"/>
        <v>7</v>
      </c>
      <c r="E917" s="75">
        <f t="shared" si="429"/>
        <v>14</v>
      </c>
      <c r="F917" s="79"/>
      <c r="G917" s="82"/>
      <c r="H917" s="68" t="str">
        <f t="shared" si="446"/>
        <v>Clesim6_20211115_07_00</v>
      </c>
      <c r="I917" s="69">
        <f t="shared" ref="I917:N932" si="448">I916</f>
        <v>1</v>
      </c>
      <c r="J917" s="76" t="str">
        <f t="shared" si="448"/>
        <v>Clematis</v>
      </c>
      <c r="K917" s="76" t="str">
        <f t="shared" si="448"/>
        <v>simense</v>
      </c>
      <c r="L917" s="77">
        <f t="shared" si="448"/>
        <v>6</v>
      </c>
      <c r="M917" s="77">
        <f t="shared" si="448"/>
        <v>20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v>
      </c>
      <c r="C918" s="73">
        <f t="shared" si="445"/>
        <v>15</v>
      </c>
      <c r="D918" s="74">
        <f t="shared" si="428"/>
        <v>7</v>
      </c>
      <c r="E918" s="75">
        <f t="shared" si="429"/>
        <v>15</v>
      </c>
      <c r="F918" s="79"/>
      <c r="G918" s="82"/>
      <c r="H918" s="68" t="str">
        <f t="shared" si="446"/>
        <v>Clesim6_20211115_07_00</v>
      </c>
      <c r="I918" s="69">
        <f t="shared" si="448"/>
        <v>1</v>
      </c>
      <c r="J918" s="76" t="str">
        <f t="shared" si="448"/>
        <v>Clematis</v>
      </c>
      <c r="K918" s="76" t="str">
        <f t="shared" si="448"/>
        <v>simense</v>
      </c>
      <c r="L918" s="77">
        <f t="shared" si="448"/>
        <v>6</v>
      </c>
      <c r="M918" s="77">
        <f t="shared" si="448"/>
        <v>20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v>
      </c>
      <c r="C919" s="73">
        <f t="shared" si="445"/>
        <v>15</v>
      </c>
      <c r="D919" s="74">
        <f t="shared" si="428"/>
        <v>7</v>
      </c>
      <c r="E919" s="75">
        <f t="shared" si="429"/>
        <v>16</v>
      </c>
      <c r="F919" s="79"/>
      <c r="G919" s="82"/>
      <c r="H919" s="68" t="str">
        <f t="shared" si="446"/>
        <v>Clesim6_20211115_07_00</v>
      </c>
      <c r="I919" s="69">
        <f t="shared" si="448"/>
        <v>1</v>
      </c>
      <c r="J919" s="76" t="str">
        <f t="shared" si="448"/>
        <v>Clematis</v>
      </c>
      <c r="K919" s="76" t="str">
        <f t="shared" si="448"/>
        <v>simense</v>
      </c>
      <c r="L919" s="77">
        <f t="shared" si="448"/>
        <v>6</v>
      </c>
      <c r="M919" s="77">
        <f t="shared" si="448"/>
        <v>20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v>
      </c>
      <c r="C920" s="73">
        <f t="shared" si="445"/>
        <v>15</v>
      </c>
      <c r="D920" s="74">
        <f t="shared" si="428"/>
        <v>7</v>
      </c>
      <c r="E920" s="75">
        <f t="shared" si="429"/>
        <v>17</v>
      </c>
      <c r="F920" s="79"/>
      <c r="G920" s="82"/>
      <c r="H920" s="68" t="str">
        <f t="shared" si="446"/>
        <v>Clesim6_20211115_07_00</v>
      </c>
      <c r="I920" s="69">
        <f t="shared" si="448"/>
        <v>1</v>
      </c>
      <c r="J920" s="76" t="str">
        <f t="shared" si="448"/>
        <v>Clematis</v>
      </c>
      <c r="K920" s="76" t="str">
        <f t="shared" si="448"/>
        <v>simense</v>
      </c>
      <c r="L920" s="77">
        <f t="shared" si="448"/>
        <v>6</v>
      </c>
      <c r="M920" s="77">
        <f t="shared" si="448"/>
        <v>20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v>
      </c>
      <c r="C921" s="73">
        <f t="shared" si="445"/>
        <v>15</v>
      </c>
      <c r="D921" s="74">
        <f t="shared" si="428"/>
        <v>7</v>
      </c>
      <c r="E921" s="75">
        <f t="shared" si="429"/>
        <v>18</v>
      </c>
      <c r="F921" s="79"/>
      <c r="G921" s="82"/>
      <c r="H921" s="68" t="str">
        <f t="shared" si="446"/>
        <v>Clesim6_20211115_07_00</v>
      </c>
      <c r="I921" s="69">
        <f t="shared" si="448"/>
        <v>1</v>
      </c>
      <c r="J921" s="76" t="str">
        <f t="shared" si="448"/>
        <v>Clematis</v>
      </c>
      <c r="K921" s="76" t="str">
        <f t="shared" si="448"/>
        <v>simense</v>
      </c>
      <c r="L921" s="77">
        <f t="shared" si="448"/>
        <v>6</v>
      </c>
      <c r="M921" s="77">
        <f t="shared" si="448"/>
        <v>20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v>
      </c>
      <c r="C922" s="73">
        <f t="shared" si="445"/>
        <v>15</v>
      </c>
      <c r="D922" s="74">
        <f t="shared" si="428"/>
        <v>7</v>
      </c>
      <c r="E922" s="75">
        <f t="shared" si="429"/>
        <v>19</v>
      </c>
      <c r="F922" s="79"/>
      <c r="G922" s="82"/>
      <c r="H922" s="68" t="str">
        <f t="shared" si="446"/>
        <v>Clesim6_20211115_07_00</v>
      </c>
      <c r="I922" s="69">
        <f t="shared" si="448"/>
        <v>1</v>
      </c>
      <c r="J922" s="76" t="str">
        <f t="shared" si="448"/>
        <v>Clematis</v>
      </c>
      <c r="K922" s="76" t="str">
        <f t="shared" si="448"/>
        <v>simense</v>
      </c>
      <c r="L922" s="77">
        <f t="shared" si="448"/>
        <v>6</v>
      </c>
      <c r="M922" s="77">
        <f t="shared" si="448"/>
        <v>20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v>
      </c>
      <c r="C923" s="73">
        <f t="shared" si="445"/>
        <v>15</v>
      </c>
      <c r="D923" s="74">
        <f t="shared" si="428"/>
        <v>7</v>
      </c>
      <c r="E923" s="75">
        <f t="shared" si="429"/>
        <v>20</v>
      </c>
      <c r="F923" s="79"/>
      <c r="G923" s="82"/>
      <c r="H923" s="68" t="str">
        <f t="shared" si="446"/>
        <v>Clesim6_20211115_07_00</v>
      </c>
      <c r="I923" s="69">
        <f t="shared" si="448"/>
        <v>1</v>
      </c>
      <c r="J923" s="76" t="str">
        <f t="shared" si="448"/>
        <v>Clematis</v>
      </c>
      <c r="K923" s="76" t="str">
        <f t="shared" si="448"/>
        <v>simense</v>
      </c>
      <c r="L923" s="77">
        <f t="shared" si="448"/>
        <v>6</v>
      </c>
      <c r="M923" s="77">
        <f t="shared" si="448"/>
        <v>20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v>
      </c>
      <c r="C924" s="73">
        <f t="shared" si="445"/>
        <v>15</v>
      </c>
      <c r="D924" s="74">
        <f t="shared" si="428"/>
        <v>7</v>
      </c>
      <c r="E924" s="75">
        <f t="shared" si="429"/>
        <v>21</v>
      </c>
      <c r="F924" s="79"/>
      <c r="G924" s="82"/>
      <c r="H924" s="68" t="str">
        <f t="shared" si="446"/>
        <v>Clesim6_20211115_07_00</v>
      </c>
      <c r="I924" s="69">
        <f t="shared" si="448"/>
        <v>1</v>
      </c>
      <c r="J924" s="76" t="str">
        <f t="shared" si="448"/>
        <v>Clematis</v>
      </c>
      <c r="K924" s="76" t="str">
        <f t="shared" si="448"/>
        <v>simense</v>
      </c>
      <c r="L924" s="77">
        <f t="shared" si="448"/>
        <v>6</v>
      </c>
      <c r="M924" s="77">
        <f t="shared" si="448"/>
        <v>20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v>
      </c>
      <c r="C925" s="73">
        <f t="shared" si="445"/>
        <v>15</v>
      </c>
      <c r="D925" s="74">
        <f t="shared" si="428"/>
        <v>7</v>
      </c>
      <c r="E925" s="75">
        <f t="shared" si="429"/>
        <v>22</v>
      </c>
      <c r="F925" s="79"/>
      <c r="G925" s="82"/>
      <c r="H925" s="68" t="str">
        <f t="shared" si="446"/>
        <v>Clesim6_20211115_07_00</v>
      </c>
      <c r="I925" s="69">
        <f t="shared" si="448"/>
        <v>1</v>
      </c>
      <c r="J925" s="76" t="str">
        <f t="shared" si="448"/>
        <v>Clematis</v>
      </c>
      <c r="K925" s="76" t="str">
        <f t="shared" si="448"/>
        <v>simense</v>
      </c>
      <c r="L925" s="77">
        <f t="shared" si="448"/>
        <v>6</v>
      </c>
      <c r="M925" s="77">
        <f t="shared" si="448"/>
        <v>20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v>
      </c>
      <c r="C926" s="73">
        <f t="shared" si="445"/>
        <v>15</v>
      </c>
      <c r="D926" s="74">
        <f t="shared" si="428"/>
        <v>7</v>
      </c>
      <c r="E926" s="75">
        <f t="shared" si="429"/>
        <v>23</v>
      </c>
      <c r="F926" s="79"/>
      <c r="G926" s="82"/>
      <c r="H926" s="68" t="str">
        <f t="shared" si="446"/>
        <v>Clesim6_20211115_07_00</v>
      </c>
      <c r="I926" s="69">
        <f t="shared" si="448"/>
        <v>1</v>
      </c>
      <c r="J926" s="76" t="str">
        <f t="shared" si="448"/>
        <v>Clematis</v>
      </c>
      <c r="K926" s="76" t="str">
        <f t="shared" si="448"/>
        <v>simense</v>
      </c>
      <c r="L926" s="77">
        <f t="shared" si="448"/>
        <v>6</v>
      </c>
      <c r="M926" s="77">
        <f t="shared" si="448"/>
        <v>20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v>
      </c>
      <c r="C927" s="73">
        <f t="shared" si="445"/>
        <v>15</v>
      </c>
      <c r="D927" s="74">
        <f t="shared" si="428"/>
        <v>7</v>
      </c>
      <c r="E927" s="75">
        <f t="shared" si="429"/>
        <v>24</v>
      </c>
      <c r="F927" s="79"/>
      <c r="G927" s="82"/>
      <c r="H927" s="68" t="str">
        <f t="shared" si="446"/>
        <v>Clesim6_20211115_07_00</v>
      </c>
      <c r="I927" s="69">
        <f t="shared" si="448"/>
        <v>1</v>
      </c>
      <c r="J927" s="76" t="str">
        <f t="shared" si="448"/>
        <v>Clematis</v>
      </c>
      <c r="K927" s="76" t="str">
        <f t="shared" si="448"/>
        <v>simense</v>
      </c>
      <c r="L927" s="77">
        <f t="shared" si="448"/>
        <v>6</v>
      </c>
      <c r="M927" s="77">
        <f t="shared" si="448"/>
        <v>20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v>
      </c>
      <c r="C928" s="73">
        <f t="shared" si="445"/>
        <v>15</v>
      </c>
      <c r="D928" s="74">
        <f t="shared" si="428"/>
        <v>7</v>
      </c>
      <c r="E928" s="75">
        <f t="shared" si="429"/>
        <v>25</v>
      </c>
      <c r="F928" s="79"/>
      <c r="G928" s="82"/>
      <c r="H928" s="68" t="str">
        <f t="shared" si="446"/>
        <v>Clesim6_20211115_07_00</v>
      </c>
      <c r="I928" s="69">
        <f t="shared" si="448"/>
        <v>1</v>
      </c>
      <c r="J928" s="76" t="str">
        <f t="shared" si="448"/>
        <v>Clematis</v>
      </c>
      <c r="K928" s="76" t="str">
        <f t="shared" si="448"/>
        <v>simense</v>
      </c>
      <c r="L928" s="77">
        <f t="shared" si="448"/>
        <v>6</v>
      </c>
      <c r="M928" s="77">
        <f t="shared" si="448"/>
        <v>20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v>
      </c>
      <c r="C929" s="73">
        <f t="shared" si="445"/>
        <v>15</v>
      </c>
      <c r="D929" s="74">
        <f t="shared" si="428"/>
        <v>7</v>
      </c>
      <c r="E929" s="75">
        <f t="shared" si="429"/>
        <v>26</v>
      </c>
      <c r="F929" s="79"/>
      <c r="G929" s="82"/>
      <c r="H929" s="68" t="str">
        <f t="shared" si="446"/>
        <v>Clesim6_20211115_07_00</v>
      </c>
      <c r="I929" s="69">
        <f t="shared" si="448"/>
        <v>1</v>
      </c>
      <c r="J929" s="76" t="str">
        <f t="shared" si="448"/>
        <v>Clematis</v>
      </c>
      <c r="K929" s="76" t="str">
        <f t="shared" si="448"/>
        <v>simense</v>
      </c>
      <c r="L929" s="77">
        <f t="shared" si="448"/>
        <v>6</v>
      </c>
      <c r="M929" s="77">
        <f t="shared" si="448"/>
        <v>20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v>
      </c>
      <c r="C930" s="73">
        <f t="shared" si="445"/>
        <v>15</v>
      </c>
      <c r="D930" s="74">
        <f t="shared" si="428"/>
        <v>7</v>
      </c>
      <c r="E930" s="75">
        <f t="shared" si="429"/>
        <v>27</v>
      </c>
      <c r="F930" s="79"/>
      <c r="G930" s="82"/>
      <c r="H930" s="68" t="str">
        <f t="shared" si="446"/>
        <v>Clesim6_20211115_07_00</v>
      </c>
      <c r="I930" s="69">
        <f t="shared" si="448"/>
        <v>1</v>
      </c>
      <c r="J930" s="76" t="str">
        <f t="shared" si="448"/>
        <v>Clematis</v>
      </c>
      <c r="K930" s="76" t="str">
        <f t="shared" si="448"/>
        <v>simense</v>
      </c>
      <c r="L930" s="77">
        <f t="shared" si="448"/>
        <v>6</v>
      </c>
      <c r="M930" s="77">
        <f t="shared" si="448"/>
        <v>20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v>
      </c>
      <c r="C931" s="73">
        <f t="shared" si="445"/>
        <v>15</v>
      </c>
      <c r="D931" s="74">
        <f t="shared" si="428"/>
        <v>7</v>
      </c>
      <c r="E931" s="75">
        <f t="shared" si="429"/>
        <v>28</v>
      </c>
      <c r="F931" s="79"/>
      <c r="G931" s="82"/>
      <c r="H931" s="68" t="str">
        <f t="shared" si="446"/>
        <v>Clesim6_20211115_07_00</v>
      </c>
      <c r="I931" s="69">
        <f t="shared" si="448"/>
        <v>1</v>
      </c>
      <c r="J931" s="76" t="str">
        <f t="shared" si="448"/>
        <v>Clematis</v>
      </c>
      <c r="K931" s="76" t="str">
        <f t="shared" si="448"/>
        <v>simense</v>
      </c>
      <c r="L931" s="77">
        <f t="shared" si="448"/>
        <v>6</v>
      </c>
      <c r="M931" s="77">
        <f t="shared" si="448"/>
        <v>20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v>
      </c>
      <c r="C932" s="73">
        <f t="shared" si="445"/>
        <v>15</v>
      </c>
      <c r="D932" s="74">
        <f t="shared" si="428"/>
        <v>7</v>
      </c>
      <c r="E932" s="75">
        <f t="shared" si="429"/>
        <v>29</v>
      </c>
      <c r="F932" s="79"/>
      <c r="G932" s="82"/>
      <c r="H932" s="68" t="str">
        <f t="shared" si="446"/>
        <v>Clesim6_20211115_07_00</v>
      </c>
      <c r="I932" s="69">
        <f t="shared" si="448"/>
        <v>1</v>
      </c>
      <c r="J932" s="76" t="str">
        <f t="shared" si="448"/>
        <v>Clematis</v>
      </c>
      <c r="K932" s="76" t="str">
        <f t="shared" si="448"/>
        <v>simense</v>
      </c>
      <c r="L932" s="77">
        <f t="shared" si="448"/>
        <v>6</v>
      </c>
      <c r="M932" s="77">
        <f t="shared" si="448"/>
        <v>20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v>
      </c>
      <c r="C933" s="73">
        <f t="shared" si="445"/>
        <v>15</v>
      </c>
      <c r="D933" s="74">
        <f t="shared" si="428"/>
        <v>7</v>
      </c>
      <c r="E933" s="75">
        <f t="shared" si="429"/>
        <v>30</v>
      </c>
      <c r="F933" s="79"/>
      <c r="G933" s="82"/>
      <c r="H933" s="68" t="str">
        <f t="shared" si="446"/>
        <v>Clesim6_20211115_07_00</v>
      </c>
      <c r="I933" s="69">
        <f t="shared" ref="I933:N948" si="449">I932</f>
        <v>1</v>
      </c>
      <c r="J933" s="76" t="str">
        <f t="shared" si="449"/>
        <v>Clematis</v>
      </c>
      <c r="K933" s="76" t="str">
        <f t="shared" si="449"/>
        <v>simense</v>
      </c>
      <c r="L933" s="77">
        <f t="shared" si="449"/>
        <v>6</v>
      </c>
      <c r="M933" s="77">
        <f t="shared" si="449"/>
        <v>20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v>
      </c>
      <c r="C934" s="73">
        <f t="shared" si="445"/>
        <v>15</v>
      </c>
      <c r="D934" s="74">
        <f t="shared" si="428"/>
        <v>7</v>
      </c>
      <c r="E934" s="75">
        <f t="shared" si="429"/>
        <v>31</v>
      </c>
      <c r="F934" s="79"/>
      <c r="G934" s="82"/>
      <c r="H934" s="68" t="str">
        <f t="shared" si="446"/>
        <v>Clesim6_20211115_07_00</v>
      </c>
      <c r="I934" s="69">
        <f t="shared" si="449"/>
        <v>1</v>
      </c>
      <c r="J934" s="76" t="str">
        <f t="shared" si="449"/>
        <v>Clematis</v>
      </c>
      <c r="K934" s="76" t="str">
        <f t="shared" si="449"/>
        <v>simense</v>
      </c>
      <c r="L934" s="77">
        <f t="shared" si="449"/>
        <v>6</v>
      </c>
      <c r="M934" s="77">
        <f t="shared" si="449"/>
        <v>20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v>
      </c>
      <c r="C935" s="73">
        <f t="shared" si="445"/>
        <v>15</v>
      </c>
      <c r="D935" s="74">
        <f t="shared" si="428"/>
        <v>7</v>
      </c>
      <c r="E935" s="75">
        <f t="shared" si="429"/>
        <v>32</v>
      </c>
      <c r="F935" s="79"/>
      <c r="G935" s="82"/>
      <c r="H935" s="68" t="str">
        <f t="shared" si="446"/>
        <v>Clesim6_20211115_07_00</v>
      </c>
      <c r="I935" s="69">
        <f t="shared" si="449"/>
        <v>1</v>
      </c>
      <c r="J935" s="76" t="str">
        <f t="shared" si="449"/>
        <v>Clematis</v>
      </c>
      <c r="K935" s="76" t="str">
        <f t="shared" si="449"/>
        <v>simense</v>
      </c>
      <c r="L935" s="77">
        <f t="shared" si="449"/>
        <v>6</v>
      </c>
      <c r="M935" s="77">
        <f t="shared" si="449"/>
        <v>20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v>
      </c>
      <c r="C936" s="73">
        <f t="shared" si="445"/>
        <v>15</v>
      </c>
      <c r="D936" s="74">
        <f t="shared" si="428"/>
        <v>7</v>
      </c>
      <c r="E936" s="75">
        <f t="shared" si="429"/>
        <v>33</v>
      </c>
      <c r="F936" s="79"/>
      <c r="G936" s="82"/>
      <c r="H936" s="68" t="str">
        <f t="shared" si="446"/>
        <v>Clesim6_20211115_07_00</v>
      </c>
      <c r="I936" s="69">
        <f t="shared" si="449"/>
        <v>1</v>
      </c>
      <c r="J936" s="76" t="str">
        <f t="shared" si="449"/>
        <v>Clematis</v>
      </c>
      <c r="K936" s="76" t="str">
        <f t="shared" si="449"/>
        <v>simense</v>
      </c>
      <c r="L936" s="77">
        <f t="shared" si="449"/>
        <v>6</v>
      </c>
      <c r="M936" s="77">
        <f t="shared" si="449"/>
        <v>20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v>
      </c>
      <c r="C937" s="73">
        <f t="shared" si="445"/>
        <v>15</v>
      </c>
      <c r="D937" s="74">
        <f t="shared" si="428"/>
        <v>7</v>
      </c>
      <c r="E937" s="75">
        <f t="shared" si="429"/>
        <v>34</v>
      </c>
      <c r="F937" s="79"/>
      <c r="G937" s="82"/>
      <c r="H937" s="68" t="str">
        <f t="shared" si="446"/>
        <v>Clesim6_20211115_07_00</v>
      </c>
      <c r="I937" s="69">
        <f t="shared" si="449"/>
        <v>1</v>
      </c>
      <c r="J937" s="76" t="str">
        <f t="shared" si="449"/>
        <v>Clematis</v>
      </c>
      <c r="K937" s="76" t="str">
        <f t="shared" si="449"/>
        <v>simense</v>
      </c>
      <c r="L937" s="77">
        <f t="shared" si="449"/>
        <v>6</v>
      </c>
      <c r="M937" s="77">
        <f t="shared" si="449"/>
        <v>20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v>
      </c>
      <c r="C938" s="73">
        <f t="shared" si="445"/>
        <v>15</v>
      </c>
      <c r="D938" s="74">
        <f t="shared" si="428"/>
        <v>7</v>
      </c>
      <c r="E938" s="75">
        <f t="shared" si="429"/>
        <v>35</v>
      </c>
      <c r="F938" s="79"/>
      <c r="G938" s="82"/>
      <c r="H938" s="68" t="str">
        <f t="shared" si="446"/>
        <v>Clesim6_20211115_07_00</v>
      </c>
      <c r="I938" s="69">
        <f t="shared" si="449"/>
        <v>1</v>
      </c>
      <c r="J938" s="76" t="str">
        <f t="shared" si="449"/>
        <v>Clematis</v>
      </c>
      <c r="K938" s="76" t="str">
        <f t="shared" si="449"/>
        <v>simense</v>
      </c>
      <c r="L938" s="77">
        <f t="shared" si="449"/>
        <v>6</v>
      </c>
      <c r="M938" s="77">
        <f t="shared" si="449"/>
        <v>20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v>
      </c>
      <c r="C939" s="73">
        <f t="shared" si="445"/>
        <v>15</v>
      </c>
      <c r="D939" s="74">
        <f t="shared" si="428"/>
        <v>7</v>
      </c>
      <c r="E939" s="75">
        <f t="shared" si="429"/>
        <v>36</v>
      </c>
      <c r="F939" s="79"/>
      <c r="G939" s="82"/>
      <c r="H939" s="68" t="str">
        <f t="shared" si="446"/>
        <v>Clesim6_20211115_07_00</v>
      </c>
      <c r="I939" s="69">
        <f t="shared" si="449"/>
        <v>1</v>
      </c>
      <c r="J939" s="76" t="str">
        <f t="shared" si="449"/>
        <v>Clematis</v>
      </c>
      <c r="K939" s="76" t="str">
        <f t="shared" si="449"/>
        <v>simense</v>
      </c>
      <c r="L939" s="77">
        <f t="shared" si="449"/>
        <v>6</v>
      </c>
      <c r="M939" s="77">
        <f t="shared" si="449"/>
        <v>20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v>
      </c>
      <c r="C940" s="73">
        <f t="shared" si="445"/>
        <v>15</v>
      </c>
      <c r="D940" s="74">
        <f t="shared" si="428"/>
        <v>7</v>
      </c>
      <c r="E940" s="75">
        <f t="shared" si="429"/>
        <v>37</v>
      </c>
      <c r="F940" s="79"/>
      <c r="G940" s="82"/>
      <c r="H940" s="68" t="str">
        <f t="shared" si="446"/>
        <v>Clesim6_20211115_07_00</v>
      </c>
      <c r="I940" s="69">
        <f t="shared" si="449"/>
        <v>1</v>
      </c>
      <c r="J940" s="76" t="str">
        <f t="shared" si="449"/>
        <v>Clematis</v>
      </c>
      <c r="K940" s="76" t="str">
        <f t="shared" si="449"/>
        <v>simense</v>
      </c>
      <c r="L940" s="77">
        <f t="shared" si="449"/>
        <v>6</v>
      </c>
      <c r="M940" s="77">
        <f t="shared" si="449"/>
        <v>20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v>
      </c>
      <c r="C941" s="73">
        <f t="shared" si="445"/>
        <v>15</v>
      </c>
      <c r="D941" s="74">
        <f t="shared" si="428"/>
        <v>7</v>
      </c>
      <c r="E941" s="75">
        <f t="shared" si="429"/>
        <v>38</v>
      </c>
      <c r="F941" s="79"/>
      <c r="G941" s="82"/>
      <c r="H941" s="68" t="str">
        <f t="shared" si="446"/>
        <v>Clesim6_20211115_07_00</v>
      </c>
      <c r="I941" s="69">
        <f t="shared" si="449"/>
        <v>1</v>
      </c>
      <c r="J941" s="76" t="str">
        <f t="shared" si="449"/>
        <v>Clematis</v>
      </c>
      <c r="K941" s="76" t="str">
        <f t="shared" si="449"/>
        <v>simense</v>
      </c>
      <c r="L941" s="77">
        <f t="shared" si="449"/>
        <v>6</v>
      </c>
      <c r="M941" s="77">
        <f t="shared" si="449"/>
        <v>20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v>
      </c>
      <c r="C942" s="73">
        <f t="shared" si="445"/>
        <v>15</v>
      </c>
      <c r="D942" s="74">
        <f t="shared" si="428"/>
        <v>7</v>
      </c>
      <c r="E942" s="75">
        <f t="shared" si="429"/>
        <v>39</v>
      </c>
      <c r="F942" s="79"/>
      <c r="G942" s="82"/>
      <c r="H942" s="68" t="str">
        <f t="shared" si="446"/>
        <v>Clesim6_20211115_07_00</v>
      </c>
      <c r="I942" s="69">
        <f t="shared" si="449"/>
        <v>1</v>
      </c>
      <c r="J942" s="76" t="str">
        <f t="shared" si="449"/>
        <v>Clematis</v>
      </c>
      <c r="K942" s="76" t="str">
        <f t="shared" si="449"/>
        <v>simense</v>
      </c>
      <c r="L942" s="77">
        <f t="shared" si="449"/>
        <v>6</v>
      </c>
      <c r="M942" s="77">
        <f t="shared" si="449"/>
        <v>20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v>
      </c>
      <c r="C943" s="73">
        <f t="shared" si="445"/>
        <v>15</v>
      </c>
      <c r="D943" s="74">
        <f t="shared" si="428"/>
        <v>7</v>
      </c>
      <c r="E943" s="75">
        <f t="shared" si="429"/>
        <v>40</v>
      </c>
      <c r="F943" s="79"/>
      <c r="G943" s="82"/>
      <c r="H943" s="68" t="str">
        <f t="shared" si="446"/>
        <v>Clesim6_20211115_07_00</v>
      </c>
      <c r="I943" s="69">
        <f t="shared" si="449"/>
        <v>1</v>
      </c>
      <c r="J943" s="76" t="str">
        <f t="shared" si="449"/>
        <v>Clematis</v>
      </c>
      <c r="K943" s="76" t="str">
        <f t="shared" si="449"/>
        <v>simense</v>
      </c>
      <c r="L943" s="77">
        <f t="shared" si="449"/>
        <v>6</v>
      </c>
      <c r="M943" s="77">
        <f t="shared" si="449"/>
        <v>20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v>
      </c>
      <c r="C944" s="73">
        <f t="shared" si="445"/>
        <v>15</v>
      </c>
      <c r="D944" s="74">
        <f t="shared" si="428"/>
        <v>7</v>
      </c>
      <c r="E944" s="75">
        <f t="shared" si="429"/>
        <v>41</v>
      </c>
      <c r="F944" s="79"/>
      <c r="G944" s="82"/>
      <c r="H944" s="68" t="str">
        <f t="shared" si="446"/>
        <v>Clesim6_20211115_07_00</v>
      </c>
      <c r="I944" s="69">
        <f t="shared" si="449"/>
        <v>1</v>
      </c>
      <c r="J944" s="76" t="str">
        <f t="shared" si="449"/>
        <v>Clematis</v>
      </c>
      <c r="K944" s="76" t="str">
        <f t="shared" si="449"/>
        <v>simense</v>
      </c>
      <c r="L944" s="77">
        <f t="shared" si="449"/>
        <v>6</v>
      </c>
      <c r="M944" s="77">
        <f t="shared" si="449"/>
        <v>20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v>
      </c>
      <c r="C945" s="73">
        <f t="shared" si="445"/>
        <v>15</v>
      </c>
      <c r="D945" s="74">
        <f t="shared" si="428"/>
        <v>7</v>
      </c>
      <c r="E945" s="75">
        <f t="shared" si="429"/>
        <v>42</v>
      </c>
      <c r="F945" s="79"/>
      <c r="G945" s="82"/>
      <c r="H945" s="68" t="str">
        <f t="shared" si="446"/>
        <v>Clesim6_20211115_07_00</v>
      </c>
      <c r="I945" s="69">
        <f t="shared" si="449"/>
        <v>1</v>
      </c>
      <c r="J945" s="76" t="str">
        <f t="shared" si="449"/>
        <v>Clematis</v>
      </c>
      <c r="K945" s="76" t="str">
        <f t="shared" si="449"/>
        <v>simense</v>
      </c>
      <c r="L945" s="77">
        <f t="shared" si="449"/>
        <v>6</v>
      </c>
      <c r="M945" s="77">
        <f t="shared" si="449"/>
        <v>20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v>
      </c>
      <c r="C946" s="73">
        <f t="shared" si="445"/>
        <v>15</v>
      </c>
      <c r="D946" s="74">
        <f t="shared" si="428"/>
        <v>7</v>
      </c>
      <c r="E946" s="75">
        <f t="shared" si="429"/>
        <v>43</v>
      </c>
      <c r="F946" s="79"/>
      <c r="G946" s="82"/>
      <c r="H946" s="68" t="str">
        <f t="shared" si="446"/>
        <v>Clesim6_20211115_07_00</v>
      </c>
      <c r="I946" s="69">
        <f t="shared" si="449"/>
        <v>1</v>
      </c>
      <c r="J946" s="76" t="str">
        <f t="shared" si="449"/>
        <v>Clematis</v>
      </c>
      <c r="K946" s="76" t="str">
        <f t="shared" si="449"/>
        <v>simense</v>
      </c>
      <c r="L946" s="77">
        <f t="shared" si="449"/>
        <v>6</v>
      </c>
      <c r="M946" s="77">
        <f t="shared" si="449"/>
        <v>20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v>
      </c>
      <c r="C947" s="73">
        <f t="shared" si="445"/>
        <v>15</v>
      </c>
      <c r="D947" s="74">
        <f t="shared" si="428"/>
        <v>7</v>
      </c>
      <c r="E947" s="75">
        <f t="shared" si="429"/>
        <v>44</v>
      </c>
      <c r="F947" s="79"/>
      <c r="G947" s="82"/>
      <c r="H947" s="68" t="str">
        <f t="shared" si="446"/>
        <v>Clesim6_20211115_07_00</v>
      </c>
      <c r="I947" s="69">
        <f t="shared" si="449"/>
        <v>1</v>
      </c>
      <c r="J947" s="76" t="str">
        <f t="shared" si="449"/>
        <v>Clematis</v>
      </c>
      <c r="K947" s="76" t="str">
        <f t="shared" si="449"/>
        <v>simense</v>
      </c>
      <c r="L947" s="77">
        <f t="shared" si="449"/>
        <v>6</v>
      </c>
      <c r="M947" s="77">
        <f t="shared" si="449"/>
        <v>20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v>
      </c>
      <c r="C948" s="73">
        <f t="shared" si="445"/>
        <v>15</v>
      </c>
      <c r="D948" s="74">
        <f t="shared" si="428"/>
        <v>7</v>
      </c>
      <c r="E948" s="75">
        <f t="shared" si="429"/>
        <v>45</v>
      </c>
      <c r="F948" s="79"/>
      <c r="G948" s="82"/>
      <c r="H948" s="68" t="str">
        <f t="shared" si="446"/>
        <v>Clesim6_20211115_07_00</v>
      </c>
      <c r="I948" s="69">
        <f t="shared" si="449"/>
        <v>1</v>
      </c>
      <c r="J948" s="76" t="str">
        <f t="shared" si="449"/>
        <v>Clematis</v>
      </c>
      <c r="K948" s="76" t="str">
        <f t="shared" si="449"/>
        <v>simense</v>
      </c>
      <c r="L948" s="77">
        <f t="shared" si="449"/>
        <v>6</v>
      </c>
      <c r="M948" s="77">
        <f t="shared" si="449"/>
        <v>20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v>
      </c>
      <c r="C949" s="73">
        <f t="shared" si="445"/>
        <v>15</v>
      </c>
      <c r="D949" s="74">
        <f t="shared" si="428"/>
        <v>7</v>
      </c>
      <c r="E949" s="75">
        <f t="shared" si="429"/>
        <v>46</v>
      </c>
      <c r="F949" s="79"/>
      <c r="G949" s="82"/>
      <c r="H949" s="68" t="str">
        <f t="shared" si="446"/>
        <v>Clesim6_20211115_07_00</v>
      </c>
      <c r="I949" s="69">
        <f t="shared" ref="I949:N964" si="450">I948</f>
        <v>1</v>
      </c>
      <c r="J949" s="76" t="str">
        <f t="shared" si="450"/>
        <v>Clematis</v>
      </c>
      <c r="K949" s="76" t="str">
        <f t="shared" si="450"/>
        <v>simense</v>
      </c>
      <c r="L949" s="77">
        <f t="shared" si="450"/>
        <v>6</v>
      </c>
      <c r="M949" s="77">
        <f t="shared" si="450"/>
        <v>20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v>
      </c>
      <c r="C950" s="73">
        <f t="shared" si="445"/>
        <v>15</v>
      </c>
      <c r="D950" s="74">
        <f t="shared" si="428"/>
        <v>7</v>
      </c>
      <c r="E950" s="75">
        <f t="shared" si="429"/>
        <v>47</v>
      </c>
      <c r="F950" s="79"/>
      <c r="G950" s="82"/>
      <c r="H950" s="68" t="str">
        <f t="shared" si="446"/>
        <v>Clesim6_20211115_07_00</v>
      </c>
      <c r="I950" s="69">
        <f t="shared" si="450"/>
        <v>1</v>
      </c>
      <c r="J950" s="76" t="str">
        <f t="shared" si="450"/>
        <v>Clematis</v>
      </c>
      <c r="K950" s="76" t="str">
        <f t="shared" si="450"/>
        <v>simense</v>
      </c>
      <c r="L950" s="77">
        <f t="shared" si="450"/>
        <v>6</v>
      </c>
      <c r="M950" s="77">
        <f t="shared" si="450"/>
        <v>20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v>
      </c>
      <c r="C951" s="73">
        <f t="shared" si="445"/>
        <v>15</v>
      </c>
      <c r="D951" s="74">
        <f t="shared" si="428"/>
        <v>7</v>
      </c>
      <c r="E951" s="75">
        <f t="shared" si="429"/>
        <v>48</v>
      </c>
      <c r="F951" s="79"/>
      <c r="G951" s="82"/>
      <c r="H951" s="68" t="str">
        <f t="shared" si="446"/>
        <v>Clesim6_20211115_07_00</v>
      </c>
      <c r="I951" s="69">
        <f t="shared" si="450"/>
        <v>1</v>
      </c>
      <c r="J951" s="76" t="str">
        <f t="shared" si="450"/>
        <v>Clematis</v>
      </c>
      <c r="K951" s="76" t="str">
        <f t="shared" si="450"/>
        <v>simense</v>
      </c>
      <c r="L951" s="77">
        <f t="shared" si="450"/>
        <v>6</v>
      </c>
      <c r="M951" s="77">
        <f t="shared" si="450"/>
        <v>20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v>
      </c>
      <c r="C952" s="73">
        <f t="shared" si="445"/>
        <v>15</v>
      </c>
      <c r="D952" s="74">
        <f t="shared" si="428"/>
        <v>7</v>
      </c>
      <c r="E952" s="75">
        <f t="shared" si="429"/>
        <v>49</v>
      </c>
      <c r="F952" s="79"/>
      <c r="G952" s="82"/>
      <c r="H952" s="68" t="str">
        <f t="shared" si="446"/>
        <v>Clesim6_20211115_07_00</v>
      </c>
      <c r="I952" s="69">
        <f t="shared" si="450"/>
        <v>1</v>
      </c>
      <c r="J952" s="76" t="str">
        <f t="shared" si="450"/>
        <v>Clematis</v>
      </c>
      <c r="K952" s="76" t="str">
        <f t="shared" si="450"/>
        <v>simense</v>
      </c>
      <c r="L952" s="77">
        <f t="shared" si="450"/>
        <v>6</v>
      </c>
      <c r="M952" s="77">
        <f t="shared" si="450"/>
        <v>20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2021</v>
      </c>
      <c r="B953" s="72" t="str">
        <f t="shared" si="427"/>
        <v>Nov</v>
      </c>
      <c r="C953" s="73">
        <f t="shared" si="445"/>
        <v>15</v>
      </c>
      <c r="D953" s="74">
        <f t="shared" si="428"/>
        <v>7</v>
      </c>
      <c r="E953" s="75">
        <f t="shared" si="429"/>
        <v>50</v>
      </c>
      <c r="F953" s="79">
        <v>21</v>
      </c>
      <c r="G953" s="82"/>
      <c r="H953" s="68" t="str">
        <f t="shared" si="446"/>
        <v>Clesim6_20211115_07_00</v>
      </c>
      <c r="I953" s="69">
        <f t="shared" si="450"/>
        <v>1</v>
      </c>
      <c r="J953" s="76" t="str">
        <f t="shared" si="450"/>
        <v>Clematis</v>
      </c>
      <c r="K953" s="76" t="str">
        <f t="shared" si="450"/>
        <v>simense</v>
      </c>
      <c r="L953" s="77">
        <f t="shared" si="450"/>
        <v>6</v>
      </c>
      <c r="M953" s="77">
        <f t="shared" si="450"/>
        <v>20</v>
      </c>
      <c r="N953" s="71">
        <f t="shared" si="450"/>
        <v>0</v>
      </c>
      <c r="O953" s="44"/>
      <c r="P953" s="45">
        <f t="shared" si="430"/>
        <v>1</v>
      </c>
      <c r="Q953" s="46" t="str">
        <f t="shared" si="431"/>
        <v>07:50:21</v>
      </c>
      <c r="R953" s="47" t="str">
        <f t="shared" si="432"/>
        <v>50:21</v>
      </c>
      <c r="S953" s="48">
        <f t="shared" si="421"/>
        <v>188</v>
      </c>
      <c r="T953" s="47" t="str">
        <f t="shared" si="433"/>
        <v>07</v>
      </c>
      <c r="U953" s="49">
        <v>53</v>
      </c>
      <c r="V953" s="50">
        <v>29</v>
      </c>
      <c r="W953" s="51" t="str">
        <f t="shared" si="434"/>
        <v>53:29</v>
      </c>
      <c r="X953" s="123" t="s">
        <v>69</v>
      </c>
      <c r="Y953" s="52" t="s">
        <v>84</v>
      </c>
      <c r="Z953" s="52"/>
      <c r="AA953" s="47" t="s">
        <v>67</v>
      </c>
      <c r="AB953" s="47" t="str">
        <f t="shared" si="435"/>
        <v>NA</v>
      </c>
      <c r="AC953" s="53" t="str">
        <f t="shared" si="436"/>
        <v/>
      </c>
      <c r="AD953" s="54">
        <f t="shared" si="437"/>
        <v>1</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f t="shared" si="422"/>
        <v>0</v>
      </c>
      <c r="AX953" s="61" t="str">
        <f t="shared" si="423"/>
        <v/>
      </c>
      <c r="AY953" s="60">
        <f t="shared" si="424"/>
        <v>0</v>
      </c>
      <c r="AZ953" s="61" t="str">
        <f t="shared" si="425"/>
        <v/>
      </c>
    </row>
    <row r="954" spans="1:52" s="3" customFormat="1" x14ac:dyDescent="0.35">
      <c r="A954" s="72">
        <f t="shared" si="426"/>
        <v>2021</v>
      </c>
      <c r="B954" s="72" t="str">
        <f t="shared" si="427"/>
        <v>Nov</v>
      </c>
      <c r="C954" s="73">
        <f t="shared" si="445"/>
        <v>15</v>
      </c>
      <c r="D954" s="74">
        <f t="shared" si="428"/>
        <v>7</v>
      </c>
      <c r="E954" s="75">
        <f t="shared" si="429"/>
        <v>51</v>
      </c>
      <c r="F954" s="79">
        <v>6</v>
      </c>
      <c r="G954" s="82"/>
      <c r="H954" s="68" t="str">
        <f t="shared" si="446"/>
        <v>Clesim6_20211115_07_00</v>
      </c>
      <c r="I954" s="69">
        <f t="shared" si="450"/>
        <v>1</v>
      </c>
      <c r="J954" s="76" t="str">
        <f t="shared" si="450"/>
        <v>Clematis</v>
      </c>
      <c r="K954" s="76" t="str">
        <f t="shared" si="450"/>
        <v>simense</v>
      </c>
      <c r="L954" s="77">
        <f t="shared" si="450"/>
        <v>6</v>
      </c>
      <c r="M954" s="77">
        <f t="shared" si="450"/>
        <v>20</v>
      </c>
      <c r="N954" s="71">
        <f t="shared" si="450"/>
        <v>0</v>
      </c>
      <c r="O954" s="44"/>
      <c r="P954" s="45">
        <f t="shared" si="430"/>
        <v>1</v>
      </c>
      <c r="Q954" s="46" t="str">
        <f t="shared" si="431"/>
        <v>07:51:06</v>
      </c>
      <c r="R954" s="47" t="str">
        <f t="shared" si="432"/>
        <v>51:06</v>
      </c>
      <c r="S954" s="48">
        <f t="shared" si="421"/>
        <v>290</v>
      </c>
      <c r="T954" s="47" t="str">
        <f t="shared" si="433"/>
        <v>07</v>
      </c>
      <c r="U954" s="49">
        <v>55</v>
      </c>
      <c r="V954" s="50">
        <v>56</v>
      </c>
      <c r="W954" s="51" t="str">
        <f t="shared" si="434"/>
        <v>55:56</v>
      </c>
      <c r="X954" s="123" t="s">
        <v>69</v>
      </c>
      <c r="Y954" s="52" t="s">
        <v>84</v>
      </c>
      <c r="Z954" s="52"/>
      <c r="AA954" s="47" t="s">
        <v>67</v>
      </c>
      <c r="AB954" s="47" t="str">
        <f t="shared" si="435"/>
        <v>NA</v>
      </c>
      <c r="AC954" s="53" t="str">
        <f t="shared" si="436"/>
        <v/>
      </c>
      <c r="AD954" s="54">
        <v>2</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f t="shared" si="422"/>
        <v>0</v>
      </c>
      <c r="AX954" s="61" t="str">
        <f t="shared" si="423"/>
        <v/>
      </c>
      <c r="AY954" s="60">
        <f t="shared" si="424"/>
        <v>0</v>
      </c>
      <c r="AZ954" s="61" t="str">
        <f t="shared" si="425"/>
        <v/>
      </c>
    </row>
    <row r="955" spans="1:52" s="3" customFormat="1" hidden="1" x14ac:dyDescent="0.35">
      <c r="A955" s="72">
        <f t="shared" si="426"/>
        <v>2021</v>
      </c>
      <c r="B955" s="72" t="str">
        <f t="shared" si="427"/>
        <v>Nov</v>
      </c>
      <c r="C955" s="73">
        <f t="shared" si="445"/>
        <v>15</v>
      </c>
      <c r="D955" s="74">
        <f t="shared" si="428"/>
        <v>7</v>
      </c>
      <c r="E955" s="75">
        <f t="shared" si="429"/>
        <v>52</v>
      </c>
      <c r="F955" s="79"/>
      <c r="G955" s="82"/>
      <c r="H955" s="68" t="str">
        <f t="shared" si="446"/>
        <v>Clesim6_20211115_07_00</v>
      </c>
      <c r="I955" s="69">
        <f t="shared" si="450"/>
        <v>1</v>
      </c>
      <c r="J955" s="76" t="str">
        <f t="shared" si="450"/>
        <v>Clematis</v>
      </c>
      <c r="K955" s="76" t="str">
        <f t="shared" si="450"/>
        <v>simense</v>
      </c>
      <c r="L955" s="77">
        <f t="shared" si="450"/>
        <v>6</v>
      </c>
      <c r="M955" s="77">
        <f t="shared" si="450"/>
        <v>20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v>
      </c>
      <c r="C956" s="73">
        <f t="shared" si="445"/>
        <v>15</v>
      </c>
      <c r="D956" s="74">
        <f t="shared" si="428"/>
        <v>7</v>
      </c>
      <c r="E956" s="75">
        <f t="shared" si="429"/>
        <v>53</v>
      </c>
      <c r="F956" s="79"/>
      <c r="G956" s="82"/>
      <c r="H956" s="68" t="str">
        <f t="shared" si="446"/>
        <v>Clesim6_20211115_07_00</v>
      </c>
      <c r="I956" s="69">
        <f t="shared" si="450"/>
        <v>1</v>
      </c>
      <c r="J956" s="76" t="str">
        <f t="shared" si="450"/>
        <v>Clematis</v>
      </c>
      <c r="K956" s="76" t="str">
        <f t="shared" si="450"/>
        <v>simense</v>
      </c>
      <c r="L956" s="77">
        <f t="shared" si="450"/>
        <v>6</v>
      </c>
      <c r="M956" s="77">
        <f t="shared" si="450"/>
        <v>20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v>
      </c>
      <c r="C957" s="73">
        <f t="shared" si="445"/>
        <v>15</v>
      </c>
      <c r="D957" s="74">
        <f t="shared" si="428"/>
        <v>7</v>
      </c>
      <c r="E957" s="75">
        <f t="shared" si="429"/>
        <v>54</v>
      </c>
      <c r="F957" s="79"/>
      <c r="G957" s="82"/>
      <c r="H957" s="68" t="str">
        <f t="shared" si="446"/>
        <v>Clesim6_20211115_07_00</v>
      </c>
      <c r="I957" s="69">
        <f t="shared" si="450"/>
        <v>1</v>
      </c>
      <c r="J957" s="76" t="str">
        <f t="shared" si="450"/>
        <v>Clematis</v>
      </c>
      <c r="K957" s="76" t="str">
        <f t="shared" si="450"/>
        <v>simense</v>
      </c>
      <c r="L957" s="77">
        <f t="shared" si="450"/>
        <v>6</v>
      </c>
      <c r="M957" s="77">
        <f t="shared" si="450"/>
        <v>20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v>
      </c>
      <c r="C958" s="73">
        <f t="shared" si="445"/>
        <v>15</v>
      </c>
      <c r="D958" s="74">
        <f t="shared" si="428"/>
        <v>7</v>
      </c>
      <c r="E958" s="75">
        <f t="shared" si="429"/>
        <v>55</v>
      </c>
      <c r="F958" s="79"/>
      <c r="G958" s="82"/>
      <c r="H958" s="68" t="str">
        <f t="shared" si="446"/>
        <v>Clesim6_20211115_07_00</v>
      </c>
      <c r="I958" s="69">
        <f t="shared" si="450"/>
        <v>1</v>
      </c>
      <c r="J958" s="76" t="str">
        <f t="shared" si="450"/>
        <v>Clematis</v>
      </c>
      <c r="K958" s="76" t="str">
        <f t="shared" si="450"/>
        <v>simense</v>
      </c>
      <c r="L958" s="77">
        <f t="shared" si="450"/>
        <v>6</v>
      </c>
      <c r="M958" s="77">
        <f t="shared" si="450"/>
        <v>20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v>
      </c>
      <c r="C959" s="73">
        <f t="shared" si="445"/>
        <v>15</v>
      </c>
      <c r="D959" s="74">
        <f t="shared" si="428"/>
        <v>7</v>
      </c>
      <c r="E959" s="75">
        <f t="shared" si="429"/>
        <v>56</v>
      </c>
      <c r="F959" s="79"/>
      <c r="G959" s="82"/>
      <c r="H959" s="68" t="str">
        <f t="shared" si="446"/>
        <v>Clesim6_20211115_07_00</v>
      </c>
      <c r="I959" s="69">
        <f t="shared" si="450"/>
        <v>1</v>
      </c>
      <c r="J959" s="76" t="str">
        <f t="shared" si="450"/>
        <v>Clematis</v>
      </c>
      <c r="K959" s="76" t="str">
        <f t="shared" si="450"/>
        <v>simense</v>
      </c>
      <c r="L959" s="77">
        <f t="shared" si="450"/>
        <v>6</v>
      </c>
      <c r="M959" s="77">
        <f t="shared" si="450"/>
        <v>20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v>
      </c>
      <c r="C960" s="73">
        <f t="shared" si="445"/>
        <v>15</v>
      </c>
      <c r="D960" s="74">
        <f t="shared" si="428"/>
        <v>7</v>
      </c>
      <c r="E960" s="75">
        <f t="shared" si="429"/>
        <v>57</v>
      </c>
      <c r="F960" s="79"/>
      <c r="G960" s="82"/>
      <c r="H960" s="68" t="str">
        <f t="shared" si="446"/>
        <v>Clesim6_20211115_07_00</v>
      </c>
      <c r="I960" s="69">
        <f t="shared" si="450"/>
        <v>1</v>
      </c>
      <c r="J960" s="76" t="str">
        <f t="shared" si="450"/>
        <v>Clematis</v>
      </c>
      <c r="K960" s="76" t="str">
        <f t="shared" si="450"/>
        <v>simense</v>
      </c>
      <c r="L960" s="77">
        <f t="shared" si="450"/>
        <v>6</v>
      </c>
      <c r="M960" s="77">
        <f t="shared" si="450"/>
        <v>20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v>
      </c>
      <c r="C961" s="73">
        <f t="shared" si="445"/>
        <v>15</v>
      </c>
      <c r="D961" s="74">
        <f t="shared" si="428"/>
        <v>7</v>
      </c>
      <c r="E961" s="75">
        <f t="shared" si="429"/>
        <v>58</v>
      </c>
      <c r="F961" s="79"/>
      <c r="G961" s="82"/>
      <c r="H961" s="68" t="str">
        <f t="shared" si="446"/>
        <v>Clesim6_20211115_07_00</v>
      </c>
      <c r="I961" s="69">
        <f t="shared" si="450"/>
        <v>1</v>
      </c>
      <c r="J961" s="76" t="str">
        <f t="shared" si="450"/>
        <v>Clematis</v>
      </c>
      <c r="K961" s="76" t="str">
        <f t="shared" si="450"/>
        <v>simense</v>
      </c>
      <c r="L961" s="77">
        <f t="shared" si="450"/>
        <v>6</v>
      </c>
      <c r="M961" s="77">
        <f t="shared" si="450"/>
        <v>20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v>
      </c>
      <c r="C962" s="73">
        <f t="shared" si="445"/>
        <v>15</v>
      </c>
      <c r="D962" s="74">
        <f t="shared" si="428"/>
        <v>7</v>
      </c>
      <c r="E962" s="75">
        <f t="shared" si="429"/>
        <v>59</v>
      </c>
      <c r="F962" s="79"/>
      <c r="G962" s="82"/>
      <c r="H962" s="68" t="str">
        <f t="shared" si="446"/>
        <v>Clesim6_20211115_07_00</v>
      </c>
      <c r="I962" s="69">
        <f t="shared" si="450"/>
        <v>1</v>
      </c>
      <c r="J962" s="76" t="str">
        <f t="shared" si="450"/>
        <v>Clematis</v>
      </c>
      <c r="K962" s="76" t="str">
        <f t="shared" si="450"/>
        <v>simense</v>
      </c>
      <c r="L962" s="77">
        <f t="shared" si="450"/>
        <v>6</v>
      </c>
      <c r="M962" s="77">
        <f t="shared" si="450"/>
        <v>20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v>
      </c>
      <c r="C963" s="73">
        <f t="shared" si="445"/>
        <v>15</v>
      </c>
      <c r="D963" s="74">
        <f t="shared" si="428"/>
        <v>8</v>
      </c>
      <c r="E963" s="75">
        <f t="shared" si="429"/>
        <v>0</v>
      </c>
      <c r="F963" s="79"/>
      <c r="G963" s="82"/>
      <c r="H963" s="68" t="str">
        <f t="shared" si="446"/>
        <v>Clesim6_20211115_08_00</v>
      </c>
      <c r="I963" s="69">
        <f t="shared" si="450"/>
        <v>1</v>
      </c>
      <c r="J963" s="76" t="str">
        <f t="shared" si="450"/>
        <v>Clematis</v>
      </c>
      <c r="K963" s="76" t="str">
        <f t="shared" si="450"/>
        <v>simense</v>
      </c>
      <c r="L963" s="77">
        <f t="shared" si="450"/>
        <v>6</v>
      </c>
      <c r="M963" s="77">
        <f t="shared" si="450"/>
        <v>20</v>
      </c>
      <c r="N963" s="71">
        <f t="shared" si="450"/>
        <v>0</v>
      </c>
      <c r="O963" s="44"/>
      <c r="P963" s="45" t="str">
        <f t="shared" si="430"/>
        <v/>
      </c>
      <c r="Q963" s="46" t="str">
        <f t="shared" si="431"/>
        <v/>
      </c>
      <c r="R963" s="47" t="e">
        <f t="shared" si="432"/>
        <v>#VALUE!</v>
      </c>
      <c r="S963" s="48" t="e">
        <f t="shared" ref="S963:S1027"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7" si="452">IF(P963=1,0,"")</f>
        <v/>
      </c>
      <c r="AX963" s="61" t="str">
        <f t="shared" ref="AX963:AX1027" si="453">IF(AW963=1,AD963,"")</f>
        <v/>
      </c>
      <c r="AY963" s="60" t="str">
        <f t="shared" ref="AY963:AY1027" si="454">IF(P963=1,0,"")</f>
        <v/>
      </c>
      <c r="AZ963" s="61" t="str">
        <f t="shared" ref="AZ963:AZ1027" si="455">IF(AY963=1,AD963,"")</f>
        <v/>
      </c>
    </row>
    <row r="964" spans="1:52" s="3" customFormat="1" hidden="1" x14ac:dyDescent="0.35">
      <c r="A964" s="72">
        <f t="shared" ref="A964:A1028" si="456">A963</f>
        <v>2021</v>
      </c>
      <c r="B964" s="72" t="str">
        <f t="shared" ref="B964:B1028" si="457">IF(C963-C964&gt;0, TEXT(DATE(2016,(MONTH(DATEVALUE(B963&amp;"1"))+1),1),"mmm"), B963)</f>
        <v>Nov</v>
      </c>
      <c r="C964" s="73">
        <f t="shared" si="445"/>
        <v>15</v>
      </c>
      <c r="D964" s="74">
        <f t="shared" ref="D964:D1028" si="458">IF(IF(E963=59,D963+1,D963)=24,0,IF(E963=59,D963+1,D963))</f>
        <v>8</v>
      </c>
      <c r="E964" s="75">
        <f t="shared" ref="E964:E1028" si="459">IF(E963&lt;59,E963+1,0)</f>
        <v>1</v>
      </c>
      <c r="F964" s="79"/>
      <c r="G964" s="82"/>
      <c r="H964" s="68" t="str">
        <f t="shared" si="446"/>
        <v>Clesim6_20211115_08_00</v>
      </c>
      <c r="I964" s="69">
        <f t="shared" si="450"/>
        <v>1</v>
      </c>
      <c r="J964" s="76" t="str">
        <f t="shared" si="450"/>
        <v>Clematis</v>
      </c>
      <c r="K964" s="76" t="str">
        <f t="shared" si="450"/>
        <v>simense</v>
      </c>
      <c r="L964" s="77">
        <f t="shared" si="450"/>
        <v>6</v>
      </c>
      <c r="M964" s="77">
        <f t="shared" si="450"/>
        <v>20</v>
      </c>
      <c r="N964" s="71">
        <f t="shared" si="450"/>
        <v>0</v>
      </c>
      <c r="O964" s="44"/>
      <c r="P964" s="45" t="str">
        <f t="shared" ref="P964:P1028" si="460">IF(F964="","",1)</f>
        <v/>
      </c>
      <c r="Q964" s="46" t="str">
        <f t="shared" ref="Q964:Q1028" si="461">TEXT(IF(P964=1,CONCATENATE($D964,":",$E964,":",(LEFT($F964,2))),""),"hh:mm:ss")</f>
        <v/>
      </c>
      <c r="R964" s="47" t="e">
        <f t="shared" ref="R964:R1028" si="462">TEXT(Q964-TIME(0,RIGHT($H964,2),$G$9)+(Q964&gt;TIME(0,RIGHT($H964,2),$G$9)),"mm:ss")</f>
        <v>#VALUE!</v>
      </c>
      <c r="S964" s="48" t="e">
        <f t="shared" si="451"/>
        <v>#VALUE!</v>
      </c>
      <c r="T964" s="47" t="str">
        <f t="shared" ref="T964:T1028" si="463">TEXT(IF(P964=1,D964,""),"00")</f>
        <v/>
      </c>
      <c r="U964" s="49"/>
      <c r="V964" s="50"/>
      <c r="W964" s="51" t="e">
        <f t="shared" ref="W964:W1028"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8" si="465">IF(AA964&lt;&gt;0,"NA","")</f>
        <v>#N/A</v>
      </c>
      <c r="AC964" s="53" t="e">
        <f t="shared" ref="AC964:AC1028" si="466">IF(SUM(AH964,AJ964,AL964,AN964,AP964,AR964)=S964,,"")</f>
        <v>#VALUE!</v>
      </c>
      <c r="AD964" s="54" t="str">
        <f t="shared" ref="AD964:AD1028" si="467">IF(P964=1,1,"")</f>
        <v/>
      </c>
      <c r="AE964" s="54"/>
      <c r="AF964" s="54"/>
      <c r="AG964" s="55" t="str">
        <f t="shared" ref="AG964:AG1028" si="468">IF(OR(X964="Something small"),1,"")</f>
        <v/>
      </c>
      <c r="AH964" s="56" t="str">
        <f t="shared" ref="AH964:AH1028" si="469">IF(AG964=1,$S964,"")</f>
        <v/>
      </c>
      <c r="AI964" s="55"/>
      <c r="AJ964" s="56" t="str">
        <f t="shared" ref="AJ964:AJ1028" si="470">IF(AI964=1,$S964,"")</f>
        <v/>
      </c>
      <c r="AK964" s="55"/>
      <c r="AL964" s="56" t="str">
        <f t="shared" ref="AL964:AL1028" si="471">IF(AK964=1,$S964,"")</f>
        <v/>
      </c>
      <c r="AM964" s="55"/>
      <c r="AN964" s="56" t="str">
        <f t="shared" ref="AN964:AN1028" si="472">IF(AM964=1,$S964,"")</f>
        <v/>
      </c>
      <c r="AO964" s="55"/>
      <c r="AP964" s="56" t="str">
        <f t="shared" ref="AP964:AP1028" si="473">IF(AO964=1,$S964,"")</f>
        <v/>
      </c>
      <c r="AQ964" s="55"/>
      <c r="AR964" s="56" t="str">
        <f t="shared" ref="AR964:AR1028"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v>
      </c>
      <c r="C965" s="73">
        <f t="shared" ref="C965:C1029" si="475">IF(AND(D965=0, E965=0), IF(TEXT(C964,"dd")=TEXT(EOMONTH(DATE(A964,MONTH(DATEVALUE(B964&amp;"1")),C964),0), "dd"), 1, C964+1), C964)</f>
        <v>15</v>
      </c>
      <c r="D965" s="74">
        <f t="shared" si="458"/>
        <v>8</v>
      </c>
      <c r="E965" s="75">
        <f t="shared" si="459"/>
        <v>2</v>
      </c>
      <c r="F965" s="79"/>
      <c r="G965" s="82"/>
      <c r="H965" s="68" t="str">
        <f t="shared" ref="H965:H1029"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Clesim6_20211115_08_00</v>
      </c>
      <c r="I965" s="69">
        <f t="shared" ref="I965:N980" si="477">I964</f>
        <v>1</v>
      </c>
      <c r="J965" s="76" t="str">
        <f t="shared" si="477"/>
        <v>Clematis</v>
      </c>
      <c r="K965" s="76" t="str">
        <f t="shared" si="477"/>
        <v>simense</v>
      </c>
      <c r="L965" s="77">
        <f t="shared" si="477"/>
        <v>6</v>
      </c>
      <c r="M965" s="77">
        <f t="shared" si="477"/>
        <v>20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2021</v>
      </c>
      <c r="B966" s="72" t="str">
        <f t="shared" si="457"/>
        <v>Nov</v>
      </c>
      <c r="C966" s="73">
        <f t="shared" si="475"/>
        <v>15</v>
      </c>
      <c r="D966" s="74">
        <f t="shared" si="458"/>
        <v>8</v>
      </c>
      <c r="E966" s="75">
        <f t="shared" si="459"/>
        <v>3</v>
      </c>
      <c r="F966" s="79">
        <v>2</v>
      </c>
      <c r="G966" s="82"/>
      <c r="H966" s="68" t="str">
        <f t="shared" si="476"/>
        <v>Clesim6_20211115_08_00</v>
      </c>
      <c r="I966" s="69">
        <f t="shared" si="477"/>
        <v>1</v>
      </c>
      <c r="J966" s="76" t="str">
        <f t="shared" si="477"/>
        <v>Clematis</v>
      </c>
      <c r="K966" s="76" t="str">
        <f t="shared" si="477"/>
        <v>simense</v>
      </c>
      <c r="L966" s="77">
        <f t="shared" si="477"/>
        <v>6</v>
      </c>
      <c r="M966" s="77">
        <f t="shared" si="477"/>
        <v>20</v>
      </c>
      <c r="N966" s="71">
        <f t="shared" si="477"/>
        <v>0</v>
      </c>
      <c r="O966" s="44"/>
      <c r="P966" s="45">
        <f t="shared" si="460"/>
        <v>1</v>
      </c>
      <c r="Q966" s="46" t="str">
        <f t="shared" si="461"/>
        <v>08:03:02</v>
      </c>
      <c r="R966" s="47" t="str">
        <f t="shared" si="462"/>
        <v>03:02</v>
      </c>
      <c r="S966" s="48">
        <f t="shared" si="451"/>
        <v>504</v>
      </c>
      <c r="T966" s="47" t="str">
        <f t="shared" si="463"/>
        <v>08</v>
      </c>
      <c r="U966" s="49">
        <v>11</v>
      </c>
      <c r="V966" s="50">
        <v>26</v>
      </c>
      <c r="W966" s="51" t="str">
        <f t="shared" si="464"/>
        <v>11:26</v>
      </c>
      <c r="X966" s="123" t="s">
        <v>69</v>
      </c>
      <c r="Y966" s="52" t="s">
        <v>84</v>
      </c>
      <c r="Z966" s="52"/>
      <c r="AA966" s="47" t="s">
        <v>67</v>
      </c>
      <c r="AB966" s="47" t="str">
        <f t="shared" si="465"/>
        <v>NA</v>
      </c>
      <c r="AC966" s="53" t="str">
        <f t="shared" si="466"/>
        <v/>
      </c>
      <c r="AD966" s="54">
        <f t="shared" si="467"/>
        <v>1</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f t="shared" si="452"/>
        <v>0</v>
      </c>
      <c r="AX966" s="61" t="str">
        <f t="shared" si="453"/>
        <v/>
      </c>
      <c r="AY966" s="60">
        <f t="shared" si="454"/>
        <v>0</v>
      </c>
      <c r="AZ966" s="61" t="str">
        <f t="shared" si="455"/>
        <v/>
      </c>
    </row>
    <row r="967" spans="1:52" s="3" customFormat="1" hidden="1" x14ac:dyDescent="0.35">
      <c r="A967" s="72">
        <f t="shared" si="456"/>
        <v>2021</v>
      </c>
      <c r="B967" s="72" t="str">
        <f t="shared" si="457"/>
        <v>Nov</v>
      </c>
      <c r="C967" s="73">
        <f t="shared" si="475"/>
        <v>15</v>
      </c>
      <c r="D967" s="74">
        <f t="shared" si="458"/>
        <v>8</v>
      </c>
      <c r="E967" s="75">
        <f t="shared" si="459"/>
        <v>4</v>
      </c>
      <c r="F967" s="79"/>
      <c r="G967" s="82"/>
      <c r="H967" s="68" t="str">
        <f t="shared" si="476"/>
        <v>Clesim6_20211115_08_00</v>
      </c>
      <c r="I967" s="69">
        <f t="shared" si="477"/>
        <v>1</v>
      </c>
      <c r="J967" s="76" t="str">
        <f t="shared" si="477"/>
        <v>Clematis</v>
      </c>
      <c r="K967" s="76" t="str">
        <f t="shared" si="477"/>
        <v>simense</v>
      </c>
      <c r="L967" s="77">
        <f t="shared" si="477"/>
        <v>6</v>
      </c>
      <c r="M967" s="77">
        <f t="shared" si="477"/>
        <v>20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v>
      </c>
      <c r="C968" s="73">
        <f t="shared" si="475"/>
        <v>15</v>
      </c>
      <c r="D968" s="74">
        <f t="shared" si="458"/>
        <v>8</v>
      </c>
      <c r="E968" s="75">
        <f t="shared" si="459"/>
        <v>5</v>
      </c>
      <c r="F968" s="79"/>
      <c r="G968" s="82"/>
      <c r="H968" s="68" t="str">
        <f t="shared" si="476"/>
        <v>Clesim6_20211115_08_00</v>
      </c>
      <c r="I968" s="69">
        <f t="shared" si="477"/>
        <v>1</v>
      </c>
      <c r="J968" s="76" t="str">
        <f t="shared" si="477"/>
        <v>Clematis</v>
      </c>
      <c r="K968" s="76" t="str">
        <f t="shared" si="477"/>
        <v>simense</v>
      </c>
      <c r="L968" s="77">
        <f t="shared" si="477"/>
        <v>6</v>
      </c>
      <c r="M968" s="77">
        <f t="shared" si="477"/>
        <v>20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v>
      </c>
      <c r="C969" s="73">
        <f t="shared" si="475"/>
        <v>15</v>
      </c>
      <c r="D969" s="74">
        <f t="shared" si="458"/>
        <v>8</v>
      </c>
      <c r="E969" s="75">
        <f t="shared" si="459"/>
        <v>6</v>
      </c>
      <c r="F969" s="79"/>
      <c r="G969" s="82"/>
      <c r="H969" s="68" t="str">
        <f t="shared" si="476"/>
        <v>Clesim6_20211115_08_00</v>
      </c>
      <c r="I969" s="69">
        <f t="shared" si="477"/>
        <v>1</v>
      </c>
      <c r="J969" s="76" t="str">
        <f t="shared" si="477"/>
        <v>Clematis</v>
      </c>
      <c r="K969" s="76" t="str">
        <f t="shared" si="477"/>
        <v>simense</v>
      </c>
      <c r="L969" s="77">
        <f t="shared" si="477"/>
        <v>6</v>
      </c>
      <c r="M969" s="77">
        <f t="shared" si="477"/>
        <v>20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v>
      </c>
      <c r="C970" s="73">
        <f t="shared" si="475"/>
        <v>15</v>
      </c>
      <c r="D970" s="74">
        <f t="shared" si="458"/>
        <v>8</v>
      </c>
      <c r="E970" s="75">
        <f t="shared" si="459"/>
        <v>7</v>
      </c>
      <c r="F970" s="79"/>
      <c r="G970" s="82"/>
      <c r="H970" s="68" t="str">
        <f t="shared" si="476"/>
        <v>Clesim6_20211115_08_00</v>
      </c>
      <c r="I970" s="69">
        <f t="shared" si="477"/>
        <v>1</v>
      </c>
      <c r="J970" s="76" t="str">
        <f t="shared" si="477"/>
        <v>Clematis</v>
      </c>
      <c r="K970" s="76" t="str">
        <f t="shared" si="477"/>
        <v>simense</v>
      </c>
      <c r="L970" s="77">
        <f t="shared" si="477"/>
        <v>6</v>
      </c>
      <c r="M970" s="77">
        <f t="shared" si="477"/>
        <v>20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v>
      </c>
      <c r="C971" s="73">
        <f t="shared" si="475"/>
        <v>15</v>
      </c>
      <c r="D971" s="74">
        <f t="shared" si="458"/>
        <v>8</v>
      </c>
      <c r="E971" s="75">
        <f t="shared" si="459"/>
        <v>8</v>
      </c>
      <c r="F971" s="79"/>
      <c r="G971" s="82"/>
      <c r="H971" s="68" t="str">
        <f t="shared" si="476"/>
        <v>Clesim6_20211115_08_00</v>
      </c>
      <c r="I971" s="69">
        <f t="shared" si="477"/>
        <v>1</v>
      </c>
      <c r="J971" s="76" t="str">
        <f t="shared" si="477"/>
        <v>Clematis</v>
      </c>
      <c r="K971" s="76" t="str">
        <f t="shared" si="477"/>
        <v>simense</v>
      </c>
      <c r="L971" s="77">
        <f t="shared" si="477"/>
        <v>6</v>
      </c>
      <c r="M971" s="77">
        <f t="shared" si="477"/>
        <v>20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v>
      </c>
      <c r="C972" s="73">
        <f t="shared" si="475"/>
        <v>15</v>
      </c>
      <c r="D972" s="74">
        <f t="shared" si="458"/>
        <v>8</v>
      </c>
      <c r="E972" s="75">
        <f t="shared" si="459"/>
        <v>9</v>
      </c>
      <c r="F972" s="79"/>
      <c r="G972" s="82"/>
      <c r="H972" s="68" t="str">
        <f t="shared" si="476"/>
        <v>Clesim6_20211115_08_00</v>
      </c>
      <c r="I972" s="69">
        <f t="shared" si="477"/>
        <v>1</v>
      </c>
      <c r="J972" s="76" t="str">
        <f t="shared" si="477"/>
        <v>Clematis</v>
      </c>
      <c r="K972" s="76" t="str">
        <f t="shared" si="477"/>
        <v>simense</v>
      </c>
      <c r="L972" s="77">
        <f t="shared" si="477"/>
        <v>6</v>
      </c>
      <c r="M972" s="77">
        <f t="shared" si="477"/>
        <v>20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v>
      </c>
      <c r="C973" s="73">
        <f t="shared" si="475"/>
        <v>15</v>
      </c>
      <c r="D973" s="74">
        <f t="shared" si="458"/>
        <v>8</v>
      </c>
      <c r="E973" s="75">
        <f t="shared" si="459"/>
        <v>10</v>
      </c>
      <c r="F973" s="79"/>
      <c r="G973" s="82"/>
      <c r="H973" s="68" t="str">
        <f t="shared" si="476"/>
        <v>Clesim6_20211115_08_00</v>
      </c>
      <c r="I973" s="69">
        <f t="shared" si="477"/>
        <v>1</v>
      </c>
      <c r="J973" s="76" t="str">
        <f t="shared" si="477"/>
        <v>Clematis</v>
      </c>
      <c r="K973" s="76" t="str">
        <f t="shared" si="477"/>
        <v>simense</v>
      </c>
      <c r="L973" s="77">
        <f t="shared" si="477"/>
        <v>6</v>
      </c>
      <c r="M973" s="77">
        <f t="shared" si="477"/>
        <v>20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v>
      </c>
      <c r="C974" s="73">
        <f t="shared" si="475"/>
        <v>15</v>
      </c>
      <c r="D974" s="74">
        <f t="shared" si="458"/>
        <v>8</v>
      </c>
      <c r="E974" s="75">
        <f t="shared" si="459"/>
        <v>11</v>
      </c>
      <c r="F974" s="79"/>
      <c r="G974" s="82"/>
      <c r="H974" s="68" t="str">
        <f t="shared" si="476"/>
        <v>Clesim6_20211115_08_00</v>
      </c>
      <c r="I974" s="69">
        <f t="shared" si="477"/>
        <v>1</v>
      </c>
      <c r="J974" s="76" t="str">
        <f t="shared" si="477"/>
        <v>Clematis</v>
      </c>
      <c r="K974" s="76" t="str">
        <f t="shared" si="477"/>
        <v>simense</v>
      </c>
      <c r="L974" s="77">
        <f t="shared" si="477"/>
        <v>6</v>
      </c>
      <c r="M974" s="77">
        <f t="shared" si="477"/>
        <v>20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2021</v>
      </c>
      <c r="B975" s="72" t="str">
        <f t="shared" si="457"/>
        <v>Nov</v>
      </c>
      <c r="C975" s="73">
        <f t="shared" si="475"/>
        <v>15</v>
      </c>
      <c r="D975" s="74">
        <f t="shared" si="458"/>
        <v>8</v>
      </c>
      <c r="E975" s="75">
        <f t="shared" si="459"/>
        <v>12</v>
      </c>
      <c r="F975" s="79"/>
      <c r="G975" s="82"/>
      <c r="H975" s="68" t="str">
        <f t="shared" si="476"/>
        <v>Clesim6_20211115_08_00</v>
      </c>
      <c r="I975" s="69">
        <f t="shared" si="477"/>
        <v>1</v>
      </c>
      <c r="J975" s="76" t="str">
        <f t="shared" si="477"/>
        <v>Clematis</v>
      </c>
      <c r="K975" s="76" t="str">
        <f t="shared" si="477"/>
        <v>simense</v>
      </c>
      <c r="L975" s="77">
        <f t="shared" si="477"/>
        <v>6</v>
      </c>
      <c r="M975" s="77">
        <f t="shared" si="477"/>
        <v>20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v>
      </c>
      <c r="C976" s="73">
        <f t="shared" si="475"/>
        <v>15</v>
      </c>
      <c r="D976" s="74">
        <f t="shared" si="458"/>
        <v>8</v>
      </c>
      <c r="E976" s="75">
        <f t="shared" si="459"/>
        <v>13</v>
      </c>
      <c r="F976" s="79"/>
      <c r="G976" s="82"/>
      <c r="H976" s="68" t="str">
        <f t="shared" si="476"/>
        <v>Clesim6_20211115_08_00</v>
      </c>
      <c r="I976" s="69">
        <f t="shared" si="477"/>
        <v>1</v>
      </c>
      <c r="J976" s="76" t="str">
        <f t="shared" si="477"/>
        <v>Clematis</v>
      </c>
      <c r="K976" s="76" t="str">
        <f t="shared" si="477"/>
        <v>simense</v>
      </c>
      <c r="L976" s="77">
        <f t="shared" si="477"/>
        <v>6</v>
      </c>
      <c r="M976" s="77">
        <f t="shared" si="477"/>
        <v>20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2021</v>
      </c>
      <c r="B977" s="72" t="str">
        <f t="shared" si="457"/>
        <v>Nov</v>
      </c>
      <c r="C977" s="73">
        <f t="shared" si="475"/>
        <v>15</v>
      </c>
      <c r="D977" s="74">
        <f t="shared" si="458"/>
        <v>8</v>
      </c>
      <c r="E977" s="75">
        <f t="shared" si="459"/>
        <v>14</v>
      </c>
      <c r="F977" s="79">
        <v>32</v>
      </c>
      <c r="G977" s="82"/>
      <c r="H977" s="68" t="str">
        <f t="shared" si="476"/>
        <v>Clesim6_20211115_08_00</v>
      </c>
      <c r="I977" s="69">
        <f t="shared" si="477"/>
        <v>1</v>
      </c>
      <c r="J977" s="76" t="str">
        <f t="shared" si="477"/>
        <v>Clematis</v>
      </c>
      <c r="K977" s="76" t="str">
        <f t="shared" si="477"/>
        <v>simense</v>
      </c>
      <c r="L977" s="77">
        <f t="shared" si="477"/>
        <v>6</v>
      </c>
      <c r="M977" s="77">
        <f t="shared" si="477"/>
        <v>20</v>
      </c>
      <c r="N977" s="71">
        <f t="shared" si="477"/>
        <v>0</v>
      </c>
      <c r="O977" s="44"/>
      <c r="P977" s="45">
        <f t="shared" si="460"/>
        <v>1</v>
      </c>
      <c r="Q977" s="46" t="str">
        <f t="shared" si="461"/>
        <v>08:14:32</v>
      </c>
      <c r="R977" s="47" t="str">
        <f t="shared" si="462"/>
        <v>14:32</v>
      </c>
      <c r="S977" s="48">
        <f t="shared" si="451"/>
        <v>313</v>
      </c>
      <c r="T977" s="47" t="str">
        <f t="shared" si="463"/>
        <v>08</v>
      </c>
      <c r="U977" s="49">
        <v>19</v>
      </c>
      <c r="V977" s="50">
        <v>45</v>
      </c>
      <c r="W977" s="51" t="str">
        <f t="shared" si="464"/>
        <v>19:45</v>
      </c>
      <c r="X977" s="123" t="s">
        <v>69</v>
      </c>
      <c r="Y977" s="52" t="s">
        <v>93</v>
      </c>
      <c r="Z977" s="52"/>
      <c r="AA977" s="47" t="s">
        <v>67</v>
      </c>
      <c r="AB977" s="47" t="str">
        <f t="shared" si="465"/>
        <v>NA</v>
      </c>
      <c r="AC977" s="53" t="str">
        <f t="shared" si="466"/>
        <v/>
      </c>
      <c r="AD977" s="54">
        <f t="shared" si="467"/>
        <v>1</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f t="shared" si="452"/>
        <v>0</v>
      </c>
      <c r="AX977" s="61" t="str">
        <f t="shared" si="453"/>
        <v/>
      </c>
      <c r="AY977" s="60">
        <f t="shared" si="454"/>
        <v>0</v>
      </c>
      <c r="AZ977" s="61" t="str">
        <f t="shared" si="455"/>
        <v/>
      </c>
    </row>
    <row r="978" spans="1:52" s="3" customFormat="1" hidden="1" x14ac:dyDescent="0.35">
      <c r="A978" s="72">
        <f t="shared" si="456"/>
        <v>2021</v>
      </c>
      <c r="B978" s="72" t="str">
        <f t="shared" si="457"/>
        <v>Nov</v>
      </c>
      <c r="C978" s="73">
        <f t="shared" si="475"/>
        <v>15</v>
      </c>
      <c r="D978" s="74">
        <f t="shared" si="458"/>
        <v>8</v>
      </c>
      <c r="E978" s="75">
        <f t="shared" si="459"/>
        <v>15</v>
      </c>
      <c r="F978" s="79"/>
      <c r="G978" s="82"/>
      <c r="H978" s="68" t="str">
        <f t="shared" si="476"/>
        <v>Clesim6_20211115_08_00</v>
      </c>
      <c r="I978" s="69">
        <f t="shared" si="477"/>
        <v>1</v>
      </c>
      <c r="J978" s="76" t="str">
        <f t="shared" si="477"/>
        <v>Clematis</v>
      </c>
      <c r="K978" s="76" t="str">
        <f t="shared" si="477"/>
        <v>simense</v>
      </c>
      <c r="L978" s="77">
        <f t="shared" si="477"/>
        <v>6</v>
      </c>
      <c r="M978" s="77">
        <f t="shared" si="477"/>
        <v>20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v>
      </c>
      <c r="C979" s="73">
        <f t="shared" si="475"/>
        <v>15</v>
      </c>
      <c r="D979" s="74">
        <f t="shared" si="458"/>
        <v>8</v>
      </c>
      <c r="E979" s="75">
        <f t="shared" si="459"/>
        <v>16</v>
      </c>
      <c r="F979" s="79"/>
      <c r="G979" s="82"/>
      <c r="H979" s="68" t="str">
        <f t="shared" si="476"/>
        <v>Clesim6_20211115_08_00</v>
      </c>
      <c r="I979" s="69">
        <f t="shared" si="477"/>
        <v>1</v>
      </c>
      <c r="J979" s="76" t="str">
        <f t="shared" si="477"/>
        <v>Clematis</v>
      </c>
      <c r="K979" s="76" t="str">
        <f t="shared" si="477"/>
        <v>simense</v>
      </c>
      <c r="L979" s="77">
        <f t="shared" si="477"/>
        <v>6</v>
      </c>
      <c r="M979" s="77">
        <f t="shared" si="477"/>
        <v>20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v>
      </c>
      <c r="C980" s="73">
        <f t="shared" si="475"/>
        <v>15</v>
      </c>
      <c r="D980" s="74">
        <f t="shared" si="458"/>
        <v>8</v>
      </c>
      <c r="E980" s="75">
        <f t="shared" si="459"/>
        <v>17</v>
      </c>
      <c r="F980" s="79"/>
      <c r="G980" s="82"/>
      <c r="H980" s="68" t="str">
        <f t="shared" si="476"/>
        <v>Clesim6_20211115_08_00</v>
      </c>
      <c r="I980" s="69">
        <f t="shared" si="477"/>
        <v>1</v>
      </c>
      <c r="J980" s="76" t="str">
        <f t="shared" si="477"/>
        <v>Clematis</v>
      </c>
      <c r="K980" s="76" t="str">
        <f t="shared" si="477"/>
        <v>simense</v>
      </c>
      <c r="L980" s="77">
        <f t="shared" si="477"/>
        <v>6</v>
      </c>
      <c r="M980" s="77">
        <f t="shared" si="477"/>
        <v>20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v>
      </c>
      <c r="C981" s="73">
        <f t="shared" si="475"/>
        <v>15</v>
      </c>
      <c r="D981" s="74">
        <f t="shared" si="458"/>
        <v>8</v>
      </c>
      <c r="E981" s="75">
        <f t="shared" si="459"/>
        <v>18</v>
      </c>
      <c r="F981" s="79"/>
      <c r="G981" s="82"/>
      <c r="H981" s="68" t="str">
        <f t="shared" si="476"/>
        <v>Clesim6_20211115_08_00</v>
      </c>
      <c r="I981" s="69">
        <f t="shared" ref="I981:N996" si="478">I980</f>
        <v>1</v>
      </c>
      <c r="J981" s="76" t="str">
        <f t="shared" si="478"/>
        <v>Clematis</v>
      </c>
      <c r="K981" s="76" t="str">
        <f t="shared" si="478"/>
        <v>simense</v>
      </c>
      <c r="L981" s="77">
        <f t="shared" si="478"/>
        <v>6</v>
      </c>
      <c r="M981" s="77">
        <f t="shared" si="478"/>
        <v>20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v>
      </c>
      <c r="C982" s="73">
        <f t="shared" si="475"/>
        <v>15</v>
      </c>
      <c r="D982" s="74">
        <f t="shared" si="458"/>
        <v>8</v>
      </c>
      <c r="E982" s="75">
        <f t="shared" si="459"/>
        <v>19</v>
      </c>
      <c r="F982" s="79"/>
      <c r="G982" s="82"/>
      <c r="H982" s="68" t="str">
        <f t="shared" si="476"/>
        <v>Clesim6_20211115_08_00</v>
      </c>
      <c r="I982" s="69">
        <f t="shared" si="478"/>
        <v>1</v>
      </c>
      <c r="J982" s="76" t="str">
        <f t="shared" si="478"/>
        <v>Clematis</v>
      </c>
      <c r="K982" s="76" t="str">
        <f t="shared" si="478"/>
        <v>simense</v>
      </c>
      <c r="L982" s="77">
        <f t="shared" si="478"/>
        <v>6</v>
      </c>
      <c r="M982" s="77">
        <f t="shared" si="478"/>
        <v>20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v>
      </c>
      <c r="C983" s="73">
        <f t="shared" si="475"/>
        <v>15</v>
      </c>
      <c r="D983" s="74">
        <f t="shared" si="458"/>
        <v>8</v>
      </c>
      <c r="E983" s="75">
        <f t="shared" si="459"/>
        <v>20</v>
      </c>
      <c r="F983" s="79"/>
      <c r="G983" s="82"/>
      <c r="H983" s="68" t="str">
        <f t="shared" si="476"/>
        <v>Clesim6_20211115_08_00</v>
      </c>
      <c r="I983" s="69">
        <f t="shared" si="478"/>
        <v>1</v>
      </c>
      <c r="J983" s="76" t="str">
        <f t="shared" si="478"/>
        <v>Clematis</v>
      </c>
      <c r="K983" s="76" t="str">
        <f t="shared" si="478"/>
        <v>simense</v>
      </c>
      <c r="L983" s="77">
        <f t="shared" si="478"/>
        <v>6</v>
      </c>
      <c r="M983" s="77">
        <f t="shared" si="478"/>
        <v>20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v>
      </c>
      <c r="C984" s="73">
        <f t="shared" si="475"/>
        <v>15</v>
      </c>
      <c r="D984" s="74">
        <f t="shared" si="458"/>
        <v>8</v>
      </c>
      <c r="E984" s="75">
        <f t="shared" si="459"/>
        <v>21</v>
      </c>
      <c r="F984" s="79"/>
      <c r="G984" s="82"/>
      <c r="H984" s="68" t="str">
        <f t="shared" si="476"/>
        <v>Clesim6_20211115_08_00</v>
      </c>
      <c r="I984" s="69">
        <f t="shared" si="478"/>
        <v>1</v>
      </c>
      <c r="J984" s="76" t="str">
        <f t="shared" si="478"/>
        <v>Clematis</v>
      </c>
      <c r="K984" s="76" t="str">
        <f t="shared" si="478"/>
        <v>simense</v>
      </c>
      <c r="L984" s="77">
        <f t="shared" si="478"/>
        <v>6</v>
      </c>
      <c r="M984" s="77">
        <f t="shared" si="478"/>
        <v>20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v>
      </c>
      <c r="C985" s="73">
        <f t="shared" si="475"/>
        <v>15</v>
      </c>
      <c r="D985" s="74">
        <f t="shared" si="458"/>
        <v>8</v>
      </c>
      <c r="E985" s="75">
        <f t="shared" si="459"/>
        <v>22</v>
      </c>
      <c r="F985" s="79"/>
      <c r="G985" s="82"/>
      <c r="H985" s="68" t="str">
        <f t="shared" si="476"/>
        <v>Clesim6_20211115_08_00</v>
      </c>
      <c r="I985" s="69">
        <f t="shared" si="478"/>
        <v>1</v>
      </c>
      <c r="J985" s="76" t="str">
        <f t="shared" si="478"/>
        <v>Clematis</v>
      </c>
      <c r="K985" s="76" t="str">
        <f t="shared" si="478"/>
        <v>simense</v>
      </c>
      <c r="L985" s="77">
        <f t="shared" si="478"/>
        <v>6</v>
      </c>
      <c r="M985" s="77">
        <f t="shared" si="478"/>
        <v>20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v>
      </c>
      <c r="C986" s="73">
        <f t="shared" si="475"/>
        <v>15</v>
      </c>
      <c r="D986" s="74">
        <f t="shared" si="458"/>
        <v>8</v>
      </c>
      <c r="E986" s="75">
        <f t="shared" si="459"/>
        <v>23</v>
      </c>
      <c r="F986" s="79"/>
      <c r="G986" s="82"/>
      <c r="H986" s="68" t="str">
        <f t="shared" si="476"/>
        <v>Clesim6_20211115_08_00</v>
      </c>
      <c r="I986" s="69">
        <f t="shared" si="478"/>
        <v>1</v>
      </c>
      <c r="J986" s="76" t="str">
        <f t="shared" si="478"/>
        <v>Clematis</v>
      </c>
      <c r="K986" s="76" t="str">
        <f t="shared" si="478"/>
        <v>simense</v>
      </c>
      <c r="L986" s="77">
        <f t="shared" si="478"/>
        <v>6</v>
      </c>
      <c r="M986" s="77">
        <f t="shared" si="478"/>
        <v>20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v>
      </c>
      <c r="C987" s="73">
        <f t="shared" si="475"/>
        <v>15</v>
      </c>
      <c r="D987" s="74">
        <f t="shared" si="458"/>
        <v>8</v>
      </c>
      <c r="E987" s="75">
        <f t="shared" si="459"/>
        <v>24</v>
      </c>
      <c r="F987" s="79"/>
      <c r="G987" s="82"/>
      <c r="H987" s="68" t="str">
        <f t="shared" si="476"/>
        <v>Clesim6_20211115_08_00</v>
      </c>
      <c r="I987" s="69">
        <f t="shared" si="478"/>
        <v>1</v>
      </c>
      <c r="J987" s="76" t="str">
        <f t="shared" si="478"/>
        <v>Clematis</v>
      </c>
      <c r="K987" s="76" t="str">
        <f t="shared" si="478"/>
        <v>simense</v>
      </c>
      <c r="L987" s="77">
        <f t="shared" si="478"/>
        <v>6</v>
      </c>
      <c r="M987" s="77">
        <f t="shared" si="478"/>
        <v>20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v>
      </c>
      <c r="C988" s="73">
        <f t="shared" si="475"/>
        <v>15</v>
      </c>
      <c r="D988" s="74">
        <f t="shared" si="458"/>
        <v>8</v>
      </c>
      <c r="E988" s="75">
        <f t="shared" si="459"/>
        <v>25</v>
      </c>
      <c r="F988" s="79"/>
      <c r="G988" s="82"/>
      <c r="H988" s="68" t="str">
        <f t="shared" si="476"/>
        <v>Clesim6_20211115_08_00</v>
      </c>
      <c r="I988" s="69">
        <f t="shared" si="478"/>
        <v>1</v>
      </c>
      <c r="J988" s="76" t="str">
        <f t="shared" si="478"/>
        <v>Clematis</v>
      </c>
      <c r="K988" s="76" t="str">
        <f t="shared" si="478"/>
        <v>simense</v>
      </c>
      <c r="L988" s="77">
        <f t="shared" si="478"/>
        <v>6</v>
      </c>
      <c r="M988" s="77">
        <f t="shared" si="478"/>
        <v>20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124">
        <f t="shared" si="456"/>
        <v>2021</v>
      </c>
      <c r="B989" s="124" t="str">
        <f t="shared" si="457"/>
        <v>Nov</v>
      </c>
      <c r="C989" s="125">
        <f t="shared" si="475"/>
        <v>15</v>
      </c>
      <c r="D989" s="126">
        <f t="shared" si="458"/>
        <v>8</v>
      </c>
      <c r="E989" s="127">
        <f t="shared" si="459"/>
        <v>26</v>
      </c>
      <c r="F989" s="128">
        <v>40</v>
      </c>
      <c r="G989" s="82"/>
      <c r="H989" s="68" t="str">
        <f t="shared" si="476"/>
        <v>Clesim6_20211115_08_00</v>
      </c>
      <c r="I989" s="69">
        <f t="shared" si="478"/>
        <v>1</v>
      </c>
      <c r="J989" s="76" t="str">
        <f t="shared" si="478"/>
        <v>Clematis</v>
      </c>
      <c r="K989" s="76" t="str">
        <f t="shared" si="478"/>
        <v>simense</v>
      </c>
      <c r="L989" s="77">
        <f t="shared" si="478"/>
        <v>6</v>
      </c>
      <c r="M989" s="77">
        <f t="shared" si="478"/>
        <v>20</v>
      </c>
      <c r="N989" s="71">
        <f t="shared" si="478"/>
        <v>0</v>
      </c>
      <c r="O989" s="44"/>
      <c r="P989" s="45">
        <f t="shared" si="460"/>
        <v>1</v>
      </c>
      <c r="Q989" s="46" t="str">
        <f t="shared" si="461"/>
        <v>08:26:40</v>
      </c>
      <c r="R989" s="47" t="str">
        <f t="shared" si="462"/>
        <v>26:40</v>
      </c>
      <c r="S989" s="48">
        <f t="shared" si="451"/>
        <v>26</v>
      </c>
      <c r="T989" s="47" t="str">
        <f t="shared" si="463"/>
        <v>08</v>
      </c>
      <c r="U989" s="49">
        <v>27</v>
      </c>
      <c r="V989" s="50">
        <v>6</v>
      </c>
      <c r="W989" s="51" t="str">
        <f t="shared" si="464"/>
        <v>27:06</v>
      </c>
      <c r="X989" s="124" t="s">
        <v>85</v>
      </c>
      <c r="Y989" s="124" t="s">
        <v>86</v>
      </c>
      <c r="Z989" s="124"/>
      <c r="AA989" s="124" t="s">
        <v>62</v>
      </c>
      <c r="AB989" s="47" t="str">
        <f t="shared" si="465"/>
        <v>NA</v>
      </c>
      <c r="AC989" s="53" t="str">
        <f t="shared" si="466"/>
        <v/>
      </c>
      <c r="AD989" s="54">
        <f t="shared" si="467"/>
        <v>1</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f t="shared" si="452"/>
        <v>0</v>
      </c>
      <c r="AX989" s="61" t="str">
        <f t="shared" si="453"/>
        <v/>
      </c>
      <c r="AY989" s="60">
        <f t="shared" si="454"/>
        <v>0</v>
      </c>
      <c r="AZ989" s="61" t="str">
        <f t="shared" si="455"/>
        <v/>
      </c>
    </row>
    <row r="990" spans="1:52" s="3" customFormat="1" x14ac:dyDescent="0.35">
      <c r="A990" s="72">
        <f t="shared" si="456"/>
        <v>2021</v>
      </c>
      <c r="B990" s="72" t="str">
        <f t="shared" si="457"/>
        <v>Nov</v>
      </c>
      <c r="C990" s="73">
        <f t="shared" si="475"/>
        <v>15</v>
      </c>
      <c r="D990" s="74">
        <f t="shared" si="458"/>
        <v>8</v>
      </c>
      <c r="E990" s="75">
        <f t="shared" si="459"/>
        <v>27</v>
      </c>
      <c r="F990" s="131">
        <v>2</v>
      </c>
      <c r="G990" s="82"/>
      <c r="H990" s="68" t="str">
        <f t="shared" si="476"/>
        <v>Clesim6_20211115_08_00</v>
      </c>
      <c r="I990" s="69">
        <f t="shared" si="478"/>
        <v>1</v>
      </c>
      <c r="J990" s="76" t="str">
        <f t="shared" si="478"/>
        <v>Clematis</v>
      </c>
      <c r="K990" s="76" t="str">
        <f t="shared" si="478"/>
        <v>simense</v>
      </c>
      <c r="L990" s="77">
        <f t="shared" si="478"/>
        <v>6</v>
      </c>
      <c r="M990" s="77">
        <f t="shared" si="478"/>
        <v>20</v>
      </c>
      <c r="N990" s="71">
        <f t="shared" si="478"/>
        <v>0</v>
      </c>
      <c r="O990" s="44"/>
      <c r="P990" s="45">
        <f t="shared" si="460"/>
        <v>1</v>
      </c>
      <c r="Q990" s="46" t="str">
        <f t="shared" si="461"/>
        <v>08:27:02</v>
      </c>
      <c r="R990" s="47" t="str">
        <f t="shared" si="462"/>
        <v>27:02</v>
      </c>
      <c r="S990" s="48">
        <f t="shared" si="451"/>
        <v>9</v>
      </c>
      <c r="T990" s="47" t="str">
        <f t="shared" si="463"/>
        <v>08</v>
      </c>
      <c r="U990" s="129">
        <v>27</v>
      </c>
      <c r="V990" s="130">
        <v>11</v>
      </c>
      <c r="W990" s="51" t="str">
        <f t="shared" si="464"/>
        <v>27:11</v>
      </c>
      <c r="X990" s="123" t="s">
        <v>69</v>
      </c>
      <c r="Y990" s="52" t="s">
        <v>95</v>
      </c>
      <c r="Z990" s="52"/>
      <c r="AA990" s="47" t="s">
        <v>67</v>
      </c>
      <c r="AB990" s="47" t="str">
        <f t="shared" si="465"/>
        <v>NA</v>
      </c>
      <c r="AC990" s="53" t="str">
        <f t="shared" si="466"/>
        <v/>
      </c>
      <c r="AD990" s="54">
        <v>2</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f t="shared" si="452"/>
        <v>0</v>
      </c>
      <c r="AX990" s="61" t="str">
        <f t="shared" si="453"/>
        <v/>
      </c>
      <c r="AY990" s="60">
        <f t="shared" si="454"/>
        <v>0</v>
      </c>
      <c r="AZ990" s="61" t="str">
        <f t="shared" si="455"/>
        <v/>
      </c>
    </row>
    <row r="991" spans="1:52" s="3" customFormat="1" hidden="1" x14ac:dyDescent="0.35">
      <c r="A991" s="72">
        <f t="shared" si="456"/>
        <v>2021</v>
      </c>
      <c r="B991" s="72" t="str">
        <f t="shared" si="457"/>
        <v>Nov</v>
      </c>
      <c r="C991" s="73">
        <f t="shared" si="475"/>
        <v>15</v>
      </c>
      <c r="D991" s="74">
        <f t="shared" si="458"/>
        <v>8</v>
      </c>
      <c r="E991" s="75">
        <f t="shared" si="459"/>
        <v>28</v>
      </c>
      <c r="F991" s="79"/>
      <c r="G991" s="82"/>
      <c r="H991" s="68" t="str">
        <f t="shared" si="476"/>
        <v>Clesim6_20211115_08_00</v>
      </c>
      <c r="I991" s="69">
        <f t="shared" si="478"/>
        <v>1</v>
      </c>
      <c r="J991" s="76" t="str">
        <f t="shared" si="478"/>
        <v>Clematis</v>
      </c>
      <c r="K991" s="76" t="str">
        <f t="shared" si="478"/>
        <v>simense</v>
      </c>
      <c r="L991" s="77">
        <f t="shared" si="478"/>
        <v>6</v>
      </c>
      <c r="M991" s="77">
        <f t="shared" si="478"/>
        <v>20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v>
      </c>
      <c r="C992" s="73">
        <f t="shared" si="475"/>
        <v>15</v>
      </c>
      <c r="D992" s="74">
        <f t="shared" si="458"/>
        <v>8</v>
      </c>
      <c r="E992" s="75">
        <f t="shared" si="459"/>
        <v>29</v>
      </c>
      <c r="F992" s="79"/>
      <c r="G992" s="82"/>
      <c r="H992" s="68" t="str">
        <f t="shared" si="476"/>
        <v>Clesim6_20211115_08_00</v>
      </c>
      <c r="I992" s="69">
        <f t="shared" si="478"/>
        <v>1</v>
      </c>
      <c r="J992" s="76" t="str">
        <f t="shared" si="478"/>
        <v>Clematis</v>
      </c>
      <c r="K992" s="76" t="str">
        <f t="shared" si="478"/>
        <v>simense</v>
      </c>
      <c r="L992" s="77">
        <f t="shared" si="478"/>
        <v>6</v>
      </c>
      <c r="M992" s="77">
        <f t="shared" si="478"/>
        <v>20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v>
      </c>
      <c r="C993" s="73">
        <f t="shared" si="475"/>
        <v>15</v>
      </c>
      <c r="D993" s="74">
        <f t="shared" si="458"/>
        <v>8</v>
      </c>
      <c r="E993" s="75">
        <f t="shared" si="459"/>
        <v>30</v>
      </c>
      <c r="F993" s="79"/>
      <c r="G993" s="82"/>
      <c r="H993" s="68" t="str">
        <f t="shared" si="476"/>
        <v>Clesim6_20211115_08_00</v>
      </c>
      <c r="I993" s="69">
        <f t="shared" si="478"/>
        <v>1</v>
      </c>
      <c r="J993" s="76" t="str">
        <f t="shared" si="478"/>
        <v>Clematis</v>
      </c>
      <c r="K993" s="76" t="str">
        <f t="shared" si="478"/>
        <v>simense</v>
      </c>
      <c r="L993" s="77">
        <f t="shared" si="478"/>
        <v>6</v>
      </c>
      <c r="M993" s="77">
        <f t="shared" si="478"/>
        <v>20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v>
      </c>
      <c r="C994" s="73">
        <f t="shared" si="475"/>
        <v>15</v>
      </c>
      <c r="D994" s="74">
        <f t="shared" si="458"/>
        <v>8</v>
      </c>
      <c r="E994" s="75">
        <f t="shared" si="459"/>
        <v>31</v>
      </c>
      <c r="F994" s="79"/>
      <c r="G994" s="82"/>
      <c r="H994" s="68" t="str">
        <f t="shared" si="476"/>
        <v>Clesim6_20211115_08_00</v>
      </c>
      <c r="I994" s="69">
        <f t="shared" si="478"/>
        <v>1</v>
      </c>
      <c r="J994" s="76" t="str">
        <f t="shared" si="478"/>
        <v>Clematis</v>
      </c>
      <c r="K994" s="76" t="str">
        <f t="shared" si="478"/>
        <v>simense</v>
      </c>
      <c r="L994" s="77">
        <f t="shared" si="478"/>
        <v>6</v>
      </c>
      <c r="M994" s="77">
        <f t="shared" si="478"/>
        <v>20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v>
      </c>
      <c r="C995" s="73">
        <f t="shared" si="475"/>
        <v>15</v>
      </c>
      <c r="D995" s="74">
        <f t="shared" si="458"/>
        <v>8</v>
      </c>
      <c r="E995" s="75">
        <f t="shared" si="459"/>
        <v>32</v>
      </c>
      <c r="F995" s="79"/>
      <c r="G995" s="82"/>
      <c r="H995" s="68" t="str">
        <f t="shared" si="476"/>
        <v>Clesim6_20211115_08_00</v>
      </c>
      <c r="I995" s="69">
        <f t="shared" si="478"/>
        <v>1</v>
      </c>
      <c r="J995" s="76" t="str">
        <f t="shared" si="478"/>
        <v>Clematis</v>
      </c>
      <c r="K995" s="76" t="str">
        <f t="shared" si="478"/>
        <v>simense</v>
      </c>
      <c r="L995" s="77">
        <f t="shared" si="478"/>
        <v>6</v>
      </c>
      <c r="M995" s="77">
        <f t="shared" si="478"/>
        <v>20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v>
      </c>
      <c r="C996" s="73">
        <f t="shared" si="475"/>
        <v>15</v>
      </c>
      <c r="D996" s="74">
        <f t="shared" si="458"/>
        <v>8</v>
      </c>
      <c r="E996" s="75">
        <f t="shared" si="459"/>
        <v>33</v>
      </c>
      <c r="F996" s="79"/>
      <c r="G996" s="82"/>
      <c r="H996" s="68" t="str">
        <f t="shared" si="476"/>
        <v>Clesim6_20211115_08_00</v>
      </c>
      <c r="I996" s="69">
        <f t="shared" si="478"/>
        <v>1</v>
      </c>
      <c r="J996" s="76" t="str">
        <f t="shared" si="478"/>
        <v>Clematis</v>
      </c>
      <c r="K996" s="76" t="str">
        <f t="shared" si="478"/>
        <v>simense</v>
      </c>
      <c r="L996" s="77">
        <f t="shared" si="478"/>
        <v>6</v>
      </c>
      <c r="M996" s="77">
        <f t="shared" si="478"/>
        <v>20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v>
      </c>
      <c r="C997" s="73">
        <f t="shared" si="475"/>
        <v>15</v>
      </c>
      <c r="D997" s="74">
        <f t="shared" si="458"/>
        <v>8</v>
      </c>
      <c r="E997" s="75">
        <f t="shared" si="459"/>
        <v>34</v>
      </c>
      <c r="F997" s="79"/>
      <c r="G997" s="82"/>
      <c r="H997" s="68" t="str">
        <f t="shared" si="476"/>
        <v>Clesim6_20211115_08_00</v>
      </c>
      <c r="I997" s="69">
        <f t="shared" ref="I997:N1013" si="479">I996</f>
        <v>1</v>
      </c>
      <c r="J997" s="76" t="str">
        <f t="shared" si="479"/>
        <v>Clematis</v>
      </c>
      <c r="K997" s="76" t="str">
        <f t="shared" si="479"/>
        <v>simense</v>
      </c>
      <c r="L997" s="77">
        <f t="shared" si="479"/>
        <v>6</v>
      </c>
      <c r="M997" s="77">
        <f t="shared" si="479"/>
        <v>20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v>
      </c>
      <c r="C998" s="73">
        <f t="shared" si="475"/>
        <v>15</v>
      </c>
      <c r="D998" s="74">
        <f t="shared" si="458"/>
        <v>8</v>
      </c>
      <c r="E998" s="75">
        <f t="shared" si="459"/>
        <v>35</v>
      </c>
      <c r="F998" s="79"/>
      <c r="G998" s="82"/>
      <c r="H998" s="68" t="str">
        <f t="shared" si="476"/>
        <v>Clesim6_20211115_08_00</v>
      </c>
      <c r="I998" s="69">
        <f t="shared" si="479"/>
        <v>1</v>
      </c>
      <c r="J998" s="76" t="str">
        <f t="shared" si="479"/>
        <v>Clematis</v>
      </c>
      <c r="K998" s="76" t="str">
        <f t="shared" si="479"/>
        <v>simense</v>
      </c>
      <c r="L998" s="77">
        <f t="shared" si="479"/>
        <v>6</v>
      </c>
      <c r="M998" s="77">
        <f t="shared" si="479"/>
        <v>20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2021</v>
      </c>
      <c r="B999" s="72" t="str">
        <f t="shared" si="457"/>
        <v>Nov</v>
      </c>
      <c r="C999" s="73">
        <f t="shared" si="475"/>
        <v>15</v>
      </c>
      <c r="D999" s="74">
        <f t="shared" si="458"/>
        <v>8</v>
      </c>
      <c r="E999" s="75">
        <f t="shared" si="459"/>
        <v>36</v>
      </c>
      <c r="F999" s="79"/>
      <c r="G999" s="82"/>
      <c r="H999" s="68" t="str">
        <f t="shared" si="476"/>
        <v>Clesim6_20211115_08_00</v>
      </c>
      <c r="I999" s="69">
        <f t="shared" si="479"/>
        <v>1</v>
      </c>
      <c r="J999" s="76" t="str">
        <f t="shared" si="479"/>
        <v>Clematis</v>
      </c>
      <c r="K999" s="76" t="str">
        <f t="shared" si="479"/>
        <v>simense</v>
      </c>
      <c r="L999" s="77">
        <f t="shared" si="479"/>
        <v>6</v>
      </c>
      <c r="M999" s="77">
        <f t="shared" si="479"/>
        <v>20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v>
      </c>
      <c r="C1000" s="73">
        <f t="shared" si="475"/>
        <v>15</v>
      </c>
      <c r="D1000" s="74">
        <f t="shared" si="458"/>
        <v>8</v>
      </c>
      <c r="E1000" s="75">
        <f t="shared" si="459"/>
        <v>37</v>
      </c>
      <c r="F1000" s="79"/>
      <c r="G1000" s="82"/>
      <c r="H1000" s="68" t="str">
        <f t="shared" si="476"/>
        <v>Clesim6_20211115_08_00</v>
      </c>
      <c r="I1000" s="69">
        <f t="shared" si="479"/>
        <v>1</v>
      </c>
      <c r="J1000" s="76" t="str">
        <f t="shared" si="479"/>
        <v>Clematis</v>
      </c>
      <c r="K1000" s="76" t="str">
        <f t="shared" si="479"/>
        <v>simense</v>
      </c>
      <c r="L1000" s="77">
        <f t="shared" si="479"/>
        <v>6</v>
      </c>
      <c r="M1000" s="77">
        <f t="shared" si="479"/>
        <v>20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v>
      </c>
      <c r="C1001" s="73">
        <f t="shared" si="475"/>
        <v>15</v>
      </c>
      <c r="D1001" s="74">
        <f t="shared" si="458"/>
        <v>8</v>
      </c>
      <c r="E1001" s="75">
        <f t="shared" si="459"/>
        <v>38</v>
      </c>
      <c r="F1001" s="79"/>
      <c r="G1001" s="82"/>
      <c r="H1001" s="68" t="str">
        <f t="shared" si="476"/>
        <v>Clesim6_20211115_08_00</v>
      </c>
      <c r="I1001" s="69">
        <f t="shared" si="479"/>
        <v>1</v>
      </c>
      <c r="J1001" s="76" t="str">
        <f t="shared" si="479"/>
        <v>Clematis</v>
      </c>
      <c r="K1001" s="76" t="str">
        <f t="shared" si="479"/>
        <v>simense</v>
      </c>
      <c r="L1001" s="77">
        <f t="shared" si="479"/>
        <v>6</v>
      </c>
      <c r="M1001" s="77">
        <f t="shared" si="479"/>
        <v>20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2021</v>
      </c>
      <c r="B1002" s="72" t="str">
        <f t="shared" si="457"/>
        <v>Nov</v>
      </c>
      <c r="C1002" s="73">
        <f t="shared" si="475"/>
        <v>15</v>
      </c>
      <c r="D1002" s="74">
        <f t="shared" si="458"/>
        <v>8</v>
      </c>
      <c r="E1002" s="75">
        <f t="shared" si="459"/>
        <v>39</v>
      </c>
      <c r="F1002" s="79"/>
      <c r="G1002" s="82"/>
      <c r="H1002" s="68" t="str">
        <f t="shared" si="476"/>
        <v>Clesim6_20211115_08_00</v>
      </c>
      <c r="I1002" s="69">
        <f t="shared" si="479"/>
        <v>1</v>
      </c>
      <c r="J1002" s="76" t="str">
        <f t="shared" si="479"/>
        <v>Clematis</v>
      </c>
      <c r="K1002" s="76" t="str">
        <f t="shared" si="479"/>
        <v>simense</v>
      </c>
      <c r="L1002" s="77">
        <f t="shared" si="479"/>
        <v>6</v>
      </c>
      <c r="M1002" s="77">
        <f t="shared" si="479"/>
        <v>20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v>
      </c>
      <c r="C1003" s="73">
        <f t="shared" si="475"/>
        <v>15</v>
      </c>
      <c r="D1003" s="74">
        <f t="shared" si="458"/>
        <v>8</v>
      </c>
      <c r="E1003" s="75">
        <f t="shared" si="459"/>
        <v>40</v>
      </c>
      <c r="F1003" s="79"/>
      <c r="G1003" s="82"/>
      <c r="H1003" s="68" t="str">
        <f t="shared" si="476"/>
        <v>Clesim6_20211115_08_00</v>
      </c>
      <c r="I1003" s="69">
        <f t="shared" si="479"/>
        <v>1</v>
      </c>
      <c r="J1003" s="76" t="str">
        <f t="shared" si="479"/>
        <v>Clematis</v>
      </c>
      <c r="K1003" s="76" t="str">
        <f t="shared" si="479"/>
        <v>simense</v>
      </c>
      <c r="L1003" s="77">
        <f t="shared" si="479"/>
        <v>6</v>
      </c>
      <c r="M1003" s="77">
        <f t="shared" si="479"/>
        <v>20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v>
      </c>
      <c r="C1004" s="73">
        <f t="shared" si="475"/>
        <v>15</v>
      </c>
      <c r="D1004" s="74">
        <f t="shared" si="458"/>
        <v>8</v>
      </c>
      <c r="E1004" s="75">
        <f t="shared" si="459"/>
        <v>41</v>
      </c>
      <c r="F1004" s="79"/>
      <c r="G1004" s="82"/>
      <c r="H1004" s="68" t="str">
        <f t="shared" si="476"/>
        <v>Clesim6_20211115_08_00</v>
      </c>
      <c r="I1004" s="69">
        <f t="shared" si="479"/>
        <v>1</v>
      </c>
      <c r="J1004" s="76" t="str">
        <f t="shared" si="479"/>
        <v>Clematis</v>
      </c>
      <c r="K1004" s="76" t="str">
        <f t="shared" si="479"/>
        <v>simense</v>
      </c>
      <c r="L1004" s="77">
        <f t="shared" si="479"/>
        <v>6</v>
      </c>
      <c r="M1004" s="77">
        <f t="shared" si="479"/>
        <v>20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v>
      </c>
      <c r="C1005" s="73">
        <f t="shared" si="475"/>
        <v>15</v>
      </c>
      <c r="D1005" s="74">
        <f t="shared" si="458"/>
        <v>8</v>
      </c>
      <c r="E1005" s="75">
        <f t="shared" si="459"/>
        <v>42</v>
      </c>
      <c r="F1005" s="79"/>
      <c r="G1005" s="82"/>
      <c r="H1005" s="68" t="str">
        <f t="shared" si="476"/>
        <v>Clesim6_20211115_08_00</v>
      </c>
      <c r="I1005" s="69">
        <f t="shared" si="479"/>
        <v>1</v>
      </c>
      <c r="J1005" s="76" t="str">
        <f t="shared" si="479"/>
        <v>Clematis</v>
      </c>
      <c r="K1005" s="76" t="str">
        <f t="shared" si="479"/>
        <v>simense</v>
      </c>
      <c r="L1005" s="77">
        <f t="shared" si="479"/>
        <v>6</v>
      </c>
      <c r="M1005" s="77">
        <f t="shared" si="479"/>
        <v>20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v>
      </c>
      <c r="C1006" s="73">
        <f t="shared" si="475"/>
        <v>15</v>
      </c>
      <c r="D1006" s="74">
        <f t="shared" si="458"/>
        <v>8</v>
      </c>
      <c r="E1006" s="75">
        <f t="shared" si="459"/>
        <v>43</v>
      </c>
      <c r="F1006" s="79"/>
      <c r="G1006" s="82"/>
      <c r="H1006" s="68" t="str">
        <f t="shared" si="476"/>
        <v>Clesim6_20211115_08_00</v>
      </c>
      <c r="I1006" s="69">
        <f t="shared" si="479"/>
        <v>1</v>
      </c>
      <c r="J1006" s="76" t="str">
        <f t="shared" si="479"/>
        <v>Clematis</v>
      </c>
      <c r="K1006" s="76" t="str">
        <f t="shared" si="479"/>
        <v>simense</v>
      </c>
      <c r="L1006" s="77">
        <f t="shared" si="479"/>
        <v>6</v>
      </c>
      <c r="M1006" s="77">
        <f t="shared" si="479"/>
        <v>20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2021</v>
      </c>
      <c r="B1007" s="72" t="str">
        <f t="shared" si="457"/>
        <v>Nov</v>
      </c>
      <c r="C1007" s="73">
        <f t="shared" si="475"/>
        <v>15</v>
      </c>
      <c r="D1007" s="74">
        <f t="shared" si="458"/>
        <v>8</v>
      </c>
      <c r="E1007" s="75">
        <f t="shared" si="459"/>
        <v>44</v>
      </c>
      <c r="F1007" s="79"/>
      <c r="G1007" s="82"/>
      <c r="H1007" s="68" t="str">
        <f t="shared" si="476"/>
        <v>Clesim6_20211115_08_00</v>
      </c>
      <c r="I1007" s="69">
        <f t="shared" si="479"/>
        <v>1</v>
      </c>
      <c r="J1007" s="76" t="str">
        <f t="shared" si="479"/>
        <v>Clematis</v>
      </c>
      <c r="K1007" s="76" t="str">
        <f t="shared" si="479"/>
        <v>simense</v>
      </c>
      <c r="L1007" s="77">
        <f t="shared" si="479"/>
        <v>6</v>
      </c>
      <c r="M1007" s="77">
        <f t="shared" si="479"/>
        <v>20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v>
      </c>
      <c r="C1008" s="73">
        <f t="shared" si="475"/>
        <v>15</v>
      </c>
      <c r="D1008" s="74">
        <f t="shared" si="458"/>
        <v>8</v>
      </c>
      <c r="E1008" s="75">
        <f t="shared" si="459"/>
        <v>45</v>
      </c>
      <c r="F1008" s="79"/>
      <c r="G1008" s="82"/>
      <c r="H1008" s="68" t="str">
        <f t="shared" si="476"/>
        <v>Clesim6_20211115_08_00</v>
      </c>
      <c r="I1008" s="69">
        <f t="shared" si="479"/>
        <v>1</v>
      </c>
      <c r="J1008" s="76" t="str">
        <f t="shared" si="479"/>
        <v>Clematis</v>
      </c>
      <c r="K1008" s="76" t="str">
        <f t="shared" si="479"/>
        <v>simense</v>
      </c>
      <c r="L1008" s="77">
        <f t="shared" si="479"/>
        <v>6</v>
      </c>
      <c r="M1008" s="77">
        <f t="shared" si="479"/>
        <v>20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124">
        <f t="shared" si="456"/>
        <v>2021</v>
      </c>
      <c r="B1009" s="124" t="str">
        <f t="shared" si="457"/>
        <v>Nov</v>
      </c>
      <c r="C1009" s="125">
        <f t="shared" si="475"/>
        <v>15</v>
      </c>
      <c r="D1009" s="126">
        <f t="shared" si="458"/>
        <v>8</v>
      </c>
      <c r="E1009" s="127">
        <f t="shared" si="459"/>
        <v>46</v>
      </c>
      <c r="F1009" s="128">
        <v>11</v>
      </c>
      <c r="G1009" s="82"/>
      <c r="H1009" s="68" t="str">
        <f t="shared" si="476"/>
        <v>Clesim6_20211115_08_00</v>
      </c>
      <c r="I1009" s="69">
        <f t="shared" si="479"/>
        <v>1</v>
      </c>
      <c r="J1009" s="76" t="str">
        <f t="shared" si="479"/>
        <v>Clematis</v>
      </c>
      <c r="K1009" s="76" t="str">
        <f t="shared" si="479"/>
        <v>simense</v>
      </c>
      <c r="L1009" s="77">
        <f t="shared" si="479"/>
        <v>6</v>
      </c>
      <c r="M1009" s="77">
        <f t="shared" si="479"/>
        <v>20</v>
      </c>
      <c r="N1009" s="71">
        <f t="shared" si="479"/>
        <v>0</v>
      </c>
      <c r="O1009" s="44"/>
      <c r="P1009" s="45">
        <f t="shared" si="460"/>
        <v>1</v>
      </c>
      <c r="Q1009" s="46" t="str">
        <f t="shared" si="461"/>
        <v>08:46:11</v>
      </c>
      <c r="R1009" s="47" t="str">
        <f t="shared" si="462"/>
        <v>46:11</v>
      </c>
      <c r="S1009" s="48">
        <f t="shared" si="451"/>
        <v>54829</v>
      </c>
      <c r="T1009" s="132"/>
      <c r="U1009" s="133"/>
      <c r="V1009" s="134"/>
      <c r="W1009" s="51" t="e">
        <f t="shared" si="464"/>
        <v>#VALUE!</v>
      </c>
      <c r="X1009" s="124" t="s">
        <v>69</v>
      </c>
      <c r="Y1009" s="124" t="s">
        <v>94</v>
      </c>
      <c r="Z1009" s="124"/>
      <c r="AA1009" s="124" t="s">
        <v>67</v>
      </c>
      <c r="AB1009" s="47" t="str">
        <f t="shared" si="465"/>
        <v>NA</v>
      </c>
      <c r="AC1009" s="53" t="str">
        <f t="shared" si="466"/>
        <v/>
      </c>
      <c r="AD1009" s="132">
        <v>3</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f t="shared" si="452"/>
        <v>0</v>
      </c>
      <c r="AX1009" s="61" t="str">
        <f t="shared" si="453"/>
        <v/>
      </c>
      <c r="AY1009" s="60">
        <f t="shared" si="454"/>
        <v>0</v>
      </c>
      <c r="AZ1009" s="61" t="str">
        <f t="shared" si="455"/>
        <v/>
      </c>
    </row>
    <row r="1010" spans="1:52" s="3" customFormat="1" x14ac:dyDescent="0.35">
      <c r="A1010" s="124">
        <f t="shared" si="456"/>
        <v>2021</v>
      </c>
      <c r="B1010" s="124" t="str">
        <f t="shared" ref="B1010" si="480">IF(C1009-C1010&gt;0, TEXT(DATE(2016,(MONTH(DATEVALUE(B1009&amp;"1"))+1),1),"mmm"), B1009)</f>
        <v>Nov</v>
      </c>
      <c r="C1010" s="125">
        <f t="shared" ref="C1010" si="481">IF(AND(D1010=0, E1010=0), IF(TEXT(C1009,"dd")=TEXT(EOMONTH(DATE(A1009,MONTH(DATEVALUE(B1009&amp;"1")),C1009),0), "dd"), 1, C1009+1), C1009)</f>
        <v>15</v>
      </c>
      <c r="D1010" s="126">
        <f t="shared" ref="D1010" si="482">IF(IF(E1009=59,D1009+1,D1009)=24,0,IF(E1009=59,D1009+1,D1009))</f>
        <v>8</v>
      </c>
      <c r="E1010" s="127">
        <v>46</v>
      </c>
      <c r="F1010" s="128">
        <v>48</v>
      </c>
      <c r="G1010" s="82"/>
      <c r="H1010" s="68" t="str">
        <f t="shared" ref="H1010" si="483">IF(AND(OR(E1009=$G$3,E1009=$G$4,E1009=$G$5,E1009=$G$6,E1009=$G$7,E1009=$G$8),E1009&lt;&gt;RIGHT(H1009,2)),CONCATENATE(LEFT(J1010,3),LEFT(K1010,3),L1010,"_",A1010,TEXT(MONTH(DATEVALUE(B1010&amp;"1")),"00"),TEXT(C1010,"00"),"_",TEXT(D1010,"00"),"_",TEXT(E1009,"00")),IF(AND(OR(E1010=$G$3,E1010=$G$4,E1010=$G$5,E1010=$G$6,E1010=$G$7,E1010=$G$8),OR(F1010="",F1010&gt;$G$9-1)),CONCATENATE(LEFT(J1010,3),LEFT(K1010,3),L1010,"_",A1010,TEXT(MONTH(DATEVALUE(B1010&amp;"1")),"00"),TEXT(C1010,"00"),"_",TEXT(D1010,"00"),"_",TEXT(E1010,"00")),H1009))</f>
        <v>Clesim6_20211115_08_00</v>
      </c>
      <c r="I1010" s="69">
        <f t="shared" si="479"/>
        <v>1</v>
      </c>
      <c r="J1010" s="76" t="str">
        <f t="shared" si="479"/>
        <v>Clematis</v>
      </c>
      <c r="K1010" s="76" t="str">
        <f t="shared" si="479"/>
        <v>simense</v>
      </c>
      <c r="L1010" s="77">
        <f t="shared" si="479"/>
        <v>6</v>
      </c>
      <c r="M1010" s="77">
        <f t="shared" si="479"/>
        <v>20</v>
      </c>
      <c r="N1010" s="71">
        <f t="shared" si="479"/>
        <v>0</v>
      </c>
      <c r="O1010" s="44"/>
      <c r="P1010" s="45">
        <v>1</v>
      </c>
      <c r="Q1010" s="46" t="str">
        <f t="shared" si="461"/>
        <v>08:46:48</v>
      </c>
      <c r="R1010" s="47"/>
      <c r="S1010" s="48"/>
      <c r="T1010" s="132"/>
      <c r="U1010" s="133"/>
      <c r="V1010" s="134"/>
      <c r="W1010" s="51"/>
      <c r="X1010" s="124" t="s">
        <v>69</v>
      </c>
      <c r="Y1010" s="124" t="s">
        <v>94</v>
      </c>
      <c r="Z1010" s="124"/>
      <c r="AA1010" s="124" t="s">
        <v>67</v>
      </c>
      <c r="AB1010" s="47"/>
      <c r="AC1010" s="53"/>
      <c r="AD1010" s="132">
        <v>1</v>
      </c>
      <c r="AE1010" s="54"/>
      <c r="AF1010" s="54"/>
      <c r="AG1010" s="55"/>
      <c r="AH1010" s="56"/>
      <c r="AI1010" s="55"/>
      <c r="AJ1010" s="56"/>
      <c r="AK1010" s="55"/>
      <c r="AL1010" s="56"/>
      <c r="AM1010" s="55"/>
      <c r="AN1010" s="56"/>
      <c r="AO1010" s="55"/>
      <c r="AP1010" s="56"/>
      <c r="AQ1010" s="55"/>
      <c r="AR1010" s="56"/>
      <c r="AS1010" s="57"/>
      <c r="AT1010" s="58"/>
      <c r="AU1010" s="58"/>
      <c r="AV1010" s="59"/>
      <c r="AW1010" s="60"/>
      <c r="AX1010" s="61"/>
      <c r="AY1010" s="60"/>
      <c r="AZ1010" s="61"/>
    </row>
    <row r="1011" spans="1:52" s="3" customFormat="1" x14ac:dyDescent="0.35">
      <c r="A1011" s="124">
        <f>A1009</f>
        <v>2021</v>
      </c>
      <c r="B1011" s="124" t="str">
        <f>IF(C1009-C1011&gt;0, TEXT(DATE(2016,(MONTH(DATEVALUE(B1009&amp;"1"))+1),1),"mmm"), B1009)</f>
        <v>Nov</v>
      </c>
      <c r="C1011" s="125">
        <f>IF(AND(D1011=0, E1011=0), IF(TEXT(C1009,"dd")=TEXT(EOMONTH(DATE(A1009,MONTH(DATEVALUE(B1009&amp;"1")),C1009),0), "dd"), 1, C1009+1), C1009)</f>
        <v>15</v>
      </c>
      <c r="D1011" s="126">
        <f>IF(IF(E1009=59,D1009+1,D1009)=24,0,IF(E1009=59,D1009+1,D1009))</f>
        <v>8</v>
      </c>
      <c r="E1011" s="127">
        <f>IF(E1009&lt;59,E1009+1,0)</f>
        <v>47</v>
      </c>
      <c r="F1011" s="128">
        <v>54</v>
      </c>
      <c r="G1011" s="82"/>
      <c r="H1011" s="68" t="str">
        <f>IF(AND(OR(E1009=$G$3,E1009=$G$4,E1009=$G$5,E1009=$G$6,E1009=$G$7,E1009=$G$8),E1009&lt;&gt;RIGHT(H1009,2)),CONCATENATE(LEFT(J1011,3),LEFT(K1011,3),L1011,"_",A1011,TEXT(MONTH(DATEVALUE(B1011&amp;"1")),"00"),TEXT(C1011,"00"),"_",TEXT(D1011,"00"),"_",TEXT(E1009,"00")),IF(AND(OR(E1011=$G$3,E1011=$G$4,E1011=$G$5,E1011=$G$6,E1011=$G$7,E1011=$G$8),OR(F1011="",F1011&gt;$G$9-1)),CONCATENATE(LEFT(J1011,3),LEFT(K1011,3),L1011,"_",A1011,TEXT(MONTH(DATEVALUE(B1011&amp;"1")),"00"),TEXT(C1011,"00"),"_",TEXT(D1011,"00"),"_",TEXT(E1011,"00")),H1009))</f>
        <v>Clesim6_20211115_08_00</v>
      </c>
      <c r="I1011" s="69">
        <f t="shared" ref="I1011:N1011" si="484">I1009</f>
        <v>1</v>
      </c>
      <c r="J1011" s="76" t="str">
        <f t="shared" si="484"/>
        <v>Clematis</v>
      </c>
      <c r="K1011" s="76" t="str">
        <f t="shared" si="484"/>
        <v>simense</v>
      </c>
      <c r="L1011" s="77">
        <f t="shared" si="484"/>
        <v>6</v>
      </c>
      <c r="M1011" s="77">
        <f t="shared" si="484"/>
        <v>20</v>
      </c>
      <c r="N1011" s="71">
        <f t="shared" si="484"/>
        <v>0</v>
      </c>
      <c r="O1011" s="44"/>
      <c r="P1011" s="45">
        <f t="shared" si="460"/>
        <v>1</v>
      </c>
      <c r="Q1011" s="46" t="str">
        <f t="shared" si="461"/>
        <v>08:47:54</v>
      </c>
      <c r="R1011" s="47" t="str">
        <f t="shared" si="462"/>
        <v>47:54</v>
      </c>
      <c r="S1011" s="48">
        <f t="shared" si="451"/>
        <v>79</v>
      </c>
      <c r="T1011" s="47" t="str">
        <f t="shared" si="463"/>
        <v>08</v>
      </c>
      <c r="U1011" s="49">
        <v>49</v>
      </c>
      <c r="V1011" s="50">
        <v>13</v>
      </c>
      <c r="W1011" s="51" t="str">
        <f t="shared" si="464"/>
        <v>49:13</v>
      </c>
      <c r="X1011" s="124" t="s">
        <v>69</v>
      </c>
      <c r="Y1011" s="124" t="s">
        <v>84</v>
      </c>
      <c r="Z1011" s="124"/>
      <c r="AA1011" s="124" t="s">
        <v>67</v>
      </c>
      <c r="AB1011" s="47" t="str">
        <f t="shared" si="465"/>
        <v>NA</v>
      </c>
      <c r="AC1011" s="53" t="str">
        <f t="shared" si="466"/>
        <v/>
      </c>
      <c r="AD1011" s="132">
        <f t="shared" si="467"/>
        <v>1</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f t="shared" si="452"/>
        <v>0</v>
      </c>
      <c r="AX1011" s="61" t="str">
        <f t="shared" si="453"/>
        <v/>
      </c>
      <c r="AY1011" s="60">
        <f t="shared" si="454"/>
        <v>0</v>
      </c>
      <c r="AZ1011" s="61" t="str">
        <f t="shared" si="455"/>
        <v/>
      </c>
    </row>
    <row r="1012" spans="1:52" s="3" customFormat="1" hidden="1" x14ac:dyDescent="0.35">
      <c r="A1012" s="72">
        <f t="shared" si="456"/>
        <v>2021</v>
      </c>
      <c r="B1012" s="72" t="str">
        <f t="shared" si="457"/>
        <v>Nov</v>
      </c>
      <c r="C1012" s="73">
        <f t="shared" si="475"/>
        <v>15</v>
      </c>
      <c r="D1012" s="74">
        <f t="shared" si="458"/>
        <v>8</v>
      </c>
      <c r="E1012" s="75">
        <f t="shared" si="459"/>
        <v>48</v>
      </c>
      <c r="F1012" s="79"/>
      <c r="G1012" s="82"/>
      <c r="H1012" s="68" t="str">
        <f t="shared" si="476"/>
        <v>Clesim6_20211115_08_00</v>
      </c>
      <c r="I1012" s="69">
        <f t="shared" si="479"/>
        <v>1</v>
      </c>
      <c r="J1012" s="76" t="str">
        <f t="shared" si="479"/>
        <v>Clematis</v>
      </c>
      <c r="K1012" s="76" t="str">
        <f t="shared" si="479"/>
        <v>simense</v>
      </c>
      <c r="L1012" s="77">
        <f t="shared" si="479"/>
        <v>6</v>
      </c>
      <c r="M1012" s="77">
        <f t="shared" si="479"/>
        <v>20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v>
      </c>
      <c r="C1013" s="73">
        <f t="shared" si="475"/>
        <v>15</v>
      </c>
      <c r="D1013" s="74">
        <f t="shared" si="458"/>
        <v>8</v>
      </c>
      <c r="E1013" s="75">
        <f t="shared" si="459"/>
        <v>49</v>
      </c>
      <c r="F1013" s="79"/>
      <c r="G1013" s="82"/>
      <c r="H1013" s="68" t="str">
        <f t="shared" si="476"/>
        <v>Clesim6_20211115_08_00</v>
      </c>
      <c r="I1013" s="69">
        <f t="shared" si="479"/>
        <v>1</v>
      </c>
      <c r="J1013" s="76" t="str">
        <f t="shared" si="479"/>
        <v>Clematis</v>
      </c>
      <c r="K1013" s="76" t="str">
        <f t="shared" si="479"/>
        <v>simense</v>
      </c>
      <c r="L1013" s="77">
        <f t="shared" si="479"/>
        <v>6</v>
      </c>
      <c r="M1013" s="77">
        <f t="shared" si="479"/>
        <v>20</v>
      </c>
      <c r="N1013" s="71">
        <f t="shared" si="479"/>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2021</v>
      </c>
      <c r="B1014" s="72" t="str">
        <f t="shared" si="457"/>
        <v>Nov</v>
      </c>
      <c r="C1014" s="73">
        <f t="shared" si="475"/>
        <v>15</v>
      </c>
      <c r="D1014" s="74">
        <f t="shared" si="458"/>
        <v>8</v>
      </c>
      <c r="E1014" s="75">
        <f t="shared" si="459"/>
        <v>50</v>
      </c>
      <c r="F1014" s="79">
        <v>32</v>
      </c>
      <c r="G1014" s="82"/>
      <c r="H1014" s="68" t="str">
        <f t="shared" si="476"/>
        <v>Clesim6_20211115_08_00</v>
      </c>
      <c r="I1014" s="69">
        <f t="shared" ref="I1014:N1029" si="485">I1013</f>
        <v>1</v>
      </c>
      <c r="J1014" s="76" t="str">
        <f t="shared" si="485"/>
        <v>Clematis</v>
      </c>
      <c r="K1014" s="76" t="str">
        <f t="shared" si="485"/>
        <v>simense</v>
      </c>
      <c r="L1014" s="77">
        <f t="shared" si="485"/>
        <v>6</v>
      </c>
      <c r="M1014" s="77">
        <f t="shared" si="485"/>
        <v>20</v>
      </c>
      <c r="N1014" s="71">
        <f t="shared" si="485"/>
        <v>0</v>
      </c>
      <c r="O1014" s="44"/>
      <c r="P1014" s="45">
        <f t="shared" si="460"/>
        <v>1</v>
      </c>
      <c r="Q1014" s="46" t="str">
        <f t="shared" si="461"/>
        <v>08:50:32</v>
      </c>
      <c r="R1014" s="47" t="str">
        <f t="shared" si="462"/>
        <v>50:32</v>
      </c>
      <c r="S1014" s="48">
        <f t="shared" si="451"/>
        <v>743</v>
      </c>
      <c r="T1014" s="47">
        <v>9</v>
      </c>
      <c r="U1014" s="49">
        <v>2</v>
      </c>
      <c r="V1014" s="50">
        <v>55</v>
      </c>
      <c r="W1014" s="51" t="str">
        <f t="shared" si="464"/>
        <v>02:55</v>
      </c>
      <c r="X1014" s="123" t="s">
        <v>69</v>
      </c>
      <c r="Y1014" s="52" t="s">
        <v>84</v>
      </c>
      <c r="Z1014" s="52"/>
      <c r="AA1014" s="47" t="s">
        <v>67</v>
      </c>
      <c r="AB1014" s="47" t="str">
        <f t="shared" si="465"/>
        <v>NA</v>
      </c>
      <c r="AC1014" s="53" t="str">
        <f t="shared" si="466"/>
        <v/>
      </c>
      <c r="AD1014" s="54">
        <v>3</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f t="shared" si="452"/>
        <v>0</v>
      </c>
      <c r="AX1014" s="61" t="str">
        <f t="shared" si="453"/>
        <v/>
      </c>
      <c r="AY1014" s="60">
        <f t="shared" si="454"/>
        <v>0</v>
      </c>
      <c r="AZ1014" s="61" t="str">
        <f t="shared" si="455"/>
        <v/>
      </c>
    </row>
    <row r="1015" spans="1:52" s="3" customFormat="1" x14ac:dyDescent="0.35">
      <c r="A1015" s="72">
        <f t="shared" si="456"/>
        <v>2021</v>
      </c>
      <c r="B1015" s="72" t="str">
        <f t="shared" si="457"/>
        <v>Nov</v>
      </c>
      <c r="C1015" s="73">
        <f t="shared" si="475"/>
        <v>15</v>
      </c>
      <c r="D1015" s="74">
        <f t="shared" si="458"/>
        <v>8</v>
      </c>
      <c r="E1015" s="75">
        <f t="shared" si="459"/>
        <v>51</v>
      </c>
      <c r="F1015" s="79">
        <v>55</v>
      </c>
      <c r="G1015" s="82"/>
      <c r="H1015" s="68" t="str">
        <f t="shared" si="476"/>
        <v>Clesim6_20211115_08_00</v>
      </c>
      <c r="I1015" s="69">
        <f t="shared" si="485"/>
        <v>1</v>
      </c>
      <c r="J1015" s="76" t="str">
        <f t="shared" si="485"/>
        <v>Clematis</v>
      </c>
      <c r="K1015" s="76" t="str">
        <f t="shared" si="485"/>
        <v>simense</v>
      </c>
      <c r="L1015" s="77">
        <f t="shared" si="485"/>
        <v>6</v>
      </c>
      <c r="M1015" s="77">
        <f t="shared" si="485"/>
        <v>20</v>
      </c>
      <c r="N1015" s="71">
        <f t="shared" si="485"/>
        <v>0</v>
      </c>
      <c r="O1015" s="44"/>
      <c r="P1015" s="45">
        <f t="shared" si="460"/>
        <v>1</v>
      </c>
      <c r="Q1015" s="46" t="str">
        <f t="shared" si="461"/>
        <v>08:51:55</v>
      </c>
      <c r="R1015" s="47" t="str">
        <f t="shared" si="462"/>
        <v>51:55</v>
      </c>
      <c r="S1015" s="48">
        <f t="shared" si="451"/>
        <v>720</v>
      </c>
      <c r="T1015" s="47">
        <v>9</v>
      </c>
      <c r="U1015" s="49">
        <v>3</v>
      </c>
      <c r="V1015" s="50">
        <v>55</v>
      </c>
      <c r="W1015" s="51" t="str">
        <f t="shared" si="464"/>
        <v>03:55</v>
      </c>
      <c r="X1015" s="52" t="s">
        <v>65</v>
      </c>
      <c r="Y1015" s="52" t="s">
        <v>92</v>
      </c>
      <c r="Z1015" s="52"/>
      <c r="AA1015" s="47"/>
      <c r="AB1015" s="47" t="str">
        <f t="shared" si="465"/>
        <v/>
      </c>
      <c r="AC1015" s="53" t="str">
        <f t="shared" si="466"/>
        <v/>
      </c>
      <c r="AD1015" s="54">
        <v>2</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f t="shared" si="452"/>
        <v>0</v>
      </c>
      <c r="AX1015" s="61" t="str">
        <f t="shared" si="453"/>
        <v/>
      </c>
      <c r="AY1015" s="60">
        <f t="shared" si="454"/>
        <v>0</v>
      </c>
      <c r="AZ1015" s="61" t="str">
        <f t="shared" si="455"/>
        <v/>
      </c>
    </row>
    <row r="1016" spans="1:52" s="3" customFormat="1" hidden="1" x14ac:dyDescent="0.35">
      <c r="A1016" s="72">
        <f t="shared" si="456"/>
        <v>2021</v>
      </c>
      <c r="B1016" s="72" t="str">
        <f t="shared" si="457"/>
        <v>Nov</v>
      </c>
      <c r="C1016" s="73">
        <f t="shared" si="475"/>
        <v>15</v>
      </c>
      <c r="D1016" s="74">
        <f t="shared" si="458"/>
        <v>8</v>
      </c>
      <c r="E1016" s="75">
        <f t="shared" si="459"/>
        <v>52</v>
      </c>
      <c r="F1016" s="79"/>
      <c r="G1016" s="82"/>
      <c r="H1016" s="68" t="str">
        <f t="shared" si="476"/>
        <v>Clesim6_20211115_08_00</v>
      </c>
      <c r="I1016" s="69">
        <f t="shared" si="485"/>
        <v>1</v>
      </c>
      <c r="J1016" s="76" t="str">
        <f t="shared" si="485"/>
        <v>Clematis</v>
      </c>
      <c r="K1016" s="76" t="str">
        <f t="shared" si="485"/>
        <v>simense</v>
      </c>
      <c r="L1016" s="77">
        <f t="shared" si="485"/>
        <v>6</v>
      </c>
      <c r="M1016" s="77">
        <f t="shared" si="485"/>
        <v>20</v>
      </c>
      <c r="N1016" s="71">
        <f t="shared" si="485"/>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2021</v>
      </c>
      <c r="B1017" s="72" t="str">
        <f t="shared" si="457"/>
        <v>Nov</v>
      </c>
      <c r="C1017" s="73">
        <f t="shared" si="475"/>
        <v>15</v>
      </c>
      <c r="D1017" s="74">
        <f t="shared" si="458"/>
        <v>8</v>
      </c>
      <c r="E1017" s="75">
        <f t="shared" si="459"/>
        <v>53</v>
      </c>
      <c r="F1017" s="79"/>
      <c r="G1017" s="82"/>
      <c r="H1017" s="68" t="str">
        <f t="shared" si="476"/>
        <v>Clesim6_20211115_08_00</v>
      </c>
      <c r="I1017" s="69">
        <f t="shared" si="485"/>
        <v>1</v>
      </c>
      <c r="J1017" s="76" t="str">
        <f t="shared" si="485"/>
        <v>Clematis</v>
      </c>
      <c r="K1017" s="76" t="str">
        <f t="shared" si="485"/>
        <v>simense</v>
      </c>
      <c r="L1017" s="77">
        <f t="shared" si="485"/>
        <v>6</v>
      </c>
      <c r="M1017" s="77">
        <f t="shared" si="485"/>
        <v>20</v>
      </c>
      <c r="N1017" s="71">
        <f t="shared" si="485"/>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v>
      </c>
      <c r="C1018" s="73">
        <f t="shared" si="475"/>
        <v>15</v>
      </c>
      <c r="D1018" s="74">
        <f t="shared" si="458"/>
        <v>8</v>
      </c>
      <c r="E1018" s="75">
        <f t="shared" si="459"/>
        <v>54</v>
      </c>
      <c r="F1018" s="79"/>
      <c r="G1018" s="82"/>
      <c r="H1018" s="68" t="str">
        <f t="shared" si="476"/>
        <v>Clesim6_20211115_08_00</v>
      </c>
      <c r="I1018" s="69">
        <f t="shared" si="485"/>
        <v>1</v>
      </c>
      <c r="J1018" s="76" t="str">
        <f t="shared" si="485"/>
        <v>Clematis</v>
      </c>
      <c r="K1018" s="76" t="str">
        <f t="shared" si="485"/>
        <v>simense</v>
      </c>
      <c r="L1018" s="77">
        <f t="shared" si="485"/>
        <v>6</v>
      </c>
      <c r="M1018" s="77">
        <f t="shared" si="485"/>
        <v>20</v>
      </c>
      <c r="N1018" s="71">
        <f t="shared" si="485"/>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v>
      </c>
      <c r="C1019" s="73">
        <f t="shared" si="475"/>
        <v>15</v>
      </c>
      <c r="D1019" s="74">
        <f t="shared" si="458"/>
        <v>8</v>
      </c>
      <c r="E1019" s="75">
        <f t="shared" si="459"/>
        <v>55</v>
      </c>
      <c r="F1019" s="79"/>
      <c r="G1019" s="82"/>
      <c r="H1019" s="68" t="str">
        <f t="shared" si="476"/>
        <v>Clesim6_20211115_08_00</v>
      </c>
      <c r="I1019" s="69">
        <f t="shared" si="485"/>
        <v>1</v>
      </c>
      <c r="J1019" s="76" t="str">
        <f t="shared" si="485"/>
        <v>Clematis</v>
      </c>
      <c r="K1019" s="76" t="str">
        <f t="shared" si="485"/>
        <v>simense</v>
      </c>
      <c r="L1019" s="77">
        <f t="shared" si="485"/>
        <v>6</v>
      </c>
      <c r="M1019" s="77">
        <f t="shared" si="485"/>
        <v>20</v>
      </c>
      <c r="N1019" s="71">
        <f t="shared" si="485"/>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v>
      </c>
      <c r="C1020" s="73">
        <f t="shared" si="475"/>
        <v>15</v>
      </c>
      <c r="D1020" s="74">
        <f t="shared" si="458"/>
        <v>8</v>
      </c>
      <c r="E1020" s="75">
        <f t="shared" si="459"/>
        <v>56</v>
      </c>
      <c r="F1020" s="79"/>
      <c r="G1020" s="82"/>
      <c r="H1020" s="68" t="str">
        <f t="shared" si="476"/>
        <v>Clesim6_20211115_08_00</v>
      </c>
      <c r="I1020" s="69">
        <f t="shared" si="485"/>
        <v>1</v>
      </c>
      <c r="J1020" s="76" t="str">
        <f t="shared" si="485"/>
        <v>Clematis</v>
      </c>
      <c r="K1020" s="76" t="str">
        <f t="shared" si="485"/>
        <v>simense</v>
      </c>
      <c r="L1020" s="77">
        <f t="shared" si="485"/>
        <v>6</v>
      </c>
      <c r="M1020" s="77">
        <f t="shared" si="485"/>
        <v>20</v>
      </c>
      <c r="N1020" s="71">
        <f t="shared" si="485"/>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v>
      </c>
      <c r="C1021" s="73">
        <f t="shared" si="475"/>
        <v>15</v>
      </c>
      <c r="D1021" s="74">
        <f t="shared" si="458"/>
        <v>8</v>
      </c>
      <c r="E1021" s="75">
        <f t="shared" si="459"/>
        <v>57</v>
      </c>
      <c r="F1021" s="79"/>
      <c r="G1021" s="82"/>
      <c r="H1021" s="68" t="str">
        <f t="shared" si="476"/>
        <v>Clesim6_20211115_08_00</v>
      </c>
      <c r="I1021" s="69">
        <f t="shared" si="485"/>
        <v>1</v>
      </c>
      <c r="J1021" s="76" t="str">
        <f t="shared" si="485"/>
        <v>Clematis</v>
      </c>
      <c r="K1021" s="76" t="str">
        <f t="shared" si="485"/>
        <v>simense</v>
      </c>
      <c r="L1021" s="77">
        <f t="shared" si="485"/>
        <v>6</v>
      </c>
      <c r="M1021" s="77">
        <f t="shared" si="485"/>
        <v>20</v>
      </c>
      <c r="N1021" s="71">
        <f t="shared" si="485"/>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v>
      </c>
      <c r="C1022" s="73">
        <f t="shared" si="475"/>
        <v>15</v>
      </c>
      <c r="D1022" s="74">
        <f t="shared" si="458"/>
        <v>8</v>
      </c>
      <c r="E1022" s="75">
        <f t="shared" si="459"/>
        <v>58</v>
      </c>
      <c r="F1022" s="79"/>
      <c r="G1022" s="82"/>
      <c r="H1022" s="68" t="str">
        <f t="shared" si="476"/>
        <v>Clesim6_20211115_08_00</v>
      </c>
      <c r="I1022" s="69">
        <f t="shared" si="485"/>
        <v>1</v>
      </c>
      <c r="J1022" s="76" t="str">
        <f t="shared" si="485"/>
        <v>Clematis</v>
      </c>
      <c r="K1022" s="76" t="str">
        <f t="shared" si="485"/>
        <v>simense</v>
      </c>
      <c r="L1022" s="77">
        <f t="shared" si="485"/>
        <v>6</v>
      </c>
      <c r="M1022" s="77">
        <f t="shared" si="485"/>
        <v>20</v>
      </c>
      <c r="N1022" s="71">
        <f t="shared" si="485"/>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v>
      </c>
      <c r="C1023" s="73">
        <f t="shared" si="475"/>
        <v>15</v>
      </c>
      <c r="D1023" s="74">
        <f t="shared" si="458"/>
        <v>8</v>
      </c>
      <c r="E1023" s="75">
        <f t="shared" si="459"/>
        <v>59</v>
      </c>
      <c r="F1023" s="79"/>
      <c r="G1023" s="82"/>
      <c r="H1023" s="68" t="str">
        <f t="shared" si="476"/>
        <v>Clesim6_20211115_08_00</v>
      </c>
      <c r="I1023" s="69">
        <f t="shared" si="485"/>
        <v>1</v>
      </c>
      <c r="J1023" s="76" t="str">
        <f t="shared" si="485"/>
        <v>Clematis</v>
      </c>
      <c r="K1023" s="76" t="str">
        <f t="shared" si="485"/>
        <v>simense</v>
      </c>
      <c r="L1023" s="77">
        <f t="shared" si="485"/>
        <v>6</v>
      </c>
      <c r="M1023" s="77">
        <f t="shared" si="485"/>
        <v>20</v>
      </c>
      <c r="N1023" s="71">
        <f t="shared" si="485"/>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v>
      </c>
      <c r="C1024" s="73">
        <f t="shared" si="475"/>
        <v>15</v>
      </c>
      <c r="D1024" s="74">
        <f t="shared" si="458"/>
        <v>9</v>
      </c>
      <c r="E1024" s="75">
        <f t="shared" si="459"/>
        <v>0</v>
      </c>
      <c r="F1024" s="79"/>
      <c r="G1024" s="82"/>
      <c r="H1024" s="68" t="str">
        <f t="shared" si="476"/>
        <v>Clesim6_20211115_09_00</v>
      </c>
      <c r="I1024" s="69">
        <f t="shared" si="485"/>
        <v>1</v>
      </c>
      <c r="J1024" s="76" t="str">
        <f t="shared" si="485"/>
        <v>Clematis</v>
      </c>
      <c r="K1024" s="76" t="str">
        <f t="shared" si="485"/>
        <v>simense</v>
      </c>
      <c r="L1024" s="77">
        <f t="shared" si="485"/>
        <v>6</v>
      </c>
      <c r="M1024" s="77">
        <f t="shared" si="485"/>
        <v>20</v>
      </c>
      <c r="N1024" s="71">
        <f t="shared" si="485"/>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v>
      </c>
      <c r="C1025" s="73">
        <f t="shared" si="475"/>
        <v>15</v>
      </c>
      <c r="D1025" s="74">
        <f t="shared" si="458"/>
        <v>9</v>
      </c>
      <c r="E1025" s="75">
        <f t="shared" si="459"/>
        <v>1</v>
      </c>
      <c r="F1025" s="79"/>
      <c r="G1025" s="82"/>
      <c r="H1025" s="68" t="str">
        <f t="shared" si="476"/>
        <v>Clesim6_20211115_09_00</v>
      </c>
      <c r="I1025" s="69">
        <f t="shared" si="485"/>
        <v>1</v>
      </c>
      <c r="J1025" s="76" t="str">
        <f t="shared" si="485"/>
        <v>Clematis</v>
      </c>
      <c r="K1025" s="76" t="str">
        <f t="shared" si="485"/>
        <v>simense</v>
      </c>
      <c r="L1025" s="77">
        <f t="shared" si="485"/>
        <v>6</v>
      </c>
      <c r="M1025" s="77">
        <f t="shared" si="485"/>
        <v>20</v>
      </c>
      <c r="N1025" s="71">
        <f t="shared" si="485"/>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2021</v>
      </c>
      <c r="B1026" s="72" t="str">
        <f t="shared" si="457"/>
        <v>Nov</v>
      </c>
      <c r="C1026" s="73">
        <f t="shared" si="475"/>
        <v>15</v>
      </c>
      <c r="D1026" s="74">
        <f t="shared" si="458"/>
        <v>9</v>
      </c>
      <c r="E1026" s="75">
        <f t="shared" si="459"/>
        <v>2</v>
      </c>
      <c r="F1026" s="79">
        <v>49</v>
      </c>
      <c r="G1026" s="82"/>
      <c r="H1026" s="68" t="str">
        <f t="shared" si="476"/>
        <v>Clesim6_20211115_09_00</v>
      </c>
      <c r="I1026" s="69">
        <f t="shared" si="485"/>
        <v>1</v>
      </c>
      <c r="J1026" s="76" t="str">
        <f t="shared" si="485"/>
        <v>Clematis</v>
      </c>
      <c r="K1026" s="76" t="str">
        <f t="shared" si="485"/>
        <v>simense</v>
      </c>
      <c r="L1026" s="77">
        <f t="shared" si="485"/>
        <v>6</v>
      </c>
      <c r="M1026" s="77">
        <f t="shared" si="485"/>
        <v>20</v>
      </c>
      <c r="N1026" s="71">
        <f t="shared" si="485"/>
        <v>0</v>
      </c>
      <c r="O1026" s="44"/>
      <c r="P1026" s="45">
        <f t="shared" si="460"/>
        <v>1</v>
      </c>
      <c r="Q1026" s="46" t="str">
        <f t="shared" si="461"/>
        <v>09:02:49</v>
      </c>
      <c r="R1026" s="47" t="str">
        <f t="shared" si="462"/>
        <v>02:49</v>
      </c>
      <c r="S1026" s="48">
        <f t="shared" si="451"/>
        <v>45</v>
      </c>
      <c r="T1026" s="47" t="str">
        <f t="shared" si="463"/>
        <v>09</v>
      </c>
      <c r="U1026" s="49">
        <v>3</v>
      </c>
      <c r="V1026" s="50">
        <v>34</v>
      </c>
      <c r="W1026" s="51" t="str">
        <f t="shared" si="464"/>
        <v>03:34</v>
      </c>
      <c r="X1026" s="52" t="s">
        <v>69</v>
      </c>
      <c r="Y1026" s="52" t="s">
        <v>70</v>
      </c>
      <c r="Z1026" s="52"/>
      <c r="AA1026" s="47" t="s">
        <v>67</v>
      </c>
      <c r="AB1026" s="47" t="str">
        <f t="shared" si="465"/>
        <v>NA</v>
      </c>
      <c r="AC1026" s="53" t="str">
        <f t="shared" si="466"/>
        <v/>
      </c>
      <c r="AD1026" s="54">
        <v>3</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f t="shared" si="452"/>
        <v>0</v>
      </c>
      <c r="AX1026" s="61" t="str">
        <f t="shared" si="453"/>
        <v/>
      </c>
      <c r="AY1026" s="60">
        <f t="shared" si="454"/>
        <v>0</v>
      </c>
      <c r="AZ1026" s="61" t="str">
        <f t="shared" si="455"/>
        <v/>
      </c>
    </row>
    <row r="1027" spans="1:52" s="3" customFormat="1" hidden="1" x14ac:dyDescent="0.35">
      <c r="A1027" s="72">
        <f t="shared" si="456"/>
        <v>2021</v>
      </c>
      <c r="B1027" s="72" t="str">
        <f t="shared" si="457"/>
        <v>Nov</v>
      </c>
      <c r="C1027" s="73">
        <f t="shared" si="475"/>
        <v>15</v>
      </c>
      <c r="D1027" s="74">
        <f t="shared" si="458"/>
        <v>9</v>
      </c>
      <c r="E1027" s="75">
        <f t="shared" si="459"/>
        <v>3</v>
      </c>
      <c r="F1027" s="79"/>
      <c r="G1027" s="82"/>
      <c r="H1027" s="68" t="str">
        <f t="shared" si="476"/>
        <v>Clesim6_20211115_09_00</v>
      </c>
      <c r="I1027" s="69">
        <f t="shared" si="485"/>
        <v>1</v>
      </c>
      <c r="J1027" s="76" t="str">
        <f t="shared" si="485"/>
        <v>Clematis</v>
      </c>
      <c r="K1027" s="76" t="str">
        <f t="shared" si="485"/>
        <v>simense</v>
      </c>
      <c r="L1027" s="77">
        <f t="shared" si="485"/>
        <v>6</v>
      </c>
      <c r="M1027" s="77">
        <f t="shared" si="485"/>
        <v>20</v>
      </c>
      <c r="N1027" s="71">
        <f t="shared" si="485"/>
        <v>0</v>
      </c>
      <c r="O1027" s="44"/>
      <c r="P1027" s="45" t="str">
        <f t="shared" si="460"/>
        <v/>
      </c>
      <c r="Q1027" s="46" t="str">
        <f t="shared" si="461"/>
        <v/>
      </c>
      <c r="R1027" s="47" t="e">
        <f t="shared" si="462"/>
        <v>#VALUE!</v>
      </c>
      <c r="S1027" s="48" t="e">
        <f t="shared" si="451"/>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si="452"/>
        <v/>
      </c>
      <c r="AX1027" s="61" t="str">
        <f t="shared" si="453"/>
        <v/>
      </c>
      <c r="AY1027" s="60" t="str">
        <f t="shared" si="454"/>
        <v/>
      </c>
      <c r="AZ1027" s="61" t="str">
        <f t="shared" si="455"/>
        <v/>
      </c>
    </row>
    <row r="1028" spans="1:52" s="3" customFormat="1" hidden="1" x14ac:dyDescent="0.35">
      <c r="A1028" s="72">
        <f t="shared" si="456"/>
        <v>2021</v>
      </c>
      <c r="B1028" s="72" t="str">
        <f t="shared" si="457"/>
        <v>Nov</v>
      </c>
      <c r="C1028" s="73">
        <f t="shared" si="475"/>
        <v>15</v>
      </c>
      <c r="D1028" s="74">
        <f t="shared" si="458"/>
        <v>9</v>
      </c>
      <c r="E1028" s="75">
        <f t="shared" si="459"/>
        <v>4</v>
      </c>
      <c r="F1028" s="79"/>
      <c r="G1028" s="82"/>
      <c r="H1028" s="68" t="str">
        <f t="shared" si="476"/>
        <v>Clesim6_20211115_09_00</v>
      </c>
      <c r="I1028" s="69">
        <f t="shared" si="485"/>
        <v>1</v>
      </c>
      <c r="J1028" s="76" t="str">
        <f t="shared" si="485"/>
        <v>Clematis</v>
      </c>
      <c r="K1028" s="76" t="str">
        <f t="shared" si="485"/>
        <v>simense</v>
      </c>
      <c r="L1028" s="77">
        <f t="shared" si="485"/>
        <v>6</v>
      </c>
      <c r="M1028" s="77">
        <f t="shared" si="485"/>
        <v>20</v>
      </c>
      <c r="N1028" s="71">
        <f t="shared" si="485"/>
        <v>0</v>
      </c>
      <c r="O1028" s="44"/>
      <c r="P1028" s="45" t="str">
        <f t="shared" si="460"/>
        <v/>
      </c>
      <c r="Q1028" s="46" t="str">
        <f t="shared" si="461"/>
        <v/>
      </c>
      <c r="R1028" s="47" t="e">
        <f t="shared" si="462"/>
        <v>#VALUE!</v>
      </c>
      <c r="S1028" s="48" t="e">
        <f t="shared" ref="S1028:S1091" si="486">IF(T1028&lt;D1028, (T1028*3600+U1028*60+V1028)+((23*3600+59*60+60)-(D1028*3600+E1028*60+LEFT(F1028,2))), (T1028*3600+U1028*60+V1028)-(D1028*3600+E1028*60+LEFT(F1028,2)))</f>
        <v>#VALUE!</v>
      </c>
      <c r="T1028" s="47" t="str">
        <f t="shared" si="463"/>
        <v/>
      </c>
      <c r="U1028" s="49"/>
      <c r="V1028" s="50"/>
      <c r="W1028" s="51" t="e">
        <f t="shared" si="464"/>
        <v>#VALUE!</v>
      </c>
      <c r="X1028" s="52"/>
      <c r="Y1028" s="52"/>
      <c r="Z1028" s="52"/>
      <c r="AA1028" s="47" t="e">
        <f>INDEX(VISITORS[INSECT ORDER], MATCH(X1028,VISITORS[NAME USED],0))</f>
        <v>#N/A</v>
      </c>
      <c r="AB1028" s="47" t="e">
        <f t="shared" si="465"/>
        <v>#N/A</v>
      </c>
      <c r="AC1028" s="53" t="e">
        <f t="shared" si="466"/>
        <v>#VALUE!</v>
      </c>
      <c r="AD1028" s="54" t="str">
        <f t="shared" si="467"/>
        <v/>
      </c>
      <c r="AE1028" s="54"/>
      <c r="AF1028" s="54"/>
      <c r="AG1028" s="55" t="str">
        <f t="shared" si="468"/>
        <v/>
      </c>
      <c r="AH1028" s="56" t="str">
        <f t="shared" si="469"/>
        <v/>
      </c>
      <c r="AI1028" s="55"/>
      <c r="AJ1028" s="56" t="str">
        <f t="shared" si="470"/>
        <v/>
      </c>
      <c r="AK1028" s="55"/>
      <c r="AL1028" s="56" t="str">
        <f t="shared" si="471"/>
        <v/>
      </c>
      <c r="AM1028" s="55"/>
      <c r="AN1028" s="56" t="str">
        <f t="shared" si="472"/>
        <v/>
      </c>
      <c r="AO1028" s="55"/>
      <c r="AP1028" s="56" t="str">
        <f t="shared" si="473"/>
        <v/>
      </c>
      <c r="AQ1028" s="55"/>
      <c r="AR1028" s="56" t="str">
        <f t="shared" si="474"/>
        <v/>
      </c>
      <c r="AS1028" s="57"/>
      <c r="AT1028" s="58"/>
      <c r="AU1028" s="58"/>
      <c r="AV1028" s="59"/>
      <c r="AW1028" s="60" t="str">
        <f t="shared" ref="AW1028:AW1091" si="487">IF(P1028=1,0,"")</f>
        <v/>
      </c>
      <c r="AX1028" s="61" t="str">
        <f t="shared" ref="AX1028:AX1091" si="488">IF(AW1028=1,AD1028,"")</f>
        <v/>
      </c>
      <c r="AY1028" s="60" t="str">
        <f t="shared" ref="AY1028:AY1091" si="489">IF(P1028=1,0,"")</f>
        <v/>
      </c>
      <c r="AZ1028" s="61" t="str">
        <f t="shared" ref="AZ1028:AZ1091" si="490">IF(AY1028=1,AD1028,"")</f>
        <v/>
      </c>
    </row>
    <row r="1029" spans="1:52" s="3" customFormat="1" hidden="1" x14ac:dyDescent="0.35">
      <c r="A1029" s="72">
        <f t="shared" ref="A1029:A1092" si="491">A1028</f>
        <v>2021</v>
      </c>
      <c r="B1029" s="72" t="str">
        <f t="shared" ref="B1029:B1092" si="492">IF(C1028-C1029&gt;0, TEXT(DATE(2016,(MONTH(DATEVALUE(B1028&amp;"1"))+1),1),"mmm"), B1028)</f>
        <v>Nov</v>
      </c>
      <c r="C1029" s="73">
        <f t="shared" si="475"/>
        <v>15</v>
      </c>
      <c r="D1029" s="74">
        <f t="shared" ref="D1029:D1092" si="493">IF(IF(E1028=59,D1028+1,D1028)=24,0,IF(E1028=59,D1028+1,D1028))</f>
        <v>9</v>
      </c>
      <c r="E1029" s="75">
        <f t="shared" ref="E1029:E1092" si="494">IF(E1028&lt;59,E1028+1,0)</f>
        <v>5</v>
      </c>
      <c r="F1029" s="79"/>
      <c r="G1029" s="82"/>
      <c r="H1029" s="68" t="str">
        <f t="shared" si="476"/>
        <v>Clesim6_20211115_09_00</v>
      </c>
      <c r="I1029" s="69">
        <f t="shared" si="485"/>
        <v>1</v>
      </c>
      <c r="J1029" s="76" t="str">
        <f t="shared" si="485"/>
        <v>Clematis</v>
      </c>
      <c r="K1029" s="76" t="str">
        <f t="shared" si="485"/>
        <v>simense</v>
      </c>
      <c r="L1029" s="77">
        <f t="shared" si="485"/>
        <v>6</v>
      </c>
      <c r="M1029" s="77">
        <f t="shared" si="485"/>
        <v>20</v>
      </c>
      <c r="N1029" s="71">
        <f t="shared" si="485"/>
        <v>0</v>
      </c>
      <c r="O1029" s="44"/>
      <c r="P1029" s="45" t="str">
        <f t="shared" ref="P1029:P1092" si="495">IF(F1029="","",1)</f>
        <v/>
      </c>
      <c r="Q1029" s="46" t="str">
        <f t="shared" ref="Q1029:Q1092" si="496">TEXT(IF(P1029=1,CONCATENATE($D1029,":",$E1029,":",(LEFT($F1029,2))),""),"hh:mm:ss")</f>
        <v/>
      </c>
      <c r="R1029" s="47" t="e">
        <f t="shared" ref="R1029:R1092" si="497">TEXT(Q1029-TIME(0,RIGHT($H1029,2),$G$9)+(Q1029&gt;TIME(0,RIGHT($H1029,2),$G$9)),"mm:ss")</f>
        <v>#VALUE!</v>
      </c>
      <c r="S1029" s="48" t="e">
        <f t="shared" si="486"/>
        <v>#VALUE!</v>
      </c>
      <c r="T1029" s="47" t="str">
        <f t="shared" ref="T1029:T1092" si="498">TEXT(IF(P1029=1,D1029,""),"00")</f>
        <v/>
      </c>
      <c r="U1029" s="49"/>
      <c r="V1029" s="50"/>
      <c r="W1029" s="51" t="e">
        <f t="shared" ref="W1029:W1092" si="499">IF(O1029=0,TEXT(TIME(T1029,U1029,V1029)-TIME(D1029,E1029,RIGHT(F1029,2))+TIME(0,LEFT(R1029,2),RIGHT(R1029,2)),"mm:ss"),TEXT(TIME(T1029,U1029,V1029)-TIME(D1029,E1029,RIGHT(F1029,2))+TIME(0,LEFT(R1029,2),RIGHT(R1029,2))-TIME(0,($G$10*O1029),0),"mm:ss"))</f>
        <v>#VALUE!</v>
      </c>
      <c r="X1029" s="52"/>
      <c r="Y1029" s="52"/>
      <c r="Z1029" s="52"/>
      <c r="AA1029" s="47" t="e">
        <f>INDEX(VISITORS[INSECT ORDER], MATCH(X1029,VISITORS[NAME USED],0))</f>
        <v>#N/A</v>
      </c>
      <c r="AB1029" s="47" t="e">
        <f t="shared" ref="AB1029:AB1092" si="500">IF(AA1029&lt;&gt;0,"NA","")</f>
        <v>#N/A</v>
      </c>
      <c r="AC1029" s="53" t="e">
        <f t="shared" ref="AC1029:AC1092" si="501">IF(SUM(AH1029,AJ1029,AL1029,AN1029,AP1029,AR1029)=S1029,,"")</f>
        <v>#VALUE!</v>
      </c>
      <c r="AD1029" s="54" t="str">
        <f t="shared" ref="AD1029:AD1092" si="502">IF(P1029=1,1,"")</f>
        <v/>
      </c>
      <c r="AE1029" s="54"/>
      <c r="AF1029" s="54"/>
      <c r="AG1029" s="55" t="str">
        <f t="shared" ref="AG1029:AG1092" si="503">IF(OR(X1029="Something small"),1,"")</f>
        <v/>
      </c>
      <c r="AH1029" s="56" t="str">
        <f t="shared" ref="AH1029:AH1092" si="504">IF(AG1029=1,$S1029,"")</f>
        <v/>
      </c>
      <c r="AI1029" s="55"/>
      <c r="AJ1029" s="56" t="str">
        <f t="shared" ref="AJ1029:AJ1092" si="505">IF(AI1029=1,$S1029,"")</f>
        <v/>
      </c>
      <c r="AK1029" s="55"/>
      <c r="AL1029" s="56" t="str">
        <f t="shared" ref="AL1029:AL1092" si="506">IF(AK1029=1,$S1029,"")</f>
        <v/>
      </c>
      <c r="AM1029" s="55"/>
      <c r="AN1029" s="56" t="str">
        <f t="shared" ref="AN1029:AN1092" si="507">IF(AM1029=1,$S1029,"")</f>
        <v/>
      </c>
      <c r="AO1029" s="55"/>
      <c r="AP1029" s="56" t="str">
        <f t="shared" ref="AP1029:AP1092" si="508">IF(AO1029=1,$S1029,"")</f>
        <v/>
      </c>
      <c r="AQ1029" s="55"/>
      <c r="AR1029" s="56" t="str">
        <f t="shared" ref="AR1029:AR1092" si="509">IF(AQ1029=1,$S1029,"")</f>
        <v/>
      </c>
      <c r="AS1029" s="57"/>
      <c r="AT1029" s="58"/>
      <c r="AU1029" s="58"/>
      <c r="AV1029" s="59"/>
      <c r="AW1029" s="60" t="str">
        <f t="shared" si="487"/>
        <v/>
      </c>
      <c r="AX1029" s="61" t="str">
        <f t="shared" si="488"/>
        <v/>
      </c>
      <c r="AY1029" s="60" t="str">
        <f t="shared" si="489"/>
        <v/>
      </c>
      <c r="AZ1029" s="61" t="str">
        <f t="shared" si="490"/>
        <v/>
      </c>
    </row>
    <row r="1030" spans="1:52" s="3" customFormat="1" hidden="1" x14ac:dyDescent="0.35">
      <c r="A1030" s="72">
        <f t="shared" si="491"/>
        <v>2021</v>
      </c>
      <c r="B1030" s="72" t="str">
        <f t="shared" si="492"/>
        <v>Nov</v>
      </c>
      <c r="C1030" s="73">
        <f t="shared" ref="C1030:C1093" si="510">IF(AND(D1030=0, E1030=0), IF(TEXT(C1029,"dd")=TEXT(EOMONTH(DATE(A1029,MONTH(DATEVALUE(B1029&amp;"1")),C1029),0), "dd"), 1, C1029+1), C1029)</f>
        <v>15</v>
      </c>
      <c r="D1030" s="74">
        <f t="shared" si="493"/>
        <v>9</v>
      </c>
      <c r="E1030" s="75">
        <f t="shared" si="494"/>
        <v>6</v>
      </c>
      <c r="F1030" s="79"/>
      <c r="G1030" s="82"/>
      <c r="H1030" s="68" t="str">
        <f t="shared" ref="H1030:H1093" si="511">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Clesim6_20211115_09_00</v>
      </c>
      <c r="I1030" s="69">
        <f t="shared" ref="I1030:N1045" si="512">I1029</f>
        <v>1</v>
      </c>
      <c r="J1030" s="76" t="str">
        <f t="shared" si="512"/>
        <v>Clematis</v>
      </c>
      <c r="K1030" s="76" t="str">
        <f t="shared" si="512"/>
        <v>simense</v>
      </c>
      <c r="L1030" s="77">
        <f t="shared" si="512"/>
        <v>6</v>
      </c>
      <c r="M1030" s="77">
        <f t="shared" si="512"/>
        <v>20</v>
      </c>
      <c r="N1030" s="71">
        <f t="shared" si="512"/>
        <v>0</v>
      </c>
      <c r="O1030" s="44"/>
      <c r="P1030" s="45" t="str">
        <f t="shared" si="495"/>
        <v/>
      </c>
      <c r="Q1030" s="46" t="str">
        <f t="shared" si="496"/>
        <v/>
      </c>
      <c r="R1030" s="47" t="e">
        <f t="shared" si="497"/>
        <v>#VALUE!</v>
      </c>
      <c r="S1030" s="48" t="e">
        <f t="shared" si="486"/>
        <v>#VALUE!</v>
      </c>
      <c r="T1030" s="47" t="str">
        <f t="shared" si="498"/>
        <v/>
      </c>
      <c r="U1030" s="49"/>
      <c r="V1030" s="50"/>
      <c r="W1030" s="51" t="e">
        <f t="shared" si="499"/>
        <v>#VALUE!</v>
      </c>
      <c r="X1030" s="52"/>
      <c r="Y1030" s="52"/>
      <c r="Z1030" s="52"/>
      <c r="AA1030" s="47" t="e">
        <f>INDEX(VISITORS[INSECT ORDER], MATCH(X1030,VISITORS[NAME USED],0))</f>
        <v>#N/A</v>
      </c>
      <c r="AB1030" s="47" t="e">
        <f t="shared" si="500"/>
        <v>#N/A</v>
      </c>
      <c r="AC1030" s="53" t="e">
        <f t="shared" si="501"/>
        <v>#VALUE!</v>
      </c>
      <c r="AD1030" s="54" t="str">
        <f t="shared" si="502"/>
        <v/>
      </c>
      <c r="AE1030" s="54"/>
      <c r="AF1030" s="54"/>
      <c r="AG1030" s="55" t="str">
        <f t="shared" si="503"/>
        <v/>
      </c>
      <c r="AH1030" s="56" t="str">
        <f t="shared" si="504"/>
        <v/>
      </c>
      <c r="AI1030" s="55"/>
      <c r="AJ1030" s="56" t="str">
        <f t="shared" si="505"/>
        <v/>
      </c>
      <c r="AK1030" s="55"/>
      <c r="AL1030" s="56" t="str">
        <f t="shared" si="506"/>
        <v/>
      </c>
      <c r="AM1030" s="55"/>
      <c r="AN1030" s="56" t="str">
        <f t="shared" si="507"/>
        <v/>
      </c>
      <c r="AO1030" s="55"/>
      <c r="AP1030" s="56" t="str">
        <f t="shared" si="508"/>
        <v/>
      </c>
      <c r="AQ1030" s="55"/>
      <c r="AR1030" s="56" t="str">
        <f t="shared" si="509"/>
        <v/>
      </c>
      <c r="AS1030" s="57"/>
      <c r="AT1030" s="58"/>
      <c r="AU1030" s="58"/>
      <c r="AV1030" s="59"/>
      <c r="AW1030" s="60" t="str">
        <f t="shared" si="487"/>
        <v/>
      </c>
      <c r="AX1030" s="61" t="str">
        <f t="shared" si="488"/>
        <v/>
      </c>
      <c r="AY1030" s="60" t="str">
        <f t="shared" si="489"/>
        <v/>
      </c>
      <c r="AZ1030" s="61" t="str">
        <f t="shared" si="490"/>
        <v/>
      </c>
    </row>
    <row r="1031" spans="1:52" s="3" customFormat="1" x14ac:dyDescent="0.35">
      <c r="A1031" s="72">
        <f t="shared" si="491"/>
        <v>2021</v>
      </c>
      <c r="B1031" s="72" t="str">
        <f t="shared" si="492"/>
        <v>Nov</v>
      </c>
      <c r="C1031" s="73">
        <f t="shared" si="510"/>
        <v>15</v>
      </c>
      <c r="D1031" s="74">
        <f t="shared" si="493"/>
        <v>9</v>
      </c>
      <c r="E1031" s="75">
        <f t="shared" si="494"/>
        <v>7</v>
      </c>
      <c r="F1031" s="79">
        <v>16</v>
      </c>
      <c r="G1031" s="82"/>
      <c r="H1031" s="68" t="str">
        <f t="shared" si="511"/>
        <v>Clesim6_20211115_09_00</v>
      </c>
      <c r="I1031" s="69">
        <f t="shared" si="512"/>
        <v>1</v>
      </c>
      <c r="J1031" s="76" t="str">
        <f t="shared" si="512"/>
        <v>Clematis</v>
      </c>
      <c r="K1031" s="76" t="str">
        <f t="shared" si="512"/>
        <v>simense</v>
      </c>
      <c r="L1031" s="77">
        <f t="shared" si="512"/>
        <v>6</v>
      </c>
      <c r="M1031" s="77">
        <f t="shared" si="512"/>
        <v>20</v>
      </c>
      <c r="N1031" s="71">
        <f t="shared" si="512"/>
        <v>0</v>
      </c>
      <c r="O1031" s="44"/>
      <c r="P1031" s="45">
        <f t="shared" si="495"/>
        <v>1</v>
      </c>
      <c r="Q1031" s="46" t="str">
        <f t="shared" si="496"/>
        <v>09:07:16</v>
      </c>
      <c r="R1031" s="47" t="str">
        <f t="shared" si="497"/>
        <v>07:16</v>
      </c>
      <c r="S1031" s="48">
        <f t="shared" si="486"/>
        <v>319</v>
      </c>
      <c r="T1031" s="47" t="str">
        <f t="shared" si="498"/>
        <v>09</v>
      </c>
      <c r="U1031" s="49">
        <v>12</v>
      </c>
      <c r="V1031" s="50">
        <v>35</v>
      </c>
      <c r="W1031" s="51" t="str">
        <f t="shared" si="499"/>
        <v>12:35</v>
      </c>
      <c r="X1031" s="52" t="s">
        <v>65</v>
      </c>
      <c r="Y1031" s="52" t="s">
        <v>92</v>
      </c>
      <c r="Z1031" s="52"/>
      <c r="AA1031" s="47"/>
      <c r="AB1031" s="47" t="str">
        <f t="shared" si="500"/>
        <v/>
      </c>
      <c r="AC1031" s="53" t="str">
        <f t="shared" si="501"/>
        <v/>
      </c>
      <c r="AD1031" s="54">
        <v>5</v>
      </c>
      <c r="AE1031" s="54"/>
      <c r="AF1031" s="54"/>
      <c r="AG1031" s="55" t="str">
        <f t="shared" si="503"/>
        <v/>
      </c>
      <c r="AH1031" s="56" t="str">
        <f t="shared" si="504"/>
        <v/>
      </c>
      <c r="AI1031" s="55"/>
      <c r="AJ1031" s="56" t="str">
        <f t="shared" si="505"/>
        <v/>
      </c>
      <c r="AK1031" s="55"/>
      <c r="AL1031" s="56" t="str">
        <f t="shared" si="506"/>
        <v/>
      </c>
      <c r="AM1031" s="55"/>
      <c r="AN1031" s="56" t="str">
        <f t="shared" si="507"/>
        <v/>
      </c>
      <c r="AO1031" s="55"/>
      <c r="AP1031" s="56" t="str">
        <f t="shared" si="508"/>
        <v/>
      </c>
      <c r="AQ1031" s="55"/>
      <c r="AR1031" s="56" t="str">
        <f t="shared" si="509"/>
        <v/>
      </c>
      <c r="AS1031" s="57"/>
      <c r="AT1031" s="58"/>
      <c r="AU1031" s="58"/>
      <c r="AV1031" s="59"/>
      <c r="AW1031" s="60">
        <f t="shared" si="487"/>
        <v>0</v>
      </c>
      <c r="AX1031" s="61" t="str">
        <f t="shared" si="488"/>
        <v/>
      </c>
      <c r="AY1031" s="60">
        <f t="shared" si="489"/>
        <v>0</v>
      </c>
      <c r="AZ1031" s="61" t="str">
        <f t="shared" si="490"/>
        <v/>
      </c>
    </row>
    <row r="1032" spans="1:52" s="3" customFormat="1" hidden="1" x14ac:dyDescent="0.35">
      <c r="A1032" s="72">
        <f t="shared" si="491"/>
        <v>2021</v>
      </c>
      <c r="B1032" s="72" t="str">
        <f t="shared" si="492"/>
        <v>Nov</v>
      </c>
      <c r="C1032" s="73">
        <f t="shared" si="510"/>
        <v>15</v>
      </c>
      <c r="D1032" s="74">
        <f t="shared" si="493"/>
        <v>9</v>
      </c>
      <c r="E1032" s="75">
        <f t="shared" si="494"/>
        <v>8</v>
      </c>
      <c r="F1032" s="79"/>
      <c r="G1032" s="82"/>
      <c r="H1032" s="68" t="str">
        <f t="shared" si="511"/>
        <v>Clesim6_20211115_09_00</v>
      </c>
      <c r="I1032" s="69">
        <f t="shared" si="512"/>
        <v>1</v>
      </c>
      <c r="J1032" s="76" t="str">
        <f t="shared" si="512"/>
        <v>Clematis</v>
      </c>
      <c r="K1032" s="76" t="str">
        <f t="shared" si="512"/>
        <v>simense</v>
      </c>
      <c r="L1032" s="77">
        <f t="shared" si="512"/>
        <v>6</v>
      </c>
      <c r="M1032" s="77">
        <f t="shared" si="512"/>
        <v>20</v>
      </c>
      <c r="N1032" s="71">
        <f t="shared" si="512"/>
        <v>0</v>
      </c>
      <c r="O1032" s="44"/>
      <c r="P1032" s="45" t="str">
        <f t="shared" si="495"/>
        <v/>
      </c>
      <c r="Q1032" s="46" t="str">
        <f t="shared" si="496"/>
        <v/>
      </c>
      <c r="R1032" s="47" t="e">
        <f t="shared" si="497"/>
        <v>#VALUE!</v>
      </c>
      <c r="S1032" s="48" t="e">
        <f t="shared" si="486"/>
        <v>#VALUE!</v>
      </c>
      <c r="T1032" s="47" t="str">
        <f t="shared" si="498"/>
        <v/>
      </c>
      <c r="U1032" s="49"/>
      <c r="V1032" s="50"/>
      <c r="W1032" s="51" t="e">
        <f t="shared" si="499"/>
        <v>#VALUE!</v>
      </c>
      <c r="X1032" s="52"/>
      <c r="Y1032" s="52"/>
      <c r="Z1032" s="52"/>
      <c r="AA1032" s="47" t="e">
        <f>INDEX(VISITORS[INSECT ORDER], MATCH(X1032,VISITORS[NAME USED],0))</f>
        <v>#N/A</v>
      </c>
      <c r="AB1032" s="47" t="e">
        <f t="shared" si="500"/>
        <v>#N/A</v>
      </c>
      <c r="AC1032" s="53" t="e">
        <f t="shared" si="501"/>
        <v>#VALUE!</v>
      </c>
      <c r="AD1032" s="54" t="str">
        <f t="shared" si="502"/>
        <v/>
      </c>
      <c r="AE1032" s="54"/>
      <c r="AF1032" s="54"/>
      <c r="AG1032" s="55" t="str">
        <f t="shared" si="503"/>
        <v/>
      </c>
      <c r="AH1032" s="56" t="str">
        <f t="shared" si="504"/>
        <v/>
      </c>
      <c r="AI1032" s="55"/>
      <c r="AJ1032" s="56" t="str">
        <f t="shared" si="505"/>
        <v/>
      </c>
      <c r="AK1032" s="55"/>
      <c r="AL1032" s="56" t="str">
        <f t="shared" si="506"/>
        <v/>
      </c>
      <c r="AM1032" s="55"/>
      <c r="AN1032" s="56" t="str">
        <f t="shared" si="507"/>
        <v/>
      </c>
      <c r="AO1032" s="55"/>
      <c r="AP1032" s="56" t="str">
        <f t="shared" si="508"/>
        <v/>
      </c>
      <c r="AQ1032" s="55"/>
      <c r="AR1032" s="56" t="str">
        <f t="shared" si="509"/>
        <v/>
      </c>
      <c r="AS1032" s="57"/>
      <c r="AT1032" s="58"/>
      <c r="AU1032" s="58"/>
      <c r="AV1032" s="59"/>
      <c r="AW1032" s="60" t="str">
        <f t="shared" si="487"/>
        <v/>
      </c>
      <c r="AX1032" s="61" t="str">
        <f t="shared" si="488"/>
        <v/>
      </c>
      <c r="AY1032" s="60" t="str">
        <f t="shared" si="489"/>
        <v/>
      </c>
      <c r="AZ1032" s="61" t="str">
        <f t="shared" si="490"/>
        <v/>
      </c>
    </row>
    <row r="1033" spans="1:52" s="3" customFormat="1" hidden="1" x14ac:dyDescent="0.35">
      <c r="A1033" s="72">
        <f t="shared" si="491"/>
        <v>2021</v>
      </c>
      <c r="B1033" s="72" t="str">
        <f t="shared" si="492"/>
        <v>Nov</v>
      </c>
      <c r="C1033" s="73">
        <f t="shared" si="510"/>
        <v>15</v>
      </c>
      <c r="D1033" s="74">
        <f t="shared" si="493"/>
        <v>9</v>
      </c>
      <c r="E1033" s="75">
        <f t="shared" si="494"/>
        <v>9</v>
      </c>
      <c r="F1033" s="79"/>
      <c r="G1033" s="82"/>
      <c r="H1033" s="68" t="str">
        <f t="shared" si="511"/>
        <v>Clesim6_20211115_09_00</v>
      </c>
      <c r="I1033" s="69">
        <f t="shared" si="512"/>
        <v>1</v>
      </c>
      <c r="J1033" s="76" t="str">
        <f t="shared" si="512"/>
        <v>Clematis</v>
      </c>
      <c r="K1033" s="76" t="str">
        <f t="shared" si="512"/>
        <v>simense</v>
      </c>
      <c r="L1033" s="77">
        <f t="shared" si="512"/>
        <v>6</v>
      </c>
      <c r="M1033" s="77">
        <f t="shared" si="512"/>
        <v>20</v>
      </c>
      <c r="N1033" s="71">
        <f t="shared" si="512"/>
        <v>0</v>
      </c>
      <c r="O1033" s="44"/>
      <c r="P1033" s="45" t="str">
        <f t="shared" si="495"/>
        <v/>
      </c>
      <c r="Q1033" s="46" t="str">
        <f t="shared" si="496"/>
        <v/>
      </c>
      <c r="R1033" s="47" t="e">
        <f t="shared" si="497"/>
        <v>#VALUE!</v>
      </c>
      <c r="S1033" s="48" t="e">
        <f t="shared" si="486"/>
        <v>#VALUE!</v>
      </c>
      <c r="T1033" s="47" t="str">
        <f t="shared" si="498"/>
        <v/>
      </c>
      <c r="U1033" s="49"/>
      <c r="V1033" s="50"/>
      <c r="W1033" s="51" t="e">
        <f t="shared" si="499"/>
        <v>#VALUE!</v>
      </c>
      <c r="X1033" s="52"/>
      <c r="Y1033" s="52"/>
      <c r="Z1033" s="52"/>
      <c r="AA1033" s="47" t="e">
        <f>INDEX(VISITORS[INSECT ORDER], MATCH(X1033,VISITORS[NAME USED],0))</f>
        <v>#N/A</v>
      </c>
      <c r="AB1033" s="47" t="e">
        <f t="shared" si="500"/>
        <v>#N/A</v>
      </c>
      <c r="AC1033" s="53" t="e">
        <f t="shared" si="501"/>
        <v>#VALUE!</v>
      </c>
      <c r="AD1033" s="54" t="str">
        <f t="shared" si="502"/>
        <v/>
      </c>
      <c r="AE1033" s="54"/>
      <c r="AF1033" s="54"/>
      <c r="AG1033" s="55" t="str">
        <f t="shared" si="503"/>
        <v/>
      </c>
      <c r="AH1033" s="56" t="str">
        <f t="shared" si="504"/>
        <v/>
      </c>
      <c r="AI1033" s="55"/>
      <c r="AJ1033" s="56" t="str">
        <f t="shared" si="505"/>
        <v/>
      </c>
      <c r="AK1033" s="55"/>
      <c r="AL1033" s="56" t="str">
        <f t="shared" si="506"/>
        <v/>
      </c>
      <c r="AM1033" s="55"/>
      <c r="AN1033" s="56" t="str">
        <f t="shared" si="507"/>
        <v/>
      </c>
      <c r="AO1033" s="55"/>
      <c r="AP1033" s="56" t="str">
        <f t="shared" si="508"/>
        <v/>
      </c>
      <c r="AQ1033" s="55"/>
      <c r="AR1033" s="56" t="str">
        <f t="shared" si="509"/>
        <v/>
      </c>
      <c r="AS1033" s="57"/>
      <c r="AT1033" s="58"/>
      <c r="AU1033" s="58"/>
      <c r="AV1033" s="59"/>
      <c r="AW1033" s="60" t="str">
        <f t="shared" si="487"/>
        <v/>
      </c>
      <c r="AX1033" s="61" t="str">
        <f t="shared" si="488"/>
        <v/>
      </c>
      <c r="AY1033" s="60" t="str">
        <f t="shared" si="489"/>
        <v/>
      </c>
      <c r="AZ1033" s="61" t="str">
        <f t="shared" si="490"/>
        <v/>
      </c>
    </row>
    <row r="1034" spans="1:52" s="3" customFormat="1" x14ac:dyDescent="0.35">
      <c r="A1034" s="72">
        <f t="shared" si="491"/>
        <v>2021</v>
      </c>
      <c r="B1034" s="72" t="str">
        <f t="shared" si="492"/>
        <v>Nov</v>
      </c>
      <c r="C1034" s="73">
        <f t="shared" si="510"/>
        <v>15</v>
      </c>
      <c r="D1034" s="74">
        <f t="shared" si="493"/>
        <v>9</v>
      </c>
      <c r="E1034" s="75">
        <f t="shared" si="494"/>
        <v>10</v>
      </c>
      <c r="F1034" s="79">
        <v>31</v>
      </c>
      <c r="G1034" s="82"/>
      <c r="H1034" s="68" t="str">
        <f t="shared" si="511"/>
        <v>Clesim6_20211115_09_00</v>
      </c>
      <c r="I1034" s="69">
        <f t="shared" si="512"/>
        <v>1</v>
      </c>
      <c r="J1034" s="76" t="str">
        <f t="shared" si="512"/>
        <v>Clematis</v>
      </c>
      <c r="K1034" s="76" t="str">
        <f t="shared" si="512"/>
        <v>simense</v>
      </c>
      <c r="L1034" s="77">
        <f t="shared" si="512"/>
        <v>6</v>
      </c>
      <c r="M1034" s="77">
        <f t="shared" si="512"/>
        <v>20</v>
      </c>
      <c r="N1034" s="71">
        <f t="shared" si="512"/>
        <v>0</v>
      </c>
      <c r="O1034" s="44"/>
      <c r="P1034" s="45">
        <f t="shared" si="495"/>
        <v>1</v>
      </c>
      <c r="Q1034" s="46" t="str">
        <f t="shared" si="496"/>
        <v>09:10:31</v>
      </c>
      <c r="R1034" s="47" t="str">
        <f t="shared" si="497"/>
        <v>10:31</v>
      </c>
      <c r="S1034" s="48">
        <f t="shared" si="486"/>
        <v>812</v>
      </c>
      <c r="T1034" s="47" t="str">
        <f t="shared" si="498"/>
        <v>09</v>
      </c>
      <c r="U1034" s="49">
        <v>24</v>
      </c>
      <c r="V1034" s="50">
        <v>3</v>
      </c>
      <c r="W1034" s="51" t="str">
        <f t="shared" si="499"/>
        <v>24:03</v>
      </c>
      <c r="X1034" s="123" t="s">
        <v>66</v>
      </c>
      <c r="Y1034" s="52" t="s">
        <v>94</v>
      </c>
      <c r="Z1034" s="52"/>
      <c r="AA1034" s="47" t="s">
        <v>67</v>
      </c>
      <c r="AB1034" s="47" t="str">
        <f t="shared" si="500"/>
        <v>NA</v>
      </c>
      <c r="AC1034" s="53" t="str">
        <f t="shared" si="501"/>
        <v/>
      </c>
      <c r="AD1034" s="54">
        <v>5</v>
      </c>
      <c r="AE1034" s="54"/>
      <c r="AF1034" s="54"/>
      <c r="AG1034" s="55" t="str">
        <f t="shared" si="503"/>
        <v/>
      </c>
      <c r="AH1034" s="56" t="str">
        <f t="shared" si="504"/>
        <v/>
      </c>
      <c r="AI1034" s="55"/>
      <c r="AJ1034" s="56" t="str">
        <f t="shared" si="505"/>
        <v/>
      </c>
      <c r="AK1034" s="55"/>
      <c r="AL1034" s="56" t="str">
        <f t="shared" si="506"/>
        <v/>
      </c>
      <c r="AM1034" s="55"/>
      <c r="AN1034" s="56" t="str">
        <f t="shared" si="507"/>
        <v/>
      </c>
      <c r="AO1034" s="55"/>
      <c r="AP1034" s="56" t="str">
        <f t="shared" si="508"/>
        <v/>
      </c>
      <c r="AQ1034" s="55"/>
      <c r="AR1034" s="56" t="str">
        <f t="shared" si="509"/>
        <v/>
      </c>
      <c r="AS1034" s="57"/>
      <c r="AT1034" s="58"/>
      <c r="AU1034" s="58"/>
      <c r="AV1034" s="59"/>
      <c r="AW1034" s="60">
        <f t="shared" si="487"/>
        <v>0</v>
      </c>
      <c r="AX1034" s="61" t="str">
        <f t="shared" si="488"/>
        <v/>
      </c>
      <c r="AY1034" s="60">
        <f t="shared" si="489"/>
        <v>0</v>
      </c>
      <c r="AZ1034" s="61" t="str">
        <f t="shared" si="490"/>
        <v/>
      </c>
    </row>
    <row r="1035" spans="1:52" s="3" customFormat="1" hidden="1" x14ac:dyDescent="0.35">
      <c r="A1035" s="72">
        <f t="shared" si="491"/>
        <v>2021</v>
      </c>
      <c r="B1035" s="72" t="str">
        <f t="shared" si="492"/>
        <v>Nov</v>
      </c>
      <c r="C1035" s="73">
        <f t="shared" si="510"/>
        <v>15</v>
      </c>
      <c r="D1035" s="74">
        <f t="shared" si="493"/>
        <v>9</v>
      </c>
      <c r="E1035" s="75">
        <f t="shared" si="494"/>
        <v>11</v>
      </c>
      <c r="F1035" s="79"/>
      <c r="G1035" s="82"/>
      <c r="H1035" s="68" t="str">
        <f t="shared" si="511"/>
        <v>Clesim6_20211115_09_00</v>
      </c>
      <c r="I1035" s="69">
        <f t="shared" si="512"/>
        <v>1</v>
      </c>
      <c r="J1035" s="76" t="str">
        <f t="shared" si="512"/>
        <v>Clematis</v>
      </c>
      <c r="K1035" s="76" t="str">
        <f t="shared" si="512"/>
        <v>simense</v>
      </c>
      <c r="L1035" s="77">
        <f t="shared" si="512"/>
        <v>6</v>
      </c>
      <c r="M1035" s="77">
        <f t="shared" si="512"/>
        <v>20</v>
      </c>
      <c r="N1035" s="71">
        <f t="shared" si="512"/>
        <v>0</v>
      </c>
      <c r="O1035" s="44"/>
      <c r="P1035" s="45" t="str">
        <f t="shared" si="495"/>
        <v/>
      </c>
      <c r="Q1035" s="46" t="str">
        <f t="shared" si="496"/>
        <v/>
      </c>
      <c r="R1035" s="47" t="e">
        <f t="shared" si="497"/>
        <v>#VALUE!</v>
      </c>
      <c r="S1035" s="48" t="e">
        <f t="shared" si="486"/>
        <v>#VALUE!</v>
      </c>
      <c r="T1035" s="47" t="str">
        <f t="shared" si="498"/>
        <v/>
      </c>
      <c r="U1035" s="49"/>
      <c r="V1035" s="50"/>
      <c r="W1035" s="51" t="e">
        <f t="shared" si="499"/>
        <v>#VALUE!</v>
      </c>
      <c r="X1035" s="52"/>
      <c r="Y1035" s="52"/>
      <c r="Z1035" s="52"/>
      <c r="AA1035" s="47" t="e">
        <f>INDEX(VISITORS[INSECT ORDER], MATCH(X1035,VISITORS[NAME USED],0))</f>
        <v>#N/A</v>
      </c>
      <c r="AB1035" s="47" t="e">
        <f t="shared" si="500"/>
        <v>#N/A</v>
      </c>
      <c r="AC1035" s="53" t="e">
        <f t="shared" si="501"/>
        <v>#VALUE!</v>
      </c>
      <c r="AD1035" s="54" t="str">
        <f t="shared" si="502"/>
        <v/>
      </c>
      <c r="AE1035" s="54"/>
      <c r="AF1035" s="54"/>
      <c r="AG1035" s="55" t="str">
        <f t="shared" si="503"/>
        <v/>
      </c>
      <c r="AH1035" s="56" t="str">
        <f t="shared" si="504"/>
        <v/>
      </c>
      <c r="AI1035" s="55"/>
      <c r="AJ1035" s="56" t="str">
        <f t="shared" si="505"/>
        <v/>
      </c>
      <c r="AK1035" s="55"/>
      <c r="AL1035" s="56" t="str">
        <f t="shared" si="506"/>
        <v/>
      </c>
      <c r="AM1035" s="55"/>
      <c r="AN1035" s="56" t="str">
        <f t="shared" si="507"/>
        <v/>
      </c>
      <c r="AO1035" s="55"/>
      <c r="AP1035" s="56" t="str">
        <f t="shared" si="508"/>
        <v/>
      </c>
      <c r="AQ1035" s="55"/>
      <c r="AR1035" s="56" t="str">
        <f t="shared" si="509"/>
        <v/>
      </c>
      <c r="AS1035" s="57"/>
      <c r="AT1035" s="58"/>
      <c r="AU1035" s="58"/>
      <c r="AV1035" s="59"/>
      <c r="AW1035" s="60" t="str">
        <f t="shared" si="487"/>
        <v/>
      </c>
      <c r="AX1035" s="61" t="str">
        <f t="shared" si="488"/>
        <v/>
      </c>
      <c r="AY1035" s="60" t="str">
        <f t="shared" si="489"/>
        <v/>
      </c>
      <c r="AZ1035" s="61" t="str">
        <f t="shared" si="490"/>
        <v/>
      </c>
    </row>
    <row r="1036" spans="1:52" s="3" customFormat="1" hidden="1" x14ac:dyDescent="0.35">
      <c r="A1036" s="72">
        <f t="shared" si="491"/>
        <v>2021</v>
      </c>
      <c r="B1036" s="72" t="str">
        <f t="shared" si="492"/>
        <v>Nov</v>
      </c>
      <c r="C1036" s="73">
        <f t="shared" si="510"/>
        <v>15</v>
      </c>
      <c r="D1036" s="74">
        <f t="shared" si="493"/>
        <v>9</v>
      </c>
      <c r="E1036" s="75">
        <f t="shared" si="494"/>
        <v>12</v>
      </c>
      <c r="F1036" s="79"/>
      <c r="G1036" s="82"/>
      <c r="H1036" s="68" t="str">
        <f t="shared" si="511"/>
        <v>Clesim6_20211115_09_00</v>
      </c>
      <c r="I1036" s="69">
        <f t="shared" si="512"/>
        <v>1</v>
      </c>
      <c r="J1036" s="76" t="str">
        <f t="shared" si="512"/>
        <v>Clematis</v>
      </c>
      <c r="K1036" s="76" t="str">
        <f t="shared" si="512"/>
        <v>simense</v>
      </c>
      <c r="L1036" s="77">
        <f t="shared" si="512"/>
        <v>6</v>
      </c>
      <c r="M1036" s="77">
        <f t="shared" si="512"/>
        <v>20</v>
      </c>
      <c r="N1036" s="71">
        <f t="shared" si="512"/>
        <v>0</v>
      </c>
      <c r="O1036" s="44"/>
      <c r="P1036" s="45" t="str">
        <f t="shared" si="495"/>
        <v/>
      </c>
      <c r="Q1036" s="46" t="str">
        <f t="shared" si="496"/>
        <v/>
      </c>
      <c r="R1036" s="47" t="e">
        <f t="shared" si="497"/>
        <v>#VALUE!</v>
      </c>
      <c r="S1036" s="48" t="e">
        <f t="shared" si="486"/>
        <v>#VALUE!</v>
      </c>
      <c r="T1036" s="47" t="str">
        <f t="shared" si="498"/>
        <v/>
      </c>
      <c r="U1036" s="49"/>
      <c r="V1036" s="50"/>
      <c r="W1036" s="51" t="e">
        <f t="shared" si="499"/>
        <v>#VALUE!</v>
      </c>
      <c r="X1036" s="52"/>
      <c r="Y1036" s="52"/>
      <c r="Z1036" s="52"/>
      <c r="AA1036" s="47" t="e">
        <f>INDEX(VISITORS[INSECT ORDER], MATCH(X1036,VISITORS[NAME USED],0))</f>
        <v>#N/A</v>
      </c>
      <c r="AB1036" s="47" t="e">
        <f t="shared" si="500"/>
        <v>#N/A</v>
      </c>
      <c r="AC1036" s="53" t="e">
        <f t="shared" si="501"/>
        <v>#VALUE!</v>
      </c>
      <c r="AD1036" s="54" t="str">
        <f t="shared" si="502"/>
        <v/>
      </c>
      <c r="AE1036" s="54"/>
      <c r="AF1036" s="54"/>
      <c r="AG1036" s="55" t="str">
        <f t="shared" si="503"/>
        <v/>
      </c>
      <c r="AH1036" s="56" t="str">
        <f t="shared" si="504"/>
        <v/>
      </c>
      <c r="AI1036" s="55"/>
      <c r="AJ1036" s="56" t="str">
        <f t="shared" si="505"/>
        <v/>
      </c>
      <c r="AK1036" s="55"/>
      <c r="AL1036" s="56" t="str">
        <f t="shared" si="506"/>
        <v/>
      </c>
      <c r="AM1036" s="55"/>
      <c r="AN1036" s="56" t="str">
        <f t="shared" si="507"/>
        <v/>
      </c>
      <c r="AO1036" s="55"/>
      <c r="AP1036" s="56" t="str">
        <f t="shared" si="508"/>
        <v/>
      </c>
      <c r="AQ1036" s="55"/>
      <c r="AR1036" s="56" t="str">
        <f t="shared" si="509"/>
        <v/>
      </c>
      <c r="AS1036" s="57"/>
      <c r="AT1036" s="58"/>
      <c r="AU1036" s="58"/>
      <c r="AV1036" s="59"/>
      <c r="AW1036" s="60" t="str">
        <f t="shared" si="487"/>
        <v/>
      </c>
      <c r="AX1036" s="61" t="str">
        <f t="shared" si="488"/>
        <v/>
      </c>
      <c r="AY1036" s="60" t="str">
        <f t="shared" si="489"/>
        <v/>
      </c>
      <c r="AZ1036" s="61" t="str">
        <f t="shared" si="490"/>
        <v/>
      </c>
    </row>
    <row r="1037" spans="1:52" s="3" customFormat="1" hidden="1" x14ac:dyDescent="0.35">
      <c r="A1037" s="72">
        <f t="shared" si="491"/>
        <v>2021</v>
      </c>
      <c r="B1037" s="72" t="str">
        <f t="shared" si="492"/>
        <v>Nov</v>
      </c>
      <c r="C1037" s="73">
        <f t="shared" si="510"/>
        <v>15</v>
      </c>
      <c r="D1037" s="74">
        <f t="shared" si="493"/>
        <v>9</v>
      </c>
      <c r="E1037" s="75">
        <f t="shared" si="494"/>
        <v>13</v>
      </c>
      <c r="F1037" s="79"/>
      <c r="G1037" s="82"/>
      <c r="H1037" s="68" t="str">
        <f t="shared" si="511"/>
        <v>Clesim6_20211115_09_00</v>
      </c>
      <c r="I1037" s="69">
        <f t="shared" si="512"/>
        <v>1</v>
      </c>
      <c r="J1037" s="76" t="str">
        <f t="shared" si="512"/>
        <v>Clematis</v>
      </c>
      <c r="K1037" s="76" t="str">
        <f t="shared" si="512"/>
        <v>simense</v>
      </c>
      <c r="L1037" s="77">
        <f t="shared" si="512"/>
        <v>6</v>
      </c>
      <c r="M1037" s="77">
        <f t="shared" si="512"/>
        <v>20</v>
      </c>
      <c r="N1037" s="71">
        <f t="shared" si="512"/>
        <v>0</v>
      </c>
      <c r="O1037" s="44"/>
      <c r="P1037" s="45" t="str">
        <f t="shared" si="495"/>
        <v/>
      </c>
      <c r="Q1037" s="46" t="str">
        <f t="shared" si="496"/>
        <v/>
      </c>
      <c r="R1037" s="47" t="e">
        <f t="shared" si="497"/>
        <v>#VALUE!</v>
      </c>
      <c r="S1037" s="48" t="e">
        <f t="shared" si="486"/>
        <v>#VALUE!</v>
      </c>
      <c r="T1037" s="47" t="str">
        <f t="shared" si="498"/>
        <v/>
      </c>
      <c r="U1037" s="49"/>
      <c r="V1037" s="50"/>
      <c r="W1037" s="51" t="e">
        <f t="shared" si="499"/>
        <v>#VALUE!</v>
      </c>
      <c r="X1037" s="52"/>
      <c r="Y1037" s="52"/>
      <c r="Z1037" s="52"/>
      <c r="AA1037" s="47" t="e">
        <f>INDEX(VISITORS[INSECT ORDER], MATCH(X1037,VISITORS[NAME USED],0))</f>
        <v>#N/A</v>
      </c>
      <c r="AB1037" s="47" t="e">
        <f t="shared" si="500"/>
        <v>#N/A</v>
      </c>
      <c r="AC1037" s="53" t="e">
        <f t="shared" si="501"/>
        <v>#VALUE!</v>
      </c>
      <c r="AD1037" s="54" t="str">
        <f t="shared" si="502"/>
        <v/>
      </c>
      <c r="AE1037" s="54"/>
      <c r="AF1037" s="54"/>
      <c r="AG1037" s="55" t="str">
        <f t="shared" si="503"/>
        <v/>
      </c>
      <c r="AH1037" s="56" t="str">
        <f t="shared" si="504"/>
        <v/>
      </c>
      <c r="AI1037" s="55"/>
      <c r="AJ1037" s="56" t="str">
        <f t="shared" si="505"/>
        <v/>
      </c>
      <c r="AK1037" s="55"/>
      <c r="AL1037" s="56" t="str">
        <f t="shared" si="506"/>
        <v/>
      </c>
      <c r="AM1037" s="55"/>
      <c r="AN1037" s="56" t="str">
        <f t="shared" si="507"/>
        <v/>
      </c>
      <c r="AO1037" s="55"/>
      <c r="AP1037" s="56" t="str">
        <f t="shared" si="508"/>
        <v/>
      </c>
      <c r="AQ1037" s="55"/>
      <c r="AR1037" s="56" t="str">
        <f t="shared" si="509"/>
        <v/>
      </c>
      <c r="AS1037" s="57"/>
      <c r="AT1037" s="58"/>
      <c r="AU1037" s="58"/>
      <c r="AV1037" s="59"/>
      <c r="AW1037" s="60" t="str">
        <f t="shared" si="487"/>
        <v/>
      </c>
      <c r="AX1037" s="61" t="str">
        <f t="shared" si="488"/>
        <v/>
      </c>
      <c r="AY1037" s="60" t="str">
        <f t="shared" si="489"/>
        <v/>
      </c>
      <c r="AZ1037" s="61" t="str">
        <f t="shared" si="490"/>
        <v/>
      </c>
    </row>
    <row r="1038" spans="1:52" s="3" customFormat="1" hidden="1" x14ac:dyDescent="0.35">
      <c r="A1038" s="72">
        <f t="shared" si="491"/>
        <v>2021</v>
      </c>
      <c r="B1038" s="72" t="str">
        <f t="shared" si="492"/>
        <v>Nov</v>
      </c>
      <c r="C1038" s="73">
        <f t="shared" si="510"/>
        <v>15</v>
      </c>
      <c r="D1038" s="74">
        <f t="shared" si="493"/>
        <v>9</v>
      </c>
      <c r="E1038" s="75">
        <f t="shared" si="494"/>
        <v>14</v>
      </c>
      <c r="F1038" s="79"/>
      <c r="G1038" s="82"/>
      <c r="H1038" s="68" t="str">
        <f t="shared" si="511"/>
        <v>Clesim6_20211115_09_00</v>
      </c>
      <c r="I1038" s="69">
        <f t="shared" si="512"/>
        <v>1</v>
      </c>
      <c r="J1038" s="76" t="str">
        <f t="shared" si="512"/>
        <v>Clematis</v>
      </c>
      <c r="K1038" s="76" t="str">
        <f t="shared" si="512"/>
        <v>simense</v>
      </c>
      <c r="L1038" s="77">
        <f t="shared" si="512"/>
        <v>6</v>
      </c>
      <c r="M1038" s="77">
        <f t="shared" si="512"/>
        <v>20</v>
      </c>
      <c r="N1038" s="71">
        <f t="shared" si="512"/>
        <v>0</v>
      </c>
      <c r="O1038" s="44"/>
      <c r="P1038" s="45" t="str">
        <f t="shared" si="495"/>
        <v/>
      </c>
      <c r="Q1038" s="46" t="str">
        <f t="shared" si="496"/>
        <v/>
      </c>
      <c r="R1038" s="47" t="e">
        <f t="shared" si="497"/>
        <v>#VALUE!</v>
      </c>
      <c r="S1038" s="48" t="e">
        <f t="shared" si="486"/>
        <v>#VALUE!</v>
      </c>
      <c r="T1038" s="47" t="str">
        <f t="shared" si="498"/>
        <v/>
      </c>
      <c r="U1038" s="49"/>
      <c r="V1038" s="50"/>
      <c r="W1038" s="51" t="e">
        <f t="shared" si="499"/>
        <v>#VALUE!</v>
      </c>
      <c r="X1038" s="52"/>
      <c r="Y1038" s="52"/>
      <c r="Z1038" s="52"/>
      <c r="AA1038" s="47" t="e">
        <f>INDEX(VISITORS[INSECT ORDER], MATCH(X1038,VISITORS[NAME USED],0))</f>
        <v>#N/A</v>
      </c>
      <c r="AB1038" s="47" t="e">
        <f t="shared" si="500"/>
        <v>#N/A</v>
      </c>
      <c r="AC1038" s="53" t="e">
        <f t="shared" si="501"/>
        <v>#VALUE!</v>
      </c>
      <c r="AD1038" s="54" t="str">
        <f t="shared" si="502"/>
        <v/>
      </c>
      <c r="AE1038" s="54"/>
      <c r="AF1038" s="54"/>
      <c r="AG1038" s="55" t="str">
        <f t="shared" si="503"/>
        <v/>
      </c>
      <c r="AH1038" s="56" t="str">
        <f t="shared" si="504"/>
        <v/>
      </c>
      <c r="AI1038" s="55"/>
      <c r="AJ1038" s="56" t="str">
        <f t="shared" si="505"/>
        <v/>
      </c>
      <c r="AK1038" s="55"/>
      <c r="AL1038" s="56" t="str">
        <f t="shared" si="506"/>
        <v/>
      </c>
      <c r="AM1038" s="55"/>
      <c r="AN1038" s="56" t="str">
        <f t="shared" si="507"/>
        <v/>
      </c>
      <c r="AO1038" s="55"/>
      <c r="AP1038" s="56" t="str">
        <f t="shared" si="508"/>
        <v/>
      </c>
      <c r="AQ1038" s="55"/>
      <c r="AR1038" s="56" t="str">
        <f t="shared" si="509"/>
        <v/>
      </c>
      <c r="AS1038" s="57"/>
      <c r="AT1038" s="58"/>
      <c r="AU1038" s="58"/>
      <c r="AV1038" s="59"/>
      <c r="AW1038" s="60" t="str">
        <f t="shared" si="487"/>
        <v/>
      </c>
      <c r="AX1038" s="61" t="str">
        <f t="shared" si="488"/>
        <v/>
      </c>
      <c r="AY1038" s="60" t="str">
        <f t="shared" si="489"/>
        <v/>
      </c>
      <c r="AZ1038" s="61" t="str">
        <f t="shared" si="490"/>
        <v/>
      </c>
    </row>
    <row r="1039" spans="1:52" s="3" customFormat="1" hidden="1" x14ac:dyDescent="0.35">
      <c r="A1039" s="72">
        <f t="shared" si="491"/>
        <v>2021</v>
      </c>
      <c r="B1039" s="72" t="str">
        <f t="shared" si="492"/>
        <v>Nov</v>
      </c>
      <c r="C1039" s="73">
        <f t="shared" si="510"/>
        <v>15</v>
      </c>
      <c r="D1039" s="74">
        <f t="shared" si="493"/>
        <v>9</v>
      </c>
      <c r="E1039" s="75">
        <f t="shared" si="494"/>
        <v>15</v>
      </c>
      <c r="F1039" s="79"/>
      <c r="G1039" s="82"/>
      <c r="H1039" s="68" t="str">
        <f t="shared" si="511"/>
        <v>Clesim6_20211115_09_00</v>
      </c>
      <c r="I1039" s="69">
        <f t="shared" si="512"/>
        <v>1</v>
      </c>
      <c r="J1039" s="76" t="str">
        <f t="shared" si="512"/>
        <v>Clematis</v>
      </c>
      <c r="K1039" s="76" t="str">
        <f t="shared" si="512"/>
        <v>simense</v>
      </c>
      <c r="L1039" s="77">
        <f t="shared" si="512"/>
        <v>6</v>
      </c>
      <c r="M1039" s="77">
        <f t="shared" si="512"/>
        <v>20</v>
      </c>
      <c r="N1039" s="71">
        <f t="shared" si="512"/>
        <v>0</v>
      </c>
      <c r="O1039" s="44"/>
      <c r="P1039" s="45" t="str">
        <f t="shared" si="495"/>
        <v/>
      </c>
      <c r="Q1039" s="46" t="str">
        <f t="shared" si="496"/>
        <v/>
      </c>
      <c r="R1039" s="47" t="e">
        <f t="shared" si="497"/>
        <v>#VALUE!</v>
      </c>
      <c r="S1039" s="48" t="e">
        <f t="shared" si="486"/>
        <v>#VALUE!</v>
      </c>
      <c r="T1039" s="47" t="str">
        <f t="shared" si="498"/>
        <v/>
      </c>
      <c r="U1039" s="49"/>
      <c r="V1039" s="50"/>
      <c r="W1039" s="51" t="e">
        <f t="shared" si="499"/>
        <v>#VALUE!</v>
      </c>
      <c r="X1039" s="52"/>
      <c r="Y1039" s="52"/>
      <c r="Z1039" s="52"/>
      <c r="AA1039" s="47" t="e">
        <f>INDEX(VISITORS[INSECT ORDER], MATCH(X1039,VISITORS[NAME USED],0))</f>
        <v>#N/A</v>
      </c>
      <c r="AB1039" s="47" t="e">
        <f t="shared" si="500"/>
        <v>#N/A</v>
      </c>
      <c r="AC1039" s="53" t="e">
        <f t="shared" si="501"/>
        <v>#VALUE!</v>
      </c>
      <c r="AD1039" s="54" t="str">
        <f t="shared" si="502"/>
        <v/>
      </c>
      <c r="AE1039" s="54"/>
      <c r="AF1039" s="54"/>
      <c r="AG1039" s="55" t="str">
        <f t="shared" si="503"/>
        <v/>
      </c>
      <c r="AH1039" s="56" t="str">
        <f t="shared" si="504"/>
        <v/>
      </c>
      <c r="AI1039" s="55"/>
      <c r="AJ1039" s="56" t="str">
        <f t="shared" si="505"/>
        <v/>
      </c>
      <c r="AK1039" s="55"/>
      <c r="AL1039" s="56" t="str">
        <f t="shared" si="506"/>
        <v/>
      </c>
      <c r="AM1039" s="55"/>
      <c r="AN1039" s="56" t="str">
        <f t="shared" si="507"/>
        <v/>
      </c>
      <c r="AO1039" s="55"/>
      <c r="AP1039" s="56" t="str">
        <f t="shared" si="508"/>
        <v/>
      </c>
      <c r="AQ1039" s="55"/>
      <c r="AR1039" s="56" t="str">
        <f t="shared" si="509"/>
        <v/>
      </c>
      <c r="AS1039" s="57"/>
      <c r="AT1039" s="58"/>
      <c r="AU1039" s="58"/>
      <c r="AV1039" s="59"/>
      <c r="AW1039" s="60" t="str">
        <f t="shared" si="487"/>
        <v/>
      </c>
      <c r="AX1039" s="61" t="str">
        <f t="shared" si="488"/>
        <v/>
      </c>
      <c r="AY1039" s="60" t="str">
        <f t="shared" si="489"/>
        <v/>
      </c>
      <c r="AZ1039" s="61" t="str">
        <f t="shared" si="490"/>
        <v/>
      </c>
    </row>
    <row r="1040" spans="1:52" s="3" customFormat="1" hidden="1" x14ac:dyDescent="0.35">
      <c r="A1040" s="72">
        <f t="shared" si="491"/>
        <v>2021</v>
      </c>
      <c r="B1040" s="72" t="str">
        <f t="shared" si="492"/>
        <v>Nov</v>
      </c>
      <c r="C1040" s="73">
        <f t="shared" si="510"/>
        <v>15</v>
      </c>
      <c r="D1040" s="74">
        <f t="shared" si="493"/>
        <v>9</v>
      </c>
      <c r="E1040" s="75">
        <f t="shared" si="494"/>
        <v>16</v>
      </c>
      <c r="F1040" s="79"/>
      <c r="G1040" s="82"/>
      <c r="H1040" s="68" t="str">
        <f t="shared" si="511"/>
        <v>Clesim6_20211115_09_00</v>
      </c>
      <c r="I1040" s="69">
        <f t="shared" si="512"/>
        <v>1</v>
      </c>
      <c r="J1040" s="76" t="str">
        <f t="shared" si="512"/>
        <v>Clematis</v>
      </c>
      <c r="K1040" s="76" t="str">
        <f t="shared" si="512"/>
        <v>simense</v>
      </c>
      <c r="L1040" s="77">
        <f t="shared" si="512"/>
        <v>6</v>
      </c>
      <c r="M1040" s="77">
        <f t="shared" si="512"/>
        <v>20</v>
      </c>
      <c r="N1040" s="71">
        <f t="shared" si="512"/>
        <v>0</v>
      </c>
      <c r="O1040" s="44"/>
      <c r="P1040" s="45" t="str">
        <f t="shared" si="495"/>
        <v/>
      </c>
      <c r="Q1040" s="46" t="str">
        <f t="shared" si="496"/>
        <v/>
      </c>
      <c r="R1040" s="47" t="e">
        <f t="shared" si="497"/>
        <v>#VALUE!</v>
      </c>
      <c r="S1040" s="48" t="e">
        <f t="shared" si="486"/>
        <v>#VALUE!</v>
      </c>
      <c r="T1040" s="47" t="str">
        <f t="shared" si="498"/>
        <v/>
      </c>
      <c r="U1040" s="49"/>
      <c r="V1040" s="50"/>
      <c r="W1040" s="51" t="e">
        <f t="shared" si="499"/>
        <v>#VALUE!</v>
      </c>
      <c r="X1040" s="52"/>
      <c r="Y1040" s="52"/>
      <c r="Z1040" s="52"/>
      <c r="AA1040" s="47" t="e">
        <f>INDEX(VISITORS[INSECT ORDER], MATCH(X1040,VISITORS[NAME USED],0))</f>
        <v>#N/A</v>
      </c>
      <c r="AB1040" s="47" t="e">
        <f t="shared" si="500"/>
        <v>#N/A</v>
      </c>
      <c r="AC1040" s="53" t="e">
        <f t="shared" si="501"/>
        <v>#VALUE!</v>
      </c>
      <c r="AD1040" s="54" t="str">
        <f t="shared" si="502"/>
        <v/>
      </c>
      <c r="AE1040" s="54"/>
      <c r="AF1040" s="54"/>
      <c r="AG1040" s="55" t="str">
        <f t="shared" si="503"/>
        <v/>
      </c>
      <c r="AH1040" s="56" t="str">
        <f t="shared" si="504"/>
        <v/>
      </c>
      <c r="AI1040" s="55"/>
      <c r="AJ1040" s="56" t="str">
        <f t="shared" si="505"/>
        <v/>
      </c>
      <c r="AK1040" s="55"/>
      <c r="AL1040" s="56" t="str">
        <f t="shared" si="506"/>
        <v/>
      </c>
      <c r="AM1040" s="55"/>
      <c r="AN1040" s="56" t="str">
        <f t="shared" si="507"/>
        <v/>
      </c>
      <c r="AO1040" s="55"/>
      <c r="AP1040" s="56" t="str">
        <f t="shared" si="508"/>
        <v/>
      </c>
      <c r="AQ1040" s="55"/>
      <c r="AR1040" s="56" t="str">
        <f t="shared" si="509"/>
        <v/>
      </c>
      <c r="AS1040" s="57"/>
      <c r="AT1040" s="58"/>
      <c r="AU1040" s="58"/>
      <c r="AV1040" s="59"/>
      <c r="AW1040" s="60" t="str">
        <f t="shared" si="487"/>
        <v/>
      </c>
      <c r="AX1040" s="61" t="str">
        <f t="shared" si="488"/>
        <v/>
      </c>
      <c r="AY1040" s="60" t="str">
        <f t="shared" si="489"/>
        <v/>
      </c>
      <c r="AZ1040" s="61" t="str">
        <f t="shared" si="490"/>
        <v/>
      </c>
    </row>
    <row r="1041" spans="1:52" s="3" customFormat="1" hidden="1" x14ac:dyDescent="0.35">
      <c r="A1041" s="72">
        <f t="shared" si="491"/>
        <v>2021</v>
      </c>
      <c r="B1041" s="72" t="str">
        <f t="shared" si="492"/>
        <v>Nov</v>
      </c>
      <c r="C1041" s="73">
        <f t="shared" si="510"/>
        <v>15</v>
      </c>
      <c r="D1041" s="74">
        <f t="shared" si="493"/>
        <v>9</v>
      </c>
      <c r="E1041" s="75">
        <f t="shared" si="494"/>
        <v>17</v>
      </c>
      <c r="F1041" s="79"/>
      <c r="G1041" s="82"/>
      <c r="H1041" s="68" t="str">
        <f t="shared" si="511"/>
        <v>Clesim6_20211115_09_00</v>
      </c>
      <c r="I1041" s="69">
        <f t="shared" si="512"/>
        <v>1</v>
      </c>
      <c r="J1041" s="76" t="str">
        <f t="shared" si="512"/>
        <v>Clematis</v>
      </c>
      <c r="K1041" s="76" t="str">
        <f t="shared" si="512"/>
        <v>simense</v>
      </c>
      <c r="L1041" s="77">
        <f t="shared" si="512"/>
        <v>6</v>
      </c>
      <c r="M1041" s="77">
        <f t="shared" si="512"/>
        <v>20</v>
      </c>
      <c r="N1041" s="71">
        <f t="shared" si="512"/>
        <v>0</v>
      </c>
      <c r="O1041" s="44"/>
      <c r="P1041" s="45" t="str">
        <f t="shared" si="495"/>
        <v/>
      </c>
      <c r="Q1041" s="46" t="str">
        <f t="shared" si="496"/>
        <v/>
      </c>
      <c r="R1041" s="47" t="e">
        <f t="shared" si="497"/>
        <v>#VALUE!</v>
      </c>
      <c r="S1041" s="48" t="e">
        <f t="shared" si="486"/>
        <v>#VALUE!</v>
      </c>
      <c r="T1041" s="47" t="str">
        <f t="shared" si="498"/>
        <v/>
      </c>
      <c r="U1041" s="49"/>
      <c r="V1041" s="50"/>
      <c r="W1041" s="51" t="e">
        <f t="shared" si="499"/>
        <v>#VALUE!</v>
      </c>
      <c r="X1041" s="52"/>
      <c r="Y1041" s="52"/>
      <c r="Z1041" s="52"/>
      <c r="AA1041" s="47" t="e">
        <f>INDEX(VISITORS[INSECT ORDER], MATCH(X1041,VISITORS[NAME USED],0))</f>
        <v>#N/A</v>
      </c>
      <c r="AB1041" s="47" t="e">
        <f t="shared" si="500"/>
        <v>#N/A</v>
      </c>
      <c r="AC1041" s="53" t="e">
        <f t="shared" si="501"/>
        <v>#VALUE!</v>
      </c>
      <c r="AD1041" s="54" t="str">
        <f t="shared" si="502"/>
        <v/>
      </c>
      <c r="AE1041" s="54"/>
      <c r="AF1041" s="54"/>
      <c r="AG1041" s="55" t="str">
        <f t="shared" si="503"/>
        <v/>
      </c>
      <c r="AH1041" s="56" t="str">
        <f t="shared" si="504"/>
        <v/>
      </c>
      <c r="AI1041" s="55"/>
      <c r="AJ1041" s="56" t="str">
        <f t="shared" si="505"/>
        <v/>
      </c>
      <c r="AK1041" s="55"/>
      <c r="AL1041" s="56" t="str">
        <f t="shared" si="506"/>
        <v/>
      </c>
      <c r="AM1041" s="55"/>
      <c r="AN1041" s="56" t="str">
        <f t="shared" si="507"/>
        <v/>
      </c>
      <c r="AO1041" s="55"/>
      <c r="AP1041" s="56" t="str">
        <f t="shared" si="508"/>
        <v/>
      </c>
      <c r="AQ1041" s="55"/>
      <c r="AR1041" s="56" t="str">
        <f t="shared" si="509"/>
        <v/>
      </c>
      <c r="AS1041" s="57"/>
      <c r="AT1041" s="58"/>
      <c r="AU1041" s="58"/>
      <c r="AV1041" s="59"/>
      <c r="AW1041" s="60" t="str">
        <f t="shared" si="487"/>
        <v/>
      </c>
      <c r="AX1041" s="61" t="str">
        <f t="shared" si="488"/>
        <v/>
      </c>
      <c r="AY1041" s="60" t="str">
        <f t="shared" si="489"/>
        <v/>
      </c>
      <c r="AZ1041" s="61" t="str">
        <f t="shared" si="490"/>
        <v/>
      </c>
    </row>
    <row r="1042" spans="1:52" s="3" customFormat="1" x14ac:dyDescent="0.35">
      <c r="A1042" s="72">
        <f t="shared" si="491"/>
        <v>2021</v>
      </c>
      <c r="B1042" s="72" t="str">
        <f t="shared" si="492"/>
        <v>Nov</v>
      </c>
      <c r="C1042" s="73">
        <f t="shared" si="510"/>
        <v>15</v>
      </c>
      <c r="D1042" s="74">
        <f t="shared" si="493"/>
        <v>9</v>
      </c>
      <c r="E1042" s="75">
        <f t="shared" si="494"/>
        <v>18</v>
      </c>
      <c r="F1042" s="79">
        <v>20</v>
      </c>
      <c r="G1042" s="82"/>
      <c r="H1042" s="68" t="str">
        <f t="shared" si="511"/>
        <v>Clesim6_20211115_09_00</v>
      </c>
      <c r="I1042" s="69">
        <f t="shared" si="512"/>
        <v>1</v>
      </c>
      <c r="J1042" s="76" t="str">
        <f t="shared" si="512"/>
        <v>Clematis</v>
      </c>
      <c r="K1042" s="76" t="str">
        <f t="shared" si="512"/>
        <v>simense</v>
      </c>
      <c r="L1042" s="77">
        <f t="shared" si="512"/>
        <v>6</v>
      </c>
      <c r="M1042" s="77">
        <f t="shared" si="512"/>
        <v>20</v>
      </c>
      <c r="N1042" s="71">
        <f t="shared" si="512"/>
        <v>0</v>
      </c>
      <c r="O1042" s="44"/>
      <c r="P1042" s="45">
        <f t="shared" si="495"/>
        <v>1</v>
      </c>
      <c r="Q1042" s="46" t="str">
        <f t="shared" si="496"/>
        <v>09:18:20</v>
      </c>
      <c r="R1042" s="47" t="str">
        <f t="shared" si="497"/>
        <v>18:20</v>
      </c>
      <c r="S1042" s="48">
        <f t="shared" si="486"/>
        <v>525</v>
      </c>
      <c r="T1042" s="47" t="str">
        <f t="shared" si="498"/>
        <v>09</v>
      </c>
      <c r="U1042" s="49">
        <v>27</v>
      </c>
      <c r="V1042" s="50">
        <v>5</v>
      </c>
      <c r="W1042" s="51" t="str">
        <f t="shared" si="499"/>
        <v>27:05</v>
      </c>
      <c r="X1042" s="123" t="s">
        <v>66</v>
      </c>
      <c r="Y1042" s="52" t="s">
        <v>84</v>
      </c>
      <c r="Z1042" s="52"/>
      <c r="AA1042" s="47" t="s">
        <v>67</v>
      </c>
      <c r="AB1042" s="47" t="str">
        <f t="shared" si="500"/>
        <v>NA</v>
      </c>
      <c r="AC1042" s="53" t="str">
        <f t="shared" si="501"/>
        <v/>
      </c>
      <c r="AD1042" s="54">
        <v>2</v>
      </c>
      <c r="AE1042" s="54"/>
      <c r="AF1042" s="54"/>
      <c r="AG1042" s="55" t="str">
        <f t="shared" si="503"/>
        <v/>
      </c>
      <c r="AH1042" s="56" t="str">
        <f t="shared" si="504"/>
        <v/>
      </c>
      <c r="AI1042" s="55"/>
      <c r="AJ1042" s="56" t="str">
        <f t="shared" si="505"/>
        <v/>
      </c>
      <c r="AK1042" s="55"/>
      <c r="AL1042" s="56" t="str">
        <f t="shared" si="506"/>
        <v/>
      </c>
      <c r="AM1042" s="55"/>
      <c r="AN1042" s="56" t="str">
        <f t="shared" si="507"/>
        <v/>
      </c>
      <c r="AO1042" s="55"/>
      <c r="AP1042" s="56" t="str">
        <f t="shared" si="508"/>
        <v/>
      </c>
      <c r="AQ1042" s="55"/>
      <c r="AR1042" s="56" t="str">
        <f t="shared" si="509"/>
        <v/>
      </c>
      <c r="AS1042" s="57"/>
      <c r="AT1042" s="58"/>
      <c r="AU1042" s="58"/>
      <c r="AV1042" s="59"/>
      <c r="AW1042" s="60">
        <f t="shared" si="487"/>
        <v>0</v>
      </c>
      <c r="AX1042" s="61" t="str">
        <f t="shared" si="488"/>
        <v/>
      </c>
      <c r="AY1042" s="60">
        <f t="shared" si="489"/>
        <v>0</v>
      </c>
      <c r="AZ1042" s="61" t="str">
        <f t="shared" si="490"/>
        <v/>
      </c>
    </row>
    <row r="1043" spans="1:52" s="3" customFormat="1" hidden="1" x14ac:dyDescent="0.35">
      <c r="A1043" s="72">
        <f t="shared" si="491"/>
        <v>2021</v>
      </c>
      <c r="B1043" s="72" t="str">
        <f t="shared" si="492"/>
        <v>Nov</v>
      </c>
      <c r="C1043" s="73">
        <f t="shared" si="510"/>
        <v>15</v>
      </c>
      <c r="D1043" s="74">
        <f t="shared" si="493"/>
        <v>9</v>
      </c>
      <c r="E1043" s="75">
        <f t="shared" si="494"/>
        <v>19</v>
      </c>
      <c r="F1043" s="79"/>
      <c r="G1043" s="82"/>
      <c r="H1043" s="68" t="str">
        <f t="shared" si="511"/>
        <v>Clesim6_20211115_09_00</v>
      </c>
      <c r="I1043" s="69">
        <f t="shared" si="512"/>
        <v>1</v>
      </c>
      <c r="J1043" s="76" t="str">
        <f t="shared" si="512"/>
        <v>Clematis</v>
      </c>
      <c r="K1043" s="76" t="str">
        <f t="shared" si="512"/>
        <v>simense</v>
      </c>
      <c r="L1043" s="77">
        <f t="shared" si="512"/>
        <v>6</v>
      </c>
      <c r="M1043" s="77">
        <f t="shared" si="512"/>
        <v>20</v>
      </c>
      <c r="N1043" s="71">
        <f t="shared" si="512"/>
        <v>0</v>
      </c>
      <c r="O1043" s="44"/>
      <c r="P1043" s="45" t="str">
        <f t="shared" si="495"/>
        <v/>
      </c>
      <c r="Q1043" s="46" t="str">
        <f t="shared" si="496"/>
        <v/>
      </c>
      <c r="R1043" s="47" t="e">
        <f t="shared" si="497"/>
        <v>#VALUE!</v>
      </c>
      <c r="S1043" s="48" t="e">
        <f t="shared" si="486"/>
        <v>#VALUE!</v>
      </c>
      <c r="T1043" s="47" t="str">
        <f t="shared" si="498"/>
        <v/>
      </c>
      <c r="U1043" s="49"/>
      <c r="V1043" s="50"/>
      <c r="W1043" s="51" t="e">
        <f t="shared" si="499"/>
        <v>#VALUE!</v>
      </c>
      <c r="X1043" s="52"/>
      <c r="Y1043" s="52"/>
      <c r="Z1043" s="52"/>
      <c r="AA1043" s="47" t="e">
        <f>INDEX(VISITORS[INSECT ORDER], MATCH(X1043,VISITORS[NAME USED],0))</f>
        <v>#N/A</v>
      </c>
      <c r="AB1043" s="47" t="e">
        <f t="shared" si="500"/>
        <v>#N/A</v>
      </c>
      <c r="AC1043" s="53" t="e">
        <f t="shared" si="501"/>
        <v>#VALUE!</v>
      </c>
      <c r="AD1043" s="54" t="str">
        <f t="shared" si="502"/>
        <v/>
      </c>
      <c r="AE1043" s="54"/>
      <c r="AF1043" s="54"/>
      <c r="AG1043" s="55" t="str">
        <f t="shared" si="503"/>
        <v/>
      </c>
      <c r="AH1043" s="56" t="str">
        <f t="shared" si="504"/>
        <v/>
      </c>
      <c r="AI1043" s="55"/>
      <c r="AJ1043" s="56" t="str">
        <f t="shared" si="505"/>
        <v/>
      </c>
      <c r="AK1043" s="55"/>
      <c r="AL1043" s="56" t="str">
        <f t="shared" si="506"/>
        <v/>
      </c>
      <c r="AM1043" s="55"/>
      <c r="AN1043" s="56" t="str">
        <f t="shared" si="507"/>
        <v/>
      </c>
      <c r="AO1043" s="55"/>
      <c r="AP1043" s="56" t="str">
        <f t="shared" si="508"/>
        <v/>
      </c>
      <c r="AQ1043" s="55"/>
      <c r="AR1043" s="56" t="str">
        <f t="shared" si="509"/>
        <v/>
      </c>
      <c r="AS1043" s="57"/>
      <c r="AT1043" s="58"/>
      <c r="AU1043" s="58"/>
      <c r="AV1043" s="59"/>
      <c r="AW1043" s="60" t="str">
        <f t="shared" si="487"/>
        <v/>
      </c>
      <c r="AX1043" s="61" t="str">
        <f t="shared" si="488"/>
        <v/>
      </c>
      <c r="AY1043" s="60" t="str">
        <f t="shared" si="489"/>
        <v/>
      </c>
      <c r="AZ1043" s="61" t="str">
        <f t="shared" si="490"/>
        <v/>
      </c>
    </row>
    <row r="1044" spans="1:52" s="3" customFormat="1" hidden="1" x14ac:dyDescent="0.35">
      <c r="A1044" s="72">
        <f t="shared" si="491"/>
        <v>2021</v>
      </c>
      <c r="B1044" s="72" t="str">
        <f t="shared" si="492"/>
        <v>Nov</v>
      </c>
      <c r="C1044" s="73">
        <f t="shared" si="510"/>
        <v>15</v>
      </c>
      <c r="D1044" s="74">
        <f t="shared" si="493"/>
        <v>9</v>
      </c>
      <c r="E1044" s="75">
        <f t="shared" si="494"/>
        <v>20</v>
      </c>
      <c r="F1044" s="79"/>
      <c r="G1044" s="82"/>
      <c r="H1044" s="68" t="str">
        <f t="shared" si="511"/>
        <v>Clesim6_20211115_09_00</v>
      </c>
      <c r="I1044" s="69">
        <f t="shared" si="512"/>
        <v>1</v>
      </c>
      <c r="J1044" s="76" t="str">
        <f t="shared" si="512"/>
        <v>Clematis</v>
      </c>
      <c r="K1044" s="76" t="str">
        <f t="shared" si="512"/>
        <v>simense</v>
      </c>
      <c r="L1044" s="77">
        <f t="shared" si="512"/>
        <v>6</v>
      </c>
      <c r="M1044" s="77">
        <f t="shared" si="512"/>
        <v>20</v>
      </c>
      <c r="N1044" s="71">
        <f t="shared" si="512"/>
        <v>0</v>
      </c>
      <c r="O1044" s="44"/>
      <c r="P1044" s="45" t="str">
        <f t="shared" si="495"/>
        <v/>
      </c>
      <c r="Q1044" s="46" t="str">
        <f t="shared" si="496"/>
        <v/>
      </c>
      <c r="R1044" s="47" t="e">
        <f t="shared" si="497"/>
        <v>#VALUE!</v>
      </c>
      <c r="S1044" s="48" t="e">
        <f t="shared" si="486"/>
        <v>#VALUE!</v>
      </c>
      <c r="T1044" s="47" t="str">
        <f t="shared" si="498"/>
        <v/>
      </c>
      <c r="U1044" s="49"/>
      <c r="V1044" s="50"/>
      <c r="W1044" s="51" t="e">
        <f t="shared" si="499"/>
        <v>#VALUE!</v>
      </c>
      <c r="X1044" s="52"/>
      <c r="Y1044" s="52"/>
      <c r="Z1044" s="52"/>
      <c r="AA1044" s="47" t="e">
        <f>INDEX(VISITORS[INSECT ORDER], MATCH(X1044,VISITORS[NAME USED],0))</f>
        <v>#N/A</v>
      </c>
      <c r="AB1044" s="47" t="e">
        <f t="shared" si="500"/>
        <v>#N/A</v>
      </c>
      <c r="AC1044" s="53" t="e">
        <f t="shared" si="501"/>
        <v>#VALUE!</v>
      </c>
      <c r="AD1044" s="54" t="str">
        <f t="shared" si="502"/>
        <v/>
      </c>
      <c r="AE1044" s="54"/>
      <c r="AF1044" s="54"/>
      <c r="AG1044" s="55" t="str">
        <f t="shared" si="503"/>
        <v/>
      </c>
      <c r="AH1044" s="56" t="str">
        <f t="shared" si="504"/>
        <v/>
      </c>
      <c r="AI1044" s="55"/>
      <c r="AJ1044" s="56" t="str">
        <f t="shared" si="505"/>
        <v/>
      </c>
      <c r="AK1044" s="55"/>
      <c r="AL1044" s="56" t="str">
        <f t="shared" si="506"/>
        <v/>
      </c>
      <c r="AM1044" s="55"/>
      <c r="AN1044" s="56" t="str">
        <f t="shared" si="507"/>
        <v/>
      </c>
      <c r="AO1044" s="55"/>
      <c r="AP1044" s="56" t="str">
        <f t="shared" si="508"/>
        <v/>
      </c>
      <c r="AQ1044" s="55"/>
      <c r="AR1044" s="56" t="str">
        <f t="shared" si="509"/>
        <v/>
      </c>
      <c r="AS1044" s="57"/>
      <c r="AT1044" s="58"/>
      <c r="AU1044" s="58"/>
      <c r="AV1044" s="59"/>
      <c r="AW1044" s="60" t="str">
        <f t="shared" si="487"/>
        <v/>
      </c>
      <c r="AX1044" s="61" t="str">
        <f t="shared" si="488"/>
        <v/>
      </c>
      <c r="AY1044" s="60" t="str">
        <f t="shared" si="489"/>
        <v/>
      </c>
      <c r="AZ1044" s="61" t="str">
        <f t="shared" si="490"/>
        <v/>
      </c>
    </row>
    <row r="1045" spans="1:52" s="3" customFormat="1" hidden="1" x14ac:dyDescent="0.35">
      <c r="A1045" s="72">
        <f t="shared" si="491"/>
        <v>2021</v>
      </c>
      <c r="B1045" s="72" t="str">
        <f t="shared" si="492"/>
        <v>Nov</v>
      </c>
      <c r="C1045" s="73">
        <f t="shared" si="510"/>
        <v>15</v>
      </c>
      <c r="D1045" s="74">
        <f t="shared" si="493"/>
        <v>9</v>
      </c>
      <c r="E1045" s="75">
        <f t="shared" si="494"/>
        <v>21</v>
      </c>
      <c r="F1045" s="79"/>
      <c r="G1045" s="82"/>
      <c r="H1045" s="68" t="str">
        <f t="shared" si="511"/>
        <v>Clesim6_20211115_09_00</v>
      </c>
      <c r="I1045" s="69">
        <f t="shared" si="512"/>
        <v>1</v>
      </c>
      <c r="J1045" s="76" t="str">
        <f t="shared" si="512"/>
        <v>Clematis</v>
      </c>
      <c r="K1045" s="76" t="str">
        <f t="shared" si="512"/>
        <v>simense</v>
      </c>
      <c r="L1045" s="77">
        <f t="shared" si="512"/>
        <v>6</v>
      </c>
      <c r="M1045" s="77">
        <f t="shared" si="512"/>
        <v>20</v>
      </c>
      <c r="N1045" s="71">
        <f t="shared" si="512"/>
        <v>0</v>
      </c>
      <c r="O1045" s="44"/>
      <c r="P1045" s="45" t="str">
        <f t="shared" si="495"/>
        <v/>
      </c>
      <c r="Q1045" s="46" t="str">
        <f t="shared" si="496"/>
        <v/>
      </c>
      <c r="R1045" s="47" t="e">
        <f t="shared" si="497"/>
        <v>#VALUE!</v>
      </c>
      <c r="S1045" s="48" t="e">
        <f t="shared" si="486"/>
        <v>#VALUE!</v>
      </c>
      <c r="T1045" s="47" t="str">
        <f t="shared" si="498"/>
        <v/>
      </c>
      <c r="U1045" s="49"/>
      <c r="V1045" s="50"/>
      <c r="W1045" s="51" t="e">
        <f t="shared" si="499"/>
        <v>#VALUE!</v>
      </c>
      <c r="X1045" s="52"/>
      <c r="Y1045" s="52"/>
      <c r="Z1045" s="52"/>
      <c r="AA1045" s="47" t="e">
        <f>INDEX(VISITORS[INSECT ORDER], MATCH(X1045,VISITORS[NAME USED],0))</f>
        <v>#N/A</v>
      </c>
      <c r="AB1045" s="47" t="e">
        <f t="shared" si="500"/>
        <v>#N/A</v>
      </c>
      <c r="AC1045" s="53" t="e">
        <f t="shared" si="501"/>
        <v>#VALUE!</v>
      </c>
      <c r="AD1045" s="54" t="str">
        <f t="shared" si="502"/>
        <v/>
      </c>
      <c r="AE1045" s="54"/>
      <c r="AF1045" s="54"/>
      <c r="AG1045" s="55" t="str">
        <f t="shared" si="503"/>
        <v/>
      </c>
      <c r="AH1045" s="56" t="str">
        <f t="shared" si="504"/>
        <v/>
      </c>
      <c r="AI1045" s="55"/>
      <c r="AJ1045" s="56" t="str">
        <f t="shared" si="505"/>
        <v/>
      </c>
      <c r="AK1045" s="55"/>
      <c r="AL1045" s="56" t="str">
        <f t="shared" si="506"/>
        <v/>
      </c>
      <c r="AM1045" s="55"/>
      <c r="AN1045" s="56" t="str">
        <f t="shared" si="507"/>
        <v/>
      </c>
      <c r="AO1045" s="55"/>
      <c r="AP1045" s="56" t="str">
        <f t="shared" si="508"/>
        <v/>
      </c>
      <c r="AQ1045" s="55"/>
      <c r="AR1045" s="56" t="str">
        <f t="shared" si="509"/>
        <v/>
      </c>
      <c r="AS1045" s="57"/>
      <c r="AT1045" s="58"/>
      <c r="AU1045" s="58"/>
      <c r="AV1045" s="59"/>
      <c r="AW1045" s="60" t="str">
        <f t="shared" si="487"/>
        <v/>
      </c>
      <c r="AX1045" s="61" t="str">
        <f t="shared" si="488"/>
        <v/>
      </c>
      <c r="AY1045" s="60" t="str">
        <f t="shared" si="489"/>
        <v/>
      </c>
      <c r="AZ1045" s="61" t="str">
        <f t="shared" si="490"/>
        <v/>
      </c>
    </row>
    <row r="1046" spans="1:52" s="3" customFormat="1" hidden="1" x14ac:dyDescent="0.35">
      <c r="A1046" s="72">
        <f t="shared" si="491"/>
        <v>2021</v>
      </c>
      <c r="B1046" s="72" t="str">
        <f t="shared" si="492"/>
        <v>Nov</v>
      </c>
      <c r="C1046" s="73">
        <f t="shared" si="510"/>
        <v>15</v>
      </c>
      <c r="D1046" s="74">
        <f t="shared" si="493"/>
        <v>9</v>
      </c>
      <c r="E1046" s="75">
        <f t="shared" si="494"/>
        <v>22</v>
      </c>
      <c r="F1046" s="79"/>
      <c r="G1046" s="82"/>
      <c r="H1046" s="68" t="str">
        <f t="shared" si="511"/>
        <v>Clesim6_20211115_09_00</v>
      </c>
      <c r="I1046" s="69">
        <f t="shared" ref="I1046:N1061" si="513">I1045</f>
        <v>1</v>
      </c>
      <c r="J1046" s="76" t="str">
        <f t="shared" si="513"/>
        <v>Clematis</v>
      </c>
      <c r="K1046" s="76" t="str">
        <f t="shared" si="513"/>
        <v>simense</v>
      </c>
      <c r="L1046" s="77">
        <f t="shared" si="513"/>
        <v>6</v>
      </c>
      <c r="M1046" s="77">
        <f t="shared" si="513"/>
        <v>20</v>
      </c>
      <c r="N1046" s="71">
        <f t="shared" si="513"/>
        <v>0</v>
      </c>
      <c r="O1046" s="44"/>
      <c r="P1046" s="45" t="str">
        <f t="shared" si="495"/>
        <v/>
      </c>
      <c r="Q1046" s="46" t="str">
        <f t="shared" si="496"/>
        <v/>
      </c>
      <c r="R1046" s="47" t="e">
        <f t="shared" si="497"/>
        <v>#VALUE!</v>
      </c>
      <c r="S1046" s="48" t="e">
        <f t="shared" si="486"/>
        <v>#VALUE!</v>
      </c>
      <c r="T1046" s="47" t="str">
        <f t="shared" si="498"/>
        <v/>
      </c>
      <c r="U1046" s="49"/>
      <c r="V1046" s="50"/>
      <c r="W1046" s="51" t="e">
        <f t="shared" si="499"/>
        <v>#VALUE!</v>
      </c>
      <c r="X1046" s="52"/>
      <c r="Y1046" s="52"/>
      <c r="Z1046" s="52"/>
      <c r="AA1046" s="47" t="e">
        <f>INDEX(VISITORS[INSECT ORDER], MATCH(X1046,VISITORS[NAME USED],0))</f>
        <v>#N/A</v>
      </c>
      <c r="AB1046" s="47" t="e">
        <f t="shared" si="500"/>
        <v>#N/A</v>
      </c>
      <c r="AC1046" s="53" t="e">
        <f t="shared" si="501"/>
        <v>#VALUE!</v>
      </c>
      <c r="AD1046" s="54" t="str">
        <f t="shared" si="502"/>
        <v/>
      </c>
      <c r="AE1046" s="54"/>
      <c r="AF1046" s="54"/>
      <c r="AG1046" s="55" t="str">
        <f t="shared" si="503"/>
        <v/>
      </c>
      <c r="AH1046" s="56" t="str">
        <f t="shared" si="504"/>
        <v/>
      </c>
      <c r="AI1046" s="55"/>
      <c r="AJ1046" s="56" t="str">
        <f t="shared" si="505"/>
        <v/>
      </c>
      <c r="AK1046" s="55"/>
      <c r="AL1046" s="56" t="str">
        <f t="shared" si="506"/>
        <v/>
      </c>
      <c r="AM1046" s="55"/>
      <c r="AN1046" s="56" t="str">
        <f t="shared" si="507"/>
        <v/>
      </c>
      <c r="AO1046" s="55"/>
      <c r="AP1046" s="56" t="str">
        <f t="shared" si="508"/>
        <v/>
      </c>
      <c r="AQ1046" s="55"/>
      <c r="AR1046" s="56" t="str">
        <f t="shared" si="509"/>
        <v/>
      </c>
      <c r="AS1046" s="57"/>
      <c r="AT1046" s="58"/>
      <c r="AU1046" s="58"/>
      <c r="AV1046" s="59"/>
      <c r="AW1046" s="60" t="str">
        <f t="shared" si="487"/>
        <v/>
      </c>
      <c r="AX1046" s="61" t="str">
        <f t="shared" si="488"/>
        <v/>
      </c>
      <c r="AY1046" s="60" t="str">
        <f t="shared" si="489"/>
        <v/>
      </c>
      <c r="AZ1046" s="61" t="str">
        <f t="shared" si="490"/>
        <v/>
      </c>
    </row>
    <row r="1047" spans="1:52" s="3" customFormat="1" hidden="1" x14ac:dyDescent="0.35">
      <c r="A1047" s="72">
        <f t="shared" si="491"/>
        <v>2021</v>
      </c>
      <c r="B1047" s="72" t="str">
        <f t="shared" si="492"/>
        <v>Nov</v>
      </c>
      <c r="C1047" s="73">
        <f t="shared" si="510"/>
        <v>15</v>
      </c>
      <c r="D1047" s="74">
        <f t="shared" si="493"/>
        <v>9</v>
      </c>
      <c r="E1047" s="75">
        <f t="shared" si="494"/>
        <v>23</v>
      </c>
      <c r="F1047" s="79"/>
      <c r="G1047" s="82"/>
      <c r="H1047" s="68" t="str">
        <f t="shared" si="511"/>
        <v>Clesim6_20211115_09_00</v>
      </c>
      <c r="I1047" s="69">
        <f t="shared" si="513"/>
        <v>1</v>
      </c>
      <c r="J1047" s="76" t="str">
        <f t="shared" si="513"/>
        <v>Clematis</v>
      </c>
      <c r="K1047" s="76" t="str">
        <f t="shared" si="513"/>
        <v>simense</v>
      </c>
      <c r="L1047" s="77">
        <f t="shared" si="513"/>
        <v>6</v>
      </c>
      <c r="M1047" s="77">
        <f t="shared" si="513"/>
        <v>20</v>
      </c>
      <c r="N1047" s="71">
        <f t="shared" si="513"/>
        <v>0</v>
      </c>
      <c r="O1047" s="44"/>
      <c r="P1047" s="45" t="str">
        <f t="shared" si="495"/>
        <v/>
      </c>
      <c r="Q1047" s="46" t="str">
        <f t="shared" si="496"/>
        <v/>
      </c>
      <c r="R1047" s="47" t="e">
        <f t="shared" si="497"/>
        <v>#VALUE!</v>
      </c>
      <c r="S1047" s="48" t="e">
        <f t="shared" si="486"/>
        <v>#VALUE!</v>
      </c>
      <c r="T1047" s="47" t="str">
        <f t="shared" si="498"/>
        <v/>
      </c>
      <c r="U1047" s="49"/>
      <c r="V1047" s="50"/>
      <c r="W1047" s="51" t="e">
        <f t="shared" si="499"/>
        <v>#VALUE!</v>
      </c>
      <c r="X1047" s="52"/>
      <c r="Y1047" s="52"/>
      <c r="Z1047" s="52"/>
      <c r="AA1047" s="47" t="e">
        <f>INDEX(VISITORS[INSECT ORDER], MATCH(X1047,VISITORS[NAME USED],0))</f>
        <v>#N/A</v>
      </c>
      <c r="AB1047" s="47" t="e">
        <f t="shared" si="500"/>
        <v>#N/A</v>
      </c>
      <c r="AC1047" s="53" t="e">
        <f t="shared" si="501"/>
        <v>#VALUE!</v>
      </c>
      <c r="AD1047" s="54" t="str">
        <f t="shared" si="502"/>
        <v/>
      </c>
      <c r="AE1047" s="54"/>
      <c r="AF1047" s="54"/>
      <c r="AG1047" s="55" t="str">
        <f t="shared" si="503"/>
        <v/>
      </c>
      <c r="AH1047" s="56" t="str">
        <f t="shared" si="504"/>
        <v/>
      </c>
      <c r="AI1047" s="55"/>
      <c r="AJ1047" s="56" t="str">
        <f t="shared" si="505"/>
        <v/>
      </c>
      <c r="AK1047" s="55"/>
      <c r="AL1047" s="56" t="str">
        <f t="shared" si="506"/>
        <v/>
      </c>
      <c r="AM1047" s="55"/>
      <c r="AN1047" s="56" t="str">
        <f t="shared" si="507"/>
        <v/>
      </c>
      <c r="AO1047" s="55"/>
      <c r="AP1047" s="56" t="str">
        <f t="shared" si="508"/>
        <v/>
      </c>
      <c r="AQ1047" s="55"/>
      <c r="AR1047" s="56" t="str">
        <f t="shared" si="509"/>
        <v/>
      </c>
      <c r="AS1047" s="57"/>
      <c r="AT1047" s="58"/>
      <c r="AU1047" s="58"/>
      <c r="AV1047" s="59"/>
      <c r="AW1047" s="60" t="str">
        <f t="shared" si="487"/>
        <v/>
      </c>
      <c r="AX1047" s="61" t="str">
        <f t="shared" si="488"/>
        <v/>
      </c>
      <c r="AY1047" s="60" t="str">
        <f t="shared" si="489"/>
        <v/>
      </c>
      <c r="AZ1047" s="61" t="str">
        <f t="shared" si="490"/>
        <v/>
      </c>
    </row>
    <row r="1048" spans="1:52" s="3" customFormat="1" hidden="1" x14ac:dyDescent="0.35">
      <c r="A1048" s="72">
        <f t="shared" si="491"/>
        <v>2021</v>
      </c>
      <c r="B1048" s="72" t="str">
        <f t="shared" si="492"/>
        <v>Nov</v>
      </c>
      <c r="C1048" s="73">
        <f t="shared" si="510"/>
        <v>15</v>
      </c>
      <c r="D1048" s="74">
        <f t="shared" si="493"/>
        <v>9</v>
      </c>
      <c r="E1048" s="75">
        <f t="shared" si="494"/>
        <v>24</v>
      </c>
      <c r="F1048" s="79"/>
      <c r="G1048" s="82"/>
      <c r="H1048" s="68" t="str">
        <f t="shared" si="511"/>
        <v>Clesim6_20211115_09_00</v>
      </c>
      <c r="I1048" s="69">
        <f t="shared" si="513"/>
        <v>1</v>
      </c>
      <c r="J1048" s="76" t="str">
        <f t="shared" si="513"/>
        <v>Clematis</v>
      </c>
      <c r="K1048" s="76" t="str">
        <f t="shared" si="513"/>
        <v>simense</v>
      </c>
      <c r="L1048" s="77">
        <f t="shared" si="513"/>
        <v>6</v>
      </c>
      <c r="M1048" s="77">
        <f t="shared" si="513"/>
        <v>20</v>
      </c>
      <c r="N1048" s="71">
        <f t="shared" si="513"/>
        <v>0</v>
      </c>
      <c r="O1048" s="44"/>
      <c r="P1048" s="45" t="str">
        <f t="shared" si="495"/>
        <v/>
      </c>
      <c r="Q1048" s="46" t="str">
        <f t="shared" si="496"/>
        <v/>
      </c>
      <c r="R1048" s="47" t="e">
        <f t="shared" si="497"/>
        <v>#VALUE!</v>
      </c>
      <c r="S1048" s="48" t="e">
        <f t="shared" si="486"/>
        <v>#VALUE!</v>
      </c>
      <c r="T1048" s="47" t="str">
        <f t="shared" si="498"/>
        <v/>
      </c>
      <c r="U1048" s="49"/>
      <c r="V1048" s="50"/>
      <c r="W1048" s="51" t="e">
        <f t="shared" si="499"/>
        <v>#VALUE!</v>
      </c>
      <c r="X1048" s="52"/>
      <c r="Y1048" s="52"/>
      <c r="Z1048" s="52"/>
      <c r="AA1048" s="47" t="e">
        <f>INDEX(VISITORS[INSECT ORDER], MATCH(X1048,VISITORS[NAME USED],0))</f>
        <v>#N/A</v>
      </c>
      <c r="AB1048" s="47" t="e">
        <f t="shared" si="500"/>
        <v>#N/A</v>
      </c>
      <c r="AC1048" s="53" t="e">
        <f t="shared" si="501"/>
        <v>#VALUE!</v>
      </c>
      <c r="AD1048" s="54" t="str">
        <f t="shared" si="502"/>
        <v/>
      </c>
      <c r="AE1048" s="54"/>
      <c r="AF1048" s="54"/>
      <c r="AG1048" s="55" t="str">
        <f t="shared" si="503"/>
        <v/>
      </c>
      <c r="AH1048" s="56" t="str">
        <f t="shared" si="504"/>
        <v/>
      </c>
      <c r="AI1048" s="55"/>
      <c r="AJ1048" s="56" t="str">
        <f t="shared" si="505"/>
        <v/>
      </c>
      <c r="AK1048" s="55"/>
      <c r="AL1048" s="56" t="str">
        <f t="shared" si="506"/>
        <v/>
      </c>
      <c r="AM1048" s="55"/>
      <c r="AN1048" s="56" t="str">
        <f t="shared" si="507"/>
        <v/>
      </c>
      <c r="AO1048" s="55"/>
      <c r="AP1048" s="56" t="str">
        <f t="shared" si="508"/>
        <v/>
      </c>
      <c r="AQ1048" s="55"/>
      <c r="AR1048" s="56" t="str">
        <f t="shared" si="509"/>
        <v/>
      </c>
      <c r="AS1048" s="57"/>
      <c r="AT1048" s="58"/>
      <c r="AU1048" s="58"/>
      <c r="AV1048" s="59"/>
      <c r="AW1048" s="60" t="str">
        <f t="shared" si="487"/>
        <v/>
      </c>
      <c r="AX1048" s="61" t="str">
        <f t="shared" si="488"/>
        <v/>
      </c>
      <c r="AY1048" s="60" t="str">
        <f t="shared" si="489"/>
        <v/>
      </c>
      <c r="AZ1048" s="61" t="str">
        <f t="shared" si="490"/>
        <v/>
      </c>
    </row>
    <row r="1049" spans="1:52" s="3" customFormat="1" hidden="1" x14ac:dyDescent="0.35">
      <c r="A1049" s="72">
        <f t="shared" si="491"/>
        <v>2021</v>
      </c>
      <c r="B1049" s="72" t="str">
        <f t="shared" si="492"/>
        <v>Nov</v>
      </c>
      <c r="C1049" s="73">
        <f t="shared" si="510"/>
        <v>15</v>
      </c>
      <c r="D1049" s="74">
        <f t="shared" si="493"/>
        <v>9</v>
      </c>
      <c r="E1049" s="75">
        <f t="shared" si="494"/>
        <v>25</v>
      </c>
      <c r="F1049" s="79"/>
      <c r="G1049" s="82"/>
      <c r="H1049" s="68" t="str">
        <f t="shared" si="511"/>
        <v>Clesim6_20211115_09_00</v>
      </c>
      <c r="I1049" s="69">
        <f t="shared" si="513"/>
        <v>1</v>
      </c>
      <c r="J1049" s="76" t="str">
        <f t="shared" si="513"/>
        <v>Clematis</v>
      </c>
      <c r="K1049" s="76" t="str">
        <f t="shared" si="513"/>
        <v>simense</v>
      </c>
      <c r="L1049" s="77">
        <f t="shared" si="513"/>
        <v>6</v>
      </c>
      <c r="M1049" s="77">
        <f t="shared" si="513"/>
        <v>20</v>
      </c>
      <c r="N1049" s="71">
        <f t="shared" si="513"/>
        <v>0</v>
      </c>
      <c r="O1049" s="44"/>
      <c r="P1049" s="45" t="str">
        <f t="shared" si="495"/>
        <v/>
      </c>
      <c r="Q1049" s="46" t="str">
        <f t="shared" si="496"/>
        <v/>
      </c>
      <c r="R1049" s="47" t="e">
        <f t="shared" si="497"/>
        <v>#VALUE!</v>
      </c>
      <c r="S1049" s="48" t="e">
        <f t="shared" si="486"/>
        <v>#VALUE!</v>
      </c>
      <c r="T1049" s="47" t="str">
        <f t="shared" si="498"/>
        <v/>
      </c>
      <c r="U1049" s="49"/>
      <c r="V1049" s="50"/>
      <c r="W1049" s="51" t="e">
        <f t="shared" si="499"/>
        <v>#VALUE!</v>
      </c>
      <c r="X1049" s="52"/>
      <c r="Y1049" s="52"/>
      <c r="Z1049" s="52"/>
      <c r="AA1049" s="47" t="e">
        <f>INDEX(VISITORS[INSECT ORDER], MATCH(X1049,VISITORS[NAME USED],0))</f>
        <v>#N/A</v>
      </c>
      <c r="AB1049" s="47" t="e">
        <f t="shared" si="500"/>
        <v>#N/A</v>
      </c>
      <c r="AC1049" s="53" t="e">
        <f t="shared" si="501"/>
        <v>#VALUE!</v>
      </c>
      <c r="AD1049" s="54" t="str">
        <f t="shared" si="502"/>
        <v/>
      </c>
      <c r="AE1049" s="54"/>
      <c r="AF1049" s="54"/>
      <c r="AG1049" s="55" t="str">
        <f t="shared" si="503"/>
        <v/>
      </c>
      <c r="AH1049" s="56" t="str">
        <f t="shared" si="504"/>
        <v/>
      </c>
      <c r="AI1049" s="55"/>
      <c r="AJ1049" s="56" t="str">
        <f t="shared" si="505"/>
        <v/>
      </c>
      <c r="AK1049" s="55"/>
      <c r="AL1049" s="56" t="str">
        <f t="shared" si="506"/>
        <v/>
      </c>
      <c r="AM1049" s="55"/>
      <c r="AN1049" s="56" t="str">
        <f t="shared" si="507"/>
        <v/>
      </c>
      <c r="AO1049" s="55"/>
      <c r="AP1049" s="56" t="str">
        <f t="shared" si="508"/>
        <v/>
      </c>
      <c r="AQ1049" s="55"/>
      <c r="AR1049" s="56" t="str">
        <f t="shared" si="509"/>
        <v/>
      </c>
      <c r="AS1049" s="57"/>
      <c r="AT1049" s="58"/>
      <c r="AU1049" s="58"/>
      <c r="AV1049" s="59"/>
      <c r="AW1049" s="60" t="str">
        <f t="shared" si="487"/>
        <v/>
      </c>
      <c r="AX1049" s="61" t="str">
        <f t="shared" si="488"/>
        <v/>
      </c>
      <c r="AY1049" s="60" t="str">
        <f t="shared" si="489"/>
        <v/>
      </c>
      <c r="AZ1049" s="61" t="str">
        <f t="shared" si="490"/>
        <v/>
      </c>
    </row>
    <row r="1050" spans="1:52" s="3" customFormat="1" hidden="1" x14ac:dyDescent="0.35">
      <c r="A1050" s="72">
        <f t="shared" si="491"/>
        <v>2021</v>
      </c>
      <c r="B1050" s="72" t="str">
        <f t="shared" si="492"/>
        <v>Nov</v>
      </c>
      <c r="C1050" s="73">
        <f t="shared" si="510"/>
        <v>15</v>
      </c>
      <c r="D1050" s="74">
        <f t="shared" si="493"/>
        <v>9</v>
      </c>
      <c r="E1050" s="75">
        <f t="shared" si="494"/>
        <v>26</v>
      </c>
      <c r="F1050" s="79"/>
      <c r="G1050" s="82"/>
      <c r="H1050" s="68" t="str">
        <f t="shared" si="511"/>
        <v>Clesim6_20211115_09_00</v>
      </c>
      <c r="I1050" s="69">
        <f t="shared" si="513"/>
        <v>1</v>
      </c>
      <c r="J1050" s="76" t="str">
        <f t="shared" si="513"/>
        <v>Clematis</v>
      </c>
      <c r="K1050" s="76" t="str">
        <f t="shared" si="513"/>
        <v>simense</v>
      </c>
      <c r="L1050" s="77">
        <f t="shared" si="513"/>
        <v>6</v>
      </c>
      <c r="M1050" s="77">
        <f t="shared" si="513"/>
        <v>20</v>
      </c>
      <c r="N1050" s="71">
        <f t="shared" si="513"/>
        <v>0</v>
      </c>
      <c r="O1050" s="44"/>
      <c r="P1050" s="45" t="str">
        <f t="shared" si="495"/>
        <v/>
      </c>
      <c r="Q1050" s="46" t="str">
        <f t="shared" si="496"/>
        <v/>
      </c>
      <c r="R1050" s="47" t="e">
        <f t="shared" si="497"/>
        <v>#VALUE!</v>
      </c>
      <c r="S1050" s="48" t="e">
        <f t="shared" si="486"/>
        <v>#VALUE!</v>
      </c>
      <c r="T1050" s="47" t="str">
        <f t="shared" si="498"/>
        <v/>
      </c>
      <c r="U1050" s="49"/>
      <c r="V1050" s="50"/>
      <c r="W1050" s="51" t="e">
        <f t="shared" si="499"/>
        <v>#VALUE!</v>
      </c>
      <c r="X1050" s="52"/>
      <c r="Y1050" s="52"/>
      <c r="Z1050" s="52"/>
      <c r="AA1050" s="47" t="e">
        <f>INDEX(VISITORS[INSECT ORDER], MATCH(X1050,VISITORS[NAME USED],0))</f>
        <v>#N/A</v>
      </c>
      <c r="AB1050" s="47" t="e">
        <f t="shared" si="500"/>
        <v>#N/A</v>
      </c>
      <c r="AC1050" s="53" t="e">
        <f t="shared" si="501"/>
        <v>#VALUE!</v>
      </c>
      <c r="AD1050" s="54" t="str">
        <f t="shared" si="502"/>
        <v/>
      </c>
      <c r="AE1050" s="54"/>
      <c r="AF1050" s="54"/>
      <c r="AG1050" s="55" t="str">
        <f t="shared" si="503"/>
        <v/>
      </c>
      <c r="AH1050" s="56" t="str">
        <f t="shared" si="504"/>
        <v/>
      </c>
      <c r="AI1050" s="55"/>
      <c r="AJ1050" s="56" t="str">
        <f t="shared" si="505"/>
        <v/>
      </c>
      <c r="AK1050" s="55"/>
      <c r="AL1050" s="56" t="str">
        <f t="shared" si="506"/>
        <v/>
      </c>
      <c r="AM1050" s="55"/>
      <c r="AN1050" s="56" t="str">
        <f t="shared" si="507"/>
        <v/>
      </c>
      <c r="AO1050" s="55"/>
      <c r="AP1050" s="56" t="str">
        <f t="shared" si="508"/>
        <v/>
      </c>
      <c r="AQ1050" s="55"/>
      <c r="AR1050" s="56" t="str">
        <f t="shared" si="509"/>
        <v/>
      </c>
      <c r="AS1050" s="57"/>
      <c r="AT1050" s="58"/>
      <c r="AU1050" s="58"/>
      <c r="AV1050" s="59"/>
      <c r="AW1050" s="60" t="str">
        <f t="shared" si="487"/>
        <v/>
      </c>
      <c r="AX1050" s="61" t="str">
        <f t="shared" si="488"/>
        <v/>
      </c>
      <c r="AY1050" s="60" t="str">
        <f t="shared" si="489"/>
        <v/>
      </c>
      <c r="AZ1050" s="61" t="str">
        <f t="shared" si="490"/>
        <v/>
      </c>
    </row>
    <row r="1051" spans="1:52" s="3" customFormat="1" hidden="1" x14ac:dyDescent="0.35">
      <c r="A1051" s="72">
        <f t="shared" si="491"/>
        <v>2021</v>
      </c>
      <c r="B1051" s="72" t="str">
        <f t="shared" si="492"/>
        <v>Nov</v>
      </c>
      <c r="C1051" s="73">
        <f t="shared" si="510"/>
        <v>15</v>
      </c>
      <c r="D1051" s="74">
        <f t="shared" si="493"/>
        <v>9</v>
      </c>
      <c r="E1051" s="75">
        <f t="shared" si="494"/>
        <v>27</v>
      </c>
      <c r="F1051" s="79"/>
      <c r="G1051" s="82"/>
      <c r="H1051" s="68" t="str">
        <f t="shared" si="511"/>
        <v>Clesim6_20211115_09_00</v>
      </c>
      <c r="I1051" s="69">
        <f t="shared" si="513"/>
        <v>1</v>
      </c>
      <c r="J1051" s="76" t="str">
        <f t="shared" si="513"/>
        <v>Clematis</v>
      </c>
      <c r="K1051" s="76" t="str">
        <f t="shared" si="513"/>
        <v>simense</v>
      </c>
      <c r="L1051" s="77">
        <f t="shared" si="513"/>
        <v>6</v>
      </c>
      <c r="M1051" s="77">
        <f t="shared" si="513"/>
        <v>20</v>
      </c>
      <c r="N1051" s="71">
        <f t="shared" si="513"/>
        <v>0</v>
      </c>
      <c r="O1051" s="44"/>
      <c r="P1051" s="45" t="str">
        <f t="shared" si="495"/>
        <v/>
      </c>
      <c r="Q1051" s="46" t="str">
        <f t="shared" si="496"/>
        <v/>
      </c>
      <c r="R1051" s="47" t="e">
        <f t="shared" si="497"/>
        <v>#VALUE!</v>
      </c>
      <c r="S1051" s="48" t="e">
        <f t="shared" si="486"/>
        <v>#VALUE!</v>
      </c>
      <c r="T1051" s="47" t="str">
        <f t="shared" si="498"/>
        <v/>
      </c>
      <c r="U1051" s="49"/>
      <c r="V1051" s="50"/>
      <c r="W1051" s="51" t="e">
        <f t="shared" si="499"/>
        <v>#VALUE!</v>
      </c>
      <c r="X1051" s="52"/>
      <c r="Y1051" s="52"/>
      <c r="Z1051" s="52"/>
      <c r="AA1051" s="47" t="e">
        <f>INDEX(VISITORS[INSECT ORDER], MATCH(X1051,VISITORS[NAME USED],0))</f>
        <v>#N/A</v>
      </c>
      <c r="AB1051" s="47" t="e">
        <f t="shared" si="500"/>
        <v>#N/A</v>
      </c>
      <c r="AC1051" s="53" t="e">
        <f t="shared" si="501"/>
        <v>#VALUE!</v>
      </c>
      <c r="AD1051" s="54" t="str">
        <f t="shared" si="502"/>
        <v/>
      </c>
      <c r="AE1051" s="54"/>
      <c r="AF1051" s="54"/>
      <c r="AG1051" s="55" t="str">
        <f t="shared" si="503"/>
        <v/>
      </c>
      <c r="AH1051" s="56" t="str">
        <f t="shared" si="504"/>
        <v/>
      </c>
      <c r="AI1051" s="55"/>
      <c r="AJ1051" s="56" t="str">
        <f t="shared" si="505"/>
        <v/>
      </c>
      <c r="AK1051" s="55"/>
      <c r="AL1051" s="56" t="str">
        <f t="shared" si="506"/>
        <v/>
      </c>
      <c r="AM1051" s="55"/>
      <c r="AN1051" s="56" t="str">
        <f t="shared" si="507"/>
        <v/>
      </c>
      <c r="AO1051" s="55"/>
      <c r="AP1051" s="56" t="str">
        <f t="shared" si="508"/>
        <v/>
      </c>
      <c r="AQ1051" s="55"/>
      <c r="AR1051" s="56" t="str">
        <f t="shared" si="509"/>
        <v/>
      </c>
      <c r="AS1051" s="57"/>
      <c r="AT1051" s="58"/>
      <c r="AU1051" s="58"/>
      <c r="AV1051" s="59"/>
      <c r="AW1051" s="60" t="str">
        <f t="shared" si="487"/>
        <v/>
      </c>
      <c r="AX1051" s="61" t="str">
        <f t="shared" si="488"/>
        <v/>
      </c>
      <c r="AY1051" s="60" t="str">
        <f t="shared" si="489"/>
        <v/>
      </c>
      <c r="AZ1051" s="61" t="str">
        <f t="shared" si="490"/>
        <v/>
      </c>
    </row>
    <row r="1052" spans="1:52" s="3" customFormat="1" hidden="1" x14ac:dyDescent="0.35">
      <c r="A1052" s="72">
        <f t="shared" si="491"/>
        <v>2021</v>
      </c>
      <c r="B1052" s="72" t="str">
        <f t="shared" si="492"/>
        <v>Nov</v>
      </c>
      <c r="C1052" s="73">
        <f t="shared" si="510"/>
        <v>15</v>
      </c>
      <c r="D1052" s="74">
        <f t="shared" si="493"/>
        <v>9</v>
      </c>
      <c r="E1052" s="75">
        <f t="shared" si="494"/>
        <v>28</v>
      </c>
      <c r="F1052" s="79"/>
      <c r="G1052" s="82"/>
      <c r="H1052" s="68" t="str">
        <f t="shared" si="511"/>
        <v>Clesim6_20211115_09_00</v>
      </c>
      <c r="I1052" s="69">
        <f t="shared" si="513"/>
        <v>1</v>
      </c>
      <c r="J1052" s="76" t="str">
        <f t="shared" si="513"/>
        <v>Clematis</v>
      </c>
      <c r="K1052" s="76" t="str">
        <f t="shared" si="513"/>
        <v>simense</v>
      </c>
      <c r="L1052" s="77">
        <f t="shared" si="513"/>
        <v>6</v>
      </c>
      <c r="M1052" s="77">
        <f t="shared" si="513"/>
        <v>20</v>
      </c>
      <c r="N1052" s="71">
        <f t="shared" si="513"/>
        <v>0</v>
      </c>
      <c r="O1052" s="44"/>
      <c r="P1052" s="45" t="str">
        <f t="shared" si="495"/>
        <v/>
      </c>
      <c r="Q1052" s="46" t="str">
        <f t="shared" si="496"/>
        <v/>
      </c>
      <c r="R1052" s="47" t="e">
        <f t="shared" si="497"/>
        <v>#VALUE!</v>
      </c>
      <c r="S1052" s="48" t="e">
        <f t="shared" si="486"/>
        <v>#VALUE!</v>
      </c>
      <c r="T1052" s="47" t="str">
        <f t="shared" si="498"/>
        <v/>
      </c>
      <c r="U1052" s="49"/>
      <c r="V1052" s="50"/>
      <c r="W1052" s="51" t="e">
        <f t="shared" si="499"/>
        <v>#VALUE!</v>
      </c>
      <c r="X1052" s="52"/>
      <c r="Y1052" s="52"/>
      <c r="Z1052" s="52"/>
      <c r="AA1052" s="47" t="e">
        <f>INDEX(VISITORS[INSECT ORDER], MATCH(X1052,VISITORS[NAME USED],0))</f>
        <v>#N/A</v>
      </c>
      <c r="AB1052" s="47" t="e">
        <f t="shared" si="500"/>
        <v>#N/A</v>
      </c>
      <c r="AC1052" s="53" t="e">
        <f t="shared" si="501"/>
        <v>#VALUE!</v>
      </c>
      <c r="AD1052" s="54" t="str">
        <f t="shared" si="502"/>
        <v/>
      </c>
      <c r="AE1052" s="54"/>
      <c r="AF1052" s="54"/>
      <c r="AG1052" s="55" t="str">
        <f t="shared" si="503"/>
        <v/>
      </c>
      <c r="AH1052" s="56" t="str">
        <f t="shared" si="504"/>
        <v/>
      </c>
      <c r="AI1052" s="55"/>
      <c r="AJ1052" s="56" t="str">
        <f t="shared" si="505"/>
        <v/>
      </c>
      <c r="AK1052" s="55"/>
      <c r="AL1052" s="56" t="str">
        <f t="shared" si="506"/>
        <v/>
      </c>
      <c r="AM1052" s="55"/>
      <c r="AN1052" s="56" t="str">
        <f t="shared" si="507"/>
        <v/>
      </c>
      <c r="AO1052" s="55"/>
      <c r="AP1052" s="56" t="str">
        <f t="shared" si="508"/>
        <v/>
      </c>
      <c r="AQ1052" s="55"/>
      <c r="AR1052" s="56" t="str">
        <f t="shared" si="509"/>
        <v/>
      </c>
      <c r="AS1052" s="57"/>
      <c r="AT1052" s="58"/>
      <c r="AU1052" s="58"/>
      <c r="AV1052" s="59"/>
      <c r="AW1052" s="60" t="str">
        <f t="shared" si="487"/>
        <v/>
      </c>
      <c r="AX1052" s="61" t="str">
        <f t="shared" si="488"/>
        <v/>
      </c>
      <c r="AY1052" s="60" t="str">
        <f t="shared" si="489"/>
        <v/>
      </c>
      <c r="AZ1052" s="61" t="str">
        <f t="shared" si="490"/>
        <v/>
      </c>
    </row>
    <row r="1053" spans="1:52" s="3" customFormat="1" hidden="1" x14ac:dyDescent="0.35">
      <c r="A1053" s="72">
        <f t="shared" si="491"/>
        <v>2021</v>
      </c>
      <c r="B1053" s="72" t="str">
        <f t="shared" si="492"/>
        <v>Nov</v>
      </c>
      <c r="C1053" s="73">
        <f t="shared" si="510"/>
        <v>15</v>
      </c>
      <c r="D1053" s="74">
        <f t="shared" si="493"/>
        <v>9</v>
      </c>
      <c r="E1053" s="75">
        <f t="shared" si="494"/>
        <v>29</v>
      </c>
      <c r="F1053" s="79"/>
      <c r="G1053" s="82"/>
      <c r="H1053" s="68" t="str">
        <f t="shared" si="511"/>
        <v>Clesim6_20211115_09_00</v>
      </c>
      <c r="I1053" s="69">
        <f t="shared" si="513"/>
        <v>1</v>
      </c>
      <c r="J1053" s="76" t="str">
        <f t="shared" si="513"/>
        <v>Clematis</v>
      </c>
      <c r="K1053" s="76" t="str">
        <f t="shared" si="513"/>
        <v>simense</v>
      </c>
      <c r="L1053" s="77">
        <f t="shared" si="513"/>
        <v>6</v>
      </c>
      <c r="M1053" s="77">
        <f t="shared" si="513"/>
        <v>20</v>
      </c>
      <c r="N1053" s="71">
        <f t="shared" si="513"/>
        <v>0</v>
      </c>
      <c r="O1053" s="44"/>
      <c r="P1053" s="45" t="str">
        <f t="shared" si="495"/>
        <v/>
      </c>
      <c r="Q1053" s="46" t="str">
        <f t="shared" si="496"/>
        <v/>
      </c>
      <c r="R1053" s="47" t="e">
        <f t="shared" si="497"/>
        <v>#VALUE!</v>
      </c>
      <c r="S1053" s="48" t="e">
        <f t="shared" si="486"/>
        <v>#VALUE!</v>
      </c>
      <c r="T1053" s="47" t="str">
        <f t="shared" si="498"/>
        <v/>
      </c>
      <c r="U1053" s="49"/>
      <c r="V1053" s="50"/>
      <c r="W1053" s="51" t="e">
        <f t="shared" si="499"/>
        <v>#VALUE!</v>
      </c>
      <c r="X1053" s="52"/>
      <c r="Y1053" s="52"/>
      <c r="Z1053" s="52"/>
      <c r="AA1053" s="47" t="e">
        <f>INDEX(VISITORS[INSECT ORDER], MATCH(X1053,VISITORS[NAME USED],0))</f>
        <v>#N/A</v>
      </c>
      <c r="AB1053" s="47" t="e">
        <f t="shared" si="500"/>
        <v>#N/A</v>
      </c>
      <c r="AC1053" s="53" t="e">
        <f t="shared" si="501"/>
        <v>#VALUE!</v>
      </c>
      <c r="AD1053" s="54" t="str">
        <f t="shared" si="502"/>
        <v/>
      </c>
      <c r="AE1053" s="54"/>
      <c r="AF1053" s="54"/>
      <c r="AG1053" s="55" t="str">
        <f t="shared" si="503"/>
        <v/>
      </c>
      <c r="AH1053" s="56" t="str">
        <f t="shared" si="504"/>
        <v/>
      </c>
      <c r="AI1053" s="55"/>
      <c r="AJ1053" s="56" t="str">
        <f t="shared" si="505"/>
        <v/>
      </c>
      <c r="AK1053" s="55"/>
      <c r="AL1053" s="56" t="str">
        <f t="shared" si="506"/>
        <v/>
      </c>
      <c r="AM1053" s="55"/>
      <c r="AN1053" s="56" t="str">
        <f t="shared" si="507"/>
        <v/>
      </c>
      <c r="AO1053" s="55"/>
      <c r="AP1053" s="56" t="str">
        <f t="shared" si="508"/>
        <v/>
      </c>
      <c r="AQ1053" s="55"/>
      <c r="AR1053" s="56" t="str">
        <f t="shared" si="509"/>
        <v/>
      </c>
      <c r="AS1053" s="57"/>
      <c r="AT1053" s="58"/>
      <c r="AU1053" s="58"/>
      <c r="AV1053" s="59"/>
      <c r="AW1053" s="60" t="str">
        <f t="shared" si="487"/>
        <v/>
      </c>
      <c r="AX1053" s="61" t="str">
        <f t="shared" si="488"/>
        <v/>
      </c>
      <c r="AY1053" s="60" t="str">
        <f t="shared" si="489"/>
        <v/>
      </c>
      <c r="AZ1053" s="61" t="str">
        <f t="shared" si="490"/>
        <v/>
      </c>
    </row>
    <row r="1054" spans="1:52" s="3" customFormat="1" hidden="1" x14ac:dyDescent="0.35">
      <c r="A1054" s="72">
        <f t="shared" si="491"/>
        <v>2021</v>
      </c>
      <c r="B1054" s="72" t="str">
        <f t="shared" si="492"/>
        <v>Nov</v>
      </c>
      <c r="C1054" s="73">
        <f t="shared" si="510"/>
        <v>15</v>
      </c>
      <c r="D1054" s="74">
        <f t="shared" si="493"/>
        <v>9</v>
      </c>
      <c r="E1054" s="75">
        <f t="shared" si="494"/>
        <v>30</v>
      </c>
      <c r="F1054" s="79"/>
      <c r="G1054" s="82"/>
      <c r="H1054" s="68" t="str">
        <f t="shared" si="511"/>
        <v>Clesim6_20211115_09_00</v>
      </c>
      <c r="I1054" s="69">
        <f t="shared" si="513"/>
        <v>1</v>
      </c>
      <c r="J1054" s="76" t="str">
        <f t="shared" si="513"/>
        <v>Clematis</v>
      </c>
      <c r="K1054" s="76" t="str">
        <f t="shared" si="513"/>
        <v>simense</v>
      </c>
      <c r="L1054" s="77">
        <f t="shared" si="513"/>
        <v>6</v>
      </c>
      <c r="M1054" s="77">
        <f t="shared" si="513"/>
        <v>20</v>
      </c>
      <c r="N1054" s="71">
        <f t="shared" si="513"/>
        <v>0</v>
      </c>
      <c r="O1054" s="44"/>
      <c r="P1054" s="45" t="str">
        <f t="shared" si="495"/>
        <v/>
      </c>
      <c r="Q1054" s="46" t="str">
        <f t="shared" si="496"/>
        <v/>
      </c>
      <c r="R1054" s="47" t="e">
        <f t="shared" si="497"/>
        <v>#VALUE!</v>
      </c>
      <c r="S1054" s="48" t="e">
        <f t="shared" si="486"/>
        <v>#VALUE!</v>
      </c>
      <c r="T1054" s="47" t="str">
        <f t="shared" si="498"/>
        <v/>
      </c>
      <c r="U1054" s="49"/>
      <c r="V1054" s="50"/>
      <c r="W1054" s="51" t="e">
        <f t="shared" si="499"/>
        <v>#VALUE!</v>
      </c>
      <c r="X1054" s="52"/>
      <c r="Y1054" s="52"/>
      <c r="Z1054" s="52"/>
      <c r="AA1054" s="47" t="e">
        <f>INDEX(VISITORS[INSECT ORDER], MATCH(X1054,VISITORS[NAME USED],0))</f>
        <v>#N/A</v>
      </c>
      <c r="AB1054" s="47" t="e">
        <f t="shared" si="500"/>
        <v>#N/A</v>
      </c>
      <c r="AC1054" s="53" t="e">
        <f t="shared" si="501"/>
        <v>#VALUE!</v>
      </c>
      <c r="AD1054" s="54" t="str">
        <f t="shared" si="502"/>
        <v/>
      </c>
      <c r="AE1054" s="54"/>
      <c r="AF1054" s="54"/>
      <c r="AG1054" s="55" t="str">
        <f t="shared" si="503"/>
        <v/>
      </c>
      <c r="AH1054" s="56" t="str">
        <f t="shared" si="504"/>
        <v/>
      </c>
      <c r="AI1054" s="55"/>
      <c r="AJ1054" s="56" t="str">
        <f t="shared" si="505"/>
        <v/>
      </c>
      <c r="AK1054" s="55"/>
      <c r="AL1054" s="56" t="str">
        <f t="shared" si="506"/>
        <v/>
      </c>
      <c r="AM1054" s="55"/>
      <c r="AN1054" s="56" t="str">
        <f t="shared" si="507"/>
        <v/>
      </c>
      <c r="AO1054" s="55"/>
      <c r="AP1054" s="56" t="str">
        <f t="shared" si="508"/>
        <v/>
      </c>
      <c r="AQ1054" s="55"/>
      <c r="AR1054" s="56" t="str">
        <f t="shared" si="509"/>
        <v/>
      </c>
      <c r="AS1054" s="57"/>
      <c r="AT1054" s="58"/>
      <c r="AU1054" s="58"/>
      <c r="AV1054" s="59"/>
      <c r="AW1054" s="60" t="str">
        <f t="shared" si="487"/>
        <v/>
      </c>
      <c r="AX1054" s="61" t="str">
        <f t="shared" si="488"/>
        <v/>
      </c>
      <c r="AY1054" s="60" t="str">
        <f t="shared" si="489"/>
        <v/>
      </c>
      <c r="AZ1054" s="61" t="str">
        <f t="shared" si="490"/>
        <v/>
      </c>
    </row>
    <row r="1055" spans="1:52" s="3" customFormat="1" hidden="1" x14ac:dyDescent="0.35">
      <c r="A1055" s="72">
        <f t="shared" si="491"/>
        <v>2021</v>
      </c>
      <c r="B1055" s="72" t="str">
        <f t="shared" si="492"/>
        <v>Nov</v>
      </c>
      <c r="C1055" s="73">
        <f t="shared" si="510"/>
        <v>15</v>
      </c>
      <c r="D1055" s="74">
        <f t="shared" si="493"/>
        <v>9</v>
      </c>
      <c r="E1055" s="75">
        <f t="shared" si="494"/>
        <v>31</v>
      </c>
      <c r="F1055" s="79"/>
      <c r="G1055" s="82"/>
      <c r="H1055" s="68" t="str">
        <f t="shared" si="511"/>
        <v>Clesim6_20211115_09_00</v>
      </c>
      <c r="I1055" s="69">
        <f t="shared" si="513"/>
        <v>1</v>
      </c>
      <c r="J1055" s="76" t="str">
        <f t="shared" si="513"/>
        <v>Clematis</v>
      </c>
      <c r="K1055" s="76" t="str">
        <f t="shared" si="513"/>
        <v>simense</v>
      </c>
      <c r="L1055" s="77">
        <f t="shared" si="513"/>
        <v>6</v>
      </c>
      <c r="M1055" s="77">
        <f t="shared" si="513"/>
        <v>20</v>
      </c>
      <c r="N1055" s="71">
        <f t="shared" si="513"/>
        <v>0</v>
      </c>
      <c r="O1055" s="44"/>
      <c r="P1055" s="45" t="str">
        <f t="shared" si="495"/>
        <v/>
      </c>
      <c r="Q1055" s="46" t="str">
        <f t="shared" si="496"/>
        <v/>
      </c>
      <c r="R1055" s="47" t="e">
        <f t="shared" si="497"/>
        <v>#VALUE!</v>
      </c>
      <c r="S1055" s="48" t="e">
        <f t="shared" si="486"/>
        <v>#VALUE!</v>
      </c>
      <c r="T1055" s="47" t="str">
        <f t="shared" si="498"/>
        <v/>
      </c>
      <c r="U1055" s="49"/>
      <c r="V1055" s="50"/>
      <c r="W1055" s="51" t="e">
        <f t="shared" si="499"/>
        <v>#VALUE!</v>
      </c>
      <c r="X1055" s="52"/>
      <c r="Y1055" s="52"/>
      <c r="Z1055" s="52"/>
      <c r="AA1055" s="47" t="e">
        <f>INDEX(VISITORS[INSECT ORDER], MATCH(X1055,VISITORS[NAME USED],0))</f>
        <v>#N/A</v>
      </c>
      <c r="AB1055" s="47" t="e">
        <f t="shared" si="500"/>
        <v>#N/A</v>
      </c>
      <c r="AC1055" s="53" t="e">
        <f t="shared" si="501"/>
        <v>#VALUE!</v>
      </c>
      <c r="AD1055" s="54" t="str">
        <f t="shared" si="502"/>
        <v/>
      </c>
      <c r="AE1055" s="54"/>
      <c r="AF1055" s="54"/>
      <c r="AG1055" s="55" t="str">
        <f t="shared" si="503"/>
        <v/>
      </c>
      <c r="AH1055" s="56" t="str">
        <f t="shared" si="504"/>
        <v/>
      </c>
      <c r="AI1055" s="55"/>
      <c r="AJ1055" s="56" t="str">
        <f t="shared" si="505"/>
        <v/>
      </c>
      <c r="AK1055" s="55"/>
      <c r="AL1055" s="56" t="str">
        <f t="shared" si="506"/>
        <v/>
      </c>
      <c r="AM1055" s="55"/>
      <c r="AN1055" s="56" t="str">
        <f t="shared" si="507"/>
        <v/>
      </c>
      <c r="AO1055" s="55"/>
      <c r="AP1055" s="56" t="str">
        <f t="shared" si="508"/>
        <v/>
      </c>
      <c r="AQ1055" s="55"/>
      <c r="AR1055" s="56" t="str">
        <f t="shared" si="509"/>
        <v/>
      </c>
      <c r="AS1055" s="57"/>
      <c r="AT1055" s="58"/>
      <c r="AU1055" s="58"/>
      <c r="AV1055" s="59"/>
      <c r="AW1055" s="60" t="str">
        <f t="shared" si="487"/>
        <v/>
      </c>
      <c r="AX1055" s="61" t="str">
        <f t="shared" si="488"/>
        <v/>
      </c>
      <c r="AY1055" s="60" t="str">
        <f t="shared" si="489"/>
        <v/>
      </c>
      <c r="AZ1055" s="61" t="str">
        <f t="shared" si="490"/>
        <v/>
      </c>
    </row>
    <row r="1056" spans="1:52" s="3" customFormat="1" hidden="1" x14ac:dyDescent="0.35">
      <c r="A1056" s="72">
        <f t="shared" si="491"/>
        <v>2021</v>
      </c>
      <c r="B1056" s="72" t="str">
        <f t="shared" si="492"/>
        <v>Nov</v>
      </c>
      <c r="C1056" s="73">
        <f t="shared" si="510"/>
        <v>15</v>
      </c>
      <c r="D1056" s="74">
        <f t="shared" si="493"/>
        <v>9</v>
      </c>
      <c r="E1056" s="75">
        <f t="shared" si="494"/>
        <v>32</v>
      </c>
      <c r="F1056" s="79"/>
      <c r="G1056" s="82"/>
      <c r="H1056" s="68" t="str">
        <f t="shared" si="511"/>
        <v>Clesim6_20211115_09_00</v>
      </c>
      <c r="I1056" s="69">
        <f t="shared" si="513"/>
        <v>1</v>
      </c>
      <c r="J1056" s="76" t="str">
        <f t="shared" si="513"/>
        <v>Clematis</v>
      </c>
      <c r="K1056" s="76" t="str">
        <f t="shared" si="513"/>
        <v>simense</v>
      </c>
      <c r="L1056" s="77">
        <f t="shared" si="513"/>
        <v>6</v>
      </c>
      <c r="M1056" s="77">
        <f t="shared" si="513"/>
        <v>20</v>
      </c>
      <c r="N1056" s="71">
        <f t="shared" si="513"/>
        <v>0</v>
      </c>
      <c r="O1056" s="44"/>
      <c r="P1056" s="45" t="str">
        <f t="shared" si="495"/>
        <v/>
      </c>
      <c r="Q1056" s="46" t="str">
        <f t="shared" si="496"/>
        <v/>
      </c>
      <c r="R1056" s="47" t="e">
        <f t="shared" si="497"/>
        <v>#VALUE!</v>
      </c>
      <c r="S1056" s="48" t="e">
        <f t="shared" si="486"/>
        <v>#VALUE!</v>
      </c>
      <c r="T1056" s="47" t="str">
        <f t="shared" si="498"/>
        <v/>
      </c>
      <c r="U1056" s="49"/>
      <c r="V1056" s="50"/>
      <c r="W1056" s="51" t="e">
        <f t="shared" si="499"/>
        <v>#VALUE!</v>
      </c>
      <c r="X1056" s="52"/>
      <c r="Y1056" s="52"/>
      <c r="Z1056" s="52"/>
      <c r="AA1056" s="47" t="e">
        <f>INDEX(VISITORS[INSECT ORDER], MATCH(X1056,VISITORS[NAME USED],0))</f>
        <v>#N/A</v>
      </c>
      <c r="AB1056" s="47" t="e">
        <f t="shared" si="500"/>
        <v>#N/A</v>
      </c>
      <c r="AC1056" s="53" t="e">
        <f t="shared" si="501"/>
        <v>#VALUE!</v>
      </c>
      <c r="AD1056" s="54" t="str">
        <f t="shared" si="502"/>
        <v/>
      </c>
      <c r="AE1056" s="54"/>
      <c r="AF1056" s="54"/>
      <c r="AG1056" s="55" t="str">
        <f t="shared" si="503"/>
        <v/>
      </c>
      <c r="AH1056" s="56" t="str">
        <f t="shared" si="504"/>
        <v/>
      </c>
      <c r="AI1056" s="55"/>
      <c r="AJ1056" s="56" t="str">
        <f t="shared" si="505"/>
        <v/>
      </c>
      <c r="AK1056" s="55"/>
      <c r="AL1056" s="56" t="str">
        <f t="shared" si="506"/>
        <v/>
      </c>
      <c r="AM1056" s="55"/>
      <c r="AN1056" s="56" t="str">
        <f t="shared" si="507"/>
        <v/>
      </c>
      <c r="AO1056" s="55"/>
      <c r="AP1056" s="56" t="str">
        <f t="shared" si="508"/>
        <v/>
      </c>
      <c r="AQ1056" s="55"/>
      <c r="AR1056" s="56" t="str">
        <f t="shared" si="509"/>
        <v/>
      </c>
      <c r="AS1056" s="57"/>
      <c r="AT1056" s="58"/>
      <c r="AU1056" s="58"/>
      <c r="AV1056" s="59"/>
      <c r="AW1056" s="60" t="str">
        <f t="shared" si="487"/>
        <v/>
      </c>
      <c r="AX1056" s="61" t="str">
        <f t="shared" si="488"/>
        <v/>
      </c>
      <c r="AY1056" s="60" t="str">
        <f t="shared" si="489"/>
        <v/>
      </c>
      <c r="AZ1056" s="61" t="str">
        <f t="shared" si="490"/>
        <v/>
      </c>
    </row>
    <row r="1057" spans="1:52" s="3" customFormat="1" hidden="1" x14ac:dyDescent="0.35">
      <c r="A1057" s="72">
        <f t="shared" si="491"/>
        <v>2021</v>
      </c>
      <c r="B1057" s="72" t="str">
        <f t="shared" si="492"/>
        <v>Nov</v>
      </c>
      <c r="C1057" s="73">
        <f t="shared" si="510"/>
        <v>15</v>
      </c>
      <c r="D1057" s="74">
        <f t="shared" si="493"/>
        <v>9</v>
      </c>
      <c r="E1057" s="75">
        <f t="shared" si="494"/>
        <v>33</v>
      </c>
      <c r="F1057" s="79"/>
      <c r="G1057" s="82"/>
      <c r="H1057" s="68" t="str">
        <f t="shared" si="511"/>
        <v>Clesim6_20211115_09_00</v>
      </c>
      <c r="I1057" s="69">
        <f t="shared" si="513"/>
        <v>1</v>
      </c>
      <c r="J1057" s="76" t="str">
        <f t="shared" si="513"/>
        <v>Clematis</v>
      </c>
      <c r="K1057" s="76" t="str">
        <f t="shared" si="513"/>
        <v>simense</v>
      </c>
      <c r="L1057" s="77">
        <f t="shared" si="513"/>
        <v>6</v>
      </c>
      <c r="M1057" s="77">
        <f t="shared" si="513"/>
        <v>20</v>
      </c>
      <c r="N1057" s="71">
        <f t="shared" si="513"/>
        <v>0</v>
      </c>
      <c r="O1057" s="44"/>
      <c r="P1057" s="45" t="str">
        <f t="shared" si="495"/>
        <v/>
      </c>
      <c r="Q1057" s="46" t="str">
        <f t="shared" si="496"/>
        <v/>
      </c>
      <c r="R1057" s="47" t="e">
        <f t="shared" si="497"/>
        <v>#VALUE!</v>
      </c>
      <c r="S1057" s="48" t="e">
        <f t="shared" si="486"/>
        <v>#VALUE!</v>
      </c>
      <c r="T1057" s="47" t="str">
        <f t="shared" si="498"/>
        <v/>
      </c>
      <c r="U1057" s="49"/>
      <c r="V1057" s="50"/>
      <c r="W1057" s="51" t="e">
        <f t="shared" si="499"/>
        <v>#VALUE!</v>
      </c>
      <c r="X1057" s="52"/>
      <c r="Y1057" s="52"/>
      <c r="Z1057" s="52"/>
      <c r="AA1057" s="47" t="e">
        <f>INDEX(VISITORS[INSECT ORDER], MATCH(X1057,VISITORS[NAME USED],0))</f>
        <v>#N/A</v>
      </c>
      <c r="AB1057" s="47" t="e">
        <f t="shared" si="500"/>
        <v>#N/A</v>
      </c>
      <c r="AC1057" s="53" t="e">
        <f t="shared" si="501"/>
        <v>#VALUE!</v>
      </c>
      <c r="AD1057" s="54" t="str">
        <f t="shared" si="502"/>
        <v/>
      </c>
      <c r="AE1057" s="54"/>
      <c r="AF1057" s="54"/>
      <c r="AG1057" s="55" t="str">
        <f t="shared" si="503"/>
        <v/>
      </c>
      <c r="AH1057" s="56" t="str">
        <f t="shared" si="504"/>
        <v/>
      </c>
      <c r="AI1057" s="55"/>
      <c r="AJ1057" s="56" t="str">
        <f t="shared" si="505"/>
        <v/>
      </c>
      <c r="AK1057" s="55"/>
      <c r="AL1057" s="56" t="str">
        <f t="shared" si="506"/>
        <v/>
      </c>
      <c r="AM1057" s="55"/>
      <c r="AN1057" s="56" t="str">
        <f t="shared" si="507"/>
        <v/>
      </c>
      <c r="AO1057" s="55"/>
      <c r="AP1057" s="56" t="str">
        <f t="shared" si="508"/>
        <v/>
      </c>
      <c r="AQ1057" s="55"/>
      <c r="AR1057" s="56" t="str">
        <f t="shared" si="509"/>
        <v/>
      </c>
      <c r="AS1057" s="57"/>
      <c r="AT1057" s="58"/>
      <c r="AU1057" s="58"/>
      <c r="AV1057" s="59"/>
      <c r="AW1057" s="60" t="str">
        <f t="shared" si="487"/>
        <v/>
      </c>
      <c r="AX1057" s="61" t="str">
        <f t="shared" si="488"/>
        <v/>
      </c>
      <c r="AY1057" s="60" t="str">
        <f t="shared" si="489"/>
        <v/>
      </c>
      <c r="AZ1057" s="61" t="str">
        <f t="shared" si="490"/>
        <v/>
      </c>
    </row>
    <row r="1058" spans="1:52" s="3" customFormat="1" hidden="1" x14ac:dyDescent="0.35">
      <c r="A1058" s="72">
        <f t="shared" si="491"/>
        <v>2021</v>
      </c>
      <c r="B1058" s="72" t="str">
        <f t="shared" si="492"/>
        <v>Nov</v>
      </c>
      <c r="C1058" s="73">
        <f t="shared" si="510"/>
        <v>15</v>
      </c>
      <c r="D1058" s="74">
        <f t="shared" si="493"/>
        <v>9</v>
      </c>
      <c r="E1058" s="75">
        <f t="shared" si="494"/>
        <v>34</v>
      </c>
      <c r="F1058" s="79"/>
      <c r="G1058" s="82"/>
      <c r="H1058" s="68" t="str">
        <f t="shared" si="511"/>
        <v>Clesim6_20211115_09_00</v>
      </c>
      <c r="I1058" s="69">
        <f t="shared" si="513"/>
        <v>1</v>
      </c>
      <c r="J1058" s="76" t="str">
        <f t="shared" si="513"/>
        <v>Clematis</v>
      </c>
      <c r="K1058" s="76" t="str">
        <f t="shared" si="513"/>
        <v>simense</v>
      </c>
      <c r="L1058" s="77">
        <f t="shared" si="513"/>
        <v>6</v>
      </c>
      <c r="M1058" s="77">
        <f t="shared" si="513"/>
        <v>20</v>
      </c>
      <c r="N1058" s="71">
        <f t="shared" si="513"/>
        <v>0</v>
      </c>
      <c r="O1058" s="44"/>
      <c r="P1058" s="45" t="str">
        <f t="shared" si="495"/>
        <v/>
      </c>
      <c r="Q1058" s="46" t="str">
        <f t="shared" si="496"/>
        <v/>
      </c>
      <c r="R1058" s="47" t="e">
        <f t="shared" si="497"/>
        <v>#VALUE!</v>
      </c>
      <c r="S1058" s="48" t="e">
        <f t="shared" si="486"/>
        <v>#VALUE!</v>
      </c>
      <c r="T1058" s="47" t="str">
        <f t="shared" si="498"/>
        <v/>
      </c>
      <c r="U1058" s="49"/>
      <c r="V1058" s="50"/>
      <c r="W1058" s="51" t="e">
        <f t="shared" si="499"/>
        <v>#VALUE!</v>
      </c>
      <c r="X1058" s="52"/>
      <c r="Y1058" s="52"/>
      <c r="Z1058" s="52"/>
      <c r="AA1058" s="47" t="e">
        <f>INDEX(VISITORS[INSECT ORDER], MATCH(X1058,VISITORS[NAME USED],0))</f>
        <v>#N/A</v>
      </c>
      <c r="AB1058" s="47" t="e">
        <f t="shared" si="500"/>
        <v>#N/A</v>
      </c>
      <c r="AC1058" s="53" t="e">
        <f t="shared" si="501"/>
        <v>#VALUE!</v>
      </c>
      <c r="AD1058" s="54" t="str">
        <f t="shared" si="502"/>
        <v/>
      </c>
      <c r="AE1058" s="54"/>
      <c r="AF1058" s="54"/>
      <c r="AG1058" s="55" t="str">
        <f t="shared" si="503"/>
        <v/>
      </c>
      <c r="AH1058" s="56" t="str">
        <f t="shared" si="504"/>
        <v/>
      </c>
      <c r="AI1058" s="55"/>
      <c r="AJ1058" s="56" t="str">
        <f t="shared" si="505"/>
        <v/>
      </c>
      <c r="AK1058" s="55"/>
      <c r="AL1058" s="56" t="str">
        <f t="shared" si="506"/>
        <v/>
      </c>
      <c r="AM1058" s="55"/>
      <c r="AN1058" s="56" t="str">
        <f t="shared" si="507"/>
        <v/>
      </c>
      <c r="AO1058" s="55"/>
      <c r="AP1058" s="56" t="str">
        <f t="shared" si="508"/>
        <v/>
      </c>
      <c r="AQ1058" s="55"/>
      <c r="AR1058" s="56" t="str">
        <f t="shared" si="509"/>
        <v/>
      </c>
      <c r="AS1058" s="57"/>
      <c r="AT1058" s="58"/>
      <c r="AU1058" s="58"/>
      <c r="AV1058" s="59"/>
      <c r="AW1058" s="60" t="str">
        <f t="shared" si="487"/>
        <v/>
      </c>
      <c r="AX1058" s="61" t="str">
        <f t="shared" si="488"/>
        <v/>
      </c>
      <c r="AY1058" s="60" t="str">
        <f t="shared" si="489"/>
        <v/>
      </c>
      <c r="AZ1058" s="61" t="str">
        <f t="shared" si="490"/>
        <v/>
      </c>
    </row>
    <row r="1059" spans="1:52" s="3" customFormat="1" hidden="1" x14ac:dyDescent="0.35">
      <c r="A1059" s="72">
        <f t="shared" si="491"/>
        <v>2021</v>
      </c>
      <c r="B1059" s="72" t="str">
        <f t="shared" si="492"/>
        <v>Nov</v>
      </c>
      <c r="C1059" s="73">
        <f t="shared" si="510"/>
        <v>15</v>
      </c>
      <c r="D1059" s="74">
        <f t="shared" si="493"/>
        <v>9</v>
      </c>
      <c r="E1059" s="75">
        <f t="shared" si="494"/>
        <v>35</v>
      </c>
      <c r="F1059" s="79"/>
      <c r="G1059" s="82"/>
      <c r="H1059" s="68" t="str">
        <f t="shared" si="511"/>
        <v>Clesim6_20211115_09_00</v>
      </c>
      <c r="I1059" s="69">
        <f t="shared" si="513"/>
        <v>1</v>
      </c>
      <c r="J1059" s="76" t="str">
        <f t="shared" si="513"/>
        <v>Clematis</v>
      </c>
      <c r="K1059" s="76" t="str">
        <f t="shared" si="513"/>
        <v>simense</v>
      </c>
      <c r="L1059" s="77">
        <f t="shared" si="513"/>
        <v>6</v>
      </c>
      <c r="M1059" s="77">
        <f t="shared" si="513"/>
        <v>20</v>
      </c>
      <c r="N1059" s="71">
        <f t="shared" si="513"/>
        <v>0</v>
      </c>
      <c r="O1059" s="44"/>
      <c r="P1059" s="45" t="str">
        <f t="shared" si="495"/>
        <v/>
      </c>
      <c r="Q1059" s="46" t="str">
        <f t="shared" si="496"/>
        <v/>
      </c>
      <c r="R1059" s="47" t="e">
        <f t="shared" si="497"/>
        <v>#VALUE!</v>
      </c>
      <c r="S1059" s="48" t="e">
        <f t="shared" si="486"/>
        <v>#VALUE!</v>
      </c>
      <c r="T1059" s="47" t="str">
        <f t="shared" si="498"/>
        <v/>
      </c>
      <c r="U1059" s="49"/>
      <c r="V1059" s="50"/>
      <c r="W1059" s="51" t="e">
        <f t="shared" si="499"/>
        <v>#VALUE!</v>
      </c>
      <c r="X1059" s="52"/>
      <c r="Y1059" s="52"/>
      <c r="Z1059" s="52"/>
      <c r="AA1059" s="47" t="e">
        <f>INDEX(VISITORS[INSECT ORDER], MATCH(X1059,VISITORS[NAME USED],0))</f>
        <v>#N/A</v>
      </c>
      <c r="AB1059" s="47" t="e">
        <f t="shared" si="500"/>
        <v>#N/A</v>
      </c>
      <c r="AC1059" s="53" t="e">
        <f t="shared" si="501"/>
        <v>#VALUE!</v>
      </c>
      <c r="AD1059" s="54" t="str">
        <f t="shared" si="502"/>
        <v/>
      </c>
      <c r="AE1059" s="54"/>
      <c r="AF1059" s="54"/>
      <c r="AG1059" s="55" t="str">
        <f t="shared" si="503"/>
        <v/>
      </c>
      <c r="AH1059" s="56" t="str">
        <f t="shared" si="504"/>
        <v/>
      </c>
      <c r="AI1059" s="55"/>
      <c r="AJ1059" s="56" t="str">
        <f t="shared" si="505"/>
        <v/>
      </c>
      <c r="AK1059" s="55"/>
      <c r="AL1059" s="56" t="str">
        <f t="shared" si="506"/>
        <v/>
      </c>
      <c r="AM1059" s="55"/>
      <c r="AN1059" s="56" t="str">
        <f t="shared" si="507"/>
        <v/>
      </c>
      <c r="AO1059" s="55"/>
      <c r="AP1059" s="56" t="str">
        <f t="shared" si="508"/>
        <v/>
      </c>
      <c r="AQ1059" s="55"/>
      <c r="AR1059" s="56" t="str">
        <f t="shared" si="509"/>
        <v/>
      </c>
      <c r="AS1059" s="57"/>
      <c r="AT1059" s="58"/>
      <c r="AU1059" s="58"/>
      <c r="AV1059" s="59"/>
      <c r="AW1059" s="60" t="str">
        <f t="shared" si="487"/>
        <v/>
      </c>
      <c r="AX1059" s="61" t="str">
        <f t="shared" si="488"/>
        <v/>
      </c>
      <c r="AY1059" s="60" t="str">
        <f t="shared" si="489"/>
        <v/>
      </c>
      <c r="AZ1059" s="61" t="str">
        <f t="shared" si="490"/>
        <v/>
      </c>
    </row>
    <row r="1060" spans="1:52" s="3" customFormat="1" hidden="1" x14ac:dyDescent="0.35">
      <c r="A1060" s="72">
        <f t="shared" si="491"/>
        <v>2021</v>
      </c>
      <c r="B1060" s="72" t="str">
        <f t="shared" si="492"/>
        <v>Nov</v>
      </c>
      <c r="C1060" s="73">
        <f t="shared" si="510"/>
        <v>15</v>
      </c>
      <c r="D1060" s="74">
        <f t="shared" si="493"/>
        <v>9</v>
      </c>
      <c r="E1060" s="75">
        <f t="shared" si="494"/>
        <v>36</v>
      </c>
      <c r="F1060" s="79"/>
      <c r="G1060" s="82"/>
      <c r="H1060" s="68" t="str">
        <f t="shared" si="511"/>
        <v>Clesim6_20211115_09_00</v>
      </c>
      <c r="I1060" s="69">
        <f t="shared" si="513"/>
        <v>1</v>
      </c>
      <c r="J1060" s="76" t="str">
        <f t="shared" si="513"/>
        <v>Clematis</v>
      </c>
      <c r="K1060" s="76" t="str">
        <f t="shared" si="513"/>
        <v>simense</v>
      </c>
      <c r="L1060" s="77">
        <f t="shared" si="513"/>
        <v>6</v>
      </c>
      <c r="M1060" s="77">
        <f t="shared" si="513"/>
        <v>20</v>
      </c>
      <c r="N1060" s="71">
        <f t="shared" si="513"/>
        <v>0</v>
      </c>
      <c r="O1060" s="44"/>
      <c r="P1060" s="45" t="str">
        <f t="shared" si="495"/>
        <v/>
      </c>
      <c r="Q1060" s="46" t="str">
        <f t="shared" si="496"/>
        <v/>
      </c>
      <c r="R1060" s="47" t="e">
        <f t="shared" si="497"/>
        <v>#VALUE!</v>
      </c>
      <c r="S1060" s="48" t="e">
        <f t="shared" si="486"/>
        <v>#VALUE!</v>
      </c>
      <c r="T1060" s="47" t="str">
        <f t="shared" si="498"/>
        <v/>
      </c>
      <c r="U1060" s="49"/>
      <c r="V1060" s="50"/>
      <c r="W1060" s="51" t="e">
        <f t="shared" si="499"/>
        <v>#VALUE!</v>
      </c>
      <c r="X1060" s="52"/>
      <c r="Y1060" s="52"/>
      <c r="Z1060" s="52"/>
      <c r="AA1060" s="47" t="e">
        <f>INDEX(VISITORS[INSECT ORDER], MATCH(X1060,VISITORS[NAME USED],0))</f>
        <v>#N/A</v>
      </c>
      <c r="AB1060" s="47" t="e">
        <f t="shared" si="500"/>
        <v>#N/A</v>
      </c>
      <c r="AC1060" s="53" t="e">
        <f t="shared" si="501"/>
        <v>#VALUE!</v>
      </c>
      <c r="AD1060" s="54" t="str">
        <f t="shared" si="502"/>
        <v/>
      </c>
      <c r="AE1060" s="54"/>
      <c r="AF1060" s="54"/>
      <c r="AG1060" s="55" t="str">
        <f t="shared" si="503"/>
        <v/>
      </c>
      <c r="AH1060" s="56" t="str">
        <f t="shared" si="504"/>
        <v/>
      </c>
      <c r="AI1060" s="55"/>
      <c r="AJ1060" s="56" t="str">
        <f t="shared" si="505"/>
        <v/>
      </c>
      <c r="AK1060" s="55"/>
      <c r="AL1060" s="56" t="str">
        <f t="shared" si="506"/>
        <v/>
      </c>
      <c r="AM1060" s="55"/>
      <c r="AN1060" s="56" t="str">
        <f t="shared" si="507"/>
        <v/>
      </c>
      <c r="AO1060" s="55"/>
      <c r="AP1060" s="56" t="str">
        <f t="shared" si="508"/>
        <v/>
      </c>
      <c r="AQ1060" s="55"/>
      <c r="AR1060" s="56" t="str">
        <f t="shared" si="509"/>
        <v/>
      </c>
      <c r="AS1060" s="57"/>
      <c r="AT1060" s="58"/>
      <c r="AU1060" s="58"/>
      <c r="AV1060" s="59"/>
      <c r="AW1060" s="60" t="str">
        <f t="shared" si="487"/>
        <v/>
      </c>
      <c r="AX1060" s="61" t="str">
        <f t="shared" si="488"/>
        <v/>
      </c>
      <c r="AY1060" s="60" t="str">
        <f t="shared" si="489"/>
        <v/>
      </c>
      <c r="AZ1060" s="61" t="str">
        <f t="shared" si="490"/>
        <v/>
      </c>
    </row>
    <row r="1061" spans="1:52" s="3" customFormat="1" hidden="1" x14ac:dyDescent="0.35">
      <c r="A1061" s="72">
        <f t="shared" si="491"/>
        <v>2021</v>
      </c>
      <c r="B1061" s="72" t="str">
        <f t="shared" si="492"/>
        <v>Nov</v>
      </c>
      <c r="C1061" s="73">
        <f t="shared" si="510"/>
        <v>15</v>
      </c>
      <c r="D1061" s="74">
        <f t="shared" si="493"/>
        <v>9</v>
      </c>
      <c r="E1061" s="75">
        <f t="shared" si="494"/>
        <v>37</v>
      </c>
      <c r="F1061" s="79"/>
      <c r="G1061" s="82"/>
      <c r="H1061" s="68" t="str">
        <f t="shared" si="511"/>
        <v>Clesim6_20211115_09_00</v>
      </c>
      <c r="I1061" s="69">
        <f t="shared" si="513"/>
        <v>1</v>
      </c>
      <c r="J1061" s="76" t="str">
        <f t="shared" si="513"/>
        <v>Clematis</v>
      </c>
      <c r="K1061" s="76" t="str">
        <f t="shared" si="513"/>
        <v>simense</v>
      </c>
      <c r="L1061" s="77">
        <f t="shared" si="513"/>
        <v>6</v>
      </c>
      <c r="M1061" s="77">
        <f t="shared" si="513"/>
        <v>20</v>
      </c>
      <c r="N1061" s="71">
        <f t="shared" si="513"/>
        <v>0</v>
      </c>
      <c r="O1061" s="44"/>
      <c r="P1061" s="45" t="str">
        <f t="shared" si="495"/>
        <v/>
      </c>
      <c r="Q1061" s="46" t="str">
        <f t="shared" si="496"/>
        <v/>
      </c>
      <c r="R1061" s="47" t="e">
        <f t="shared" si="497"/>
        <v>#VALUE!</v>
      </c>
      <c r="S1061" s="48" t="e">
        <f t="shared" si="486"/>
        <v>#VALUE!</v>
      </c>
      <c r="T1061" s="47" t="str">
        <f t="shared" si="498"/>
        <v/>
      </c>
      <c r="U1061" s="49"/>
      <c r="V1061" s="50"/>
      <c r="W1061" s="51" t="e">
        <f t="shared" si="499"/>
        <v>#VALUE!</v>
      </c>
      <c r="X1061" s="52"/>
      <c r="Y1061" s="52"/>
      <c r="Z1061" s="52"/>
      <c r="AA1061" s="47" t="e">
        <f>INDEX(VISITORS[INSECT ORDER], MATCH(X1061,VISITORS[NAME USED],0))</f>
        <v>#N/A</v>
      </c>
      <c r="AB1061" s="47" t="e">
        <f t="shared" si="500"/>
        <v>#N/A</v>
      </c>
      <c r="AC1061" s="53" t="e">
        <f t="shared" si="501"/>
        <v>#VALUE!</v>
      </c>
      <c r="AD1061" s="54" t="str">
        <f t="shared" si="502"/>
        <v/>
      </c>
      <c r="AE1061" s="54"/>
      <c r="AF1061" s="54"/>
      <c r="AG1061" s="55" t="str">
        <f t="shared" si="503"/>
        <v/>
      </c>
      <c r="AH1061" s="56" t="str">
        <f t="shared" si="504"/>
        <v/>
      </c>
      <c r="AI1061" s="55"/>
      <c r="AJ1061" s="56" t="str">
        <f t="shared" si="505"/>
        <v/>
      </c>
      <c r="AK1061" s="55"/>
      <c r="AL1061" s="56" t="str">
        <f t="shared" si="506"/>
        <v/>
      </c>
      <c r="AM1061" s="55"/>
      <c r="AN1061" s="56" t="str">
        <f t="shared" si="507"/>
        <v/>
      </c>
      <c r="AO1061" s="55"/>
      <c r="AP1061" s="56" t="str">
        <f t="shared" si="508"/>
        <v/>
      </c>
      <c r="AQ1061" s="55"/>
      <c r="AR1061" s="56" t="str">
        <f t="shared" si="509"/>
        <v/>
      </c>
      <c r="AS1061" s="57"/>
      <c r="AT1061" s="58"/>
      <c r="AU1061" s="58"/>
      <c r="AV1061" s="59"/>
      <c r="AW1061" s="60" t="str">
        <f t="shared" si="487"/>
        <v/>
      </c>
      <c r="AX1061" s="61" t="str">
        <f t="shared" si="488"/>
        <v/>
      </c>
      <c r="AY1061" s="60" t="str">
        <f t="shared" si="489"/>
        <v/>
      </c>
      <c r="AZ1061" s="61" t="str">
        <f t="shared" si="490"/>
        <v/>
      </c>
    </row>
    <row r="1062" spans="1:52" s="3" customFormat="1" hidden="1" x14ac:dyDescent="0.35">
      <c r="A1062" s="72">
        <f t="shared" si="491"/>
        <v>2021</v>
      </c>
      <c r="B1062" s="72" t="str">
        <f t="shared" si="492"/>
        <v>Nov</v>
      </c>
      <c r="C1062" s="73">
        <f t="shared" si="510"/>
        <v>15</v>
      </c>
      <c r="D1062" s="74">
        <f t="shared" si="493"/>
        <v>9</v>
      </c>
      <c r="E1062" s="75">
        <f t="shared" si="494"/>
        <v>38</v>
      </c>
      <c r="F1062" s="79"/>
      <c r="G1062" s="82"/>
      <c r="H1062" s="68" t="str">
        <f t="shared" si="511"/>
        <v>Clesim6_20211115_09_00</v>
      </c>
      <c r="I1062" s="69">
        <f t="shared" ref="I1062:N1077" si="514">I1061</f>
        <v>1</v>
      </c>
      <c r="J1062" s="76" t="str">
        <f t="shared" si="514"/>
        <v>Clematis</v>
      </c>
      <c r="K1062" s="76" t="str">
        <f t="shared" si="514"/>
        <v>simense</v>
      </c>
      <c r="L1062" s="77">
        <f t="shared" si="514"/>
        <v>6</v>
      </c>
      <c r="M1062" s="77">
        <f t="shared" si="514"/>
        <v>20</v>
      </c>
      <c r="N1062" s="71">
        <f t="shared" si="514"/>
        <v>0</v>
      </c>
      <c r="O1062" s="44"/>
      <c r="P1062" s="45" t="str">
        <f t="shared" si="495"/>
        <v/>
      </c>
      <c r="Q1062" s="46" t="str">
        <f t="shared" si="496"/>
        <v/>
      </c>
      <c r="R1062" s="47" t="e">
        <f t="shared" si="497"/>
        <v>#VALUE!</v>
      </c>
      <c r="S1062" s="48" t="e">
        <f t="shared" si="486"/>
        <v>#VALUE!</v>
      </c>
      <c r="T1062" s="47" t="str">
        <f t="shared" si="498"/>
        <v/>
      </c>
      <c r="U1062" s="49"/>
      <c r="V1062" s="50"/>
      <c r="W1062" s="51" t="e">
        <f t="shared" si="499"/>
        <v>#VALUE!</v>
      </c>
      <c r="X1062" s="52"/>
      <c r="Y1062" s="52"/>
      <c r="Z1062" s="52"/>
      <c r="AA1062" s="47" t="e">
        <f>INDEX(VISITORS[INSECT ORDER], MATCH(X1062,VISITORS[NAME USED],0))</f>
        <v>#N/A</v>
      </c>
      <c r="AB1062" s="47" t="e">
        <f t="shared" si="500"/>
        <v>#N/A</v>
      </c>
      <c r="AC1062" s="53" t="e">
        <f t="shared" si="501"/>
        <v>#VALUE!</v>
      </c>
      <c r="AD1062" s="54" t="str">
        <f t="shared" si="502"/>
        <v/>
      </c>
      <c r="AE1062" s="54"/>
      <c r="AF1062" s="54"/>
      <c r="AG1062" s="55" t="str">
        <f t="shared" si="503"/>
        <v/>
      </c>
      <c r="AH1062" s="56" t="str">
        <f t="shared" si="504"/>
        <v/>
      </c>
      <c r="AI1062" s="55"/>
      <c r="AJ1062" s="56" t="str">
        <f t="shared" si="505"/>
        <v/>
      </c>
      <c r="AK1062" s="55"/>
      <c r="AL1062" s="56" t="str">
        <f t="shared" si="506"/>
        <v/>
      </c>
      <c r="AM1062" s="55"/>
      <c r="AN1062" s="56" t="str">
        <f t="shared" si="507"/>
        <v/>
      </c>
      <c r="AO1062" s="55"/>
      <c r="AP1062" s="56" t="str">
        <f t="shared" si="508"/>
        <v/>
      </c>
      <c r="AQ1062" s="55"/>
      <c r="AR1062" s="56" t="str">
        <f t="shared" si="509"/>
        <v/>
      </c>
      <c r="AS1062" s="57"/>
      <c r="AT1062" s="58"/>
      <c r="AU1062" s="58"/>
      <c r="AV1062" s="59"/>
      <c r="AW1062" s="60" t="str">
        <f t="shared" si="487"/>
        <v/>
      </c>
      <c r="AX1062" s="61" t="str">
        <f t="shared" si="488"/>
        <v/>
      </c>
      <c r="AY1062" s="60" t="str">
        <f t="shared" si="489"/>
        <v/>
      </c>
      <c r="AZ1062" s="61" t="str">
        <f t="shared" si="490"/>
        <v/>
      </c>
    </row>
    <row r="1063" spans="1:52" s="3" customFormat="1" hidden="1" x14ac:dyDescent="0.35">
      <c r="A1063" s="72">
        <f t="shared" si="491"/>
        <v>2021</v>
      </c>
      <c r="B1063" s="72" t="str">
        <f t="shared" si="492"/>
        <v>Nov</v>
      </c>
      <c r="C1063" s="73">
        <f t="shared" si="510"/>
        <v>15</v>
      </c>
      <c r="D1063" s="74">
        <f t="shared" si="493"/>
        <v>9</v>
      </c>
      <c r="E1063" s="75">
        <f t="shared" si="494"/>
        <v>39</v>
      </c>
      <c r="F1063" s="79"/>
      <c r="G1063" s="82"/>
      <c r="H1063" s="68" t="str">
        <f t="shared" si="511"/>
        <v>Clesim6_20211115_09_00</v>
      </c>
      <c r="I1063" s="69">
        <f t="shared" si="514"/>
        <v>1</v>
      </c>
      <c r="J1063" s="76" t="str">
        <f t="shared" si="514"/>
        <v>Clematis</v>
      </c>
      <c r="K1063" s="76" t="str">
        <f t="shared" si="514"/>
        <v>simense</v>
      </c>
      <c r="L1063" s="77">
        <f t="shared" si="514"/>
        <v>6</v>
      </c>
      <c r="M1063" s="77">
        <f t="shared" si="514"/>
        <v>20</v>
      </c>
      <c r="N1063" s="71">
        <f t="shared" si="514"/>
        <v>0</v>
      </c>
      <c r="O1063" s="44"/>
      <c r="P1063" s="45" t="str">
        <f t="shared" si="495"/>
        <v/>
      </c>
      <c r="Q1063" s="46" t="str">
        <f t="shared" si="496"/>
        <v/>
      </c>
      <c r="R1063" s="47" t="e">
        <f t="shared" si="497"/>
        <v>#VALUE!</v>
      </c>
      <c r="S1063" s="48" t="e">
        <f t="shared" si="486"/>
        <v>#VALUE!</v>
      </c>
      <c r="T1063" s="47" t="str">
        <f t="shared" si="498"/>
        <v/>
      </c>
      <c r="U1063" s="49"/>
      <c r="V1063" s="50"/>
      <c r="W1063" s="51" t="e">
        <f t="shared" si="499"/>
        <v>#VALUE!</v>
      </c>
      <c r="X1063" s="52"/>
      <c r="Y1063" s="52"/>
      <c r="Z1063" s="52"/>
      <c r="AA1063" s="47" t="e">
        <f>INDEX(VISITORS[INSECT ORDER], MATCH(X1063,VISITORS[NAME USED],0))</f>
        <v>#N/A</v>
      </c>
      <c r="AB1063" s="47" t="e">
        <f t="shared" si="500"/>
        <v>#N/A</v>
      </c>
      <c r="AC1063" s="53" t="e">
        <f t="shared" si="501"/>
        <v>#VALUE!</v>
      </c>
      <c r="AD1063" s="54" t="str">
        <f t="shared" si="502"/>
        <v/>
      </c>
      <c r="AE1063" s="54"/>
      <c r="AF1063" s="54"/>
      <c r="AG1063" s="55" t="str">
        <f t="shared" si="503"/>
        <v/>
      </c>
      <c r="AH1063" s="56" t="str">
        <f t="shared" si="504"/>
        <v/>
      </c>
      <c r="AI1063" s="55"/>
      <c r="AJ1063" s="56" t="str">
        <f t="shared" si="505"/>
        <v/>
      </c>
      <c r="AK1063" s="55"/>
      <c r="AL1063" s="56" t="str">
        <f t="shared" si="506"/>
        <v/>
      </c>
      <c r="AM1063" s="55"/>
      <c r="AN1063" s="56" t="str">
        <f t="shared" si="507"/>
        <v/>
      </c>
      <c r="AO1063" s="55"/>
      <c r="AP1063" s="56" t="str">
        <f t="shared" si="508"/>
        <v/>
      </c>
      <c r="AQ1063" s="55"/>
      <c r="AR1063" s="56" t="str">
        <f t="shared" si="509"/>
        <v/>
      </c>
      <c r="AS1063" s="57"/>
      <c r="AT1063" s="58"/>
      <c r="AU1063" s="58"/>
      <c r="AV1063" s="59"/>
      <c r="AW1063" s="60" t="str">
        <f t="shared" si="487"/>
        <v/>
      </c>
      <c r="AX1063" s="61" t="str">
        <f t="shared" si="488"/>
        <v/>
      </c>
      <c r="AY1063" s="60" t="str">
        <f t="shared" si="489"/>
        <v/>
      </c>
      <c r="AZ1063" s="61" t="str">
        <f t="shared" si="490"/>
        <v/>
      </c>
    </row>
    <row r="1064" spans="1:52" s="3" customFormat="1" hidden="1" x14ac:dyDescent="0.35">
      <c r="A1064" s="72">
        <f t="shared" si="491"/>
        <v>2021</v>
      </c>
      <c r="B1064" s="72" t="str">
        <f t="shared" si="492"/>
        <v>Nov</v>
      </c>
      <c r="C1064" s="73">
        <f t="shared" si="510"/>
        <v>15</v>
      </c>
      <c r="D1064" s="74">
        <f t="shared" si="493"/>
        <v>9</v>
      </c>
      <c r="E1064" s="75">
        <f t="shared" si="494"/>
        <v>40</v>
      </c>
      <c r="F1064" s="79"/>
      <c r="G1064" s="82"/>
      <c r="H1064" s="68" t="str">
        <f t="shared" si="511"/>
        <v>Clesim6_20211115_09_00</v>
      </c>
      <c r="I1064" s="69">
        <f t="shared" si="514"/>
        <v>1</v>
      </c>
      <c r="J1064" s="76" t="str">
        <f t="shared" si="514"/>
        <v>Clematis</v>
      </c>
      <c r="K1064" s="76" t="str">
        <f t="shared" si="514"/>
        <v>simense</v>
      </c>
      <c r="L1064" s="77">
        <f t="shared" si="514"/>
        <v>6</v>
      </c>
      <c r="M1064" s="77">
        <f t="shared" si="514"/>
        <v>20</v>
      </c>
      <c r="N1064" s="71">
        <f t="shared" si="514"/>
        <v>0</v>
      </c>
      <c r="O1064" s="44"/>
      <c r="P1064" s="45" t="str">
        <f t="shared" si="495"/>
        <v/>
      </c>
      <c r="Q1064" s="46" t="str">
        <f t="shared" si="496"/>
        <v/>
      </c>
      <c r="R1064" s="47" t="e">
        <f t="shared" si="497"/>
        <v>#VALUE!</v>
      </c>
      <c r="S1064" s="48" t="e">
        <f t="shared" si="486"/>
        <v>#VALUE!</v>
      </c>
      <c r="T1064" s="47" t="str">
        <f t="shared" si="498"/>
        <v/>
      </c>
      <c r="U1064" s="49"/>
      <c r="V1064" s="50"/>
      <c r="W1064" s="51" t="e">
        <f t="shared" si="499"/>
        <v>#VALUE!</v>
      </c>
      <c r="X1064" s="52"/>
      <c r="Y1064" s="52"/>
      <c r="Z1064" s="52"/>
      <c r="AA1064" s="47" t="e">
        <f>INDEX(VISITORS[INSECT ORDER], MATCH(X1064,VISITORS[NAME USED],0))</f>
        <v>#N/A</v>
      </c>
      <c r="AB1064" s="47" t="e">
        <f t="shared" si="500"/>
        <v>#N/A</v>
      </c>
      <c r="AC1064" s="53" t="e">
        <f t="shared" si="501"/>
        <v>#VALUE!</v>
      </c>
      <c r="AD1064" s="54" t="str">
        <f t="shared" si="502"/>
        <v/>
      </c>
      <c r="AE1064" s="54"/>
      <c r="AF1064" s="54"/>
      <c r="AG1064" s="55" t="str">
        <f t="shared" si="503"/>
        <v/>
      </c>
      <c r="AH1064" s="56" t="str">
        <f t="shared" si="504"/>
        <v/>
      </c>
      <c r="AI1064" s="55"/>
      <c r="AJ1064" s="56" t="str">
        <f t="shared" si="505"/>
        <v/>
      </c>
      <c r="AK1064" s="55"/>
      <c r="AL1064" s="56" t="str">
        <f t="shared" si="506"/>
        <v/>
      </c>
      <c r="AM1064" s="55"/>
      <c r="AN1064" s="56" t="str">
        <f t="shared" si="507"/>
        <v/>
      </c>
      <c r="AO1064" s="55"/>
      <c r="AP1064" s="56" t="str">
        <f t="shared" si="508"/>
        <v/>
      </c>
      <c r="AQ1064" s="55"/>
      <c r="AR1064" s="56" t="str">
        <f t="shared" si="509"/>
        <v/>
      </c>
      <c r="AS1064" s="57"/>
      <c r="AT1064" s="58"/>
      <c r="AU1064" s="58"/>
      <c r="AV1064" s="59"/>
      <c r="AW1064" s="60" t="str">
        <f t="shared" si="487"/>
        <v/>
      </c>
      <c r="AX1064" s="61" t="str">
        <f t="shared" si="488"/>
        <v/>
      </c>
      <c r="AY1064" s="60" t="str">
        <f t="shared" si="489"/>
        <v/>
      </c>
      <c r="AZ1064" s="61" t="str">
        <f t="shared" si="490"/>
        <v/>
      </c>
    </row>
    <row r="1065" spans="1:52" s="3" customFormat="1" hidden="1" x14ac:dyDescent="0.35">
      <c r="A1065" s="72">
        <f t="shared" si="491"/>
        <v>2021</v>
      </c>
      <c r="B1065" s="72" t="str">
        <f t="shared" si="492"/>
        <v>Nov</v>
      </c>
      <c r="C1065" s="73">
        <f t="shared" si="510"/>
        <v>15</v>
      </c>
      <c r="D1065" s="74">
        <f t="shared" si="493"/>
        <v>9</v>
      </c>
      <c r="E1065" s="75">
        <f t="shared" si="494"/>
        <v>41</v>
      </c>
      <c r="F1065" s="79"/>
      <c r="G1065" s="82"/>
      <c r="H1065" s="68" t="str">
        <f t="shared" si="511"/>
        <v>Clesim6_20211115_09_00</v>
      </c>
      <c r="I1065" s="69">
        <f t="shared" si="514"/>
        <v>1</v>
      </c>
      <c r="J1065" s="76" t="str">
        <f t="shared" si="514"/>
        <v>Clematis</v>
      </c>
      <c r="K1065" s="76" t="str">
        <f t="shared" si="514"/>
        <v>simense</v>
      </c>
      <c r="L1065" s="77">
        <f t="shared" si="514"/>
        <v>6</v>
      </c>
      <c r="M1065" s="77">
        <f t="shared" si="514"/>
        <v>20</v>
      </c>
      <c r="N1065" s="71">
        <f t="shared" si="514"/>
        <v>0</v>
      </c>
      <c r="O1065" s="44"/>
      <c r="P1065" s="45" t="str">
        <f t="shared" si="495"/>
        <v/>
      </c>
      <c r="Q1065" s="46" t="str">
        <f t="shared" si="496"/>
        <v/>
      </c>
      <c r="R1065" s="47" t="e">
        <f t="shared" si="497"/>
        <v>#VALUE!</v>
      </c>
      <c r="S1065" s="48" t="e">
        <f t="shared" si="486"/>
        <v>#VALUE!</v>
      </c>
      <c r="T1065" s="47" t="str">
        <f t="shared" si="498"/>
        <v/>
      </c>
      <c r="U1065" s="49"/>
      <c r="V1065" s="50"/>
      <c r="W1065" s="51" t="e">
        <f t="shared" si="499"/>
        <v>#VALUE!</v>
      </c>
      <c r="X1065" s="52"/>
      <c r="Y1065" s="52"/>
      <c r="Z1065" s="52"/>
      <c r="AA1065" s="47" t="e">
        <f>INDEX(VISITORS[INSECT ORDER], MATCH(X1065,VISITORS[NAME USED],0))</f>
        <v>#N/A</v>
      </c>
      <c r="AB1065" s="47" t="e">
        <f t="shared" si="500"/>
        <v>#N/A</v>
      </c>
      <c r="AC1065" s="53" t="e">
        <f t="shared" si="501"/>
        <v>#VALUE!</v>
      </c>
      <c r="AD1065" s="54" t="str">
        <f t="shared" si="502"/>
        <v/>
      </c>
      <c r="AE1065" s="54"/>
      <c r="AF1065" s="54"/>
      <c r="AG1065" s="55" t="str">
        <f t="shared" si="503"/>
        <v/>
      </c>
      <c r="AH1065" s="56" t="str">
        <f t="shared" si="504"/>
        <v/>
      </c>
      <c r="AI1065" s="55"/>
      <c r="AJ1065" s="56" t="str">
        <f t="shared" si="505"/>
        <v/>
      </c>
      <c r="AK1065" s="55"/>
      <c r="AL1065" s="56" t="str">
        <f t="shared" si="506"/>
        <v/>
      </c>
      <c r="AM1065" s="55"/>
      <c r="AN1065" s="56" t="str">
        <f t="shared" si="507"/>
        <v/>
      </c>
      <c r="AO1065" s="55"/>
      <c r="AP1065" s="56" t="str">
        <f t="shared" si="508"/>
        <v/>
      </c>
      <c r="AQ1065" s="55"/>
      <c r="AR1065" s="56" t="str">
        <f t="shared" si="509"/>
        <v/>
      </c>
      <c r="AS1065" s="57"/>
      <c r="AT1065" s="58"/>
      <c r="AU1065" s="58"/>
      <c r="AV1065" s="59"/>
      <c r="AW1065" s="60" t="str">
        <f t="shared" si="487"/>
        <v/>
      </c>
      <c r="AX1065" s="61" t="str">
        <f t="shared" si="488"/>
        <v/>
      </c>
      <c r="AY1065" s="60" t="str">
        <f t="shared" si="489"/>
        <v/>
      </c>
      <c r="AZ1065" s="61" t="str">
        <f t="shared" si="490"/>
        <v/>
      </c>
    </row>
    <row r="1066" spans="1:52" s="3" customFormat="1" hidden="1" x14ac:dyDescent="0.35">
      <c r="A1066" s="72">
        <f t="shared" si="491"/>
        <v>2021</v>
      </c>
      <c r="B1066" s="72" t="str">
        <f t="shared" si="492"/>
        <v>Nov</v>
      </c>
      <c r="C1066" s="73">
        <f t="shared" si="510"/>
        <v>15</v>
      </c>
      <c r="D1066" s="74">
        <f t="shared" si="493"/>
        <v>9</v>
      </c>
      <c r="E1066" s="75">
        <f t="shared" si="494"/>
        <v>42</v>
      </c>
      <c r="F1066" s="79"/>
      <c r="G1066" s="82"/>
      <c r="H1066" s="68" t="str">
        <f t="shared" si="511"/>
        <v>Clesim6_20211115_09_00</v>
      </c>
      <c r="I1066" s="69">
        <f t="shared" si="514"/>
        <v>1</v>
      </c>
      <c r="J1066" s="76" t="str">
        <f t="shared" si="514"/>
        <v>Clematis</v>
      </c>
      <c r="K1066" s="76" t="str">
        <f t="shared" si="514"/>
        <v>simense</v>
      </c>
      <c r="L1066" s="77">
        <f t="shared" si="514"/>
        <v>6</v>
      </c>
      <c r="M1066" s="77">
        <f t="shared" si="514"/>
        <v>20</v>
      </c>
      <c r="N1066" s="71">
        <f t="shared" si="514"/>
        <v>0</v>
      </c>
      <c r="O1066" s="44"/>
      <c r="P1066" s="45" t="str">
        <f t="shared" si="495"/>
        <v/>
      </c>
      <c r="Q1066" s="46" t="str">
        <f t="shared" si="496"/>
        <v/>
      </c>
      <c r="R1066" s="47" t="e">
        <f t="shared" si="497"/>
        <v>#VALUE!</v>
      </c>
      <c r="S1066" s="48" t="e">
        <f t="shared" si="486"/>
        <v>#VALUE!</v>
      </c>
      <c r="T1066" s="47" t="str">
        <f t="shared" si="498"/>
        <v/>
      </c>
      <c r="U1066" s="49"/>
      <c r="V1066" s="50"/>
      <c r="W1066" s="51" t="e">
        <f t="shared" si="499"/>
        <v>#VALUE!</v>
      </c>
      <c r="X1066" s="52"/>
      <c r="Y1066" s="52"/>
      <c r="Z1066" s="52"/>
      <c r="AA1066" s="47" t="e">
        <f>INDEX(VISITORS[INSECT ORDER], MATCH(X1066,VISITORS[NAME USED],0))</f>
        <v>#N/A</v>
      </c>
      <c r="AB1066" s="47" t="e">
        <f t="shared" si="500"/>
        <v>#N/A</v>
      </c>
      <c r="AC1066" s="53" t="e">
        <f t="shared" si="501"/>
        <v>#VALUE!</v>
      </c>
      <c r="AD1066" s="54" t="str">
        <f t="shared" si="502"/>
        <v/>
      </c>
      <c r="AE1066" s="54"/>
      <c r="AF1066" s="54"/>
      <c r="AG1066" s="55" t="str">
        <f t="shared" si="503"/>
        <v/>
      </c>
      <c r="AH1066" s="56" t="str">
        <f t="shared" si="504"/>
        <v/>
      </c>
      <c r="AI1066" s="55"/>
      <c r="AJ1066" s="56" t="str">
        <f t="shared" si="505"/>
        <v/>
      </c>
      <c r="AK1066" s="55"/>
      <c r="AL1066" s="56" t="str">
        <f t="shared" si="506"/>
        <v/>
      </c>
      <c r="AM1066" s="55"/>
      <c r="AN1066" s="56" t="str">
        <f t="shared" si="507"/>
        <v/>
      </c>
      <c r="AO1066" s="55"/>
      <c r="AP1066" s="56" t="str">
        <f t="shared" si="508"/>
        <v/>
      </c>
      <c r="AQ1066" s="55"/>
      <c r="AR1066" s="56" t="str">
        <f t="shared" si="509"/>
        <v/>
      </c>
      <c r="AS1066" s="57"/>
      <c r="AT1066" s="58"/>
      <c r="AU1066" s="58"/>
      <c r="AV1066" s="59"/>
      <c r="AW1066" s="60" t="str">
        <f t="shared" si="487"/>
        <v/>
      </c>
      <c r="AX1066" s="61" t="str">
        <f t="shared" si="488"/>
        <v/>
      </c>
      <c r="AY1066" s="60" t="str">
        <f t="shared" si="489"/>
        <v/>
      </c>
      <c r="AZ1066" s="61" t="str">
        <f t="shared" si="490"/>
        <v/>
      </c>
    </row>
    <row r="1067" spans="1:52" s="3" customFormat="1" hidden="1" x14ac:dyDescent="0.35">
      <c r="A1067" s="72">
        <f t="shared" si="491"/>
        <v>2021</v>
      </c>
      <c r="B1067" s="72" t="str">
        <f t="shared" si="492"/>
        <v>Nov</v>
      </c>
      <c r="C1067" s="73">
        <f t="shared" si="510"/>
        <v>15</v>
      </c>
      <c r="D1067" s="74">
        <f t="shared" si="493"/>
        <v>9</v>
      </c>
      <c r="E1067" s="75">
        <f t="shared" si="494"/>
        <v>43</v>
      </c>
      <c r="F1067" s="79"/>
      <c r="G1067" s="82"/>
      <c r="H1067" s="68" t="str">
        <f t="shared" si="511"/>
        <v>Clesim6_20211115_09_00</v>
      </c>
      <c r="I1067" s="69">
        <f t="shared" si="514"/>
        <v>1</v>
      </c>
      <c r="J1067" s="76" t="str">
        <f t="shared" si="514"/>
        <v>Clematis</v>
      </c>
      <c r="K1067" s="76" t="str">
        <f t="shared" si="514"/>
        <v>simense</v>
      </c>
      <c r="L1067" s="77">
        <f t="shared" si="514"/>
        <v>6</v>
      </c>
      <c r="M1067" s="77">
        <f t="shared" si="514"/>
        <v>20</v>
      </c>
      <c r="N1067" s="71">
        <f t="shared" si="514"/>
        <v>0</v>
      </c>
      <c r="O1067" s="44"/>
      <c r="P1067" s="45" t="str">
        <f t="shared" si="495"/>
        <v/>
      </c>
      <c r="Q1067" s="46" t="str">
        <f t="shared" si="496"/>
        <v/>
      </c>
      <c r="R1067" s="47" t="e">
        <f t="shared" si="497"/>
        <v>#VALUE!</v>
      </c>
      <c r="S1067" s="48" t="e">
        <f t="shared" si="486"/>
        <v>#VALUE!</v>
      </c>
      <c r="T1067" s="47" t="str">
        <f t="shared" si="498"/>
        <v/>
      </c>
      <c r="U1067" s="49"/>
      <c r="V1067" s="50"/>
      <c r="W1067" s="51" t="e">
        <f t="shared" si="499"/>
        <v>#VALUE!</v>
      </c>
      <c r="X1067" s="52"/>
      <c r="Y1067" s="52"/>
      <c r="Z1067" s="52"/>
      <c r="AA1067" s="47" t="e">
        <f>INDEX(VISITORS[INSECT ORDER], MATCH(X1067,VISITORS[NAME USED],0))</f>
        <v>#N/A</v>
      </c>
      <c r="AB1067" s="47" t="e">
        <f t="shared" si="500"/>
        <v>#N/A</v>
      </c>
      <c r="AC1067" s="53" t="e">
        <f t="shared" si="501"/>
        <v>#VALUE!</v>
      </c>
      <c r="AD1067" s="54" t="str">
        <f t="shared" si="502"/>
        <v/>
      </c>
      <c r="AE1067" s="54"/>
      <c r="AF1067" s="54"/>
      <c r="AG1067" s="55" t="str">
        <f t="shared" si="503"/>
        <v/>
      </c>
      <c r="AH1067" s="56" t="str">
        <f t="shared" si="504"/>
        <v/>
      </c>
      <c r="AI1067" s="55"/>
      <c r="AJ1067" s="56" t="str">
        <f t="shared" si="505"/>
        <v/>
      </c>
      <c r="AK1067" s="55"/>
      <c r="AL1067" s="56" t="str">
        <f t="shared" si="506"/>
        <v/>
      </c>
      <c r="AM1067" s="55"/>
      <c r="AN1067" s="56" t="str">
        <f t="shared" si="507"/>
        <v/>
      </c>
      <c r="AO1067" s="55"/>
      <c r="AP1067" s="56" t="str">
        <f t="shared" si="508"/>
        <v/>
      </c>
      <c r="AQ1067" s="55"/>
      <c r="AR1067" s="56" t="str">
        <f t="shared" si="509"/>
        <v/>
      </c>
      <c r="AS1067" s="57"/>
      <c r="AT1067" s="58"/>
      <c r="AU1067" s="58"/>
      <c r="AV1067" s="59"/>
      <c r="AW1067" s="60" t="str">
        <f t="shared" si="487"/>
        <v/>
      </c>
      <c r="AX1067" s="61" t="str">
        <f t="shared" si="488"/>
        <v/>
      </c>
      <c r="AY1067" s="60" t="str">
        <f t="shared" si="489"/>
        <v/>
      </c>
      <c r="AZ1067" s="61" t="str">
        <f t="shared" si="490"/>
        <v/>
      </c>
    </row>
    <row r="1068" spans="1:52" s="3" customFormat="1" hidden="1" x14ac:dyDescent="0.35">
      <c r="A1068" s="72">
        <f t="shared" si="491"/>
        <v>2021</v>
      </c>
      <c r="B1068" s="72" t="str">
        <f t="shared" si="492"/>
        <v>Nov</v>
      </c>
      <c r="C1068" s="73">
        <f t="shared" si="510"/>
        <v>15</v>
      </c>
      <c r="D1068" s="74">
        <f t="shared" si="493"/>
        <v>9</v>
      </c>
      <c r="E1068" s="75">
        <f t="shared" si="494"/>
        <v>44</v>
      </c>
      <c r="F1068" s="79"/>
      <c r="G1068" s="82"/>
      <c r="H1068" s="68" t="str">
        <f t="shared" si="511"/>
        <v>Clesim6_20211115_09_00</v>
      </c>
      <c r="I1068" s="69">
        <f t="shared" si="514"/>
        <v>1</v>
      </c>
      <c r="J1068" s="76" t="str">
        <f t="shared" si="514"/>
        <v>Clematis</v>
      </c>
      <c r="K1068" s="76" t="str">
        <f t="shared" si="514"/>
        <v>simense</v>
      </c>
      <c r="L1068" s="77">
        <f t="shared" si="514"/>
        <v>6</v>
      </c>
      <c r="M1068" s="77">
        <f t="shared" si="514"/>
        <v>20</v>
      </c>
      <c r="N1068" s="71">
        <f t="shared" si="514"/>
        <v>0</v>
      </c>
      <c r="O1068" s="44"/>
      <c r="P1068" s="45" t="str">
        <f t="shared" si="495"/>
        <v/>
      </c>
      <c r="Q1068" s="46" t="str">
        <f t="shared" si="496"/>
        <v/>
      </c>
      <c r="R1068" s="47" t="e">
        <f t="shared" si="497"/>
        <v>#VALUE!</v>
      </c>
      <c r="S1068" s="48" t="e">
        <f t="shared" si="486"/>
        <v>#VALUE!</v>
      </c>
      <c r="T1068" s="47" t="str">
        <f t="shared" si="498"/>
        <v/>
      </c>
      <c r="U1068" s="49"/>
      <c r="V1068" s="50"/>
      <c r="W1068" s="51" t="e">
        <f t="shared" si="499"/>
        <v>#VALUE!</v>
      </c>
      <c r="X1068" s="52"/>
      <c r="Y1068" s="52"/>
      <c r="Z1068" s="52"/>
      <c r="AA1068" s="47" t="e">
        <f>INDEX(VISITORS[INSECT ORDER], MATCH(X1068,VISITORS[NAME USED],0))</f>
        <v>#N/A</v>
      </c>
      <c r="AB1068" s="47" t="e">
        <f t="shared" si="500"/>
        <v>#N/A</v>
      </c>
      <c r="AC1068" s="53" t="e">
        <f t="shared" si="501"/>
        <v>#VALUE!</v>
      </c>
      <c r="AD1068" s="54" t="str">
        <f t="shared" si="502"/>
        <v/>
      </c>
      <c r="AE1068" s="54"/>
      <c r="AF1068" s="54"/>
      <c r="AG1068" s="55" t="str">
        <f t="shared" si="503"/>
        <v/>
      </c>
      <c r="AH1068" s="56" t="str">
        <f t="shared" si="504"/>
        <v/>
      </c>
      <c r="AI1068" s="55"/>
      <c r="AJ1068" s="56" t="str">
        <f t="shared" si="505"/>
        <v/>
      </c>
      <c r="AK1068" s="55"/>
      <c r="AL1068" s="56" t="str">
        <f t="shared" si="506"/>
        <v/>
      </c>
      <c r="AM1068" s="55"/>
      <c r="AN1068" s="56" t="str">
        <f t="shared" si="507"/>
        <v/>
      </c>
      <c r="AO1068" s="55"/>
      <c r="AP1068" s="56" t="str">
        <f t="shared" si="508"/>
        <v/>
      </c>
      <c r="AQ1068" s="55"/>
      <c r="AR1068" s="56" t="str">
        <f t="shared" si="509"/>
        <v/>
      </c>
      <c r="AS1068" s="57"/>
      <c r="AT1068" s="58"/>
      <c r="AU1068" s="58"/>
      <c r="AV1068" s="59"/>
      <c r="AW1068" s="60" t="str">
        <f t="shared" si="487"/>
        <v/>
      </c>
      <c r="AX1068" s="61" t="str">
        <f t="shared" si="488"/>
        <v/>
      </c>
      <c r="AY1068" s="60" t="str">
        <f t="shared" si="489"/>
        <v/>
      </c>
      <c r="AZ1068" s="61" t="str">
        <f t="shared" si="490"/>
        <v/>
      </c>
    </row>
    <row r="1069" spans="1:52" s="3" customFormat="1" hidden="1" x14ac:dyDescent="0.35">
      <c r="A1069" s="72">
        <f t="shared" si="491"/>
        <v>2021</v>
      </c>
      <c r="B1069" s="72" t="str">
        <f t="shared" si="492"/>
        <v>Nov</v>
      </c>
      <c r="C1069" s="73">
        <f t="shared" si="510"/>
        <v>15</v>
      </c>
      <c r="D1069" s="74">
        <f t="shared" si="493"/>
        <v>9</v>
      </c>
      <c r="E1069" s="75">
        <f t="shared" si="494"/>
        <v>45</v>
      </c>
      <c r="F1069" s="79"/>
      <c r="G1069" s="82"/>
      <c r="H1069" s="68" t="str">
        <f t="shared" si="511"/>
        <v>Clesim6_20211115_09_00</v>
      </c>
      <c r="I1069" s="69">
        <f t="shared" si="514"/>
        <v>1</v>
      </c>
      <c r="J1069" s="76" t="str">
        <f t="shared" si="514"/>
        <v>Clematis</v>
      </c>
      <c r="K1069" s="76" t="str">
        <f t="shared" si="514"/>
        <v>simense</v>
      </c>
      <c r="L1069" s="77">
        <f t="shared" si="514"/>
        <v>6</v>
      </c>
      <c r="M1069" s="77">
        <f t="shared" si="514"/>
        <v>20</v>
      </c>
      <c r="N1069" s="71">
        <f t="shared" si="514"/>
        <v>0</v>
      </c>
      <c r="O1069" s="44"/>
      <c r="P1069" s="45" t="str">
        <f t="shared" si="495"/>
        <v/>
      </c>
      <c r="Q1069" s="46" t="str">
        <f t="shared" si="496"/>
        <v/>
      </c>
      <c r="R1069" s="47" t="e">
        <f t="shared" si="497"/>
        <v>#VALUE!</v>
      </c>
      <c r="S1069" s="48" t="e">
        <f t="shared" si="486"/>
        <v>#VALUE!</v>
      </c>
      <c r="T1069" s="47" t="str">
        <f t="shared" si="498"/>
        <v/>
      </c>
      <c r="U1069" s="49"/>
      <c r="V1069" s="50"/>
      <c r="W1069" s="51" t="e">
        <f t="shared" si="499"/>
        <v>#VALUE!</v>
      </c>
      <c r="X1069" s="52"/>
      <c r="Y1069" s="52"/>
      <c r="Z1069" s="52"/>
      <c r="AA1069" s="47" t="e">
        <f>INDEX(VISITORS[INSECT ORDER], MATCH(X1069,VISITORS[NAME USED],0))</f>
        <v>#N/A</v>
      </c>
      <c r="AB1069" s="47" t="e">
        <f t="shared" si="500"/>
        <v>#N/A</v>
      </c>
      <c r="AC1069" s="53" t="e">
        <f t="shared" si="501"/>
        <v>#VALUE!</v>
      </c>
      <c r="AD1069" s="54" t="str">
        <f t="shared" si="502"/>
        <v/>
      </c>
      <c r="AE1069" s="54"/>
      <c r="AF1069" s="54"/>
      <c r="AG1069" s="55" t="str">
        <f t="shared" si="503"/>
        <v/>
      </c>
      <c r="AH1069" s="56" t="str">
        <f t="shared" si="504"/>
        <v/>
      </c>
      <c r="AI1069" s="55"/>
      <c r="AJ1069" s="56" t="str">
        <f t="shared" si="505"/>
        <v/>
      </c>
      <c r="AK1069" s="55"/>
      <c r="AL1069" s="56" t="str">
        <f t="shared" si="506"/>
        <v/>
      </c>
      <c r="AM1069" s="55"/>
      <c r="AN1069" s="56" t="str">
        <f t="shared" si="507"/>
        <v/>
      </c>
      <c r="AO1069" s="55"/>
      <c r="AP1069" s="56" t="str">
        <f t="shared" si="508"/>
        <v/>
      </c>
      <c r="AQ1069" s="55"/>
      <c r="AR1069" s="56" t="str">
        <f t="shared" si="509"/>
        <v/>
      </c>
      <c r="AS1069" s="57"/>
      <c r="AT1069" s="58"/>
      <c r="AU1069" s="58"/>
      <c r="AV1069" s="59"/>
      <c r="AW1069" s="60" t="str">
        <f t="shared" si="487"/>
        <v/>
      </c>
      <c r="AX1069" s="61" t="str">
        <f t="shared" si="488"/>
        <v/>
      </c>
      <c r="AY1069" s="60" t="str">
        <f t="shared" si="489"/>
        <v/>
      </c>
      <c r="AZ1069" s="61" t="str">
        <f t="shared" si="490"/>
        <v/>
      </c>
    </row>
    <row r="1070" spans="1:52" s="3" customFormat="1" hidden="1" x14ac:dyDescent="0.35">
      <c r="A1070" s="72">
        <f t="shared" si="491"/>
        <v>2021</v>
      </c>
      <c r="B1070" s="72" t="str">
        <f t="shared" si="492"/>
        <v>Nov</v>
      </c>
      <c r="C1070" s="73">
        <f t="shared" si="510"/>
        <v>15</v>
      </c>
      <c r="D1070" s="74">
        <f t="shared" si="493"/>
        <v>9</v>
      </c>
      <c r="E1070" s="75">
        <f t="shared" si="494"/>
        <v>46</v>
      </c>
      <c r="F1070" s="79"/>
      <c r="G1070" s="82"/>
      <c r="H1070" s="68" t="str">
        <f t="shared" si="511"/>
        <v>Clesim6_20211115_09_00</v>
      </c>
      <c r="I1070" s="69">
        <f t="shared" si="514"/>
        <v>1</v>
      </c>
      <c r="J1070" s="76" t="str">
        <f t="shared" si="514"/>
        <v>Clematis</v>
      </c>
      <c r="K1070" s="76" t="str">
        <f t="shared" si="514"/>
        <v>simense</v>
      </c>
      <c r="L1070" s="77">
        <f t="shared" si="514"/>
        <v>6</v>
      </c>
      <c r="M1070" s="77">
        <f t="shared" si="514"/>
        <v>20</v>
      </c>
      <c r="N1070" s="71">
        <f t="shared" si="514"/>
        <v>0</v>
      </c>
      <c r="O1070" s="44"/>
      <c r="P1070" s="45" t="str">
        <f t="shared" si="495"/>
        <v/>
      </c>
      <c r="Q1070" s="46" t="str">
        <f t="shared" si="496"/>
        <v/>
      </c>
      <c r="R1070" s="47" t="e">
        <f t="shared" si="497"/>
        <v>#VALUE!</v>
      </c>
      <c r="S1070" s="48" t="e">
        <f t="shared" si="486"/>
        <v>#VALUE!</v>
      </c>
      <c r="T1070" s="47" t="str">
        <f t="shared" si="498"/>
        <v/>
      </c>
      <c r="U1070" s="49"/>
      <c r="V1070" s="50"/>
      <c r="W1070" s="51" t="e">
        <f t="shared" si="499"/>
        <v>#VALUE!</v>
      </c>
      <c r="X1070" s="52"/>
      <c r="Y1070" s="52"/>
      <c r="Z1070" s="52"/>
      <c r="AA1070" s="47" t="e">
        <f>INDEX(VISITORS[INSECT ORDER], MATCH(X1070,VISITORS[NAME USED],0))</f>
        <v>#N/A</v>
      </c>
      <c r="AB1070" s="47" t="e">
        <f t="shared" si="500"/>
        <v>#N/A</v>
      </c>
      <c r="AC1070" s="53" t="e">
        <f t="shared" si="501"/>
        <v>#VALUE!</v>
      </c>
      <c r="AD1070" s="54" t="str">
        <f t="shared" si="502"/>
        <v/>
      </c>
      <c r="AE1070" s="54"/>
      <c r="AF1070" s="54"/>
      <c r="AG1070" s="55" t="str">
        <f t="shared" si="503"/>
        <v/>
      </c>
      <c r="AH1070" s="56" t="str">
        <f t="shared" si="504"/>
        <v/>
      </c>
      <c r="AI1070" s="55"/>
      <c r="AJ1070" s="56" t="str">
        <f t="shared" si="505"/>
        <v/>
      </c>
      <c r="AK1070" s="55"/>
      <c r="AL1070" s="56" t="str">
        <f t="shared" si="506"/>
        <v/>
      </c>
      <c r="AM1070" s="55"/>
      <c r="AN1070" s="56" t="str">
        <f t="shared" si="507"/>
        <v/>
      </c>
      <c r="AO1070" s="55"/>
      <c r="AP1070" s="56" t="str">
        <f t="shared" si="508"/>
        <v/>
      </c>
      <c r="AQ1070" s="55"/>
      <c r="AR1070" s="56" t="str">
        <f t="shared" si="509"/>
        <v/>
      </c>
      <c r="AS1070" s="57"/>
      <c r="AT1070" s="58"/>
      <c r="AU1070" s="58"/>
      <c r="AV1070" s="59"/>
      <c r="AW1070" s="60" t="str">
        <f t="shared" si="487"/>
        <v/>
      </c>
      <c r="AX1070" s="61" t="str">
        <f t="shared" si="488"/>
        <v/>
      </c>
      <c r="AY1070" s="60" t="str">
        <f t="shared" si="489"/>
        <v/>
      </c>
      <c r="AZ1070" s="61" t="str">
        <f t="shared" si="490"/>
        <v/>
      </c>
    </row>
    <row r="1071" spans="1:52" s="3" customFormat="1" hidden="1" x14ac:dyDescent="0.35">
      <c r="A1071" s="72">
        <f t="shared" si="491"/>
        <v>2021</v>
      </c>
      <c r="B1071" s="72" t="str">
        <f t="shared" si="492"/>
        <v>Nov</v>
      </c>
      <c r="C1071" s="73">
        <f t="shared" si="510"/>
        <v>15</v>
      </c>
      <c r="D1071" s="74">
        <f t="shared" si="493"/>
        <v>9</v>
      </c>
      <c r="E1071" s="75">
        <f t="shared" si="494"/>
        <v>47</v>
      </c>
      <c r="F1071" s="79"/>
      <c r="G1071" s="82"/>
      <c r="H1071" s="68" t="str">
        <f t="shared" si="511"/>
        <v>Clesim6_20211115_09_00</v>
      </c>
      <c r="I1071" s="69">
        <f t="shared" si="514"/>
        <v>1</v>
      </c>
      <c r="J1071" s="76" t="str">
        <f t="shared" si="514"/>
        <v>Clematis</v>
      </c>
      <c r="K1071" s="76" t="str">
        <f t="shared" si="514"/>
        <v>simense</v>
      </c>
      <c r="L1071" s="77">
        <f t="shared" si="514"/>
        <v>6</v>
      </c>
      <c r="M1071" s="77">
        <f t="shared" si="514"/>
        <v>20</v>
      </c>
      <c r="N1071" s="71">
        <f t="shared" si="514"/>
        <v>0</v>
      </c>
      <c r="O1071" s="44"/>
      <c r="P1071" s="45" t="str">
        <f t="shared" si="495"/>
        <v/>
      </c>
      <c r="Q1071" s="46" t="str">
        <f t="shared" si="496"/>
        <v/>
      </c>
      <c r="R1071" s="47" t="e">
        <f t="shared" si="497"/>
        <v>#VALUE!</v>
      </c>
      <c r="S1071" s="48" t="e">
        <f t="shared" si="486"/>
        <v>#VALUE!</v>
      </c>
      <c r="T1071" s="47" t="str">
        <f t="shared" si="498"/>
        <v/>
      </c>
      <c r="U1071" s="49"/>
      <c r="V1071" s="50"/>
      <c r="W1071" s="51" t="e">
        <f t="shared" si="499"/>
        <v>#VALUE!</v>
      </c>
      <c r="X1071" s="52"/>
      <c r="Y1071" s="52"/>
      <c r="Z1071" s="52"/>
      <c r="AA1071" s="47" t="e">
        <f>INDEX(VISITORS[INSECT ORDER], MATCH(X1071,VISITORS[NAME USED],0))</f>
        <v>#N/A</v>
      </c>
      <c r="AB1071" s="47" t="e">
        <f t="shared" si="500"/>
        <v>#N/A</v>
      </c>
      <c r="AC1071" s="53" t="e">
        <f t="shared" si="501"/>
        <v>#VALUE!</v>
      </c>
      <c r="AD1071" s="54" t="str">
        <f t="shared" si="502"/>
        <v/>
      </c>
      <c r="AE1071" s="54"/>
      <c r="AF1071" s="54"/>
      <c r="AG1071" s="55" t="str">
        <f t="shared" si="503"/>
        <v/>
      </c>
      <c r="AH1071" s="56" t="str">
        <f t="shared" si="504"/>
        <v/>
      </c>
      <c r="AI1071" s="55"/>
      <c r="AJ1071" s="56" t="str">
        <f t="shared" si="505"/>
        <v/>
      </c>
      <c r="AK1071" s="55"/>
      <c r="AL1071" s="56" t="str">
        <f t="shared" si="506"/>
        <v/>
      </c>
      <c r="AM1071" s="55"/>
      <c r="AN1071" s="56" t="str">
        <f t="shared" si="507"/>
        <v/>
      </c>
      <c r="AO1071" s="55"/>
      <c r="AP1071" s="56" t="str">
        <f t="shared" si="508"/>
        <v/>
      </c>
      <c r="AQ1071" s="55"/>
      <c r="AR1071" s="56" t="str">
        <f t="shared" si="509"/>
        <v/>
      </c>
      <c r="AS1071" s="57"/>
      <c r="AT1071" s="58"/>
      <c r="AU1071" s="58"/>
      <c r="AV1071" s="59"/>
      <c r="AW1071" s="60" t="str">
        <f t="shared" si="487"/>
        <v/>
      </c>
      <c r="AX1071" s="61" t="str">
        <f t="shared" si="488"/>
        <v/>
      </c>
      <c r="AY1071" s="60" t="str">
        <f t="shared" si="489"/>
        <v/>
      </c>
      <c r="AZ1071" s="61" t="str">
        <f t="shared" si="490"/>
        <v/>
      </c>
    </row>
    <row r="1072" spans="1:52" s="3" customFormat="1" hidden="1" x14ac:dyDescent="0.35">
      <c r="A1072" s="72">
        <f t="shared" si="491"/>
        <v>2021</v>
      </c>
      <c r="B1072" s="72" t="str">
        <f t="shared" si="492"/>
        <v>Nov</v>
      </c>
      <c r="C1072" s="73">
        <f t="shared" si="510"/>
        <v>15</v>
      </c>
      <c r="D1072" s="74">
        <f t="shared" si="493"/>
        <v>9</v>
      </c>
      <c r="E1072" s="75">
        <f t="shared" si="494"/>
        <v>48</v>
      </c>
      <c r="F1072" s="79"/>
      <c r="G1072" s="82"/>
      <c r="H1072" s="68" t="str">
        <f t="shared" si="511"/>
        <v>Clesim6_20211115_09_00</v>
      </c>
      <c r="I1072" s="69">
        <f t="shared" si="514"/>
        <v>1</v>
      </c>
      <c r="J1072" s="76" t="str">
        <f t="shared" si="514"/>
        <v>Clematis</v>
      </c>
      <c r="K1072" s="76" t="str">
        <f t="shared" si="514"/>
        <v>simense</v>
      </c>
      <c r="L1072" s="77">
        <f t="shared" si="514"/>
        <v>6</v>
      </c>
      <c r="M1072" s="77">
        <f t="shared" si="514"/>
        <v>20</v>
      </c>
      <c r="N1072" s="71">
        <f t="shared" si="514"/>
        <v>0</v>
      </c>
      <c r="O1072" s="44"/>
      <c r="P1072" s="45" t="str">
        <f t="shared" si="495"/>
        <v/>
      </c>
      <c r="Q1072" s="46" t="str">
        <f t="shared" si="496"/>
        <v/>
      </c>
      <c r="R1072" s="47" t="e">
        <f t="shared" si="497"/>
        <v>#VALUE!</v>
      </c>
      <c r="S1072" s="48" t="e">
        <f t="shared" si="486"/>
        <v>#VALUE!</v>
      </c>
      <c r="T1072" s="47" t="str">
        <f t="shared" si="498"/>
        <v/>
      </c>
      <c r="U1072" s="49"/>
      <c r="V1072" s="50"/>
      <c r="W1072" s="51" t="e">
        <f t="shared" si="499"/>
        <v>#VALUE!</v>
      </c>
      <c r="X1072" s="52"/>
      <c r="Y1072" s="52"/>
      <c r="Z1072" s="52"/>
      <c r="AA1072" s="47" t="e">
        <f>INDEX(VISITORS[INSECT ORDER], MATCH(X1072,VISITORS[NAME USED],0))</f>
        <v>#N/A</v>
      </c>
      <c r="AB1072" s="47" t="e">
        <f t="shared" si="500"/>
        <v>#N/A</v>
      </c>
      <c r="AC1072" s="53" t="e">
        <f t="shared" si="501"/>
        <v>#VALUE!</v>
      </c>
      <c r="AD1072" s="54" t="str">
        <f t="shared" si="502"/>
        <v/>
      </c>
      <c r="AE1072" s="54"/>
      <c r="AF1072" s="54"/>
      <c r="AG1072" s="55" t="str">
        <f t="shared" si="503"/>
        <v/>
      </c>
      <c r="AH1072" s="56" t="str">
        <f t="shared" si="504"/>
        <v/>
      </c>
      <c r="AI1072" s="55"/>
      <c r="AJ1072" s="56" t="str">
        <f t="shared" si="505"/>
        <v/>
      </c>
      <c r="AK1072" s="55"/>
      <c r="AL1072" s="56" t="str">
        <f t="shared" si="506"/>
        <v/>
      </c>
      <c r="AM1072" s="55"/>
      <c r="AN1072" s="56" t="str">
        <f t="shared" si="507"/>
        <v/>
      </c>
      <c r="AO1072" s="55"/>
      <c r="AP1072" s="56" t="str">
        <f t="shared" si="508"/>
        <v/>
      </c>
      <c r="AQ1072" s="55"/>
      <c r="AR1072" s="56" t="str">
        <f t="shared" si="509"/>
        <v/>
      </c>
      <c r="AS1072" s="57"/>
      <c r="AT1072" s="58"/>
      <c r="AU1072" s="58"/>
      <c r="AV1072" s="59"/>
      <c r="AW1072" s="60" t="str">
        <f t="shared" si="487"/>
        <v/>
      </c>
      <c r="AX1072" s="61" t="str">
        <f t="shared" si="488"/>
        <v/>
      </c>
      <c r="AY1072" s="60" t="str">
        <f t="shared" si="489"/>
        <v/>
      </c>
      <c r="AZ1072" s="61" t="str">
        <f t="shared" si="490"/>
        <v/>
      </c>
    </row>
    <row r="1073" spans="1:52" s="3" customFormat="1" hidden="1" x14ac:dyDescent="0.35">
      <c r="A1073" s="72">
        <f t="shared" si="491"/>
        <v>2021</v>
      </c>
      <c r="B1073" s="72" t="str">
        <f t="shared" si="492"/>
        <v>Nov</v>
      </c>
      <c r="C1073" s="73">
        <f t="shared" si="510"/>
        <v>15</v>
      </c>
      <c r="D1073" s="74">
        <f t="shared" si="493"/>
        <v>9</v>
      </c>
      <c r="E1073" s="75">
        <f t="shared" si="494"/>
        <v>49</v>
      </c>
      <c r="F1073" s="79"/>
      <c r="G1073" s="82"/>
      <c r="H1073" s="68" t="str">
        <f t="shared" si="511"/>
        <v>Clesim6_20211115_09_00</v>
      </c>
      <c r="I1073" s="69">
        <f t="shared" si="514"/>
        <v>1</v>
      </c>
      <c r="J1073" s="76" t="str">
        <f t="shared" si="514"/>
        <v>Clematis</v>
      </c>
      <c r="K1073" s="76" t="str">
        <f t="shared" si="514"/>
        <v>simense</v>
      </c>
      <c r="L1073" s="77">
        <f t="shared" si="514"/>
        <v>6</v>
      </c>
      <c r="M1073" s="77">
        <f t="shared" si="514"/>
        <v>20</v>
      </c>
      <c r="N1073" s="71">
        <f t="shared" si="514"/>
        <v>0</v>
      </c>
      <c r="O1073" s="44"/>
      <c r="P1073" s="45" t="str">
        <f t="shared" si="495"/>
        <v/>
      </c>
      <c r="Q1073" s="46" t="str">
        <f t="shared" si="496"/>
        <v/>
      </c>
      <c r="R1073" s="47" t="e">
        <f t="shared" si="497"/>
        <v>#VALUE!</v>
      </c>
      <c r="S1073" s="48" t="e">
        <f t="shared" si="486"/>
        <v>#VALUE!</v>
      </c>
      <c r="T1073" s="47" t="str">
        <f t="shared" si="498"/>
        <v/>
      </c>
      <c r="U1073" s="49"/>
      <c r="V1073" s="50"/>
      <c r="W1073" s="51" t="e">
        <f t="shared" si="499"/>
        <v>#VALUE!</v>
      </c>
      <c r="X1073" s="52"/>
      <c r="Y1073" s="52"/>
      <c r="Z1073" s="52"/>
      <c r="AA1073" s="47" t="e">
        <f>INDEX(VISITORS[INSECT ORDER], MATCH(X1073,VISITORS[NAME USED],0))</f>
        <v>#N/A</v>
      </c>
      <c r="AB1073" s="47" t="e">
        <f t="shared" si="500"/>
        <v>#N/A</v>
      </c>
      <c r="AC1073" s="53" t="e">
        <f t="shared" si="501"/>
        <v>#VALUE!</v>
      </c>
      <c r="AD1073" s="54" t="str">
        <f t="shared" si="502"/>
        <v/>
      </c>
      <c r="AE1073" s="54"/>
      <c r="AF1073" s="54"/>
      <c r="AG1073" s="55" t="str">
        <f t="shared" si="503"/>
        <v/>
      </c>
      <c r="AH1073" s="56" t="str">
        <f t="shared" si="504"/>
        <v/>
      </c>
      <c r="AI1073" s="55"/>
      <c r="AJ1073" s="56" t="str">
        <f t="shared" si="505"/>
        <v/>
      </c>
      <c r="AK1073" s="55"/>
      <c r="AL1073" s="56" t="str">
        <f t="shared" si="506"/>
        <v/>
      </c>
      <c r="AM1073" s="55"/>
      <c r="AN1073" s="56" t="str">
        <f t="shared" si="507"/>
        <v/>
      </c>
      <c r="AO1073" s="55"/>
      <c r="AP1073" s="56" t="str">
        <f t="shared" si="508"/>
        <v/>
      </c>
      <c r="AQ1073" s="55"/>
      <c r="AR1073" s="56" t="str">
        <f t="shared" si="509"/>
        <v/>
      </c>
      <c r="AS1073" s="57"/>
      <c r="AT1073" s="58"/>
      <c r="AU1073" s="58"/>
      <c r="AV1073" s="59"/>
      <c r="AW1073" s="60" t="str">
        <f t="shared" si="487"/>
        <v/>
      </c>
      <c r="AX1073" s="61" t="str">
        <f t="shared" si="488"/>
        <v/>
      </c>
      <c r="AY1073" s="60" t="str">
        <f t="shared" si="489"/>
        <v/>
      </c>
      <c r="AZ1073" s="61" t="str">
        <f t="shared" si="490"/>
        <v/>
      </c>
    </row>
    <row r="1074" spans="1:52" s="3" customFormat="1" hidden="1" x14ac:dyDescent="0.35">
      <c r="A1074" s="72">
        <f t="shared" si="491"/>
        <v>2021</v>
      </c>
      <c r="B1074" s="72" t="str">
        <f t="shared" si="492"/>
        <v>Nov</v>
      </c>
      <c r="C1074" s="73">
        <f t="shared" si="510"/>
        <v>15</v>
      </c>
      <c r="D1074" s="74">
        <f t="shared" si="493"/>
        <v>9</v>
      </c>
      <c r="E1074" s="75">
        <f t="shared" si="494"/>
        <v>50</v>
      </c>
      <c r="F1074" s="79"/>
      <c r="G1074" s="82"/>
      <c r="H1074" s="68" t="str">
        <f t="shared" si="511"/>
        <v>Clesim6_20211115_09_00</v>
      </c>
      <c r="I1074" s="69">
        <f t="shared" si="514"/>
        <v>1</v>
      </c>
      <c r="J1074" s="76" t="str">
        <f t="shared" si="514"/>
        <v>Clematis</v>
      </c>
      <c r="K1074" s="76" t="str">
        <f t="shared" si="514"/>
        <v>simense</v>
      </c>
      <c r="L1074" s="77">
        <f t="shared" si="514"/>
        <v>6</v>
      </c>
      <c r="M1074" s="77">
        <f t="shared" si="514"/>
        <v>20</v>
      </c>
      <c r="N1074" s="71">
        <f t="shared" si="514"/>
        <v>0</v>
      </c>
      <c r="O1074" s="44"/>
      <c r="P1074" s="45" t="str">
        <f t="shared" si="495"/>
        <v/>
      </c>
      <c r="Q1074" s="46" t="str">
        <f t="shared" si="496"/>
        <v/>
      </c>
      <c r="R1074" s="47" t="e">
        <f t="shared" si="497"/>
        <v>#VALUE!</v>
      </c>
      <c r="S1074" s="48" t="e">
        <f t="shared" si="486"/>
        <v>#VALUE!</v>
      </c>
      <c r="T1074" s="47" t="str">
        <f t="shared" si="498"/>
        <v/>
      </c>
      <c r="U1074" s="49"/>
      <c r="V1074" s="50"/>
      <c r="W1074" s="51" t="e">
        <f t="shared" si="499"/>
        <v>#VALUE!</v>
      </c>
      <c r="X1074" s="52"/>
      <c r="Y1074" s="52"/>
      <c r="Z1074" s="52"/>
      <c r="AA1074" s="47" t="e">
        <f>INDEX(VISITORS[INSECT ORDER], MATCH(X1074,VISITORS[NAME USED],0))</f>
        <v>#N/A</v>
      </c>
      <c r="AB1074" s="47" t="e">
        <f t="shared" si="500"/>
        <v>#N/A</v>
      </c>
      <c r="AC1074" s="53" t="e">
        <f t="shared" si="501"/>
        <v>#VALUE!</v>
      </c>
      <c r="AD1074" s="54" t="str">
        <f t="shared" si="502"/>
        <v/>
      </c>
      <c r="AE1074" s="54"/>
      <c r="AF1074" s="54"/>
      <c r="AG1074" s="55" t="str">
        <f t="shared" si="503"/>
        <v/>
      </c>
      <c r="AH1074" s="56" t="str">
        <f t="shared" si="504"/>
        <v/>
      </c>
      <c r="AI1074" s="55"/>
      <c r="AJ1074" s="56" t="str">
        <f t="shared" si="505"/>
        <v/>
      </c>
      <c r="AK1074" s="55"/>
      <c r="AL1074" s="56" t="str">
        <f t="shared" si="506"/>
        <v/>
      </c>
      <c r="AM1074" s="55"/>
      <c r="AN1074" s="56" t="str">
        <f t="shared" si="507"/>
        <v/>
      </c>
      <c r="AO1074" s="55"/>
      <c r="AP1074" s="56" t="str">
        <f t="shared" si="508"/>
        <v/>
      </c>
      <c r="AQ1074" s="55"/>
      <c r="AR1074" s="56" t="str">
        <f t="shared" si="509"/>
        <v/>
      </c>
      <c r="AS1074" s="57"/>
      <c r="AT1074" s="58"/>
      <c r="AU1074" s="58"/>
      <c r="AV1074" s="59"/>
      <c r="AW1074" s="60" t="str">
        <f t="shared" si="487"/>
        <v/>
      </c>
      <c r="AX1074" s="61" t="str">
        <f t="shared" si="488"/>
        <v/>
      </c>
      <c r="AY1074" s="60" t="str">
        <f t="shared" si="489"/>
        <v/>
      </c>
      <c r="AZ1074" s="61" t="str">
        <f t="shared" si="490"/>
        <v/>
      </c>
    </row>
    <row r="1075" spans="1:52" s="3" customFormat="1" hidden="1" x14ac:dyDescent="0.35">
      <c r="A1075" s="72">
        <f t="shared" si="491"/>
        <v>2021</v>
      </c>
      <c r="B1075" s="72" t="str">
        <f t="shared" si="492"/>
        <v>Nov</v>
      </c>
      <c r="C1075" s="73">
        <f t="shared" si="510"/>
        <v>15</v>
      </c>
      <c r="D1075" s="74">
        <f t="shared" si="493"/>
        <v>9</v>
      </c>
      <c r="E1075" s="75">
        <f t="shared" si="494"/>
        <v>51</v>
      </c>
      <c r="F1075" s="79"/>
      <c r="G1075" s="82"/>
      <c r="H1075" s="68" t="str">
        <f t="shared" si="511"/>
        <v>Clesim6_20211115_09_00</v>
      </c>
      <c r="I1075" s="69">
        <f t="shared" si="514"/>
        <v>1</v>
      </c>
      <c r="J1075" s="76" t="str">
        <f t="shared" si="514"/>
        <v>Clematis</v>
      </c>
      <c r="K1075" s="76" t="str">
        <f t="shared" si="514"/>
        <v>simense</v>
      </c>
      <c r="L1075" s="77">
        <f t="shared" si="514"/>
        <v>6</v>
      </c>
      <c r="M1075" s="77">
        <f t="shared" si="514"/>
        <v>20</v>
      </c>
      <c r="N1075" s="71">
        <f t="shared" si="514"/>
        <v>0</v>
      </c>
      <c r="O1075" s="44"/>
      <c r="P1075" s="45" t="str">
        <f t="shared" si="495"/>
        <v/>
      </c>
      <c r="Q1075" s="46" t="str">
        <f t="shared" si="496"/>
        <v/>
      </c>
      <c r="R1075" s="47" t="e">
        <f t="shared" si="497"/>
        <v>#VALUE!</v>
      </c>
      <c r="S1075" s="48" t="e">
        <f t="shared" si="486"/>
        <v>#VALUE!</v>
      </c>
      <c r="T1075" s="47" t="str">
        <f t="shared" si="498"/>
        <v/>
      </c>
      <c r="U1075" s="49"/>
      <c r="V1075" s="50"/>
      <c r="W1075" s="51" t="e">
        <f t="shared" si="499"/>
        <v>#VALUE!</v>
      </c>
      <c r="X1075" s="52"/>
      <c r="Y1075" s="52"/>
      <c r="Z1075" s="52"/>
      <c r="AA1075" s="47" t="e">
        <f>INDEX(VISITORS[INSECT ORDER], MATCH(X1075,VISITORS[NAME USED],0))</f>
        <v>#N/A</v>
      </c>
      <c r="AB1075" s="47" t="e">
        <f t="shared" si="500"/>
        <v>#N/A</v>
      </c>
      <c r="AC1075" s="53" t="e">
        <f t="shared" si="501"/>
        <v>#VALUE!</v>
      </c>
      <c r="AD1075" s="54" t="str">
        <f t="shared" si="502"/>
        <v/>
      </c>
      <c r="AE1075" s="54"/>
      <c r="AF1075" s="54"/>
      <c r="AG1075" s="55" t="str">
        <f t="shared" si="503"/>
        <v/>
      </c>
      <c r="AH1075" s="56" t="str">
        <f t="shared" si="504"/>
        <v/>
      </c>
      <c r="AI1075" s="55"/>
      <c r="AJ1075" s="56" t="str">
        <f t="shared" si="505"/>
        <v/>
      </c>
      <c r="AK1075" s="55"/>
      <c r="AL1075" s="56" t="str">
        <f t="shared" si="506"/>
        <v/>
      </c>
      <c r="AM1075" s="55"/>
      <c r="AN1075" s="56" t="str">
        <f t="shared" si="507"/>
        <v/>
      </c>
      <c r="AO1075" s="55"/>
      <c r="AP1075" s="56" t="str">
        <f t="shared" si="508"/>
        <v/>
      </c>
      <c r="AQ1075" s="55"/>
      <c r="AR1075" s="56" t="str">
        <f t="shared" si="509"/>
        <v/>
      </c>
      <c r="AS1075" s="57"/>
      <c r="AT1075" s="58"/>
      <c r="AU1075" s="58"/>
      <c r="AV1075" s="59"/>
      <c r="AW1075" s="60" t="str">
        <f t="shared" si="487"/>
        <v/>
      </c>
      <c r="AX1075" s="61" t="str">
        <f t="shared" si="488"/>
        <v/>
      </c>
      <c r="AY1075" s="60" t="str">
        <f t="shared" si="489"/>
        <v/>
      </c>
      <c r="AZ1075" s="61" t="str">
        <f t="shared" si="490"/>
        <v/>
      </c>
    </row>
    <row r="1076" spans="1:52" s="3" customFormat="1" hidden="1" x14ac:dyDescent="0.35">
      <c r="A1076" s="72">
        <f t="shared" si="491"/>
        <v>2021</v>
      </c>
      <c r="B1076" s="72" t="str">
        <f t="shared" si="492"/>
        <v>Nov</v>
      </c>
      <c r="C1076" s="73">
        <f t="shared" si="510"/>
        <v>15</v>
      </c>
      <c r="D1076" s="74">
        <f t="shared" si="493"/>
        <v>9</v>
      </c>
      <c r="E1076" s="75">
        <f t="shared" si="494"/>
        <v>52</v>
      </c>
      <c r="F1076" s="79"/>
      <c r="G1076" s="82"/>
      <c r="H1076" s="68" t="str">
        <f t="shared" si="511"/>
        <v>Clesim6_20211115_09_00</v>
      </c>
      <c r="I1076" s="69">
        <f t="shared" si="514"/>
        <v>1</v>
      </c>
      <c r="J1076" s="76" t="str">
        <f t="shared" si="514"/>
        <v>Clematis</v>
      </c>
      <c r="K1076" s="76" t="str">
        <f t="shared" si="514"/>
        <v>simense</v>
      </c>
      <c r="L1076" s="77">
        <f t="shared" si="514"/>
        <v>6</v>
      </c>
      <c r="M1076" s="77">
        <f t="shared" si="514"/>
        <v>20</v>
      </c>
      <c r="N1076" s="71">
        <f t="shared" si="514"/>
        <v>0</v>
      </c>
      <c r="O1076" s="44"/>
      <c r="P1076" s="45" t="str">
        <f t="shared" si="495"/>
        <v/>
      </c>
      <c r="Q1076" s="46" t="str">
        <f t="shared" si="496"/>
        <v/>
      </c>
      <c r="R1076" s="47" t="e">
        <f t="shared" si="497"/>
        <v>#VALUE!</v>
      </c>
      <c r="S1076" s="48" t="e">
        <f t="shared" si="486"/>
        <v>#VALUE!</v>
      </c>
      <c r="T1076" s="47" t="str">
        <f t="shared" si="498"/>
        <v/>
      </c>
      <c r="U1076" s="49"/>
      <c r="V1076" s="50"/>
      <c r="W1076" s="51" t="e">
        <f t="shared" si="499"/>
        <v>#VALUE!</v>
      </c>
      <c r="X1076" s="52"/>
      <c r="Y1076" s="52"/>
      <c r="Z1076" s="52"/>
      <c r="AA1076" s="47" t="e">
        <f>INDEX(VISITORS[INSECT ORDER], MATCH(X1076,VISITORS[NAME USED],0))</f>
        <v>#N/A</v>
      </c>
      <c r="AB1076" s="47" t="e">
        <f t="shared" si="500"/>
        <v>#N/A</v>
      </c>
      <c r="AC1076" s="53" t="e">
        <f t="shared" si="501"/>
        <v>#VALUE!</v>
      </c>
      <c r="AD1076" s="54" t="str">
        <f t="shared" si="502"/>
        <v/>
      </c>
      <c r="AE1076" s="54"/>
      <c r="AF1076" s="54"/>
      <c r="AG1076" s="55" t="str">
        <f t="shared" si="503"/>
        <v/>
      </c>
      <c r="AH1076" s="56" t="str">
        <f t="shared" si="504"/>
        <v/>
      </c>
      <c r="AI1076" s="55"/>
      <c r="AJ1076" s="56" t="str">
        <f t="shared" si="505"/>
        <v/>
      </c>
      <c r="AK1076" s="55"/>
      <c r="AL1076" s="56" t="str">
        <f t="shared" si="506"/>
        <v/>
      </c>
      <c r="AM1076" s="55"/>
      <c r="AN1076" s="56" t="str">
        <f t="shared" si="507"/>
        <v/>
      </c>
      <c r="AO1076" s="55"/>
      <c r="AP1076" s="56" t="str">
        <f t="shared" si="508"/>
        <v/>
      </c>
      <c r="AQ1076" s="55"/>
      <c r="AR1076" s="56" t="str">
        <f t="shared" si="509"/>
        <v/>
      </c>
      <c r="AS1076" s="57"/>
      <c r="AT1076" s="58"/>
      <c r="AU1076" s="58"/>
      <c r="AV1076" s="59"/>
      <c r="AW1076" s="60" t="str">
        <f t="shared" si="487"/>
        <v/>
      </c>
      <c r="AX1076" s="61" t="str">
        <f t="shared" si="488"/>
        <v/>
      </c>
      <c r="AY1076" s="60" t="str">
        <f t="shared" si="489"/>
        <v/>
      </c>
      <c r="AZ1076" s="61" t="str">
        <f t="shared" si="490"/>
        <v/>
      </c>
    </row>
    <row r="1077" spans="1:52" s="3" customFormat="1" hidden="1" x14ac:dyDescent="0.35">
      <c r="A1077" s="72">
        <f t="shared" si="491"/>
        <v>2021</v>
      </c>
      <c r="B1077" s="72" t="str">
        <f t="shared" si="492"/>
        <v>Nov</v>
      </c>
      <c r="C1077" s="73">
        <f t="shared" si="510"/>
        <v>15</v>
      </c>
      <c r="D1077" s="74">
        <f t="shared" si="493"/>
        <v>9</v>
      </c>
      <c r="E1077" s="75">
        <f t="shared" si="494"/>
        <v>53</v>
      </c>
      <c r="F1077" s="79"/>
      <c r="G1077" s="82"/>
      <c r="H1077" s="68" t="str">
        <f t="shared" si="511"/>
        <v>Clesim6_20211115_09_00</v>
      </c>
      <c r="I1077" s="69">
        <f t="shared" si="514"/>
        <v>1</v>
      </c>
      <c r="J1077" s="76" t="str">
        <f t="shared" si="514"/>
        <v>Clematis</v>
      </c>
      <c r="K1077" s="76" t="str">
        <f t="shared" si="514"/>
        <v>simense</v>
      </c>
      <c r="L1077" s="77">
        <f t="shared" si="514"/>
        <v>6</v>
      </c>
      <c r="M1077" s="77">
        <f t="shared" si="514"/>
        <v>20</v>
      </c>
      <c r="N1077" s="71">
        <f t="shared" si="514"/>
        <v>0</v>
      </c>
      <c r="O1077" s="44"/>
      <c r="P1077" s="45" t="str">
        <f t="shared" si="495"/>
        <v/>
      </c>
      <c r="Q1077" s="46" t="str">
        <f t="shared" si="496"/>
        <v/>
      </c>
      <c r="R1077" s="47" t="e">
        <f t="shared" si="497"/>
        <v>#VALUE!</v>
      </c>
      <c r="S1077" s="48" t="e">
        <f t="shared" si="486"/>
        <v>#VALUE!</v>
      </c>
      <c r="T1077" s="47" t="str">
        <f t="shared" si="498"/>
        <v/>
      </c>
      <c r="U1077" s="49"/>
      <c r="V1077" s="50"/>
      <c r="W1077" s="51" t="e">
        <f t="shared" si="499"/>
        <v>#VALUE!</v>
      </c>
      <c r="X1077" s="52"/>
      <c r="Y1077" s="52"/>
      <c r="Z1077" s="52"/>
      <c r="AA1077" s="47" t="e">
        <f>INDEX(VISITORS[INSECT ORDER], MATCH(X1077,VISITORS[NAME USED],0))</f>
        <v>#N/A</v>
      </c>
      <c r="AB1077" s="47" t="e">
        <f t="shared" si="500"/>
        <v>#N/A</v>
      </c>
      <c r="AC1077" s="53" t="e">
        <f t="shared" si="501"/>
        <v>#VALUE!</v>
      </c>
      <c r="AD1077" s="54" t="str">
        <f t="shared" si="502"/>
        <v/>
      </c>
      <c r="AE1077" s="54"/>
      <c r="AF1077" s="54"/>
      <c r="AG1077" s="55" t="str">
        <f t="shared" si="503"/>
        <v/>
      </c>
      <c r="AH1077" s="56" t="str">
        <f t="shared" si="504"/>
        <v/>
      </c>
      <c r="AI1077" s="55"/>
      <c r="AJ1077" s="56" t="str">
        <f t="shared" si="505"/>
        <v/>
      </c>
      <c r="AK1077" s="55"/>
      <c r="AL1077" s="56" t="str">
        <f t="shared" si="506"/>
        <v/>
      </c>
      <c r="AM1077" s="55"/>
      <c r="AN1077" s="56" t="str">
        <f t="shared" si="507"/>
        <v/>
      </c>
      <c r="AO1077" s="55"/>
      <c r="AP1077" s="56" t="str">
        <f t="shared" si="508"/>
        <v/>
      </c>
      <c r="AQ1077" s="55"/>
      <c r="AR1077" s="56" t="str">
        <f t="shared" si="509"/>
        <v/>
      </c>
      <c r="AS1077" s="57"/>
      <c r="AT1077" s="58"/>
      <c r="AU1077" s="58"/>
      <c r="AV1077" s="59"/>
      <c r="AW1077" s="60" t="str">
        <f t="shared" si="487"/>
        <v/>
      </c>
      <c r="AX1077" s="61" t="str">
        <f t="shared" si="488"/>
        <v/>
      </c>
      <c r="AY1077" s="60" t="str">
        <f t="shared" si="489"/>
        <v/>
      </c>
      <c r="AZ1077" s="61" t="str">
        <f t="shared" si="490"/>
        <v/>
      </c>
    </row>
    <row r="1078" spans="1:52" s="3" customFormat="1" hidden="1" x14ac:dyDescent="0.35">
      <c r="A1078" s="72">
        <f t="shared" si="491"/>
        <v>2021</v>
      </c>
      <c r="B1078" s="72" t="str">
        <f t="shared" si="492"/>
        <v>Nov</v>
      </c>
      <c r="C1078" s="73">
        <f t="shared" si="510"/>
        <v>15</v>
      </c>
      <c r="D1078" s="74">
        <f t="shared" si="493"/>
        <v>9</v>
      </c>
      <c r="E1078" s="75">
        <f t="shared" si="494"/>
        <v>54</v>
      </c>
      <c r="F1078" s="79"/>
      <c r="G1078" s="82"/>
      <c r="H1078" s="68" t="str">
        <f t="shared" si="511"/>
        <v>Clesim6_20211115_09_00</v>
      </c>
      <c r="I1078" s="69">
        <f t="shared" ref="I1078:N1093" si="515">I1077</f>
        <v>1</v>
      </c>
      <c r="J1078" s="76" t="str">
        <f t="shared" si="515"/>
        <v>Clematis</v>
      </c>
      <c r="K1078" s="76" t="str">
        <f t="shared" si="515"/>
        <v>simense</v>
      </c>
      <c r="L1078" s="77">
        <f t="shared" si="515"/>
        <v>6</v>
      </c>
      <c r="M1078" s="77">
        <f t="shared" si="515"/>
        <v>20</v>
      </c>
      <c r="N1078" s="71">
        <f t="shared" si="515"/>
        <v>0</v>
      </c>
      <c r="O1078" s="44"/>
      <c r="P1078" s="45" t="str">
        <f t="shared" si="495"/>
        <v/>
      </c>
      <c r="Q1078" s="46" t="str">
        <f t="shared" si="496"/>
        <v/>
      </c>
      <c r="R1078" s="47" t="e">
        <f t="shared" si="497"/>
        <v>#VALUE!</v>
      </c>
      <c r="S1078" s="48" t="e">
        <f t="shared" si="486"/>
        <v>#VALUE!</v>
      </c>
      <c r="T1078" s="47" t="str">
        <f t="shared" si="498"/>
        <v/>
      </c>
      <c r="U1078" s="49"/>
      <c r="V1078" s="50"/>
      <c r="W1078" s="51" t="e">
        <f t="shared" si="499"/>
        <v>#VALUE!</v>
      </c>
      <c r="X1078" s="52"/>
      <c r="Y1078" s="52"/>
      <c r="Z1078" s="52"/>
      <c r="AA1078" s="47" t="e">
        <f>INDEX(VISITORS[INSECT ORDER], MATCH(X1078,VISITORS[NAME USED],0))</f>
        <v>#N/A</v>
      </c>
      <c r="AB1078" s="47" t="e">
        <f t="shared" si="500"/>
        <v>#N/A</v>
      </c>
      <c r="AC1078" s="53" t="e">
        <f t="shared" si="501"/>
        <v>#VALUE!</v>
      </c>
      <c r="AD1078" s="54" t="str">
        <f t="shared" si="502"/>
        <v/>
      </c>
      <c r="AE1078" s="54"/>
      <c r="AF1078" s="54"/>
      <c r="AG1078" s="55" t="str">
        <f t="shared" si="503"/>
        <v/>
      </c>
      <c r="AH1078" s="56" t="str">
        <f t="shared" si="504"/>
        <v/>
      </c>
      <c r="AI1078" s="55"/>
      <c r="AJ1078" s="56" t="str">
        <f t="shared" si="505"/>
        <v/>
      </c>
      <c r="AK1078" s="55"/>
      <c r="AL1078" s="56" t="str">
        <f t="shared" si="506"/>
        <v/>
      </c>
      <c r="AM1078" s="55"/>
      <c r="AN1078" s="56" t="str">
        <f t="shared" si="507"/>
        <v/>
      </c>
      <c r="AO1078" s="55"/>
      <c r="AP1078" s="56" t="str">
        <f t="shared" si="508"/>
        <v/>
      </c>
      <c r="AQ1078" s="55"/>
      <c r="AR1078" s="56" t="str">
        <f t="shared" si="509"/>
        <v/>
      </c>
      <c r="AS1078" s="57"/>
      <c r="AT1078" s="58"/>
      <c r="AU1078" s="58"/>
      <c r="AV1078" s="59"/>
      <c r="AW1078" s="60" t="str">
        <f t="shared" si="487"/>
        <v/>
      </c>
      <c r="AX1078" s="61" t="str">
        <f t="shared" si="488"/>
        <v/>
      </c>
      <c r="AY1078" s="60" t="str">
        <f t="shared" si="489"/>
        <v/>
      </c>
      <c r="AZ1078" s="61" t="str">
        <f t="shared" si="490"/>
        <v/>
      </c>
    </row>
    <row r="1079" spans="1:52" s="3" customFormat="1" hidden="1" x14ac:dyDescent="0.35">
      <c r="A1079" s="72">
        <f t="shared" si="491"/>
        <v>2021</v>
      </c>
      <c r="B1079" s="72" t="str">
        <f t="shared" si="492"/>
        <v>Nov</v>
      </c>
      <c r="C1079" s="73">
        <f t="shared" si="510"/>
        <v>15</v>
      </c>
      <c r="D1079" s="74">
        <f t="shared" si="493"/>
        <v>9</v>
      </c>
      <c r="E1079" s="75">
        <f t="shared" si="494"/>
        <v>55</v>
      </c>
      <c r="F1079" s="79"/>
      <c r="G1079" s="82"/>
      <c r="H1079" s="68" t="str">
        <f t="shared" si="511"/>
        <v>Clesim6_20211115_09_00</v>
      </c>
      <c r="I1079" s="69">
        <f t="shared" si="515"/>
        <v>1</v>
      </c>
      <c r="J1079" s="76" t="str">
        <f t="shared" si="515"/>
        <v>Clematis</v>
      </c>
      <c r="K1079" s="76" t="str">
        <f t="shared" si="515"/>
        <v>simense</v>
      </c>
      <c r="L1079" s="77">
        <f t="shared" si="515"/>
        <v>6</v>
      </c>
      <c r="M1079" s="77">
        <f t="shared" si="515"/>
        <v>20</v>
      </c>
      <c r="N1079" s="71">
        <f t="shared" si="515"/>
        <v>0</v>
      </c>
      <c r="O1079" s="44"/>
      <c r="P1079" s="45" t="str">
        <f t="shared" si="495"/>
        <v/>
      </c>
      <c r="Q1079" s="46" t="str">
        <f t="shared" si="496"/>
        <v/>
      </c>
      <c r="R1079" s="47" t="e">
        <f t="shared" si="497"/>
        <v>#VALUE!</v>
      </c>
      <c r="S1079" s="48" t="e">
        <f t="shared" si="486"/>
        <v>#VALUE!</v>
      </c>
      <c r="T1079" s="47" t="str">
        <f t="shared" si="498"/>
        <v/>
      </c>
      <c r="U1079" s="49"/>
      <c r="V1079" s="50"/>
      <c r="W1079" s="51" t="e">
        <f t="shared" si="499"/>
        <v>#VALUE!</v>
      </c>
      <c r="X1079" s="52"/>
      <c r="Y1079" s="52"/>
      <c r="Z1079" s="52"/>
      <c r="AA1079" s="47" t="e">
        <f>INDEX(VISITORS[INSECT ORDER], MATCH(X1079,VISITORS[NAME USED],0))</f>
        <v>#N/A</v>
      </c>
      <c r="AB1079" s="47" t="e">
        <f t="shared" si="500"/>
        <v>#N/A</v>
      </c>
      <c r="AC1079" s="53" t="e">
        <f t="shared" si="501"/>
        <v>#VALUE!</v>
      </c>
      <c r="AD1079" s="54" t="str">
        <f t="shared" si="502"/>
        <v/>
      </c>
      <c r="AE1079" s="54"/>
      <c r="AF1079" s="54"/>
      <c r="AG1079" s="55" t="str">
        <f t="shared" si="503"/>
        <v/>
      </c>
      <c r="AH1079" s="56" t="str">
        <f t="shared" si="504"/>
        <v/>
      </c>
      <c r="AI1079" s="55"/>
      <c r="AJ1079" s="56" t="str">
        <f t="shared" si="505"/>
        <v/>
      </c>
      <c r="AK1079" s="55"/>
      <c r="AL1079" s="56" t="str">
        <f t="shared" si="506"/>
        <v/>
      </c>
      <c r="AM1079" s="55"/>
      <c r="AN1079" s="56" t="str">
        <f t="shared" si="507"/>
        <v/>
      </c>
      <c r="AO1079" s="55"/>
      <c r="AP1079" s="56" t="str">
        <f t="shared" si="508"/>
        <v/>
      </c>
      <c r="AQ1079" s="55"/>
      <c r="AR1079" s="56" t="str">
        <f t="shared" si="509"/>
        <v/>
      </c>
      <c r="AS1079" s="57"/>
      <c r="AT1079" s="58"/>
      <c r="AU1079" s="58"/>
      <c r="AV1079" s="59"/>
      <c r="AW1079" s="60" t="str">
        <f t="shared" si="487"/>
        <v/>
      </c>
      <c r="AX1079" s="61" t="str">
        <f t="shared" si="488"/>
        <v/>
      </c>
      <c r="AY1079" s="60" t="str">
        <f t="shared" si="489"/>
        <v/>
      </c>
      <c r="AZ1079" s="61" t="str">
        <f t="shared" si="490"/>
        <v/>
      </c>
    </row>
    <row r="1080" spans="1:52" s="3" customFormat="1" hidden="1" x14ac:dyDescent="0.35">
      <c r="A1080" s="72">
        <f t="shared" si="491"/>
        <v>2021</v>
      </c>
      <c r="B1080" s="72" t="str">
        <f t="shared" si="492"/>
        <v>Nov</v>
      </c>
      <c r="C1080" s="73">
        <f t="shared" si="510"/>
        <v>15</v>
      </c>
      <c r="D1080" s="74">
        <f t="shared" si="493"/>
        <v>9</v>
      </c>
      <c r="E1080" s="75">
        <f t="shared" si="494"/>
        <v>56</v>
      </c>
      <c r="F1080" s="79"/>
      <c r="G1080" s="82"/>
      <c r="H1080" s="68" t="str">
        <f t="shared" si="511"/>
        <v>Clesim6_20211115_09_00</v>
      </c>
      <c r="I1080" s="69">
        <f t="shared" si="515"/>
        <v>1</v>
      </c>
      <c r="J1080" s="76" t="str">
        <f t="shared" si="515"/>
        <v>Clematis</v>
      </c>
      <c r="K1080" s="76" t="str">
        <f t="shared" si="515"/>
        <v>simense</v>
      </c>
      <c r="L1080" s="77">
        <f t="shared" si="515"/>
        <v>6</v>
      </c>
      <c r="M1080" s="77">
        <f t="shared" si="515"/>
        <v>20</v>
      </c>
      <c r="N1080" s="71">
        <f t="shared" si="515"/>
        <v>0</v>
      </c>
      <c r="O1080" s="44"/>
      <c r="P1080" s="45" t="str">
        <f t="shared" si="495"/>
        <v/>
      </c>
      <c r="Q1080" s="46" t="str">
        <f t="shared" si="496"/>
        <v/>
      </c>
      <c r="R1080" s="47" t="e">
        <f t="shared" si="497"/>
        <v>#VALUE!</v>
      </c>
      <c r="S1080" s="48" t="e">
        <f t="shared" si="486"/>
        <v>#VALUE!</v>
      </c>
      <c r="T1080" s="47" t="str">
        <f t="shared" si="498"/>
        <v/>
      </c>
      <c r="U1080" s="49"/>
      <c r="V1080" s="50"/>
      <c r="W1080" s="51" t="e">
        <f t="shared" si="499"/>
        <v>#VALUE!</v>
      </c>
      <c r="X1080" s="52"/>
      <c r="Y1080" s="52"/>
      <c r="Z1080" s="52"/>
      <c r="AA1080" s="47" t="e">
        <f>INDEX(VISITORS[INSECT ORDER], MATCH(X1080,VISITORS[NAME USED],0))</f>
        <v>#N/A</v>
      </c>
      <c r="AB1080" s="47" t="e">
        <f t="shared" si="500"/>
        <v>#N/A</v>
      </c>
      <c r="AC1080" s="53" t="e">
        <f t="shared" si="501"/>
        <v>#VALUE!</v>
      </c>
      <c r="AD1080" s="54" t="str">
        <f t="shared" si="502"/>
        <v/>
      </c>
      <c r="AE1080" s="54"/>
      <c r="AF1080" s="54"/>
      <c r="AG1080" s="55" t="str">
        <f t="shared" si="503"/>
        <v/>
      </c>
      <c r="AH1080" s="56" t="str">
        <f t="shared" si="504"/>
        <v/>
      </c>
      <c r="AI1080" s="55"/>
      <c r="AJ1080" s="56" t="str">
        <f t="shared" si="505"/>
        <v/>
      </c>
      <c r="AK1080" s="55"/>
      <c r="AL1080" s="56" t="str">
        <f t="shared" si="506"/>
        <v/>
      </c>
      <c r="AM1080" s="55"/>
      <c r="AN1080" s="56" t="str">
        <f t="shared" si="507"/>
        <v/>
      </c>
      <c r="AO1080" s="55"/>
      <c r="AP1080" s="56" t="str">
        <f t="shared" si="508"/>
        <v/>
      </c>
      <c r="AQ1080" s="55"/>
      <c r="AR1080" s="56" t="str">
        <f t="shared" si="509"/>
        <v/>
      </c>
      <c r="AS1080" s="57"/>
      <c r="AT1080" s="58"/>
      <c r="AU1080" s="58"/>
      <c r="AV1080" s="59"/>
      <c r="AW1080" s="60" t="str">
        <f t="shared" si="487"/>
        <v/>
      </c>
      <c r="AX1080" s="61" t="str">
        <f t="shared" si="488"/>
        <v/>
      </c>
      <c r="AY1080" s="60" t="str">
        <f t="shared" si="489"/>
        <v/>
      </c>
      <c r="AZ1080" s="61" t="str">
        <f t="shared" si="490"/>
        <v/>
      </c>
    </row>
    <row r="1081" spans="1:52" s="3" customFormat="1" hidden="1" x14ac:dyDescent="0.35">
      <c r="A1081" s="72">
        <f t="shared" si="491"/>
        <v>2021</v>
      </c>
      <c r="B1081" s="72" t="str">
        <f t="shared" si="492"/>
        <v>Nov</v>
      </c>
      <c r="C1081" s="73">
        <f t="shared" si="510"/>
        <v>15</v>
      </c>
      <c r="D1081" s="74">
        <f t="shared" si="493"/>
        <v>9</v>
      </c>
      <c r="E1081" s="75">
        <f t="shared" si="494"/>
        <v>57</v>
      </c>
      <c r="F1081" s="79"/>
      <c r="G1081" s="82"/>
      <c r="H1081" s="68" t="str">
        <f t="shared" si="511"/>
        <v>Clesim6_20211115_09_00</v>
      </c>
      <c r="I1081" s="69">
        <f t="shared" si="515"/>
        <v>1</v>
      </c>
      <c r="J1081" s="76" t="str">
        <f t="shared" si="515"/>
        <v>Clematis</v>
      </c>
      <c r="K1081" s="76" t="str">
        <f t="shared" si="515"/>
        <v>simense</v>
      </c>
      <c r="L1081" s="77">
        <f t="shared" si="515"/>
        <v>6</v>
      </c>
      <c r="M1081" s="77">
        <f t="shared" si="515"/>
        <v>20</v>
      </c>
      <c r="N1081" s="71">
        <f t="shared" si="515"/>
        <v>0</v>
      </c>
      <c r="O1081" s="44"/>
      <c r="P1081" s="45" t="str">
        <f t="shared" si="495"/>
        <v/>
      </c>
      <c r="Q1081" s="46" t="str">
        <f t="shared" si="496"/>
        <v/>
      </c>
      <c r="R1081" s="47" t="e">
        <f t="shared" si="497"/>
        <v>#VALUE!</v>
      </c>
      <c r="S1081" s="48" t="e">
        <f t="shared" si="486"/>
        <v>#VALUE!</v>
      </c>
      <c r="T1081" s="47" t="str">
        <f t="shared" si="498"/>
        <v/>
      </c>
      <c r="U1081" s="49"/>
      <c r="V1081" s="50"/>
      <c r="W1081" s="51" t="e">
        <f t="shared" si="499"/>
        <v>#VALUE!</v>
      </c>
      <c r="X1081" s="52"/>
      <c r="Y1081" s="52"/>
      <c r="Z1081" s="52"/>
      <c r="AA1081" s="47" t="e">
        <f>INDEX(VISITORS[INSECT ORDER], MATCH(X1081,VISITORS[NAME USED],0))</f>
        <v>#N/A</v>
      </c>
      <c r="AB1081" s="47" t="e">
        <f t="shared" si="500"/>
        <v>#N/A</v>
      </c>
      <c r="AC1081" s="53" t="e">
        <f t="shared" si="501"/>
        <v>#VALUE!</v>
      </c>
      <c r="AD1081" s="54" t="str">
        <f t="shared" si="502"/>
        <v/>
      </c>
      <c r="AE1081" s="54"/>
      <c r="AF1081" s="54"/>
      <c r="AG1081" s="55" t="str">
        <f t="shared" si="503"/>
        <v/>
      </c>
      <c r="AH1081" s="56" t="str">
        <f t="shared" si="504"/>
        <v/>
      </c>
      <c r="AI1081" s="55"/>
      <c r="AJ1081" s="56" t="str">
        <f t="shared" si="505"/>
        <v/>
      </c>
      <c r="AK1081" s="55"/>
      <c r="AL1081" s="56" t="str">
        <f t="shared" si="506"/>
        <v/>
      </c>
      <c r="AM1081" s="55"/>
      <c r="AN1081" s="56" t="str">
        <f t="shared" si="507"/>
        <v/>
      </c>
      <c r="AO1081" s="55"/>
      <c r="AP1081" s="56" t="str">
        <f t="shared" si="508"/>
        <v/>
      </c>
      <c r="AQ1081" s="55"/>
      <c r="AR1081" s="56" t="str">
        <f t="shared" si="509"/>
        <v/>
      </c>
      <c r="AS1081" s="57"/>
      <c r="AT1081" s="58"/>
      <c r="AU1081" s="58"/>
      <c r="AV1081" s="59"/>
      <c r="AW1081" s="60" t="str">
        <f t="shared" si="487"/>
        <v/>
      </c>
      <c r="AX1081" s="61" t="str">
        <f t="shared" si="488"/>
        <v/>
      </c>
      <c r="AY1081" s="60" t="str">
        <f t="shared" si="489"/>
        <v/>
      </c>
      <c r="AZ1081" s="61" t="str">
        <f t="shared" si="490"/>
        <v/>
      </c>
    </row>
    <row r="1082" spans="1:52" s="3" customFormat="1" hidden="1" x14ac:dyDescent="0.35">
      <c r="A1082" s="72">
        <f t="shared" si="491"/>
        <v>2021</v>
      </c>
      <c r="B1082" s="72" t="str">
        <f t="shared" si="492"/>
        <v>Nov</v>
      </c>
      <c r="C1082" s="73">
        <f t="shared" si="510"/>
        <v>15</v>
      </c>
      <c r="D1082" s="74">
        <f t="shared" si="493"/>
        <v>9</v>
      </c>
      <c r="E1082" s="75">
        <f t="shared" si="494"/>
        <v>58</v>
      </c>
      <c r="F1082" s="79"/>
      <c r="G1082" s="82"/>
      <c r="H1082" s="68" t="str">
        <f t="shared" si="511"/>
        <v>Clesim6_20211115_09_00</v>
      </c>
      <c r="I1082" s="69">
        <f t="shared" si="515"/>
        <v>1</v>
      </c>
      <c r="J1082" s="76" t="str">
        <f t="shared" si="515"/>
        <v>Clematis</v>
      </c>
      <c r="K1082" s="76" t="str">
        <f t="shared" si="515"/>
        <v>simense</v>
      </c>
      <c r="L1082" s="77">
        <f t="shared" si="515"/>
        <v>6</v>
      </c>
      <c r="M1082" s="77">
        <f t="shared" si="515"/>
        <v>20</v>
      </c>
      <c r="N1082" s="71">
        <f t="shared" si="515"/>
        <v>0</v>
      </c>
      <c r="O1082" s="44"/>
      <c r="P1082" s="45" t="str">
        <f t="shared" si="495"/>
        <v/>
      </c>
      <c r="Q1082" s="46" t="str">
        <f t="shared" si="496"/>
        <v/>
      </c>
      <c r="R1082" s="47" t="e">
        <f t="shared" si="497"/>
        <v>#VALUE!</v>
      </c>
      <c r="S1082" s="48" t="e">
        <f t="shared" si="486"/>
        <v>#VALUE!</v>
      </c>
      <c r="T1082" s="47" t="str">
        <f t="shared" si="498"/>
        <v/>
      </c>
      <c r="U1082" s="49"/>
      <c r="V1082" s="50"/>
      <c r="W1082" s="51" t="e">
        <f t="shared" si="499"/>
        <v>#VALUE!</v>
      </c>
      <c r="X1082" s="52"/>
      <c r="Y1082" s="52"/>
      <c r="Z1082" s="52"/>
      <c r="AA1082" s="47" t="e">
        <f>INDEX(VISITORS[INSECT ORDER], MATCH(X1082,VISITORS[NAME USED],0))</f>
        <v>#N/A</v>
      </c>
      <c r="AB1082" s="47" t="e">
        <f t="shared" si="500"/>
        <v>#N/A</v>
      </c>
      <c r="AC1082" s="53" t="e">
        <f t="shared" si="501"/>
        <v>#VALUE!</v>
      </c>
      <c r="AD1082" s="54" t="str">
        <f t="shared" si="502"/>
        <v/>
      </c>
      <c r="AE1082" s="54"/>
      <c r="AF1082" s="54"/>
      <c r="AG1082" s="55" t="str">
        <f t="shared" si="503"/>
        <v/>
      </c>
      <c r="AH1082" s="56" t="str">
        <f t="shared" si="504"/>
        <v/>
      </c>
      <c r="AI1082" s="55"/>
      <c r="AJ1082" s="56" t="str">
        <f t="shared" si="505"/>
        <v/>
      </c>
      <c r="AK1082" s="55"/>
      <c r="AL1082" s="56" t="str">
        <f t="shared" si="506"/>
        <v/>
      </c>
      <c r="AM1082" s="55"/>
      <c r="AN1082" s="56" t="str">
        <f t="shared" si="507"/>
        <v/>
      </c>
      <c r="AO1082" s="55"/>
      <c r="AP1082" s="56" t="str">
        <f t="shared" si="508"/>
        <v/>
      </c>
      <c r="AQ1082" s="55"/>
      <c r="AR1082" s="56" t="str">
        <f t="shared" si="509"/>
        <v/>
      </c>
      <c r="AS1082" s="57"/>
      <c r="AT1082" s="58"/>
      <c r="AU1082" s="58"/>
      <c r="AV1082" s="59"/>
      <c r="AW1082" s="60" t="str">
        <f t="shared" si="487"/>
        <v/>
      </c>
      <c r="AX1082" s="61" t="str">
        <f t="shared" si="488"/>
        <v/>
      </c>
      <c r="AY1082" s="60" t="str">
        <f t="shared" si="489"/>
        <v/>
      </c>
      <c r="AZ1082" s="61" t="str">
        <f t="shared" si="490"/>
        <v/>
      </c>
    </row>
    <row r="1083" spans="1:52" s="3" customFormat="1" hidden="1" x14ac:dyDescent="0.35">
      <c r="A1083" s="72">
        <f t="shared" si="491"/>
        <v>2021</v>
      </c>
      <c r="B1083" s="72" t="str">
        <f t="shared" si="492"/>
        <v>Nov</v>
      </c>
      <c r="C1083" s="73">
        <f t="shared" si="510"/>
        <v>15</v>
      </c>
      <c r="D1083" s="74">
        <f t="shared" si="493"/>
        <v>9</v>
      </c>
      <c r="E1083" s="75">
        <f t="shared" si="494"/>
        <v>59</v>
      </c>
      <c r="F1083" s="79"/>
      <c r="G1083" s="82"/>
      <c r="H1083" s="68" t="str">
        <f t="shared" si="511"/>
        <v>Clesim6_20211115_09_00</v>
      </c>
      <c r="I1083" s="69">
        <f t="shared" si="515"/>
        <v>1</v>
      </c>
      <c r="J1083" s="76" t="str">
        <f t="shared" si="515"/>
        <v>Clematis</v>
      </c>
      <c r="K1083" s="76" t="str">
        <f t="shared" si="515"/>
        <v>simense</v>
      </c>
      <c r="L1083" s="77">
        <f t="shared" si="515"/>
        <v>6</v>
      </c>
      <c r="M1083" s="77">
        <f t="shared" si="515"/>
        <v>20</v>
      </c>
      <c r="N1083" s="71">
        <f t="shared" si="515"/>
        <v>0</v>
      </c>
      <c r="O1083" s="44"/>
      <c r="P1083" s="45" t="str">
        <f t="shared" si="495"/>
        <v/>
      </c>
      <c r="Q1083" s="46" t="str">
        <f t="shared" si="496"/>
        <v/>
      </c>
      <c r="R1083" s="47" t="e">
        <f t="shared" si="497"/>
        <v>#VALUE!</v>
      </c>
      <c r="S1083" s="48" t="e">
        <f t="shared" si="486"/>
        <v>#VALUE!</v>
      </c>
      <c r="T1083" s="47" t="str">
        <f t="shared" si="498"/>
        <v/>
      </c>
      <c r="U1083" s="49"/>
      <c r="V1083" s="50"/>
      <c r="W1083" s="51" t="e">
        <f t="shared" si="499"/>
        <v>#VALUE!</v>
      </c>
      <c r="X1083" s="52"/>
      <c r="Y1083" s="52"/>
      <c r="Z1083" s="52"/>
      <c r="AA1083" s="47" t="e">
        <f>INDEX(VISITORS[INSECT ORDER], MATCH(X1083,VISITORS[NAME USED],0))</f>
        <v>#N/A</v>
      </c>
      <c r="AB1083" s="47" t="e">
        <f t="shared" si="500"/>
        <v>#N/A</v>
      </c>
      <c r="AC1083" s="53" t="e">
        <f t="shared" si="501"/>
        <v>#VALUE!</v>
      </c>
      <c r="AD1083" s="54" t="str">
        <f t="shared" si="502"/>
        <v/>
      </c>
      <c r="AE1083" s="54"/>
      <c r="AF1083" s="54"/>
      <c r="AG1083" s="55" t="str">
        <f t="shared" si="503"/>
        <v/>
      </c>
      <c r="AH1083" s="56" t="str">
        <f t="shared" si="504"/>
        <v/>
      </c>
      <c r="AI1083" s="55"/>
      <c r="AJ1083" s="56" t="str">
        <f t="shared" si="505"/>
        <v/>
      </c>
      <c r="AK1083" s="55"/>
      <c r="AL1083" s="56" t="str">
        <f t="shared" si="506"/>
        <v/>
      </c>
      <c r="AM1083" s="55"/>
      <c r="AN1083" s="56" t="str">
        <f t="shared" si="507"/>
        <v/>
      </c>
      <c r="AO1083" s="55"/>
      <c r="AP1083" s="56" t="str">
        <f t="shared" si="508"/>
        <v/>
      </c>
      <c r="AQ1083" s="55"/>
      <c r="AR1083" s="56" t="str">
        <f t="shared" si="509"/>
        <v/>
      </c>
      <c r="AS1083" s="57"/>
      <c r="AT1083" s="58"/>
      <c r="AU1083" s="58"/>
      <c r="AV1083" s="59"/>
      <c r="AW1083" s="60" t="str">
        <f t="shared" si="487"/>
        <v/>
      </c>
      <c r="AX1083" s="61" t="str">
        <f t="shared" si="488"/>
        <v/>
      </c>
      <c r="AY1083" s="60" t="str">
        <f t="shared" si="489"/>
        <v/>
      </c>
      <c r="AZ1083" s="61" t="str">
        <f t="shared" si="490"/>
        <v/>
      </c>
    </row>
    <row r="1084" spans="1:52" s="3" customFormat="1" hidden="1" x14ac:dyDescent="0.35">
      <c r="A1084" s="72">
        <f t="shared" si="491"/>
        <v>2021</v>
      </c>
      <c r="B1084" s="72" t="str">
        <f t="shared" si="492"/>
        <v>Nov</v>
      </c>
      <c r="C1084" s="73">
        <f t="shared" si="510"/>
        <v>15</v>
      </c>
      <c r="D1084" s="74">
        <f t="shared" si="493"/>
        <v>10</v>
      </c>
      <c r="E1084" s="75">
        <f t="shared" si="494"/>
        <v>0</v>
      </c>
      <c r="F1084" s="79"/>
      <c r="G1084" s="82"/>
      <c r="H1084" s="68" t="str">
        <f t="shared" si="511"/>
        <v>Clesim6_20211115_10_00</v>
      </c>
      <c r="I1084" s="69">
        <f t="shared" si="515"/>
        <v>1</v>
      </c>
      <c r="J1084" s="76" t="str">
        <f t="shared" si="515"/>
        <v>Clematis</v>
      </c>
      <c r="K1084" s="76" t="str">
        <f t="shared" si="515"/>
        <v>simense</v>
      </c>
      <c r="L1084" s="77">
        <f t="shared" si="515"/>
        <v>6</v>
      </c>
      <c r="M1084" s="77">
        <f t="shared" si="515"/>
        <v>20</v>
      </c>
      <c r="N1084" s="71">
        <f t="shared" si="515"/>
        <v>0</v>
      </c>
      <c r="O1084" s="44"/>
      <c r="P1084" s="45" t="str">
        <f t="shared" si="495"/>
        <v/>
      </c>
      <c r="Q1084" s="46" t="str">
        <f t="shared" si="496"/>
        <v/>
      </c>
      <c r="R1084" s="47" t="e">
        <f t="shared" si="497"/>
        <v>#VALUE!</v>
      </c>
      <c r="S1084" s="48" t="e">
        <f t="shared" si="486"/>
        <v>#VALUE!</v>
      </c>
      <c r="T1084" s="47" t="str">
        <f t="shared" si="498"/>
        <v/>
      </c>
      <c r="U1084" s="49"/>
      <c r="V1084" s="50"/>
      <c r="W1084" s="51" t="e">
        <f t="shared" si="499"/>
        <v>#VALUE!</v>
      </c>
      <c r="X1084" s="52"/>
      <c r="Y1084" s="52"/>
      <c r="Z1084" s="52"/>
      <c r="AA1084" s="47" t="e">
        <f>INDEX(VISITORS[INSECT ORDER], MATCH(X1084,VISITORS[NAME USED],0))</f>
        <v>#N/A</v>
      </c>
      <c r="AB1084" s="47" t="e">
        <f t="shared" si="500"/>
        <v>#N/A</v>
      </c>
      <c r="AC1084" s="53" t="e">
        <f t="shared" si="501"/>
        <v>#VALUE!</v>
      </c>
      <c r="AD1084" s="54" t="str">
        <f t="shared" si="502"/>
        <v/>
      </c>
      <c r="AE1084" s="54"/>
      <c r="AF1084" s="54"/>
      <c r="AG1084" s="55" t="str">
        <f t="shared" si="503"/>
        <v/>
      </c>
      <c r="AH1084" s="56" t="str">
        <f t="shared" si="504"/>
        <v/>
      </c>
      <c r="AI1084" s="55"/>
      <c r="AJ1084" s="56" t="str">
        <f t="shared" si="505"/>
        <v/>
      </c>
      <c r="AK1084" s="55"/>
      <c r="AL1084" s="56" t="str">
        <f t="shared" si="506"/>
        <v/>
      </c>
      <c r="AM1084" s="55"/>
      <c r="AN1084" s="56" t="str">
        <f t="shared" si="507"/>
        <v/>
      </c>
      <c r="AO1084" s="55"/>
      <c r="AP1084" s="56" t="str">
        <f t="shared" si="508"/>
        <v/>
      </c>
      <c r="AQ1084" s="55"/>
      <c r="AR1084" s="56" t="str">
        <f t="shared" si="509"/>
        <v/>
      </c>
      <c r="AS1084" s="57"/>
      <c r="AT1084" s="58"/>
      <c r="AU1084" s="58"/>
      <c r="AV1084" s="59"/>
      <c r="AW1084" s="60" t="str">
        <f t="shared" si="487"/>
        <v/>
      </c>
      <c r="AX1084" s="61" t="str">
        <f t="shared" si="488"/>
        <v/>
      </c>
      <c r="AY1084" s="60" t="str">
        <f t="shared" si="489"/>
        <v/>
      </c>
      <c r="AZ1084" s="61" t="str">
        <f t="shared" si="490"/>
        <v/>
      </c>
    </row>
    <row r="1085" spans="1:52" s="3" customFormat="1" hidden="1" x14ac:dyDescent="0.35">
      <c r="A1085" s="72">
        <f t="shared" si="491"/>
        <v>2021</v>
      </c>
      <c r="B1085" s="72" t="str">
        <f t="shared" si="492"/>
        <v>Nov</v>
      </c>
      <c r="C1085" s="73">
        <f t="shared" si="510"/>
        <v>15</v>
      </c>
      <c r="D1085" s="74">
        <f t="shared" si="493"/>
        <v>10</v>
      </c>
      <c r="E1085" s="75">
        <f t="shared" si="494"/>
        <v>1</v>
      </c>
      <c r="F1085" s="79"/>
      <c r="G1085" s="82"/>
      <c r="H1085" s="68" t="str">
        <f t="shared" si="511"/>
        <v>Clesim6_20211115_10_00</v>
      </c>
      <c r="I1085" s="69">
        <f t="shared" si="515"/>
        <v>1</v>
      </c>
      <c r="J1085" s="76" t="str">
        <f t="shared" si="515"/>
        <v>Clematis</v>
      </c>
      <c r="K1085" s="76" t="str">
        <f t="shared" si="515"/>
        <v>simense</v>
      </c>
      <c r="L1085" s="77">
        <f t="shared" si="515"/>
        <v>6</v>
      </c>
      <c r="M1085" s="77">
        <f t="shared" si="515"/>
        <v>20</v>
      </c>
      <c r="N1085" s="71">
        <f t="shared" si="515"/>
        <v>0</v>
      </c>
      <c r="O1085" s="44"/>
      <c r="P1085" s="45" t="str">
        <f t="shared" si="495"/>
        <v/>
      </c>
      <c r="Q1085" s="46" t="str">
        <f t="shared" si="496"/>
        <v/>
      </c>
      <c r="R1085" s="47" t="e">
        <f t="shared" si="497"/>
        <v>#VALUE!</v>
      </c>
      <c r="S1085" s="48" t="e">
        <f t="shared" si="486"/>
        <v>#VALUE!</v>
      </c>
      <c r="T1085" s="47" t="str">
        <f t="shared" si="498"/>
        <v/>
      </c>
      <c r="U1085" s="49"/>
      <c r="V1085" s="50"/>
      <c r="W1085" s="51" t="e">
        <f t="shared" si="499"/>
        <v>#VALUE!</v>
      </c>
      <c r="X1085" s="52"/>
      <c r="Y1085" s="52"/>
      <c r="Z1085" s="52"/>
      <c r="AA1085" s="47" t="e">
        <f>INDEX(VISITORS[INSECT ORDER], MATCH(X1085,VISITORS[NAME USED],0))</f>
        <v>#N/A</v>
      </c>
      <c r="AB1085" s="47" t="e">
        <f t="shared" si="500"/>
        <v>#N/A</v>
      </c>
      <c r="AC1085" s="53" t="e">
        <f t="shared" si="501"/>
        <v>#VALUE!</v>
      </c>
      <c r="AD1085" s="54" t="str">
        <f t="shared" si="502"/>
        <v/>
      </c>
      <c r="AE1085" s="54"/>
      <c r="AF1085" s="54"/>
      <c r="AG1085" s="55" t="str">
        <f t="shared" si="503"/>
        <v/>
      </c>
      <c r="AH1085" s="56" t="str">
        <f t="shared" si="504"/>
        <v/>
      </c>
      <c r="AI1085" s="55"/>
      <c r="AJ1085" s="56" t="str">
        <f t="shared" si="505"/>
        <v/>
      </c>
      <c r="AK1085" s="55"/>
      <c r="AL1085" s="56" t="str">
        <f t="shared" si="506"/>
        <v/>
      </c>
      <c r="AM1085" s="55"/>
      <c r="AN1085" s="56" t="str">
        <f t="shared" si="507"/>
        <v/>
      </c>
      <c r="AO1085" s="55"/>
      <c r="AP1085" s="56" t="str">
        <f t="shared" si="508"/>
        <v/>
      </c>
      <c r="AQ1085" s="55"/>
      <c r="AR1085" s="56" t="str">
        <f t="shared" si="509"/>
        <v/>
      </c>
      <c r="AS1085" s="57"/>
      <c r="AT1085" s="58"/>
      <c r="AU1085" s="58"/>
      <c r="AV1085" s="59"/>
      <c r="AW1085" s="60" t="str">
        <f t="shared" si="487"/>
        <v/>
      </c>
      <c r="AX1085" s="61" t="str">
        <f t="shared" si="488"/>
        <v/>
      </c>
      <c r="AY1085" s="60" t="str">
        <f t="shared" si="489"/>
        <v/>
      </c>
      <c r="AZ1085" s="61" t="str">
        <f t="shared" si="490"/>
        <v/>
      </c>
    </row>
    <row r="1086" spans="1:52" s="3" customFormat="1" x14ac:dyDescent="0.35">
      <c r="A1086" s="72">
        <f t="shared" si="491"/>
        <v>2021</v>
      </c>
      <c r="B1086" s="72" t="str">
        <f t="shared" si="492"/>
        <v>Nov</v>
      </c>
      <c r="C1086" s="73">
        <f t="shared" si="510"/>
        <v>15</v>
      </c>
      <c r="D1086" s="74">
        <f t="shared" si="493"/>
        <v>10</v>
      </c>
      <c r="E1086" s="75">
        <f t="shared" si="494"/>
        <v>2</v>
      </c>
      <c r="F1086" s="79">
        <v>55</v>
      </c>
      <c r="G1086" s="82"/>
      <c r="H1086" s="68" t="str">
        <f t="shared" si="511"/>
        <v>Clesim6_20211115_10_00</v>
      </c>
      <c r="I1086" s="69">
        <f t="shared" si="515"/>
        <v>1</v>
      </c>
      <c r="J1086" s="76" t="str">
        <f t="shared" si="515"/>
        <v>Clematis</v>
      </c>
      <c r="K1086" s="76" t="str">
        <f t="shared" si="515"/>
        <v>simense</v>
      </c>
      <c r="L1086" s="77">
        <f t="shared" si="515"/>
        <v>6</v>
      </c>
      <c r="M1086" s="77">
        <f t="shared" si="515"/>
        <v>20</v>
      </c>
      <c r="N1086" s="71">
        <f t="shared" si="515"/>
        <v>0</v>
      </c>
      <c r="O1086" s="44"/>
      <c r="P1086" s="45">
        <f t="shared" si="495"/>
        <v>1</v>
      </c>
      <c r="Q1086" s="46" t="str">
        <f t="shared" si="496"/>
        <v>10:02:55</v>
      </c>
      <c r="R1086" s="47" t="str">
        <f t="shared" si="497"/>
        <v>02:55</v>
      </c>
      <c r="S1086" s="48">
        <f t="shared" si="486"/>
        <v>127</v>
      </c>
      <c r="T1086" s="47" t="str">
        <f t="shared" si="498"/>
        <v>10</v>
      </c>
      <c r="U1086" s="49">
        <v>5</v>
      </c>
      <c r="V1086" s="50">
        <v>2</v>
      </c>
      <c r="W1086" s="51" t="str">
        <f t="shared" si="499"/>
        <v>05:02</v>
      </c>
      <c r="X1086" s="123" t="s">
        <v>66</v>
      </c>
      <c r="Y1086" s="52" t="s">
        <v>84</v>
      </c>
      <c r="Z1086" s="52" t="s">
        <v>88</v>
      </c>
      <c r="AA1086" s="47" t="s">
        <v>67</v>
      </c>
      <c r="AB1086" s="47" t="str">
        <f t="shared" si="500"/>
        <v>NA</v>
      </c>
      <c r="AC1086" s="53" t="str">
        <f t="shared" si="501"/>
        <v/>
      </c>
      <c r="AD1086" s="54">
        <v>3</v>
      </c>
      <c r="AE1086" s="54"/>
      <c r="AF1086" s="54"/>
      <c r="AG1086" s="55" t="str">
        <f t="shared" si="503"/>
        <v/>
      </c>
      <c r="AH1086" s="56" t="str">
        <f t="shared" si="504"/>
        <v/>
      </c>
      <c r="AI1086" s="55"/>
      <c r="AJ1086" s="56" t="str">
        <f t="shared" si="505"/>
        <v/>
      </c>
      <c r="AK1086" s="55"/>
      <c r="AL1086" s="56" t="str">
        <f t="shared" si="506"/>
        <v/>
      </c>
      <c r="AM1086" s="55"/>
      <c r="AN1086" s="56" t="str">
        <f t="shared" si="507"/>
        <v/>
      </c>
      <c r="AO1086" s="55"/>
      <c r="AP1086" s="56" t="str">
        <f t="shared" si="508"/>
        <v/>
      </c>
      <c r="AQ1086" s="55"/>
      <c r="AR1086" s="56" t="str">
        <f t="shared" si="509"/>
        <v/>
      </c>
      <c r="AS1086" s="57"/>
      <c r="AT1086" s="58"/>
      <c r="AU1086" s="58"/>
      <c r="AV1086" s="59"/>
      <c r="AW1086" s="60">
        <f t="shared" si="487"/>
        <v>0</v>
      </c>
      <c r="AX1086" s="61" t="str">
        <f t="shared" si="488"/>
        <v/>
      </c>
      <c r="AY1086" s="60">
        <f t="shared" si="489"/>
        <v>0</v>
      </c>
      <c r="AZ1086" s="61" t="str">
        <f t="shared" si="490"/>
        <v/>
      </c>
    </row>
    <row r="1087" spans="1:52" s="3" customFormat="1" hidden="1" x14ac:dyDescent="0.35">
      <c r="A1087" s="72">
        <f t="shared" si="491"/>
        <v>2021</v>
      </c>
      <c r="B1087" s="72" t="str">
        <f t="shared" si="492"/>
        <v>Nov</v>
      </c>
      <c r="C1087" s="73">
        <f t="shared" si="510"/>
        <v>15</v>
      </c>
      <c r="D1087" s="74">
        <f t="shared" si="493"/>
        <v>10</v>
      </c>
      <c r="E1087" s="75">
        <f t="shared" si="494"/>
        <v>3</v>
      </c>
      <c r="F1087" s="79"/>
      <c r="G1087" s="82"/>
      <c r="H1087" s="68" t="str">
        <f t="shared" si="511"/>
        <v>Clesim6_20211115_10_00</v>
      </c>
      <c r="I1087" s="69">
        <f t="shared" si="515"/>
        <v>1</v>
      </c>
      <c r="J1087" s="76" t="str">
        <f t="shared" si="515"/>
        <v>Clematis</v>
      </c>
      <c r="K1087" s="76" t="str">
        <f t="shared" si="515"/>
        <v>simense</v>
      </c>
      <c r="L1087" s="77">
        <f t="shared" si="515"/>
        <v>6</v>
      </c>
      <c r="M1087" s="77">
        <f t="shared" si="515"/>
        <v>20</v>
      </c>
      <c r="N1087" s="71">
        <f t="shared" si="515"/>
        <v>0</v>
      </c>
      <c r="O1087" s="44"/>
      <c r="P1087" s="45" t="str">
        <f t="shared" si="495"/>
        <v/>
      </c>
      <c r="Q1087" s="46" t="str">
        <f t="shared" si="496"/>
        <v/>
      </c>
      <c r="R1087" s="47" t="e">
        <f t="shared" si="497"/>
        <v>#VALUE!</v>
      </c>
      <c r="S1087" s="48" t="e">
        <f t="shared" si="486"/>
        <v>#VALUE!</v>
      </c>
      <c r="T1087" s="47" t="str">
        <f t="shared" si="498"/>
        <v/>
      </c>
      <c r="U1087" s="49"/>
      <c r="V1087" s="50"/>
      <c r="W1087" s="51" t="e">
        <f t="shared" si="499"/>
        <v>#VALUE!</v>
      </c>
      <c r="X1087" s="52"/>
      <c r="Y1087" s="52"/>
      <c r="Z1087" s="52"/>
      <c r="AA1087" s="47" t="e">
        <f>INDEX(VISITORS[INSECT ORDER], MATCH(X1087,VISITORS[NAME USED],0))</f>
        <v>#N/A</v>
      </c>
      <c r="AB1087" s="47" t="e">
        <f t="shared" si="500"/>
        <v>#N/A</v>
      </c>
      <c r="AC1087" s="53" t="e">
        <f t="shared" si="501"/>
        <v>#VALUE!</v>
      </c>
      <c r="AD1087" s="54" t="str">
        <f t="shared" si="502"/>
        <v/>
      </c>
      <c r="AE1087" s="54"/>
      <c r="AF1087" s="54"/>
      <c r="AG1087" s="55" t="str">
        <f t="shared" si="503"/>
        <v/>
      </c>
      <c r="AH1087" s="56" t="str">
        <f t="shared" si="504"/>
        <v/>
      </c>
      <c r="AI1087" s="55"/>
      <c r="AJ1087" s="56" t="str">
        <f t="shared" si="505"/>
        <v/>
      </c>
      <c r="AK1087" s="55"/>
      <c r="AL1087" s="56" t="str">
        <f t="shared" si="506"/>
        <v/>
      </c>
      <c r="AM1087" s="55"/>
      <c r="AN1087" s="56" t="str">
        <f t="shared" si="507"/>
        <v/>
      </c>
      <c r="AO1087" s="55"/>
      <c r="AP1087" s="56" t="str">
        <f t="shared" si="508"/>
        <v/>
      </c>
      <c r="AQ1087" s="55"/>
      <c r="AR1087" s="56" t="str">
        <f t="shared" si="509"/>
        <v/>
      </c>
      <c r="AS1087" s="57"/>
      <c r="AT1087" s="58"/>
      <c r="AU1087" s="58"/>
      <c r="AV1087" s="59"/>
      <c r="AW1087" s="60" t="str">
        <f t="shared" si="487"/>
        <v/>
      </c>
      <c r="AX1087" s="61" t="str">
        <f t="shared" si="488"/>
        <v/>
      </c>
      <c r="AY1087" s="60" t="str">
        <f t="shared" si="489"/>
        <v/>
      </c>
      <c r="AZ1087" s="61" t="str">
        <f t="shared" si="490"/>
        <v/>
      </c>
    </row>
    <row r="1088" spans="1:52" s="3" customFormat="1" hidden="1" x14ac:dyDescent="0.35">
      <c r="A1088" s="72">
        <f t="shared" si="491"/>
        <v>2021</v>
      </c>
      <c r="B1088" s="72" t="str">
        <f t="shared" si="492"/>
        <v>Nov</v>
      </c>
      <c r="C1088" s="73">
        <f t="shared" si="510"/>
        <v>15</v>
      </c>
      <c r="D1088" s="74">
        <f t="shared" si="493"/>
        <v>10</v>
      </c>
      <c r="E1088" s="75">
        <f t="shared" si="494"/>
        <v>4</v>
      </c>
      <c r="F1088" s="79"/>
      <c r="G1088" s="82"/>
      <c r="H1088" s="68" t="str">
        <f t="shared" si="511"/>
        <v>Clesim6_20211115_10_00</v>
      </c>
      <c r="I1088" s="69">
        <f t="shared" si="515"/>
        <v>1</v>
      </c>
      <c r="J1088" s="76" t="str">
        <f t="shared" si="515"/>
        <v>Clematis</v>
      </c>
      <c r="K1088" s="76" t="str">
        <f t="shared" si="515"/>
        <v>simense</v>
      </c>
      <c r="L1088" s="77">
        <f t="shared" si="515"/>
        <v>6</v>
      </c>
      <c r="M1088" s="77">
        <f t="shared" si="515"/>
        <v>20</v>
      </c>
      <c r="N1088" s="71">
        <f t="shared" si="515"/>
        <v>0</v>
      </c>
      <c r="O1088" s="44"/>
      <c r="P1088" s="45" t="str">
        <f t="shared" si="495"/>
        <v/>
      </c>
      <c r="Q1088" s="46" t="str">
        <f t="shared" si="496"/>
        <v/>
      </c>
      <c r="R1088" s="47" t="e">
        <f t="shared" si="497"/>
        <v>#VALUE!</v>
      </c>
      <c r="S1088" s="48" t="e">
        <f t="shared" si="486"/>
        <v>#VALUE!</v>
      </c>
      <c r="T1088" s="47" t="str">
        <f t="shared" si="498"/>
        <v/>
      </c>
      <c r="U1088" s="49"/>
      <c r="V1088" s="50"/>
      <c r="W1088" s="51" t="e">
        <f t="shared" si="499"/>
        <v>#VALUE!</v>
      </c>
      <c r="X1088" s="52"/>
      <c r="Y1088" s="52"/>
      <c r="Z1088" s="52"/>
      <c r="AA1088" s="47" t="e">
        <f>INDEX(VISITORS[INSECT ORDER], MATCH(X1088,VISITORS[NAME USED],0))</f>
        <v>#N/A</v>
      </c>
      <c r="AB1088" s="47" t="e">
        <f t="shared" si="500"/>
        <v>#N/A</v>
      </c>
      <c r="AC1088" s="53" t="e">
        <f t="shared" si="501"/>
        <v>#VALUE!</v>
      </c>
      <c r="AD1088" s="54" t="str">
        <f t="shared" si="502"/>
        <v/>
      </c>
      <c r="AE1088" s="54"/>
      <c r="AF1088" s="54"/>
      <c r="AG1088" s="55" t="str">
        <f t="shared" si="503"/>
        <v/>
      </c>
      <c r="AH1088" s="56" t="str">
        <f t="shared" si="504"/>
        <v/>
      </c>
      <c r="AI1088" s="55"/>
      <c r="AJ1088" s="56" t="str">
        <f t="shared" si="505"/>
        <v/>
      </c>
      <c r="AK1088" s="55"/>
      <c r="AL1088" s="56" t="str">
        <f t="shared" si="506"/>
        <v/>
      </c>
      <c r="AM1088" s="55"/>
      <c r="AN1088" s="56" t="str">
        <f t="shared" si="507"/>
        <v/>
      </c>
      <c r="AO1088" s="55"/>
      <c r="AP1088" s="56" t="str">
        <f t="shared" si="508"/>
        <v/>
      </c>
      <c r="AQ1088" s="55"/>
      <c r="AR1088" s="56" t="str">
        <f t="shared" si="509"/>
        <v/>
      </c>
      <c r="AS1088" s="57"/>
      <c r="AT1088" s="58"/>
      <c r="AU1088" s="58"/>
      <c r="AV1088" s="59"/>
      <c r="AW1088" s="60" t="str">
        <f t="shared" si="487"/>
        <v/>
      </c>
      <c r="AX1088" s="61" t="str">
        <f t="shared" si="488"/>
        <v/>
      </c>
      <c r="AY1088" s="60" t="str">
        <f t="shared" si="489"/>
        <v/>
      </c>
      <c r="AZ1088" s="61" t="str">
        <f t="shared" si="490"/>
        <v/>
      </c>
    </row>
    <row r="1089" spans="1:52" s="3" customFormat="1" hidden="1" x14ac:dyDescent="0.35">
      <c r="A1089" s="72">
        <f t="shared" si="491"/>
        <v>2021</v>
      </c>
      <c r="B1089" s="72" t="str">
        <f t="shared" si="492"/>
        <v>Nov</v>
      </c>
      <c r="C1089" s="73">
        <f t="shared" si="510"/>
        <v>15</v>
      </c>
      <c r="D1089" s="74">
        <f t="shared" si="493"/>
        <v>10</v>
      </c>
      <c r="E1089" s="75">
        <f t="shared" si="494"/>
        <v>5</v>
      </c>
      <c r="F1089" s="79"/>
      <c r="G1089" s="82"/>
      <c r="H1089" s="68" t="str">
        <f t="shared" si="511"/>
        <v>Clesim6_20211115_10_00</v>
      </c>
      <c r="I1089" s="69">
        <f t="shared" si="515"/>
        <v>1</v>
      </c>
      <c r="J1089" s="76" t="str">
        <f t="shared" si="515"/>
        <v>Clematis</v>
      </c>
      <c r="K1089" s="76" t="str">
        <f t="shared" si="515"/>
        <v>simense</v>
      </c>
      <c r="L1089" s="77">
        <f t="shared" si="515"/>
        <v>6</v>
      </c>
      <c r="M1089" s="77">
        <f t="shared" si="515"/>
        <v>20</v>
      </c>
      <c r="N1089" s="71">
        <f t="shared" si="515"/>
        <v>0</v>
      </c>
      <c r="O1089" s="44"/>
      <c r="P1089" s="45" t="str">
        <f t="shared" si="495"/>
        <v/>
      </c>
      <c r="Q1089" s="46" t="str">
        <f t="shared" si="496"/>
        <v/>
      </c>
      <c r="R1089" s="47" t="e">
        <f t="shared" si="497"/>
        <v>#VALUE!</v>
      </c>
      <c r="S1089" s="48" t="e">
        <f t="shared" si="486"/>
        <v>#VALUE!</v>
      </c>
      <c r="T1089" s="47" t="str">
        <f t="shared" si="498"/>
        <v/>
      </c>
      <c r="U1089" s="49"/>
      <c r="V1089" s="50"/>
      <c r="W1089" s="51" t="e">
        <f t="shared" si="499"/>
        <v>#VALUE!</v>
      </c>
      <c r="X1089" s="52"/>
      <c r="Y1089" s="52"/>
      <c r="Z1089" s="52"/>
      <c r="AA1089" s="47" t="e">
        <f>INDEX(VISITORS[INSECT ORDER], MATCH(X1089,VISITORS[NAME USED],0))</f>
        <v>#N/A</v>
      </c>
      <c r="AB1089" s="47" t="e">
        <f t="shared" si="500"/>
        <v>#N/A</v>
      </c>
      <c r="AC1089" s="53" t="e">
        <f t="shared" si="501"/>
        <v>#VALUE!</v>
      </c>
      <c r="AD1089" s="54" t="str">
        <f t="shared" si="502"/>
        <v/>
      </c>
      <c r="AE1089" s="54"/>
      <c r="AF1089" s="54"/>
      <c r="AG1089" s="55" t="str">
        <f t="shared" si="503"/>
        <v/>
      </c>
      <c r="AH1089" s="56" t="str">
        <f t="shared" si="504"/>
        <v/>
      </c>
      <c r="AI1089" s="55"/>
      <c r="AJ1089" s="56" t="str">
        <f t="shared" si="505"/>
        <v/>
      </c>
      <c r="AK1089" s="55"/>
      <c r="AL1089" s="56" t="str">
        <f t="shared" si="506"/>
        <v/>
      </c>
      <c r="AM1089" s="55"/>
      <c r="AN1089" s="56" t="str">
        <f t="shared" si="507"/>
        <v/>
      </c>
      <c r="AO1089" s="55"/>
      <c r="AP1089" s="56" t="str">
        <f t="shared" si="508"/>
        <v/>
      </c>
      <c r="AQ1089" s="55"/>
      <c r="AR1089" s="56" t="str">
        <f t="shared" si="509"/>
        <v/>
      </c>
      <c r="AS1089" s="57"/>
      <c r="AT1089" s="58"/>
      <c r="AU1089" s="58"/>
      <c r="AV1089" s="59"/>
      <c r="AW1089" s="60" t="str">
        <f t="shared" si="487"/>
        <v/>
      </c>
      <c r="AX1089" s="61" t="str">
        <f t="shared" si="488"/>
        <v/>
      </c>
      <c r="AY1089" s="60" t="str">
        <f t="shared" si="489"/>
        <v/>
      </c>
      <c r="AZ1089" s="61" t="str">
        <f t="shared" si="490"/>
        <v/>
      </c>
    </row>
    <row r="1090" spans="1:52" s="3" customFormat="1" hidden="1" x14ac:dyDescent="0.35">
      <c r="A1090" s="72">
        <f t="shared" si="491"/>
        <v>2021</v>
      </c>
      <c r="B1090" s="72" t="str">
        <f t="shared" si="492"/>
        <v>Nov</v>
      </c>
      <c r="C1090" s="73">
        <f t="shared" si="510"/>
        <v>15</v>
      </c>
      <c r="D1090" s="74">
        <f t="shared" si="493"/>
        <v>10</v>
      </c>
      <c r="E1090" s="75">
        <f t="shared" si="494"/>
        <v>6</v>
      </c>
      <c r="F1090" s="79"/>
      <c r="G1090" s="82"/>
      <c r="H1090" s="68" t="str">
        <f t="shared" si="511"/>
        <v>Clesim6_20211115_10_00</v>
      </c>
      <c r="I1090" s="69">
        <f t="shared" si="515"/>
        <v>1</v>
      </c>
      <c r="J1090" s="76" t="str">
        <f t="shared" si="515"/>
        <v>Clematis</v>
      </c>
      <c r="K1090" s="76" t="str">
        <f t="shared" si="515"/>
        <v>simense</v>
      </c>
      <c r="L1090" s="77">
        <f t="shared" si="515"/>
        <v>6</v>
      </c>
      <c r="M1090" s="77">
        <f t="shared" si="515"/>
        <v>20</v>
      </c>
      <c r="N1090" s="71">
        <f t="shared" si="515"/>
        <v>0</v>
      </c>
      <c r="O1090" s="44"/>
      <c r="P1090" s="45" t="str">
        <f t="shared" si="495"/>
        <v/>
      </c>
      <c r="Q1090" s="46" t="str">
        <f t="shared" si="496"/>
        <v/>
      </c>
      <c r="R1090" s="47" t="e">
        <f t="shared" si="497"/>
        <v>#VALUE!</v>
      </c>
      <c r="S1090" s="48" t="e">
        <f t="shared" si="486"/>
        <v>#VALUE!</v>
      </c>
      <c r="T1090" s="47" t="str">
        <f t="shared" si="498"/>
        <v/>
      </c>
      <c r="U1090" s="49"/>
      <c r="V1090" s="50"/>
      <c r="W1090" s="51" t="e">
        <f t="shared" si="499"/>
        <v>#VALUE!</v>
      </c>
      <c r="X1090" s="52"/>
      <c r="Y1090" s="52"/>
      <c r="Z1090" s="52"/>
      <c r="AA1090" s="47" t="e">
        <f>INDEX(VISITORS[INSECT ORDER], MATCH(X1090,VISITORS[NAME USED],0))</f>
        <v>#N/A</v>
      </c>
      <c r="AB1090" s="47" t="e">
        <f t="shared" si="500"/>
        <v>#N/A</v>
      </c>
      <c r="AC1090" s="53" t="e">
        <f t="shared" si="501"/>
        <v>#VALUE!</v>
      </c>
      <c r="AD1090" s="54" t="str">
        <f t="shared" si="502"/>
        <v/>
      </c>
      <c r="AE1090" s="54"/>
      <c r="AF1090" s="54"/>
      <c r="AG1090" s="55" t="str">
        <f t="shared" si="503"/>
        <v/>
      </c>
      <c r="AH1090" s="56" t="str">
        <f t="shared" si="504"/>
        <v/>
      </c>
      <c r="AI1090" s="55"/>
      <c r="AJ1090" s="56" t="str">
        <f t="shared" si="505"/>
        <v/>
      </c>
      <c r="AK1090" s="55"/>
      <c r="AL1090" s="56" t="str">
        <f t="shared" si="506"/>
        <v/>
      </c>
      <c r="AM1090" s="55"/>
      <c r="AN1090" s="56" t="str">
        <f t="shared" si="507"/>
        <v/>
      </c>
      <c r="AO1090" s="55"/>
      <c r="AP1090" s="56" t="str">
        <f t="shared" si="508"/>
        <v/>
      </c>
      <c r="AQ1090" s="55"/>
      <c r="AR1090" s="56" t="str">
        <f t="shared" si="509"/>
        <v/>
      </c>
      <c r="AS1090" s="57"/>
      <c r="AT1090" s="58"/>
      <c r="AU1090" s="58"/>
      <c r="AV1090" s="59"/>
      <c r="AW1090" s="60" t="str">
        <f t="shared" si="487"/>
        <v/>
      </c>
      <c r="AX1090" s="61" t="str">
        <f t="shared" si="488"/>
        <v/>
      </c>
      <c r="AY1090" s="60" t="str">
        <f t="shared" si="489"/>
        <v/>
      </c>
      <c r="AZ1090" s="61" t="str">
        <f t="shared" si="490"/>
        <v/>
      </c>
    </row>
    <row r="1091" spans="1:52" s="3" customFormat="1" hidden="1" x14ac:dyDescent="0.35">
      <c r="A1091" s="72">
        <f t="shared" si="491"/>
        <v>2021</v>
      </c>
      <c r="B1091" s="72" t="str">
        <f t="shared" si="492"/>
        <v>Nov</v>
      </c>
      <c r="C1091" s="73">
        <f t="shared" si="510"/>
        <v>15</v>
      </c>
      <c r="D1091" s="74">
        <f t="shared" si="493"/>
        <v>10</v>
      </c>
      <c r="E1091" s="75">
        <f t="shared" si="494"/>
        <v>7</v>
      </c>
      <c r="F1091" s="79"/>
      <c r="G1091" s="82"/>
      <c r="H1091" s="68" t="str">
        <f t="shared" si="511"/>
        <v>Clesim6_20211115_10_00</v>
      </c>
      <c r="I1091" s="69">
        <f t="shared" si="515"/>
        <v>1</v>
      </c>
      <c r="J1091" s="76" t="str">
        <f t="shared" si="515"/>
        <v>Clematis</v>
      </c>
      <c r="K1091" s="76" t="str">
        <f t="shared" si="515"/>
        <v>simense</v>
      </c>
      <c r="L1091" s="77">
        <f t="shared" si="515"/>
        <v>6</v>
      </c>
      <c r="M1091" s="77">
        <f t="shared" si="515"/>
        <v>20</v>
      </c>
      <c r="N1091" s="71">
        <f t="shared" si="515"/>
        <v>0</v>
      </c>
      <c r="O1091" s="44"/>
      <c r="P1091" s="45" t="str">
        <f t="shared" si="495"/>
        <v/>
      </c>
      <c r="Q1091" s="46" t="str">
        <f t="shared" si="496"/>
        <v/>
      </c>
      <c r="R1091" s="47" t="e">
        <f t="shared" si="497"/>
        <v>#VALUE!</v>
      </c>
      <c r="S1091" s="48" t="e">
        <f t="shared" si="486"/>
        <v>#VALUE!</v>
      </c>
      <c r="T1091" s="47" t="str">
        <f t="shared" si="498"/>
        <v/>
      </c>
      <c r="U1091" s="49"/>
      <c r="V1091" s="50"/>
      <c r="W1091" s="51" t="e">
        <f t="shared" si="499"/>
        <v>#VALUE!</v>
      </c>
      <c r="X1091" s="52"/>
      <c r="Y1091" s="52"/>
      <c r="Z1091" s="52"/>
      <c r="AA1091" s="47" t="e">
        <f>INDEX(VISITORS[INSECT ORDER], MATCH(X1091,VISITORS[NAME USED],0))</f>
        <v>#N/A</v>
      </c>
      <c r="AB1091" s="47" t="e">
        <f t="shared" si="500"/>
        <v>#N/A</v>
      </c>
      <c r="AC1091" s="53" t="e">
        <f t="shared" si="501"/>
        <v>#VALUE!</v>
      </c>
      <c r="AD1091" s="54" t="str">
        <f t="shared" si="502"/>
        <v/>
      </c>
      <c r="AE1091" s="54"/>
      <c r="AF1091" s="54"/>
      <c r="AG1091" s="55" t="str">
        <f t="shared" si="503"/>
        <v/>
      </c>
      <c r="AH1091" s="56" t="str">
        <f t="shared" si="504"/>
        <v/>
      </c>
      <c r="AI1091" s="55"/>
      <c r="AJ1091" s="56" t="str">
        <f t="shared" si="505"/>
        <v/>
      </c>
      <c r="AK1091" s="55"/>
      <c r="AL1091" s="56" t="str">
        <f t="shared" si="506"/>
        <v/>
      </c>
      <c r="AM1091" s="55"/>
      <c r="AN1091" s="56" t="str">
        <f t="shared" si="507"/>
        <v/>
      </c>
      <c r="AO1091" s="55"/>
      <c r="AP1091" s="56" t="str">
        <f t="shared" si="508"/>
        <v/>
      </c>
      <c r="AQ1091" s="55"/>
      <c r="AR1091" s="56" t="str">
        <f t="shared" si="509"/>
        <v/>
      </c>
      <c r="AS1091" s="57"/>
      <c r="AT1091" s="58"/>
      <c r="AU1091" s="58"/>
      <c r="AV1091" s="59"/>
      <c r="AW1091" s="60" t="str">
        <f t="shared" si="487"/>
        <v/>
      </c>
      <c r="AX1091" s="61" t="str">
        <f t="shared" si="488"/>
        <v/>
      </c>
      <c r="AY1091" s="60" t="str">
        <f t="shared" si="489"/>
        <v/>
      </c>
      <c r="AZ1091" s="61" t="str">
        <f t="shared" si="490"/>
        <v/>
      </c>
    </row>
    <row r="1092" spans="1:52" s="3" customFormat="1" hidden="1" x14ac:dyDescent="0.35">
      <c r="A1092" s="72">
        <f t="shared" si="491"/>
        <v>2021</v>
      </c>
      <c r="B1092" s="72" t="str">
        <f t="shared" si="492"/>
        <v>Nov</v>
      </c>
      <c r="C1092" s="73">
        <f t="shared" si="510"/>
        <v>15</v>
      </c>
      <c r="D1092" s="74">
        <f t="shared" si="493"/>
        <v>10</v>
      </c>
      <c r="E1092" s="75">
        <f t="shared" si="494"/>
        <v>8</v>
      </c>
      <c r="F1092" s="79"/>
      <c r="G1092" s="82"/>
      <c r="H1092" s="68" t="str">
        <f t="shared" si="511"/>
        <v>Clesim6_20211115_10_00</v>
      </c>
      <c r="I1092" s="69">
        <f t="shared" si="515"/>
        <v>1</v>
      </c>
      <c r="J1092" s="76" t="str">
        <f t="shared" si="515"/>
        <v>Clematis</v>
      </c>
      <c r="K1092" s="76" t="str">
        <f t="shared" si="515"/>
        <v>simense</v>
      </c>
      <c r="L1092" s="77">
        <f t="shared" si="515"/>
        <v>6</v>
      </c>
      <c r="M1092" s="77">
        <f t="shared" si="515"/>
        <v>20</v>
      </c>
      <c r="N1092" s="71">
        <f t="shared" si="515"/>
        <v>0</v>
      </c>
      <c r="O1092" s="44"/>
      <c r="P1092" s="45" t="str">
        <f t="shared" si="495"/>
        <v/>
      </c>
      <c r="Q1092" s="46" t="str">
        <f t="shared" si="496"/>
        <v/>
      </c>
      <c r="R1092" s="47" t="e">
        <f t="shared" si="497"/>
        <v>#VALUE!</v>
      </c>
      <c r="S1092" s="48" t="e">
        <f t="shared" ref="S1092:S1155" si="516">IF(T1092&lt;D1092, (T1092*3600+U1092*60+V1092)+((23*3600+59*60+60)-(D1092*3600+E1092*60+LEFT(F1092,2))), (T1092*3600+U1092*60+V1092)-(D1092*3600+E1092*60+LEFT(F1092,2)))</f>
        <v>#VALUE!</v>
      </c>
      <c r="T1092" s="47" t="str">
        <f t="shared" si="498"/>
        <v/>
      </c>
      <c r="U1092" s="49"/>
      <c r="V1092" s="50"/>
      <c r="W1092" s="51" t="e">
        <f t="shared" si="499"/>
        <v>#VALUE!</v>
      </c>
      <c r="X1092" s="52"/>
      <c r="Y1092" s="52"/>
      <c r="Z1092" s="52"/>
      <c r="AA1092" s="47" t="e">
        <f>INDEX(VISITORS[INSECT ORDER], MATCH(X1092,VISITORS[NAME USED],0))</f>
        <v>#N/A</v>
      </c>
      <c r="AB1092" s="47" t="e">
        <f t="shared" si="500"/>
        <v>#N/A</v>
      </c>
      <c r="AC1092" s="53" t="e">
        <f t="shared" si="501"/>
        <v>#VALUE!</v>
      </c>
      <c r="AD1092" s="54" t="str">
        <f t="shared" si="502"/>
        <v/>
      </c>
      <c r="AE1092" s="54"/>
      <c r="AF1092" s="54"/>
      <c r="AG1092" s="55" t="str">
        <f t="shared" si="503"/>
        <v/>
      </c>
      <c r="AH1092" s="56" t="str">
        <f t="shared" si="504"/>
        <v/>
      </c>
      <c r="AI1092" s="55"/>
      <c r="AJ1092" s="56" t="str">
        <f t="shared" si="505"/>
        <v/>
      </c>
      <c r="AK1092" s="55"/>
      <c r="AL1092" s="56" t="str">
        <f t="shared" si="506"/>
        <v/>
      </c>
      <c r="AM1092" s="55"/>
      <c r="AN1092" s="56" t="str">
        <f t="shared" si="507"/>
        <v/>
      </c>
      <c r="AO1092" s="55"/>
      <c r="AP1092" s="56" t="str">
        <f t="shared" si="508"/>
        <v/>
      </c>
      <c r="AQ1092" s="55"/>
      <c r="AR1092" s="56" t="str">
        <f t="shared" si="509"/>
        <v/>
      </c>
      <c r="AS1092" s="57"/>
      <c r="AT1092" s="58"/>
      <c r="AU1092" s="58"/>
      <c r="AV1092" s="59"/>
      <c r="AW1092" s="60" t="str">
        <f t="shared" ref="AW1092:AW1155" si="517">IF(P1092=1,0,"")</f>
        <v/>
      </c>
      <c r="AX1092" s="61" t="str">
        <f t="shared" ref="AX1092:AX1155" si="518">IF(AW1092=1,AD1092,"")</f>
        <v/>
      </c>
      <c r="AY1092" s="60" t="str">
        <f t="shared" ref="AY1092:AY1155" si="519">IF(P1092=1,0,"")</f>
        <v/>
      </c>
      <c r="AZ1092" s="61" t="str">
        <f t="shared" ref="AZ1092:AZ1155" si="520">IF(AY1092=1,AD1092,"")</f>
        <v/>
      </c>
    </row>
    <row r="1093" spans="1:52" s="3" customFormat="1" hidden="1" x14ac:dyDescent="0.35">
      <c r="A1093" s="72">
        <f t="shared" ref="A1093:A1156" si="521">A1092</f>
        <v>2021</v>
      </c>
      <c r="B1093" s="72" t="str">
        <f t="shared" ref="B1093:B1156" si="522">IF(C1092-C1093&gt;0, TEXT(DATE(2016,(MONTH(DATEVALUE(B1092&amp;"1"))+1),1),"mmm"), B1092)</f>
        <v>Nov</v>
      </c>
      <c r="C1093" s="73">
        <f t="shared" si="510"/>
        <v>15</v>
      </c>
      <c r="D1093" s="74">
        <f t="shared" ref="D1093:D1156" si="523">IF(IF(E1092=59,D1092+1,D1092)=24,0,IF(E1092=59,D1092+1,D1092))</f>
        <v>10</v>
      </c>
      <c r="E1093" s="75">
        <f t="shared" ref="E1093:E1156" si="524">IF(E1092&lt;59,E1092+1,0)</f>
        <v>9</v>
      </c>
      <c r="F1093" s="79"/>
      <c r="G1093" s="82"/>
      <c r="H1093" s="68" t="str">
        <f t="shared" si="511"/>
        <v>Clesim6_20211115_10_00</v>
      </c>
      <c r="I1093" s="69">
        <f t="shared" si="515"/>
        <v>1</v>
      </c>
      <c r="J1093" s="76" t="str">
        <f t="shared" si="515"/>
        <v>Clematis</v>
      </c>
      <c r="K1093" s="76" t="str">
        <f t="shared" si="515"/>
        <v>simense</v>
      </c>
      <c r="L1093" s="77">
        <f t="shared" si="515"/>
        <v>6</v>
      </c>
      <c r="M1093" s="77">
        <f t="shared" si="515"/>
        <v>20</v>
      </c>
      <c r="N1093" s="71">
        <f t="shared" si="515"/>
        <v>0</v>
      </c>
      <c r="O1093" s="44"/>
      <c r="P1093" s="45" t="str">
        <f t="shared" ref="P1093:P1156" si="525">IF(F1093="","",1)</f>
        <v/>
      </c>
      <c r="Q1093" s="46" t="str">
        <f t="shared" ref="Q1093:Q1156" si="526">TEXT(IF(P1093=1,CONCATENATE($D1093,":",$E1093,":",(LEFT($F1093,2))),""),"hh:mm:ss")</f>
        <v/>
      </c>
      <c r="R1093" s="47" t="e">
        <f t="shared" ref="R1093:R1156" si="527">TEXT(Q1093-TIME(0,RIGHT($H1093,2),$G$9)+(Q1093&gt;TIME(0,RIGHT($H1093,2),$G$9)),"mm:ss")</f>
        <v>#VALUE!</v>
      </c>
      <c r="S1093" s="48" t="e">
        <f t="shared" si="516"/>
        <v>#VALUE!</v>
      </c>
      <c r="T1093" s="47" t="str">
        <f t="shared" ref="T1093:T1156" si="528">TEXT(IF(P1093=1,D1093,""),"00")</f>
        <v/>
      </c>
      <c r="U1093" s="49"/>
      <c r="V1093" s="50"/>
      <c r="W1093" s="51" t="e">
        <f t="shared" ref="W1093:W1156" si="529">IF(O1093=0,TEXT(TIME(T1093,U1093,V1093)-TIME(D1093,E1093,RIGHT(F1093,2))+TIME(0,LEFT(R1093,2),RIGHT(R1093,2)),"mm:ss"),TEXT(TIME(T1093,U1093,V1093)-TIME(D1093,E1093,RIGHT(F1093,2))+TIME(0,LEFT(R1093,2),RIGHT(R1093,2))-TIME(0,($G$10*O1093),0),"mm:ss"))</f>
        <v>#VALUE!</v>
      </c>
      <c r="X1093" s="52"/>
      <c r="Y1093" s="52"/>
      <c r="Z1093" s="52"/>
      <c r="AA1093" s="47" t="e">
        <f>INDEX(VISITORS[INSECT ORDER], MATCH(X1093,VISITORS[NAME USED],0))</f>
        <v>#N/A</v>
      </c>
      <c r="AB1093" s="47" t="e">
        <f t="shared" ref="AB1093:AB1156" si="530">IF(AA1093&lt;&gt;0,"NA","")</f>
        <v>#N/A</v>
      </c>
      <c r="AC1093" s="53" t="e">
        <f t="shared" ref="AC1093:AC1156" si="531">IF(SUM(AH1093,AJ1093,AL1093,AN1093,AP1093,AR1093)=S1093,,"")</f>
        <v>#VALUE!</v>
      </c>
      <c r="AD1093" s="54" t="str">
        <f t="shared" ref="AD1093:AD1156" si="532">IF(P1093=1,1,"")</f>
        <v/>
      </c>
      <c r="AE1093" s="54"/>
      <c r="AF1093" s="54"/>
      <c r="AG1093" s="55" t="str">
        <f t="shared" ref="AG1093:AG1156" si="533">IF(OR(X1093="Something small"),1,"")</f>
        <v/>
      </c>
      <c r="AH1093" s="56" t="str">
        <f t="shared" ref="AH1093:AH1156" si="534">IF(AG1093=1,$S1093,"")</f>
        <v/>
      </c>
      <c r="AI1093" s="55"/>
      <c r="AJ1093" s="56" t="str">
        <f t="shared" ref="AJ1093:AJ1156" si="535">IF(AI1093=1,$S1093,"")</f>
        <v/>
      </c>
      <c r="AK1093" s="55"/>
      <c r="AL1093" s="56" t="str">
        <f t="shared" ref="AL1093:AL1156" si="536">IF(AK1093=1,$S1093,"")</f>
        <v/>
      </c>
      <c r="AM1093" s="55"/>
      <c r="AN1093" s="56" t="str">
        <f t="shared" ref="AN1093:AN1156" si="537">IF(AM1093=1,$S1093,"")</f>
        <v/>
      </c>
      <c r="AO1093" s="55"/>
      <c r="AP1093" s="56" t="str">
        <f t="shared" ref="AP1093:AP1156" si="538">IF(AO1093=1,$S1093,"")</f>
        <v/>
      </c>
      <c r="AQ1093" s="55"/>
      <c r="AR1093" s="56" t="str">
        <f t="shared" ref="AR1093:AR1156" si="539">IF(AQ1093=1,$S1093,"")</f>
        <v/>
      </c>
      <c r="AS1093" s="57"/>
      <c r="AT1093" s="58"/>
      <c r="AU1093" s="58"/>
      <c r="AV1093" s="59"/>
      <c r="AW1093" s="60" t="str">
        <f t="shared" si="517"/>
        <v/>
      </c>
      <c r="AX1093" s="61" t="str">
        <f t="shared" si="518"/>
        <v/>
      </c>
      <c r="AY1093" s="60" t="str">
        <f t="shared" si="519"/>
        <v/>
      </c>
      <c r="AZ1093" s="61" t="str">
        <f t="shared" si="520"/>
        <v/>
      </c>
    </row>
    <row r="1094" spans="1:52" s="3" customFormat="1" hidden="1" x14ac:dyDescent="0.35">
      <c r="A1094" s="72">
        <f t="shared" si="521"/>
        <v>2021</v>
      </c>
      <c r="B1094" s="72" t="str">
        <f t="shared" si="522"/>
        <v>Nov</v>
      </c>
      <c r="C1094" s="73">
        <f t="shared" ref="C1094:C1157" si="540">IF(AND(D1094=0, E1094=0), IF(TEXT(C1093,"dd")=TEXT(EOMONTH(DATE(A1093,MONTH(DATEVALUE(B1093&amp;"1")),C1093),0), "dd"), 1, C1093+1), C1093)</f>
        <v>15</v>
      </c>
      <c r="D1094" s="74">
        <f t="shared" si="523"/>
        <v>10</v>
      </c>
      <c r="E1094" s="75">
        <f t="shared" si="524"/>
        <v>10</v>
      </c>
      <c r="F1094" s="79"/>
      <c r="G1094" s="82"/>
      <c r="H1094" s="68" t="str">
        <f t="shared" ref="H1094:H1157" si="541">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Clesim6_20211115_10_00</v>
      </c>
      <c r="I1094" s="69">
        <f t="shared" ref="I1094:N1109" si="542">I1093</f>
        <v>1</v>
      </c>
      <c r="J1094" s="76" t="str">
        <f t="shared" si="542"/>
        <v>Clematis</v>
      </c>
      <c r="K1094" s="76" t="str">
        <f t="shared" si="542"/>
        <v>simense</v>
      </c>
      <c r="L1094" s="77">
        <f t="shared" si="542"/>
        <v>6</v>
      </c>
      <c r="M1094" s="77">
        <f t="shared" si="542"/>
        <v>20</v>
      </c>
      <c r="N1094" s="71">
        <f t="shared" si="542"/>
        <v>0</v>
      </c>
      <c r="O1094" s="44"/>
      <c r="P1094" s="45" t="str">
        <f t="shared" si="525"/>
        <v/>
      </c>
      <c r="Q1094" s="46" t="str">
        <f t="shared" si="526"/>
        <v/>
      </c>
      <c r="R1094" s="47" t="e">
        <f t="shared" si="527"/>
        <v>#VALUE!</v>
      </c>
      <c r="S1094" s="48" t="e">
        <f t="shared" si="516"/>
        <v>#VALUE!</v>
      </c>
      <c r="T1094" s="47" t="str">
        <f t="shared" si="528"/>
        <v/>
      </c>
      <c r="U1094" s="49"/>
      <c r="V1094" s="50"/>
      <c r="W1094" s="51" t="e">
        <f t="shared" si="529"/>
        <v>#VALUE!</v>
      </c>
      <c r="X1094" s="52"/>
      <c r="Y1094" s="52"/>
      <c r="Z1094" s="52"/>
      <c r="AA1094" s="47" t="e">
        <f>INDEX(VISITORS[INSECT ORDER], MATCH(X1094,VISITORS[NAME USED],0))</f>
        <v>#N/A</v>
      </c>
      <c r="AB1094" s="47" t="e">
        <f t="shared" si="530"/>
        <v>#N/A</v>
      </c>
      <c r="AC1094" s="53" t="e">
        <f t="shared" si="531"/>
        <v>#VALUE!</v>
      </c>
      <c r="AD1094" s="54" t="str">
        <f t="shared" si="532"/>
        <v/>
      </c>
      <c r="AE1094" s="54"/>
      <c r="AF1094" s="54"/>
      <c r="AG1094" s="55" t="str">
        <f t="shared" si="533"/>
        <v/>
      </c>
      <c r="AH1094" s="56" t="str">
        <f t="shared" si="534"/>
        <v/>
      </c>
      <c r="AI1094" s="55"/>
      <c r="AJ1094" s="56" t="str">
        <f t="shared" si="535"/>
        <v/>
      </c>
      <c r="AK1094" s="55"/>
      <c r="AL1094" s="56" t="str">
        <f t="shared" si="536"/>
        <v/>
      </c>
      <c r="AM1094" s="55"/>
      <c r="AN1094" s="56" t="str">
        <f t="shared" si="537"/>
        <v/>
      </c>
      <c r="AO1094" s="55"/>
      <c r="AP1094" s="56" t="str">
        <f t="shared" si="538"/>
        <v/>
      </c>
      <c r="AQ1094" s="55"/>
      <c r="AR1094" s="56" t="str">
        <f t="shared" si="539"/>
        <v/>
      </c>
      <c r="AS1094" s="57"/>
      <c r="AT1094" s="58"/>
      <c r="AU1094" s="58"/>
      <c r="AV1094" s="59"/>
      <c r="AW1094" s="60" t="str">
        <f t="shared" si="517"/>
        <v/>
      </c>
      <c r="AX1094" s="61" t="str">
        <f t="shared" si="518"/>
        <v/>
      </c>
      <c r="AY1094" s="60" t="str">
        <f t="shared" si="519"/>
        <v/>
      </c>
      <c r="AZ1094" s="61" t="str">
        <f t="shared" si="520"/>
        <v/>
      </c>
    </row>
    <row r="1095" spans="1:52" s="3" customFormat="1" hidden="1" x14ac:dyDescent="0.35">
      <c r="A1095" s="72">
        <f t="shared" si="521"/>
        <v>2021</v>
      </c>
      <c r="B1095" s="72" t="str">
        <f t="shared" si="522"/>
        <v>Nov</v>
      </c>
      <c r="C1095" s="73">
        <f t="shared" si="540"/>
        <v>15</v>
      </c>
      <c r="D1095" s="74">
        <f t="shared" si="523"/>
        <v>10</v>
      </c>
      <c r="E1095" s="75">
        <f t="shared" si="524"/>
        <v>11</v>
      </c>
      <c r="F1095" s="79"/>
      <c r="G1095" s="82"/>
      <c r="H1095" s="68" t="str">
        <f t="shared" si="541"/>
        <v>Clesim6_20211115_10_00</v>
      </c>
      <c r="I1095" s="69">
        <f t="shared" si="542"/>
        <v>1</v>
      </c>
      <c r="J1095" s="76" t="str">
        <f t="shared" si="542"/>
        <v>Clematis</v>
      </c>
      <c r="K1095" s="76" t="str">
        <f t="shared" si="542"/>
        <v>simense</v>
      </c>
      <c r="L1095" s="77">
        <f t="shared" si="542"/>
        <v>6</v>
      </c>
      <c r="M1095" s="77">
        <f t="shared" si="542"/>
        <v>20</v>
      </c>
      <c r="N1095" s="71">
        <f t="shared" si="542"/>
        <v>0</v>
      </c>
      <c r="O1095" s="44"/>
      <c r="P1095" s="45" t="str">
        <f t="shared" si="525"/>
        <v/>
      </c>
      <c r="Q1095" s="46" t="str">
        <f t="shared" si="526"/>
        <v/>
      </c>
      <c r="R1095" s="47" t="e">
        <f t="shared" si="527"/>
        <v>#VALUE!</v>
      </c>
      <c r="S1095" s="48" t="e">
        <f t="shared" si="516"/>
        <v>#VALUE!</v>
      </c>
      <c r="T1095" s="47" t="str">
        <f t="shared" si="528"/>
        <v/>
      </c>
      <c r="U1095" s="49"/>
      <c r="V1095" s="50"/>
      <c r="W1095" s="51" t="e">
        <f t="shared" si="529"/>
        <v>#VALUE!</v>
      </c>
      <c r="X1095" s="52"/>
      <c r="Y1095" s="52"/>
      <c r="Z1095" s="52"/>
      <c r="AA1095" s="47" t="e">
        <f>INDEX(VISITORS[INSECT ORDER], MATCH(X1095,VISITORS[NAME USED],0))</f>
        <v>#N/A</v>
      </c>
      <c r="AB1095" s="47" t="e">
        <f t="shared" si="530"/>
        <v>#N/A</v>
      </c>
      <c r="AC1095" s="53" t="e">
        <f t="shared" si="531"/>
        <v>#VALUE!</v>
      </c>
      <c r="AD1095" s="54" t="str">
        <f t="shared" si="532"/>
        <v/>
      </c>
      <c r="AE1095" s="54"/>
      <c r="AF1095" s="54"/>
      <c r="AG1095" s="55" t="str">
        <f t="shared" si="533"/>
        <v/>
      </c>
      <c r="AH1095" s="56" t="str">
        <f t="shared" si="534"/>
        <v/>
      </c>
      <c r="AI1095" s="55"/>
      <c r="AJ1095" s="56" t="str">
        <f t="shared" si="535"/>
        <v/>
      </c>
      <c r="AK1095" s="55"/>
      <c r="AL1095" s="56" t="str">
        <f t="shared" si="536"/>
        <v/>
      </c>
      <c r="AM1095" s="55"/>
      <c r="AN1095" s="56" t="str">
        <f t="shared" si="537"/>
        <v/>
      </c>
      <c r="AO1095" s="55"/>
      <c r="AP1095" s="56" t="str">
        <f t="shared" si="538"/>
        <v/>
      </c>
      <c r="AQ1095" s="55"/>
      <c r="AR1095" s="56" t="str">
        <f t="shared" si="539"/>
        <v/>
      </c>
      <c r="AS1095" s="57"/>
      <c r="AT1095" s="58"/>
      <c r="AU1095" s="58"/>
      <c r="AV1095" s="59"/>
      <c r="AW1095" s="60" t="str">
        <f t="shared" si="517"/>
        <v/>
      </c>
      <c r="AX1095" s="61" t="str">
        <f t="shared" si="518"/>
        <v/>
      </c>
      <c r="AY1095" s="60" t="str">
        <f t="shared" si="519"/>
        <v/>
      </c>
      <c r="AZ1095" s="61" t="str">
        <f t="shared" si="520"/>
        <v/>
      </c>
    </row>
    <row r="1096" spans="1:52" s="3" customFormat="1" hidden="1" x14ac:dyDescent="0.35">
      <c r="A1096" s="72">
        <f t="shared" si="521"/>
        <v>2021</v>
      </c>
      <c r="B1096" s="72" t="str">
        <f t="shared" si="522"/>
        <v>Nov</v>
      </c>
      <c r="C1096" s="73">
        <f t="shared" si="540"/>
        <v>15</v>
      </c>
      <c r="D1096" s="74">
        <f t="shared" si="523"/>
        <v>10</v>
      </c>
      <c r="E1096" s="75">
        <f t="shared" si="524"/>
        <v>12</v>
      </c>
      <c r="F1096" s="79"/>
      <c r="G1096" s="82"/>
      <c r="H1096" s="68" t="str">
        <f t="shared" si="541"/>
        <v>Clesim6_20211115_10_00</v>
      </c>
      <c r="I1096" s="69">
        <f t="shared" si="542"/>
        <v>1</v>
      </c>
      <c r="J1096" s="76" t="str">
        <f t="shared" si="542"/>
        <v>Clematis</v>
      </c>
      <c r="K1096" s="76" t="str">
        <f t="shared" si="542"/>
        <v>simense</v>
      </c>
      <c r="L1096" s="77">
        <f t="shared" si="542"/>
        <v>6</v>
      </c>
      <c r="M1096" s="77">
        <f t="shared" si="542"/>
        <v>20</v>
      </c>
      <c r="N1096" s="71">
        <f t="shared" si="542"/>
        <v>0</v>
      </c>
      <c r="O1096" s="44"/>
      <c r="P1096" s="45" t="str">
        <f t="shared" si="525"/>
        <v/>
      </c>
      <c r="Q1096" s="46" t="str">
        <f t="shared" si="526"/>
        <v/>
      </c>
      <c r="R1096" s="47" t="e">
        <f t="shared" si="527"/>
        <v>#VALUE!</v>
      </c>
      <c r="S1096" s="48" t="e">
        <f t="shared" si="516"/>
        <v>#VALUE!</v>
      </c>
      <c r="T1096" s="47" t="str">
        <f t="shared" si="528"/>
        <v/>
      </c>
      <c r="U1096" s="49"/>
      <c r="V1096" s="50"/>
      <c r="W1096" s="51" t="e">
        <f t="shared" si="529"/>
        <v>#VALUE!</v>
      </c>
      <c r="X1096" s="52"/>
      <c r="Y1096" s="52"/>
      <c r="Z1096" s="52"/>
      <c r="AA1096" s="47" t="e">
        <f>INDEX(VISITORS[INSECT ORDER], MATCH(X1096,VISITORS[NAME USED],0))</f>
        <v>#N/A</v>
      </c>
      <c r="AB1096" s="47" t="e">
        <f t="shared" si="530"/>
        <v>#N/A</v>
      </c>
      <c r="AC1096" s="53" t="e">
        <f t="shared" si="531"/>
        <v>#VALUE!</v>
      </c>
      <c r="AD1096" s="54" t="str">
        <f t="shared" si="532"/>
        <v/>
      </c>
      <c r="AE1096" s="54"/>
      <c r="AF1096" s="54"/>
      <c r="AG1096" s="55" t="str">
        <f t="shared" si="533"/>
        <v/>
      </c>
      <c r="AH1096" s="56" t="str">
        <f t="shared" si="534"/>
        <v/>
      </c>
      <c r="AI1096" s="55"/>
      <c r="AJ1096" s="56" t="str">
        <f t="shared" si="535"/>
        <v/>
      </c>
      <c r="AK1096" s="55"/>
      <c r="AL1096" s="56" t="str">
        <f t="shared" si="536"/>
        <v/>
      </c>
      <c r="AM1096" s="55"/>
      <c r="AN1096" s="56" t="str">
        <f t="shared" si="537"/>
        <v/>
      </c>
      <c r="AO1096" s="55"/>
      <c r="AP1096" s="56" t="str">
        <f t="shared" si="538"/>
        <v/>
      </c>
      <c r="AQ1096" s="55"/>
      <c r="AR1096" s="56" t="str">
        <f t="shared" si="539"/>
        <v/>
      </c>
      <c r="AS1096" s="57"/>
      <c r="AT1096" s="58"/>
      <c r="AU1096" s="58"/>
      <c r="AV1096" s="59"/>
      <c r="AW1096" s="60" t="str">
        <f t="shared" si="517"/>
        <v/>
      </c>
      <c r="AX1096" s="61" t="str">
        <f t="shared" si="518"/>
        <v/>
      </c>
      <c r="AY1096" s="60" t="str">
        <f t="shared" si="519"/>
        <v/>
      </c>
      <c r="AZ1096" s="61" t="str">
        <f t="shared" si="520"/>
        <v/>
      </c>
    </row>
    <row r="1097" spans="1:52" s="3" customFormat="1" hidden="1" x14ac:dyDescent="0.35">
      <c r="A1097" s="72">
        <f t="shared" si="521"/>
        <v>2021</v>
      </c>
      <c r="B1097" s="72" t="str">
        <f t="shared" si="522"/>
        <v>Nov</v>
      </c>
      <c r="C1097" s="73">
        <f t="shared" si="540"/>
        <v>15</v>
      </c>
      <c r="D1097" s="74">
        <f t="shared" si="523"/>
        <v>10</v>
      </c>
      <c r="E1097" s="75">
        <f t="shared" si="524"/>
        <v>13</v>
      </c>
      <c r="F1097" s="79"/>
      <c r="G1097" s="82"/>
      <c r="H1097" s="68" t="str">
        <f t="shared" si="541"/>
        <v>Clesim6_20211115_10_00</v>
      </c>
      <c r="I1097" s="69">
        <f t="shared" si="542"/>
        <v>1</v>
      </c>
      <c r="J1097" s="76" t="str">
        <f t="shared" si="542"/>
        <v>Clematis</v>
      </c>
      <c r="K1097" s="76" t="str">
        <f t="shared" si="542"/>
        <v>simense</v>
      </c>
      <c r="L1097" s="77">
        <f t="shared" si="542"/>
        <v>6</v>
      </c>
      <c r="M1097" s="77">
        <f t="shared" si="542"/>
        <v>20</v>
      </c>
      <c r="N1097" s="71">
        <f t="shared" si="542"/>
        <v>0</v>
      </c>
      <c r="O1097" s="44"/>
      <c r="P1097" s="45" t="str">
        <f t="shared" si="525"/>
        <v/>
      </c>
      <c r="Q1097" s="46" t="str">
        <f t="shared" si="526"/>
        <v/>
      </c>
      <c r="R1097" s="47" t="e">
        <f t="shared" si="527"/>
        <v>#VALUE!</v>
      </c>
      <c r="S1097" s="48" t="e">
        <f t="shared" si="516"/>
        <v>#VALUE!</v>
      </c>
      <c r="T1097" s="47" t="str">
        <f t="shared" si="528"/>
        <v/>
      </c>
      <c r="U1097" s="49"/>
      <c r="V1097" s="50"/>
      <c r="W1097" s="51" t="e">
        <f t="shared" si="529"/>
        <v>#VALUE!</v>
      </c>
      <c r="X1097" s="52"/>
      <c r="Y1097" s="52"/>
      <c r="Z1097" s="52"/>
      <c r="AA1097" s="47" t="e">
        <f>INDEX(VISITORS[INSECT ORDER], MATCH(X1097,VISITORS[NAME USED],0))</f>
        <v>#N/A</v>
      </c>
      <c r="AB1097" s="47" t="e">
        <f t="shared" si="530"/>
        <v>#N/A</v>
      </c>
      <c r="AC1097" s="53" t="e">
        <f t="shared" si="531"/>
        <v>#VALUE!</v>
      </c>
      <c r="AD1097" s="54" t="str">
        <f t="shared" si="532"/>
        <v/>
      </c>
      <c r="AE1097" s="54"/>
      <c r="AF1097" s="54"/>
      <c r="AG1097" s="55" t="str">
        <f t="shared" si="533"/>
        <v/>
      </c>
      <c r="AH1097" s="56" t="str">
        <f t="shared" si="534"/>
        <v/>
      </c>
      <c r="AI1097" s="55"/>
      <c r="AJ1097" s="56" t="str">
        <f t="shared" si="535"/>
        <v/>
      </c>
      <c r="AK1097" s="55"/>
      <c r="AL1097" s="56" t="str">
        <f t="shared" si="536"/>
        <v/>
      </c>
      <c r="AM1097" s="55"/>
      <c r="AN1097" s="56" t="str">
        <f t="shared" si="537"/>
        <v/>
      </c>
      <c r="AO1097" s="55"/>
      <c r="AP1097" s="56" t="str">
        <f t="shared" si="538"/>
        <v/>
      </c>
      <c r="AQ1097" s="55"/>
      <c r="AR1097" s="56" t="str">
        <f t="shared" si="539"/>
        <v/>
      </c>
      <c r="AS1097" s="57"/>
      <c r="AT1097" s="58"/>
      <c r="AU1097" s="58"/>
      <c r="AV1097" s="59"/>
      <c r="AW1097" s="60" t="str">
        <f t="shared" si="517"/>
        <v/>
      </c>
      <c r="AX1097" s="61" t="str">
        <f t="shared" si="518"/>
        <v/>
      </c>
      <c r="AY1097" s="60" t="str">
        <f t="shared" si="519"/>
        <v/>
      </c>
      <c r="AZ1097" s="61" t="str">
        <f t="shared" si="520"/>
        <v/>
      </c>
    </row>
    <row r="1098" spans="1:52" s="3" customFormat="1" hidden="1" x14ac:dyDescent="0.35">
      <c r="A1098" s="72">
        <f t="shared" si="521"/>
        <v>2021</v>
      </c>
      <c r="B1098" s="72" t="str">
        <f t="shared" si="522"/>
        <v>Nov</v>
      </c>
      <c r="C1098" s="73">
        <f t="shared" si="540"/>
        <v>15</v>
      </c>
      <c r="D1098" s="74">
        <f t="shared" si="523"/>
        <v>10</v>
      </c>
      <c r="E1098" s="75">
        <f t="shared" si="524"/>
        <v>14</v>
      </c>
      <c r="F1098" s="79"/>
      <c r="G1098" s="82"/>
      <c r="H1098" s="68" t="str">
        <f t="shared" si="541"/>
        <v>Clesim6_20211115_10_00</v>
      </c>
      <c r="I1098" s="69">
        <f t="shared" si="542"/>
        <v>1</v>
      </c>
      <c r="J1098" s="76" t="str">
        <f t="shared" si="542"/>
        <v>Clematis</v>
      </c>
      <c r="K1098" s="76" t="str">
        <f t="shared" si="542"/>
        <v>simense</v>
      </c>
      <c r="L1098" s="77">
        <f t="shared" si="542"/>
        <v>6</v>
      </c>
      <c r="M1098" s="77">
        <f t="shared" si="542"/>
        <v>20</v>
      </c>
      <c r="N1098" s="71">
        <f t="shared" si="542"/>
        <v>0</v>
      </c>
      <c r="O1098" s="44"/>
      <c r="P1098" s="45" t="str">
        <f t="shared" si="525"/>
        <v/>
      </c>
      <c r="Q1098" s="46" t="str">
        <f t="shared" si="526"/>
        <v/>
      </c>
      <c r="R1098" s="47" t="e">
        <f t="shared" si="527"/>
        <v>#VALUE!</v>
      </c>
      <c r="S1098" s="48" t="e">
        <f t="shared" si="516"/>
        <v>#VALUE!</v>
      </c>
      <c r="T1098" s="47" t="str">
        <f t="shared" si="528"/>
        <v/>
      </c>
      <c r="U1098" s="49"/>
      <c r="V1098" s="50"/>
      <c r="W1098" s="51" t="e">
        <f t="shared" si="529"/>
        <v>#VALUE!</v>
      </c>
      <c r="X1098" s="52"/>
      <c r="Y1098" s="52"/>
      <c r="Z1098" s="52"/>
      <c r="AA1098" s="47" t="e">
        <f>INDEX(VISITORS[INSECT ORDER], MATCH(X1098,VISITORS[NAME USED],0))</f>
        <v>#N/A</v>
      </c>
      <c r="AB1098" s="47" t="e">
        <f t="shared" si="530"/>
        <v>#N/A</v>
      </c>
      <c r="AC1098" s="53" t="e">
        <f t="shared" si="531"/>
        <v>#VALUE!</v>
      </c>
      <c r="AD1098" s="54" t="str">
        <f t="shared" si="532"/>
        <v/>
      </c>
      <c r="AE1098" s="54"/>
      <c r="AF1098" s="54"/>
      <c r="AG1098" s="55" t="str">
        <f t="shared" si="533"/>
        <v/>
      </c>
      <c r="AH1098" s="56" t="str">
        <f t="shared" si="534"/>
        <v/>
      </c>
      <c r="AI1098" s="55"/>
      <c r="AJ1098" s="56" t="str">
        <f t="shared" si="535"/>
        <v/>
      </c>
      <c r="AK1098" s="55"/>
      <c r="AL1098" s="56" t="str">
        <f t="shared" si="536"/>
        <v/>
      </c>
      <c r="AM1098" s="55"/>
      <c r="AN1098" s="56" t="str">
        <f t="shared" si="537"/>
        <v/>
      </c>
      <c r="AO1098" s="55"/>
      <c r="AP1098" s="56" t="str">
        <f t="shared" si="538"/>
        <v/>
      </c>
      <c r="AQ1098" s="55"/>
      <c r="AR1098" s="56" t="str">
        <f t="shared" si="539"/>
        <v/>
      </c>
      <c r="AS1098" s="57"/>
      <c r="AT1098" s="58"/>
      <c r="AU1098" s="58"/>
      <c r="AV1098" s="59"/>
      <c r="AW1098" s="60" t="str">
        <f t="shared" si="517"/>
        <v/>
      </c>
      <c r="AX1098" s="61" t="str">
        <f t="shared" si="518"/>
        <v/>
      </c>
      <c r="AY1098" s="60" t="str">
        <f t="shared" si="519"/>
        <v/>
      </c>
      <c r="AZ1098" s="61" t="str">
        <f t="shared" si="520"/>
        <v/>
      </c>
    </row>
    <row r="1099" spans="1:52" s="3" customFormat="1" hidden="1" x14ac:dyDescent="0.35">
      <c r="A1099" s="72">
        <f t="shared" si="521"/>
        <v>2021</v>
      </c>
      <c r="B1099" s="72" t="str">
        <f t="shared" si="522"/>
        <v>Nov</v>
      </c>
      <c r="C1099" s="73">
        <f t="shared" si="540"/>
        <v>15</v>
      </c>
      <c r="D1099" s="74">
        <f t="shared" si="523"/>
        <v>10</v>
      </c>
      <c r="E1099" s="75">
        <f t="shared" si="524"/>
        <v>15</v>
      </c>
      <c r="F1099" s="79"/>
      <c r="G1099" s="82"/>
      <c r="H1099" s="68" t="str">
        <f t="shared" si="541"/>
        <v>Clesim6_20211115_10_00</v>
      </c>
      <c r="I1099" s="69">
        <f t="shared" si="542"/>
        <v>1</v>
      </c>
      <c r="J1099" s="76" t="str">
        <f t="shared" si="542"/>
        <v>Clematis</v>
      </c>
      <c r="K1099" s="76" t="str">
        <f t="shared" si="542"/>
        <v>simense</v>
      </c>
      <c r="L1099" s="77">
        <f t="shared" si="542"/>
        <v>6</v>
      </c>
      <c r="M1099" s="77">
        <f t="shared" si="542"/>
        <v>20</v>
      </c>
      <c r="N1099" s="71">
        <f t="shared" si="542"/>
        <v>0</v>
      </c>
      <c r="O1099" s="44"/>
      <c r="P1099" s="45" t="str">
        <f t="shared" si="525"/>
        <v/>
      </c>
      <c r="Q1099" s="46" t="str">
        <f t="shared" si="526"/>
        <v/>
      </c>
      <c r="R1099" s="47" t="e">
        <f t="shared" si="527"/>
        <v>#VALUE!</v>
      </c>
      <c r="S1099" s="48" t="e">
        <f t="shared" si="516"/>
        <v>#VALUE!</v>
      </c>
      <c r="T1099" s="47" t="str">
        <f t="shared" si="528"/>
        <v/>
      </c>
      <c r="U1099" s="49"/>
      <c r="V1099" s="50"/>
      <c r="W1099" s="51" t="e">
        <f t="shared" si="529"/>
        <v>#VALUE!</v>
      </c>
      <c r="X1099" s="52"/>
      <c r="Y1099" s="52"/>
      <c r="Z1099" s="52"/>
      <c r="AA1099" s="47" t="e">
        <f>INDEX(VISITORS[INSECT ORDER], MATCH(X1099,VISITORS[NAME USED],0))</f>
        <v>#N/A</v>
      </c>
      <c r="AB1099" s="47" t="e">
        <f t="shared" si="530"/>
        <v>#N/A</v>
      </c>
      <c r="AC1099" s="53" t="e">
        <f t="shared" si="531"/>
        <v>#VALUE!</v>
      </c>
      <c r="AD1099" s="54" t="str">
        <f t="shared" si="532"/>
        <v/>
      </c>
      <c r="AE1099" s="54"/>
      <c r="AF1099" s="54"/>
      <c r="AG1099" s="55" t="str">
        <f t="shared" si="533"/>
        <v/>
      </c>
      <c r="AH1099" s="56" t="str">
        <f t="shared" si="534"/>
        <v/>
      </c>
      <c r="AI1099" s="55"/>
      <c r="AJ1099" s="56" t="str">
        <f t="shared" si="535"/>
        <v/>
      </c>
      <c r="AK1099" s="55"/>
      <c r="AL1099" s="56" t="str">
        <f t="shared" si="536"/>
        <v/>
      </c>
      <c r="AM1099" s="55"/>
      <c r="AN1099" s="56" t="str">
        <f t="shared" si="537"/>
        <v/>
      </c>
      <c r="AO1099" s="55"/>
      <c r="AP1099" s="56" t="str">
        <f t="shared" si="538"/>
        <v/>
      </c>
      <c r="AQ1099" s="55"/>
      <c r="AR1099" s="56" t="str">
        <f t="shared" si="539"/>
        <v/>
      </c>
      <c r="AS1099" s="57"/>
      <c r="AT1099" s="58"/>
      <c r="AU1099" s="58"/>
      <c r="AV1099" s="59"/>
      <c r="AW1099" s="60" t="str">
        <f t="shared" si="517"/>
        <v/>
      </c>
      <c r="AX1099" s="61" t="str">
        <f t="shared" si="518"/>
        <v/>
      </c>
      <c r="AY1099" s="60" t="str">
        <f t="shared" si="519"/>
        <v/>
      </c>
      <c r="AZ1099" s="61" t="str">
        <f t="shared" si="520"/>
        <v/>
      </c>
    </row>
    <row r="1100" spans="1:52" s="3" customFormat="1" hidden="1" x14ac:dyDescent="0.35">
      <c r="A1100" s="72">
        <f t="shared" si="521"/>
        <v>2021</v>
      </c>
      <c r="B1100" s="72" t="str">
        <f t="shared" si="522"/>
        <v>Nov</v>
      </c>
      <c r="C1100" s="73">
        <f t="shared" si="540"/>
        <v>15</v>
      </c>
      <c r="D1100" s="74">
        <f t="shared" si="523"/>
        <v>10</v>
      </c>
      <c r="E1100" s="75">
        <f t="shared" si="524"/>
        <v>16</v>
      </c>
      <c r="F1100" s="79"/>
      <c r="G1100" s="82"/>
      <c r="H1100" s="68" t="str">
        <f t="shared" si="541"/>
        <v>Clesim6_20211115_10_00</v>
      </c>
      <c r="I1100" s="69">
        <f t="shared" si="542"/>
        <v>1</v>
      </c>
      <c r="J1100" s="76" t="str">
        <f t="shared" si="542"/>
        <v>Clematis</v>
      </c>
      <c r="K1100" s="76" t="str">
        <f t="shared" si="542"/>
        <v>simense</v>
      </c>
      <c r="L1100" s="77">
        <f t="shared" si="542"/>
        <v>6</v>
      </c>
      <c r="M1100" s="77">
        <f t="shared" si="542"/>
        <v>20</v>
      </c>
      <c r="N1100" s="71">
        <f t="shared" si="542"/>
        <v>0</v>
      </c>
      <c r="O1100" s="44"/>
      <c r="P1100" s="45" t="str">
        <f t="shared" si="525"/>
        <v/>
      </c>
      <c r="Q1100" s="46" t="str">
        <f t="shared" si="526"/>
        <v/>
      </c>
      <c r="R1100" s="47" t="e">
        <f t="shared" si="527"/>
        <v>#VALUE!</v>
      </c>
      <c r="S1100" s="48" t="e">
        <f t="shared" si="516"/>
        <v>#VALUE!</v>
      </c>
      <c r="T1100" s="47" t="str">
        <f t="shared" si="528"/>
        <v/>
      </c>
      <c r="U1100" s="49"/>
      <c r="V1100" s="50"/>
      <c r="W1100" s="51" t="e">
        <f t="shared" si="529"/>
        <v>#VALUE!</v>
      </c>
      <c r="X1100" s="52"/>
      <c r="Y1100" s="52"/>
      <c r="Z1100" s="52"/>
      <c r="AA1100" s="47" t="e">
        <f>INDEX(VISITORS[INSECT ORDER], MATCH(X1100,VISITORS[NAME USED],0))</f>
        <v>#N/A</v>
      </c>
      <c r="AB1100" s="47" t="e">
        <f t="shared" si="530"/>
        <v>#N/A</v>
      </c>
      <c r="AC1100" s="53" t="e">
        <f t="shared" si="531"/>
        <v>#VALUE!</v>
      </c>
      <c r="AD1100" s="54" t="str">
        <f t="shared" si="532"/>
        <v/>
      </c>
      <c r="AE1100" s="54"/>
      <c r="AF1100" s="54"/>
      <c r="AG1100" s="55" t="str">
        <f t="shared" si="533"/>
        <v/>
      </c>
      <c r="AH1100" s="56" t="str">
        <f t="shared" si="534"/>
        <v/>
      </c>
      <c r="AI1100" s="55"/>
      <c r="AJ1100" s="56" t="str">
        <f t="shared" si="535"/>
        <v/>
      </c>
      <c r="AK1100" s="55"/>
      <c r="AL1100" s="56" t="str">
        <f t="shared" si="536"/>
        <v/>
      </c>
      <c r="AM1100" s="55"/>
      <c r="AN1100" s="56" t="str">
        <f t="shared" si="537"/>
        <v/>
      </c>
      <c r="AO1100" s="55"/>
      <c r="AP1100" s="56" t="str">
        <f t="shared" si="538"/>
        <v/>
      </c>
      <c r="AQ1100" s="55"/>
      <c r="AR1100" s="56" t="str">
        <f t="shared" si="539"/>
        <v/>
      </c>
      <c r="AS1100" s="57"/>
      <c r="AT1100" s="58"/>
      <c r="AU1100" s="58"/>
      <c r="AV1100" s="59"/>
      <c r="AW1100" s="60" t="str">
        <f t="shared" si="517"/>
        <v/>
      </c>
      <c r="AX1100" s="61" t="str">
        <f t="shared" si="518"/>
        <v/>
      </c>
      <c r="AY1100" s="60" t="str">
        <f t="shared" si="519"/>
        <v/>
      </c>
      <c r="AZ1100" s="61" t="str">
        <f t="shared" si="520"/>
        <v/>
      </c>
    </row>
    <row r="1101" spans="1:52" s="3" customFormat="1" hidden="1" x14ac:dyDescent="0.35">
      <c r="A1101" s="72">
        <f t="shared" si="521"/>
        <v>2021</v>
      </c>
      <c r="B1101" s="72" t="str">
        <f t="shared" si="522"/>
        <v>Nov</v>
      </c>
      <c r="C1101" s="73">
        <f t="shared" si="540"/>
        <v>15</v>
      </c>
      <c r="D1101" s="74">
        <f t="shared" si="523"/>
        <v>10</v>
      </c>
      <c r="E1101" s="75">
        <f t="shared" si="524"/>
        <v>17</v>
      </c>
      <c r="F1101" s="79"/>
      <c r="G1101" s="82"/>
      <c r="H1101" s="68" t="str">
        <f t="shared" si="541"/>
        <v>Clesim6_20211115_10_00</v>
      </c>
      <c r="I1101" s="69">
        <f t="shared" si="542"/>
        <v>1</v>
      </c>
      <c r="J1101" s="76" t="str">
        <f t="shared" si="542"/>
        <v>Clematis</v>
      </c>
      <c r="K1101" s="76" t="str">
        <f t="shared" si="542"/>
        <v>simense</v>
      </c>
      <c r="L1101" s="77">
        <f t="shared" si="542"/>
        <v>6</v>
      </c>
      <c r="M1101" s="77">
        <f t="shared" si="542"/>
        <v>20</v>
      </c>
      <c r="N1101" s="71">
        <f t="shared" si="542"/>
        <v>0</v>
      </c>
      <c r="O1101" s="44"/>
      <c r="P1101" s="45" t="str">
        <f t="shared" si="525"/>
        <v/>
      </c>
      <c r="Q1101" s="46" t="str">
        <f t="shared" si="526"/>
        <v/>
      </c>
      <c r="R1101" s="47" t="e">
        <f t="shared" si="527"/>
        <v>#VALUE!</v>
      </c>
      <c r="S1101" s="48" t="e">
        <f t="shared" si="516"/>
        <v>#VALUE!</v>
      </c>
      <c r="T1101" s="47" t="str">
        <f t="shared" si="528"/>
        <v/>
      </c>
      <c r="U1101" s="49"/>
      <c r="V1101" s="50"/>
      <c r="W1101" s="51" t="e">
        <f t="shared" si="529"/>
        <v>#VALUE!</v>
      </c>
      <c r="X1101" s="52"/>
      <c r="Y1101" s="52"/>
      <c r="Z1101" s="52"/>
      <c r="AA1101" s="47" t="e">
        <f>INDEX(VISITORS[INSECT ORDER], MATCH(X1101,VISITORS[NAME USED],0))</f>
        <v>#N/A</v>
      </c>
      <c r="AB1101" s="47" t="e">
        <f t="shared" si="530"/>
        <v>#N/A</v>
      </c>
      <c r="AC1101" s="53" t="e">
        <f t="shared" si="531"/>
        <v>#VALUE!</v>
      </c>
      <c r="AD1101" s="54" t="str">
        <f t="shared" si="532"/>
        <v/>
      </c>
      <c r="AE1101" s="54"/>
      <c r="AF1101" s="54"/>
      <c r="AG1101" s="55" t="str">
        <f t="shared" si="533"/>
        <v/>
      </c>
      <c r="AH1101" s="56" t="str">
        <f t="shared" si="534"/>
        <v/>
      </c>
      <c r="AI1101" s="55"/>
      <c r="AJ1101" s="56" t="str">
        <f t="shared" si="535"/>
        <v/>
      </c>
      <c r="AK1101" s="55"/>
      <c r="AL1101" s="56" t="str">
        <f t="shared" si="536"/>
        <v/>
      </c>
      <c r="AM1101" s="55"/>
      <c r="AN1101" s="56" t="str">
        <f t="shared" si="537"/>
        <v/>
      </c>
      <c r="AO1101" s="55"/>
      <c r="AP1101" s="56" t="str">
        <f t="shared" si="538"/>
        <v/>
      </c>
      <c r="AQ1101" s="55"/>
      <c r="AR1101" s="56" t="str">
        <f t="shared" si="539"/>
        <v/>
      </c>
      <c r="AS1101" s="57"/>
      <c r="AT1101" s="58"/>
      <c r="AU1101" s="58"/>
      <c r="AV1101" s="59"/>
      <c r="AW1101" s="60" t="str">
        <f t="shared" si="517"/>
        <v/>
      </c>
      <c r="AX1101" s="61" t="str">
        <f t="shared" si="518"/>
        <v/>
      </c>
      <c r="AY1101" s="60" t="str">
        <f t="shared" si="519"/>
        <v/>
      </c>
      <c r="AZ1101" s="61" t="str">
        <f t="shared" si="520"/>
        <v/>
      </c>
    </row>
    <row r="1102" spans="1:52" s="3" customFormat="1" hidden="1" x14ac:dyDescent="0.35">
      <c r="A1102" s="72">
        <f t="shared" si="521"/>
        <v>2021</v>
      </c>
      <c r="B1102" s="72" t="str">
        <f t="shared" si="522"/>
        <v>Nov</v>
      </c>
      <c r="C1102" s="73">
        <f t="shared" si="540"/>
        <v>15</v>
      </c>
      <c r="D1102" s="74">
        <f t="shared" si="523"/>
        <v>10</v>
      </c>
      <c r="E1102" s="75">
        <f t="shared" si="524"/>
        <v>18</v>
      </c>
      <c r="F1102" s="79"/>
      <c r="G1102" s="82"/>
      <c r="H1102" s="68" t="str">
        <f t="shared" si="541"/>
        <v>Clesim6_20211115_10_00</v>
      </c>
      <c r="I1102" s="69">
        <f t="shared" si="542"/>
        <v>1</v>
      </c>
      <c r="J1102" s="76" t="str">
        <f t="shared" si="542"/>
        <v>Clematis</v>
      </c>
      <c r="K1102" s="76" t="str">
        <f t="shared" si="542"/>
        <v>simense</v>
      </c>
      <c r="L1102" s="77">
        <f t="shared" si="542"/>
        <v>6</v>
      </c>
      <c r="M1102" s="77">
        <f t="shared" si="542"/>
        <v>20</v>
      </c>
      <c r="N1102" s="71">
        <f t="shared" si="542"/>
        <v>0</v>
      </c>
      <c r="O1102" s="44"/>
      <c r="P1102" s="45" t="str">
        <f t="shared" si="525"/>
        <v/>
      </c>
      <c r="Q1102" s="46" t="str">
        <f t="shared" si="526"/>
        <v/>
      </c>
      <c r="R1102" s="47" t="e">
        <f t="shared" si="527"/>
        <v>#VALUE!</v>
      </c>
      <c r="S1102" s="48" t="e">
        <f t="shared" si="516"/>
        <v>#VALUE!</v>
      </c>
      <c r="T1102" s="47" t="str">
        <f t="shared" si="528"/>
        <v/>
      </c>
      <c r="U1102" s="49"/>
      <c r="V1102" s="50"/>
      <c r="W1102" s="51" t="e">
        <f t="shared" si="529"/>
        <v>#VALUE!</v>
      </c>
      <c r="X1102" s="52"/>
      <c r="Y1102" s="52"/>
      <c r="Z1102" s="52"/>
      <c r="AA1102" s="47" t="e">
        <f>INDEX(VISITORS[INSECT ORDER], MATCH(X1102,VISITORS[NAME USED],0))</f>
        <v>#N/A</v>
      </c>
      <c r="AB1102" s="47" t="e">
        <f t="shared" si="530"/>
        <v>#N/A</v>
      </c>
      <c r="AC1102" s="53" t="e">
        <f t="shared" si="531"/>
        <v>#VALUE!</v>
      </c>
      <c r="AD1102" s="54" t="str">
        <f t="shared" si="532"/>
        <v/>
      </c>
      <c r="AE1102" s="54"/>
      <c r="AF1102" s="54"/>
      <c r="AG1102" s="55" t="str">
        <f t="shared" si="533"/>
        <v/>
      </c>
      <c r="AH1102" s="56" t="str">
        <f t="shared" si="534"/>
        <v/>
      </c>
      <c r="AI1102" s="55"/>
      <c r="AJ1102" s="56" t="str">
        <f t="shared" si="535"/>
        <v/>
      </c>
      <c r="AK1102" s="55"/>
      <c r="AL1102" s="56" t="str">
        <f t="shared" si="536"/>
        <v/>
      </c>
      <c r="AM1102" s="55"/>
      <c r="AN1102" s="56" t="str">
        <f t="shared" si="537"/>
        <v/>
      </c>
      <c r="AO1102" s="55"/>
      <c r="AP1102" s="56" t="str">
        <f t="shared" si="538"/>
        <v/>
      </c>
      <c r="AQ1102" s="55"/>
      <c r="AR1102" s="56" t="str">
        <f t="shared" si="539"/>
        <v/>
      </c>
      <c r="AS1102" s="57"/>
      <c r="AT1102" s="58"/>
      <c r="AU1102" s="58"/>
      <c r="AV1102" s="59"/>
      <c r="AW1102" s="60" t="str">
        <f t="shared" si="517"/>
        <v/>
      </c>
      <c r="AX1102" s="61" t="str">
        <f t="shared" si="518"/>
        <v/>
      </c>
      <c r="AY1102" s="60" t="str">
        <f t="shared" si="519"/>
        <v/>
      </c>
      <c r="AZ1102" s="61" t="str">
        <f t="shared" si="520"/>
        <v/>
      </c>
    </row>
    <row r="1103" spans="1:52" s="3" customFormat="1" hidden="1" x14ac:dyDescent="0.35">
      <c r="A1103" s="72">
        <f t="shared" si="521"/>
        <v>2021</v>
      </c>
      <c r="B1103" s="72" t="str">
        <f t="shared" si="522"/>
        <v>Nov</v>
      </c>
      <c r="C1103" s="73">
        <f t="shared" si="540"/>
        <v>15</v>
      </c>
      <c r="D1103" s="74">
        <f t="shared" si="523"/>
        <v>10</v>
      </c>
      <c r="E1103" s="75">
        <f t="shared" si="524"/>
        <v>19</v>
      </c>
      <c r="F1103" s="79"/>
      <c r="G1103" s="82"/>
      <c r="H1103" s="68" t="str">
        <f t="shared" si="541"/>
        <v>Clesim6_20211115_10_00</v>
      </c>
      <c r="I1103" s="69">
        <f t="shared" si="542"/>
        <v>1</v>
      </c>
      <c r="J1103" s="76" t="str">
        <f t="shared" si="542"/>
        <v>Clematis</v>
      </c>
      <c r="K1103" s="76" t="str">
        <f t="shared" si="542"/>
        <v>simense</v>
      </c>
      <c r="L1103" s="77">
        <f t="shared" si="542"/>
        <v>6</v>
      </c>
      <c r="M1103" s="77">
        <f t="shared" si="542"/>
        <v>20</v>
      </c>
      <c r="N1103" s="71">
        <f t="shared" si="542"/>
        <v>0</v>
      </c>
      <c r="O1103" s="44"/>
      <c r="P1103" s="45" t="str">
        <f t="shared" si="525"/>
        <v/>
      </c>
      <c r="Q1103" s="46" t="str">
        <f t="shared" si="526"/>
        <v/>
      </c>
      <c r="R1103" s="47" t="e">
        <f t="shared" si="527"/>
        <v>#VALUE!</v>
      </c>
      <c r="S1103" s="48" t="e">
        <f t="shared" si="516"/>
        <v>#VALUE!</v>
      </c>
      <c r="T1103" s="47" t="str">
        <f t="shared" si="528"/>
        <v/>
      </c>
      <c r="U1103" s="49"/>
      <c r="V1103" s="50"/>
      <c r="W1103" s="51" t="e">
        <f t="shared" si="529"/>
        <v>#VALUE!</v>
      </c>
      <c r="X1103" s="52"/>
      <c r="Y1103" s="52"/>
      <c r="Z1103" s="52"/>
      <c r="AA1103" s="47" t="e">
        <f>INDEX(VISITORS[INSECT ORDER], MATCH(X1103,VISITORS[NAME USED],0))</f>
        <v>#N/A</v>
      </c>
      <c r="AB1103" s="47" t="e">
        <f t="shared" si="530"/>
        <v>#N/A</v>
      </c>
      <c r="AC1103" s="53" t="e">
        <f t="shared" si="531"/>
        <v>#VALUE!</v>
      </c>
      <c r="AD1103" s="54" t="str">
        <f t="shared" si="532"/>
        <v/>
      </c>
      <c r="AE1103" s="54"/>
      <c r="AF1103" s="54"/>
      <c r="AG1103" s="55" t="str">
        <f t="shared" si="533"/>
        <v/>
      </c>
      <c r="AH1103" s="56" t="str">
        <f t="shared" si="534"/>
        <v/>
      </c>
      <c r="AI1103" s="55"/>
      <c r="AJ1103" s="56" t="str">
        <f t="shared" si="535"/>
        <v/>
      </c>
      <c r="AK1103" s="55"/>
      <c r="AL1103" s="56" t="str">
        <f t="shared" si="536"/>
        <v/>
      </c>
      <c r="AM1103" s="55"/>
      <c r="AN1103" s="56" t="str">
        <f t="shared" si="537"/>
        <v/>
      </c>
      <c r="AO1103" s="55"/>
      <c r="AP1103" s="56" t="str">
        <f t="shared" si="538"/>
        <v/>
      </c>
      <c r="AQ1103" s="55"/>
      <c r="AR1103" s="56" t="str">
        <f t="shared" si="539"/>
        <v/>
      </c>
      <c r="AS1103" s="57"/>
      <c r="AT1103" s="58"/>
      <c r="AU1103" s="58"/>
      <c r="AV1103" s="59"/>
      <c r="AW1103" s="60" t="str">
        <f t="shared" si="517"/>
        <v/>
      </c>
      <c r="AX1103" s="61" t="str">
        <f t="shared" si="518"/>
        <v/>
      </c>
      <c r="AY1103" s="60" t="str">
        <f t="shared" si="519"/>
        <v/>
      </c>
      <c r="AZ1103" s="61" t="str">
        <f t="shared" si="520"/>
        <v/>
      </c>
    </row>
    <row r="1104" spans="1:52" s="3" customFormat="1" hidden="1" x14ac:dyDescent="0.35">
      <c r="A1104" s="72">
        <f t="shared" si="521"/>
        <v>2021</v>
      </c>
      <c r="B1104" s="72" t="str">
        <f t="shared" si="522"/>
        <v>Nov</v>
      </c>
      <c r="C1104" s="73">
        <f t="shared" si="540"/>
        <v>15</v>
      </c>
      <c r="D1104" s="74">
        <f t="shared" si="523"/>
        <v>10</v>
      </c>
      <c r="E1104" s="75">
        <f t="shared" si="524"/>
        <v>20</v>
      </c>
      <c r="F1104" s="79"/>
      <c r="G1104" s="82"/>
      <c r="H1104" s="68" t="str">
        <f t="shared" si="541"/>
        <v>Clesim6_20211115_10_00</v>
      </c>
      <c r="I1104" s="69">
        <f t="shared" si="542"/>
        <v>1</v>
      </c>
      <c r="J1104" s="76" t="str">
        <f t="shared" si="542"/>
        <v>Clematis</v>
      </c>
      <c r="K1104" s="76" t="str">
        <f t="shared" si="542"/>
        <v>simense</v>
      </c>
      <c r="L1104" s="77">
        <f t="shared" si="542"/>
        <v>6</v>
      </c>
      <c r="M1104" s="77">
        <f t="shared" si="542"/>
        <v>20</v>
      </c>
      <c r="N1104" s="71">
        <f t="shared" si="542"/>
        <v>0</v>
      </c>
      <c r="O1104" s="44"/>
      <c r="P1104" s="45" t="str">
        <f t="shared" si="525"/>
        <v/>
      </c>
      <c r="Q1104" s="46" t="str">
        <f t="shared" si="526"/>
        <v/>
      </c>
      <c r="R1104" s="47" t="e">
        <f t="shared" si="527"/>
        <v>#VALUE!</v>
      </c>
      <c r="S1104" s="48" t="e">
        <f t="shared" si="516"/>
        <v>#VALUE!</v>
      </c>
      <c r="T1104" s="47" t="str">
        <f t="shared" si="528"/>
        <v/>
      </c>
      <c r="U1104" s="49"/>
      <c r="V1104" s="50"/>
      <c r="W1104" s="51" t="e">
        <f t="shared" si="529"/>
        <v>#VALUE!</v>
      </c>
      <c r="X1104" s="52"/>
      <c r="Y1104" s="52"/>
      <c r="Z1104" s="52"/>
      <c r="AA1104" s="47" t="e">
        <f>INDEX(VISITORS[INSECT ORDER], MATCH(X1104,VISITORS[NAME USED],0))</f>
        <v>#N/A</v>
      </c>
      <c r="AB1104" s="47" t="e">
        <f t="shared" si="530"/>
        <v>#N/A</v>
      </c>
      <c r="AC1104" s="53" t="e">
        <f t="shared" si="531"/>
        <v>#VALUE!</v>
      </c>
      <c r="AD1104" s="54" t="str">
        <f t="shared" si="532"/>
        <v/>
      </c>
      <c r="AE1104" s="54"/>
      <c r="AF1104" s="54"/>
      <c r="AG1104" s="55" t="str">
        <f t="shared" si="533"/>
        <v/>
      </c>
      <c r="AH1104" s="56" t="str">
        <f t="shared" si="534"/>
        <v/>
      </c>
      <c r="AI1104" s="55"/>
      <c r="AJ1104" s="56" t="str">
        <f t="shared" si="535"/>
        <v/>
      </c>
      <c r="AK1104" s="55"/>
      <c r="AL1104" s="56" t="str">
        <f t="shared" si="536"/>
        <v/>
      </c>
      <c r="AM1104" s="55"/>
      <c r="AN1104" s="56" t="str">
        <f t="shared" si="537"/>
        <v/>
      </c>
      <c r="AO1104" s="55"/>
      <c r="AP1104" s="56" t="str">
        <f t="shared" si="538"/>
        <v/>
      </c>
      <c r="AQ1104" s="55"/>
      <c r="AR1104" s="56" t="str">
        <f t="shared" si="539"/>
        <v/>
      </c>
      <c r="AS1104" s="57"/>
      <c r="AT1104" s="58"/>
      <c r="AU1104" s="58"/>
      <c r="AV1104" s="59"/>
      <c r="AW1104" s="60" t="str">
        <f t="shared" si="517"/>
        <v/>
      </c>
      <c r="AX1104" s="61" t="str">
        <f t="shared" si="518"/>
        <v/>
      </c>
      <c r="AY1104" s="60" t="str">
        <f t="shared" si="519"/>
        <v/>
      </c>
      <c r="AZ1104" s="61" t="str">
        <f t="shared" si="520"/>
        <v/>
      </c>
    </row>
    <row r="1105" spans="1:52" s="3" customFormat="1" hidden="1" x14ac:dyDescent="0.35">
      <c r="A1105" s="72">
        <f t="shared" si="521"/>
        <v>2021</v>
      </c>
      <c r="B1105" s="72" t="str">
        <f t="shared" si="522"/>
        <v>Nov</v>
      </c>
      <c r="C1105" s="73">
        <f t="shared" si="540"/>
        <v>15</v>
      </c>
      <c r="D1105" s="74">
        <f t="shared" si="523"/>
        <v>10</v>
      </c>
      <c r="E1105" s="75">
        <f t="shared" si="524"/>
        <v>21</v>
      </c>
      <c r="F1105" s="79"/>
      <c r="G1105" s="82"/>
      <c r="H1105" s="68" t="str">
        <f t="shared" si="541"/>
        <v>Clesim6_20211115_10_00</v>
      </c>
      <c r="I1105" s="69">
        <f t="shared" si="542"/>
        <v>1</v>
      </c>
      <c r="J1105" s="76" t="str">
        <f t="shared" si="542"/>
        <v>Clematis</v>
      </c>
      <c r="K1105" s="76" t="str">
        <f t="shared" si="542"/>
        <v>simense</v>
      </c>
      <c r="L1105" s="77">
        <f t="shared" si="542"/>
        <v>6</v>
      </c>
      <c r="M1105" s="77">
        <f t="shared" si="542"/>
        <v>20</v>
      </c>
      <c r="N1105" s="71">
        <f t="shared" si="542"/>
        <v>0</v>
      </c>
      <c r="O1105" s="44"/>
      <c r="P1105" s="45" t="str">
        <f t="shared" si="525"/>
        <v/>
      </c>
      <c r="Q1105" s="46" t="str">
        <f t="shared" si="526"/>
        <v/>
      </c>
      <c r="R1105" s="47" t="e">
        <f t="shared" si="527"/>
        <v>#VALUE!</v>
      </c>
      <c r="S1105" s="48" t="e">
        <f t="shared" si="516"/>
        <v>#VALUE!</v>
      </c>
      <c r="T1105" s="47" t="str">
        <f t="shared" si="528"/>
        <v/>
      </c>
      <c r="U1105" s="49"/>
      <c r="V1105" s="50"/>
      <c r="W1105" s="51" t="e">
        <f t="shared" si="529"/>
        <v>#VALUE!</v>
      </c>
      <c r="X1105" s="52"/>
      <c r="Y1105" s="52"/>
      <c r="Z1105" s="52"/>
      <c r="AA1105" s="47" t="e">
        <f>INDEX(VISITORS[INSECT ORDER], MATCH(X1105,VISITORS[NAME USED],0))</f>
        <v>#N/A</v>
      </c>
      <c r="AB1105" s="47" t="e">
        <f t="shared" si="530"/>
        <v>#N/A</v>
      </c>
      <c r="AC1105" s="53" t="e">
        <f t="shared" si="531"/>
        <v>#VALUE!</v>
      </c>
      <c r="AD1105" s="54" t="str">
        <f t="shared" si="532"/>
        <v/>
      </c>
      <c r="AE1105" s="54"/>
      <c r="AF1105" s="54"/>
      <c r="AG1105" s="55" t="str">
        <f t="shared" si="533"/>
        <v/>
      </c>
      <c r="AH1105" s="56" t="str">
        <f t="shared" si="534"/>
        <v/>
      </c>
      <c r="AI1105" s="55"/>
      <c r="AJ1105" s="56" t="str">
        <f t="shared" si="535"/>
        <v/>
      </c>
      <c r="AK1105" s="55"/>
      <c r="AL1105" s="56" t="str">
        <f t="shared" si="536"/>
        <v/>
      </c>
      <c r="AM1105" s="55"/>
      <c r="AN1105" s="56" t="str">
        <f t="shared" si="537"/>
        <v/>
      </c>
      <c r="AO1105" s="55"/>
      <c r="AP1105" s="56" t="str">
        <f t="shared" si="538"/>
        <v/>
      </c>
      <c r="AQ1105" s="55"/>
      <c r="AR1105" s="56" t="str">
        <f t="shared" si="539"/>
        <v/>
      </c>
      <c r="AS1105" s="57"/>
      <c r="AT1105" s="58"/>
      <c r="AU1105" s="58"/>
      <c r="AV1105" s="59"/>
      <c r="AW1105" s="60" t="str">
        <f t="shared" si="517"/>
        <v/>
      </c>
      <c r="AX1105" s="61" t="str">
        <f t="shared" si="518"/>
        <v/>
      </c>
      <c r="AY1105" s="60" t="str">
        <f t="shared" si="519"/>
        <v/>
      </c>
      <c r="AZ1105" s="61" t="str">
        <f t="shared" si="520"/>
        <v/>
      </c>
    </row>
    <row r="1106" spans="1:52" s="3" customFormat="1" hidden="1" x14ac:dyDescent="0.35">
      <c r="A1106" s="72">
        <f t="shared" si="521"/>
        <v>2021</v>
      </c>
      <c r="B1106" s="72" t="str">
        <f t="shared" si="522"/>
        <v>Nov</v>
      </c>
      <c r="C1106" s="73">
        <f t="shared" si="540"/>
        <v>15</v>
      </c>
      <c r="D1106" s="74">
        <f t="shared" si="523"/>
        <v>10</v>
      </c>
      <c r="E1106" s="75">
        <f t="shared" si="524"/>
        <v>22</v>
      </c>
      <c r="F1106" s="79"/>
      <c r="G1106" s="82"/>
      <c r="H1106" s="68" t="str">
        <f t="shared" si="541"/>
        <v>Clesim6_20211115_10_00</v>
      </c>
      <c r="I1106" s="69">
        <f t="shared" si="542"/>
        <v>1</v>
      </c>
      <c r="J1106" s="76" t="str">
        <f t="shared" si="542"/>
        <v>Clematis</v>
      </c>
      <c r="K1106" s="76" t="str">
        <f t="shared" si="542"/>
        <v>simense</v>
      </c>
      <c r="L1106" s="77">
        <f t="shared" si="542"/>
        <v>6</v>
      </c>
      <c r="M1106" s="77">
        <f t="shared" si="542"/>
        <v>20</v>
      </c>
      <c r="N1106" s="71">
        <f t="shared" si="542"/>
        <v>0</v>
      </c>
      <c r="O1106" s="44"/>
      <c r="P1106" s="45" t="str">
        <f t="shared" si="525"/>
        <v/>
      </c>
      <c r="Q1106" s="46" t="str">
        <f t="shared" si="526"/>
        <v/>
      </c>
      <c r="R1106" s="47" t="e">
        <f t="shared" si="527"/>
        <v>#VALUE!</v>
      </c>
      <c r="S1106" s="48" t="e">
        <f t="shared" si="516"/>
        <v>#VALUE!</v>
      </c>
      <c r="T1106" s="47" t="str">
        <f t="shared" si="528"/>
        <v/>
      </c>
      <c r="U1106" s="49"/>
      <c r="V1106" s="50"/>
      <c r="W1106" s="51" t="e">
        <f t="shared" si="529"/>
        <v>#VALUE!</v>
      </c>
      <c r="X1106" s="52"/>
      <c r="Y1106" s="52"/>
      <c r="Z1106" s="52"/>
      <c r="AA1106" s="47" t="e">
        <f>INDEX(VISITORS[INSECT ORDER], MATCH(X1106,VISITORS[NAME USED],0))</f>
        <v>#N/A</v>
      </c>
      <c r="AB1106" s="47" t="e">
        <f t="shared" si="530"/>
        <v>#N/A</v>
      </c>
      <c r="AC1106" s="53" t="e">
        <f t="shared" si="531"/>
        <v>#VALUE!</v>
      </c>
      <c r="AD1106" s="54" t="str">
        <f t="shared" si="532"/>
        <v/>
      </c>
      <c r="AE1106" s="54"/>
      <c r="AF1106" s="54"/>
      <c r="AG1106" s="55" t="str">
        <f t="shared" si="533"/>
        <v/>
      </c>
      <c r="AH1106" s="56" t="str">
        <f t="shared" si="534"/>
        <v/>
      </c>
      <c r="AI1106" s="55"/>
      <c r="AJ1106" s="56" t="str">
        <f t="shared" si="535"/>
        <v/>
      </c>
      <c r="AK1106" s="55"/>
      <c r="AL1106" s="56" t="str">
        <f t="shared" si="536"/>
        <v/>
      </c>
      <c r="AM1106" s="55"/>
      <c r="AN1106" s="56" t="str">
        <f t="shared" si="537"/>
        <v/>
      </c>
      <c r="AO1106" s="55"/>
      <c r="AP1106" s="56" t="str">
        <f t="shared" si="538"/>
        <v/>
      </c>
      <c r="AQ1106" s="55"/>
      <c r="AR1106" s="56" t="str">
        <f t="shared" si="539"/>
        <v/>
      </c>
      <c r="AS1106" s="57"/>
      <c r="AT1106" s="58"/>
      <c r="AU1106" s="58"/>
      <c r="AV1106" s="59"/>
      <c r="AW1106" s="60" t="str">
        <f t="shared" si="517"/>
        <v/>
      </c>
      <c r="AX1106" s="61" t="str">
        <f t="shared" si="518"/>
        <v/>
      </c>
      <c r="AY1106" s="60" t="str">
        <f t="shared" si="519"/>
        <v/>
      </c>
      <c r="AZ1106" s="61" t="str">
        <f t="shared" si="520"/>
        <v/>
      </c>
    </row>
    <row r="1107" spans="1:52" s="3" customFormat="1" x14ac:dyDescent="0.35">
      <c r="A1107" s="72">
        <f t="shared" si="521"/>
        <v>2021</v>
      </c>
      <c r="B1107" s="72" t="str">
        <f t="shared" si="522"/>
        <v>Nov</v>
      </c>
      <c r="C1107" s="73">
        <f t="shared" si="540"/>
        <v>15</v>
      </c>
      <c r="D1107" s="74">
        <f t="shared" si="523"/>
        <v>10</v>
      </c>
      <c r="E1107" s="75">
        <f t="shared" si="524"/>
        <v>23</v>
      </c>
      <c r="F1107" s="79">
        <v>50</v>
      </c>
      <c r="G1107" s="82"/>
      <c r="H1107" s="68" t="str">
        <f t="shared" si="541"/>
        <v>Clesim6_20211115_10_00</v>
      </c>
      <c r="I1107" s="69">
        <f t="shared" si="542"/>
        <v>1</v>
      </c>
      <c r="J1107" s="76" t="str">
        <f t="shared" si="542"/>
        <v>Clematis</v>
      </c>
      <c r="K1107" s="76" t="str">
        <f t="shared" si="542"/>
        <v>simense</v>
      </c>
      <c r="L1107" s="77">
        <f t="shared" si="542"/>
        <v>6</v>
      </c>
      <c r="M1107" s="77">
        <f t="shared" si="542"/>
        <v>20</v>
      </c>
      <c r="N1107" s="71">
        <f t="shared" si="542"/>
        <v>0</v>
      </c>
      <c r="O1107" s="44"/>
      <c r="P1107" s="45">
        <f t="shared" si="525"/>
        <v>1</v>
      </c>
      <c r="Q1107" s="46" t="str">
        <f t="shared" si="526"/>
        <v>10:23:50</v>
      </c>
      <c r="R1107" s="47" t="str">
        <f t="shared" si="527"/>
        <v>23:50</v>
      </c>
      <c r="S1107" s="48">
        <f t="shared" si="516"/>
        <v>199</v>
      </c>
      <c r="T1107" s="47" t="str">
        <f t="shared" si="528"/>
        <v>10</v>
      </c>
      <c r="U1107" s="49">
        <v>27</v>
      </c>
      <c r="V1107" s="50">
        <v>9</v>
      </c>
      <c r="W1107" s="51" t="str">
        <f t="shared" si="529"/>
        <v>27:09</v>
      </c>
      <c r="X1107" s="123" t="s">
        <v>66</v>
      </c>
      <c r="Y1107" s="52" t="s">
        <v>70</v>
      </c>
      <c r="Z1107" s="52" t="s">
        <v>87</v>
      </c>
      <c r="AA1107" s="47" t="s">
        <v>67</v>
      </c>
      <c r="AB1107" s="47" t="str">
        <f t="shared" si="530"/>
        <v>NA</v>
      </c>
      <c r="AC1107" s="53" t="str">
        <f t="shared" si="531"/>
        <v/>
      </c>
      <c r="AD1107" s="54">
        <v>5</v>
      </c>
      <c r="AE1107" s="54"/>
      <c r="AF1107" s="54"/>
      <c r="AG1107" s="55" t="str">
        <f t="shared" si="533"/>
        <v/>
      </c>
      <c r="AH1107" s="56" t="str">
        <f t="shared" si="534"/>
        <v/>
      </c>
      <c r="AI1107" s="55"/>
      <c r="AJ1107" s="56" t="str">
        <f t="shared" si="535"/>
        <v/>
      </c>
      <c r="AK1107" s="55"/>
      <c r="AL1107" s="56" t="str">
        <f t="shared" si="536"/>
        <v/>
      </c>
      <c r="AM1107" s="55"/>
      <c r="AN1107" s="56" t="str">
        <f t="shared" si="537"/>
        <v/>
      </c>
      <c r="AO1107" s="55"/>
      <c r="AP1107" s="56" t="str">
        <f t="shared" si="538"/>
        <v/>
      </c>
      <c r="AQ1107" s="55"/>
      <c r="AR1107" s="56" t="str">
        <f t="shared" si="539"/>
        <v/>
      </c>
      <c r="AS1107" s="57"/>
      <c r="AT1107" s="58"/>
      <c r="AU1107" s="58"/>
      <c r="AV1107" s="59"/>
      <c r="AW1107" s="60">
        <f t="shared" si="517"/>
        <v>0</v>
      </c>
      <c r="AX1107" s="61" t="str">
        <f t="shared" si="518"/>
        <v/>
      </c>
      <c r="AY1107" s="60">
        <f t="shared" si="519"/>
        <v>0</v>
      </c>
      <c r="AZ1107" s="61" t="str">
        <f t="shared" si="520"/>
        <v/>
      </c>
    </row>
    <row r="1108" spans="1:52" s="3" customFormat="1" hidden="1" x14ac:dyDescent="0.35">
      <c r="A1108" s="72">
        <f t="shared" si="521"/>
        <v>2021</v>
      </c>
      <c r="B1108" s="72" t="str">
        <f t="shared" si="522"/>
        <v>Nov</v>
      </c>
      <c r="C1108" s="73">
        <f t="shared" si="540"/>
        <v>15</v>
      </c>
      <c r="D1108" s="74">
        <f t="shared" si="523"/>
        <v>10</v>
      </c>
      <c r="E1108" s="75">
        <f t="shared" si="524"/>
        <v>24</v>
      </c>
      <c r="F1108" s="79"/>
      <c r="G1108" s="82"/>
      <c r="H1108" s="68" t="str">
        <f t="shared" si="541"/>
        <v>Clesim6_20211115_10_00</v>
      </c>
      <c r="I1108" s="69">
        <f t="shared" si="542"/>
        <v>1</v>
      </c>
      <c r="J1108" s="76" t="str">
        <f t="shared" si="542"/>
        <v>Clematis</v>
      </c>
      <c r="K1108" s="76" t="str">
        <f t="shared" si="542"/>
        <v>simense</v>
      </c>
      <c r="L1108" s="77">
        <f t="shared" si="542"/>
        <v>6</v>
      </c>
      <c r="M1108" s="77">
        <f t="shared" si="542"/>
        <v>20</v>
      </c>
      <c r="N1108" s="71">
        <f t="shared" si="542"/>
        <v>0</v>
      </c>
      <c r="O1108" s="44"/>
      <c r="P1108" s="45" t="str">
        <f t="shared" si="525"/>
        <v/>
      </c>
      <c r="Q1108" s="46" t="str">
        <f t="shared" si="526"/>
        <v/>
      </c>
      <c r="R1108" s="47" t="e">
        <f t="shared" si="527"/>
        <v>#VALUE!</v>
      </c>
      <c r="S1108" s="48" t="e">
        <f t="shared" si="516"/>
        <v>#VALUE!</v>
      </c>
      <c r="T1108" s="47" t="str">
        <f t="shared" si="528"/>
        <v/>
      </c>
      <c r="U1108" s="49"/>
      <c r="V1108" s="50"/>
      <c r="W1108" s="51" t="e">
        <f t="shared" si="529"/>
        <v>#VALUE!</v>
      </c>
      <c r="X1108" s="52"/>
      <c r="Y1108" s="52"/>
      <c r="Z1108" s="52"/>
      <c r="AA1108" s="47" t="e">
        <f>INDEX(VISITORS[INSECT ORDER], MATCH(X1108,VISITORS[NAME USED],0))</f>
        <v>#N/A</v>
      </c>
      <c r="AB1108" s="47" t="e">
        <f t="shared" si="530"/>
        <v>#N/A</v>
      </c>
      <c r="AC1108" s="53" t="e">
        <f t="shared" si="531"/>
        <v>#VALUE!</v>
      </c>
      <c r="AD1108" s="54" t="str">
        <f t="shared" si="532"/>
        <v/>
      </c>
      <c r="AE1108" s="54"/>
      <c r="AF1108" s="54"/>
      <c r="AG1108" s="55" t="str">
        <f t="shared" si="533"/>
        <v/>
      </c>
      <c r="AH1108" s="56" t="str">
        <f t="shared" si="534"/>
        <v/>
      </c>
      <c r="AI1108" s="55"/>
      <c r="AJ1108" s="56" t="str">
        <f t="shared" si="535"/>
        <v/>
      </c>
      <c r="AK1108" s="55"/>
      <c r="AL1108" s="56" t="str">
        <f t="shared" si="536"/>
        <v/>
      </c>
      <c r="AM1108" s="55"/>
      <c r="AN1108" s="56" t="str">
        <f t="shared" si="537"/>
        <v/>
      </c>
      <c r="AO1108" s="55"/>
      <c r="AP1108" s="56" t="str">
        <f t="shared" si="538"/>
        <v/>
      </c>
      <c r="AQ1108" s="55"/>
      <c r="AR1108" s="56" t="str">
        <f t="shared" si="539"/>
        <v/>
      </c>
      <c r="AS1108" s="57"/>
      <c r="AT1108" s="58"/>
      <c r="AU1108" s="58"/>
      <c r="AV1108" s="59"/>
      <c r="AW1108" s="60" t="str">
        <f t="shared" si="517"/>
        <v/>
      </c>
      <c r="AX1108" s="61" t="str">
        <f t="shared" si="518"/>
        <v/>
      </c>
      <c r="AY1108" s="60" t="str">
        <f t="shared" si="519"/>
        <v/>
      </c>
      <c r="AZ1108" s="61" t="str">
        <f t="shared" si="520"/>
        <v/>
      </c>
    </row>
    <row r="1109" spans="1:52" s="3" customFormat="1" x14ac:dyDescent="0.35">
      <c r="A1109" s="72">
        <f t="shared" si="521"/>
        <v>2021</v>
      </c>
      <c r="B1109" s="72" t="str">
        <f t="shared" si="522"/>
        <v>Nov</v>
      </c>
      <c r="C1109" s="73">
        <f t="shared" si="540"/>
        <v>15</v>
      </c>
      <c r="D1109" s="74">
        <f t="shared" si="523"/>
        <v>10</v>
      </c>
      <c r="E1109" s="75">
        <f t="shared" si="524"/>
        <v>25</v>
      </c>
      <c r="F1109" s="79">
        <v>25</v>
      </c>
      <c r="G1109" s="82"/>
      <c r="H1109" s="68" t="str">
        <f t="shared" si="541"/>
        <v>Clesim6_20211115_10_00</v>
      </c>
      <c r="I1109" s="69">
        <f t="shared" si="542"/>
        <v>1</v>
      </c>
      <c r="J1109" s="76" t="str">
        <f t="shared" si="542"/>
        <v>Clematis</v>
      </c>
      <c r="K1109" s="76" t="str">
        <f t="shared" si="542"/>
        <v>simense</v>
      </c>
      <c r="L1109" s="77">
        <f t="shared" si="542"/>
        <v>6</v>
      </c>
      <c r="M1109" s="77">
        <f t="shared" si="542"/>
        <v>20</v>
      </c>
      <c r="N1109" s="71">
        <f t="shared" si="542"/>
        <v>0</v>
      </c>
      <c r="O1109" s="44"/>
      <c r="P1109" s="45">
        <f t="shared" si="525"/>
        <v>1</v>
      </c>
      <c r="Q1109" s="46" t="str">
        <f t="shared" si="526"/>
        <v>10:25:25</v>
      </c>
      <c r="R1109" s="47" t="str">
        <f t="shared" si="527"/>
        <v>25:25</v>
      </c>
      <c r="S1109" s="48">
        <f t="shared" si="516"/>
        <v>243</v>
      </c>
      <c r="T1109" s="47" t="str">
        <f t="shared" si="528"/>
        <v>10</v>
      </c>
      <c r="U1109" s="49">
        <v>29</v>
      </c>
      <c r="V1109" s="50">
        <v>28</v>
      </c>
      <c r="W1109" s="51" t="str">
        <f t="shared" si="529"/>
        <v>29:28</v>
      </c>
      <c r="X1109" s="123" t="s">
        <v>66</v>
      </c>
      <c r="Y1109" s="52" t="s">
        <v>70</v>
      </c>
      <c r="Z1109" s="52" t="s">
        <v>87</v>
      </c>
      <c r="AA1109" s="47" t="s">
        <v>67</v>
      </c>
      <c r="AB1109" s="47" t="str">
        <f t="shared" si="530"/>
        <v>NA</v>
      </c>
      <c r="AC1109" s="53" t="str">
        <f t="shared" si="531"/>
        <v/>
      </c>
      <c r="AD1109" s="54">
        <v>5</v>
      </c>
      <c r="AE1109" s="54"/>
      <c r="AF1109" s="54"/>
      <c r="AG1109" s="55" t="str">
        <f t="shared" si="533"/>
        <v/>
      </c>
      <c r="AH1109" s="56" t="str">
        <f t="shared" si="534"/>
        <v/>
      </c>
      <c r="AI1109" s="55"/>
      <c r="AJ1109" s="56" t="str">
        <f t="shared" si="535"/>
        <v/>
      </c>
      <c r="AK1109" s="55"/>
      <c r="AL1109" s="56" t="str">
        <f t="shared" si="536"/>
        <v/>
      </c>
      <c r="AM1109" s="55"/>
      <c r="AN1109" s="56" t="str">
        <f t="shared" si="537"/>
        <v/>
      </c>
      <c r="AO1109" s="55"/>
      <c r="AP1109" s="56" t="str">
        <f t="shared" si="538"/>
        <v/>
      </c>
      <c r="AQ1109" s="55"/>
      <c r="AR1109" s="56" t="str">
        <f t="shared" si="539"/>
        <v/>
      </c>
      <c r="AS1109" s="57"/>
      <c r="AT1109" s="58"/>
      <c r="AU1109" s="58"/>
      <c r="AV1109" s="59"/>
      <c r="AW1109" s="60">
        <f t="shared" si="517"/>
        <v>0</v>
      </c>
      <c r="AX1109" s="61" t="str">
        <f t="shared" si="518"/>
        <v/>
      </c>
      <c r="AY1109" s="60">
        <f t="shared" si="519"/>
        <v>0</v>
      </c>
      <c r="AZ1109" s="61" t="str">
        <f t="shared" si="520"/>
        <v/>
      </c>
    </row>
    <row r="1110" spans="1:52" s="3" customFormat="1" hidden="1" x14ac:dyDescent="0.35">
      <c r="A1110" s="72">
        <f t="shared" si="521"/>
        <v>2021</v>
      </c>
      <c r="B1110" s="72" t="str">
        <f t="shared" si="522"/>
        <v>Nov</v>
      </c>
      <c r="C1110" s="73">
        <f t="shared" si="540"/>
        <v>15</v>
      </c>
      <c r="D1110" s="74">
        <f t="shared" si="523"/>
        <v>10</v>
      </c>
      <c r="E1110" s="75">
        <f t="shared" si="524"/>
        <v>26</v>
      </c>
      <c r="F1110" s="79"/>
      <c r="G1110" s="82"/>
      <c r="H1110" s="68" t="str">
        <f t="shared" si="541"/>
        <v>Clesim6_20211115_10_00</v>
      </c>
      <c r="I1110" s="69">
        <f t="shared" ref="I1110:N1125" si="543">I1109</f>
        <v>1</v>
      </c>
      <c r="J1110" s="76" t="str">
        <f t="shared" si="543"/>
        <v>Clematis</v>
      </c>
      <c r="K1110" s="76" t="str">
        <f t="shared" si="543"/>
        <v>simense</v>
      </c>
      <c r="L1110" s="77">
        <f t="shared" si="543"/>
        <v>6</v>
      </c>
      <c r="M1110" s="77">
        <f t="shared" si="543"/>
        <v>20</v>
      </c>
      <c r="N1110" s="71">
        <f t="shared" si="543"/>
        <v>0</v>
      </c>
      <c r="O1110" s="44"/>
      <c r="P1110" s="45" t="str">
        <f t="shared" si="525"/>
        <v/>
      </c>
      <c r="Q1110" s="46" t="str">
        <f t="shared" si="526"/>
        <v/>
      </c>
      <c r="R1110" s="47" t="e">
        <f t="shared" si="527"/>
        <v>#VALUE!</v>
      </c>
      <c r="S1110" s="48" t="e">
        <f t="shared" si="516"/>
        <v>#VALUE!</v>
      </c>
      <c r="T1110" s="47" t="str">
        <f t="shared" si="528"/>
        <v/>
      </c>
      <c r="U1110" s="49"/>
      <c r="V1110" s="50"/>
      <c r="W1110" s="51" t="e">
        <f t="shared" si="529"/>
        <v>#VALUE!</v>
      </c>
      <c r="X1110" s="52"/>
      <c r="Y1110" s="52"/>
      <c r="Z1110" s="52"/>
      <c r="AA1110" s="47" t="e">
        <f>INDEX(VISITORS[INSECT ORDER], MATCH(X1110,VISITORS[NAME USED],0))</f>
        <v>#N/A</v>
      </c>
      <c r="AB1110" s="47" t="e">
        <f t="shared" si="530"/>
        <v>#N/A</v>
      </c>
      <c r="AC1110" s="53" t="e">
        <f t="shared" si="531"/>
        <v>#VALUE!</v>
      </c>
      <c r="AD1110" s="54" t="str">
        <f t="shared" si="532"/>
        <v/>
      </c>
      <c r="AE1110" s="54"/>
      <c r="AF1110" s="54"/>
      <c r="AG1110" s="55" t="str">
        <f t="shared" si="533"/>
        <v/>
      </c>
      <c r="AH1110" s="56" t="str">
        <f t="shared" si="534"/>
        <v/>
      </c>
      <c r="AI1110" s="55"/>
      <c r="AJ1110" s="56" t="str">
        <f t="shared" si="535"/>
        <v/>
      </c>
      <c r="AK1110" s="55"/>
      <c r="AL1110" s="56" t="str">
        <f t="shared" si="536"/>
        <v/>
      </c>
      <c r="AM1110" s="55"/>
      <c r="AN1110" s="56" t="str">
        <f t="shared" si="537"/>
        <v/>
      </c>
      <c r="AO1110" s="55"/>
      <c r="AP1110" s="56" t="str">
        <f t="shared" si="538"/>
        <v/>
      </c>
      <c r="AQ1110" s="55"/>
      <c r="AR1110" s="56" t="str">
        <f t="shared" si="539"/>
        <v/>
      </c>
      <c r="AS1110" s="57"/>
      <c r="AT1110" s="58"/>
      <c r="AU1110" s="58"/>
      <c r="AV1110" s="59"/>
      <c r="AW1110" s="60" t="str">
        <f t="shared" si="517"/>
        <v/>
      </c>
      <c r="AX1110" s="61" t="str">
        <f t="shared" si="518"/>
        <v/>
      </c>
      <c r="AY1110" s="60" t="str">
        <f t="shared" si="519"/>
        <v/>
      </c>
      <c r="AZ1110" s="61" t="str">
        <f t="shared" si="520"/>
        <v/>
      </c>
    </row>
    <row r="1111" spans="1:52" s="3" customFormat="1" hidden="1" x14ac:dyDescent="0.35">
      <c r="A1111" s="72">
        <f t="shared" si="521"/>
        <v>2021</v>
      </c>
      <c r="B1111" s="72" t="str">
        <f t="shared" si="522"/>
        <v>Nov</v>
      </c>
      <c r="C1111" s="73">
        <f t="shared" si="540"/>
        <v>15</v>
      </c>
      <c r="D1111" s="74">
        <f t="shared" si="523"/>
        <v>10</v>
      </c>
      <c r="E1111" s="75">
        <f t="shared" si="524"/>
        <v>27</v>
      </c>
      <c r="F1111" s="79"/>
      <c r="G1111" s="82"/>
      <c r="H1111" s="68" t="str">
        <f t="shared" si="541"/>
        <v>Clesim6_20211115_10_00</v>
      </c>
      <c r="I1111" s="69">
        <f t="shared" si="543"/>
        <v>1</v>
      </c>
      <c r="J1111" s="76" t="str">
        <f t="shared" si="543"/>
        <v>Clematis</v>
      </c>
      <c r="K1111" s="76" t="str">
        <f t="shared" si="543"/>
        <v>simense</v>
      </c>
      <c r="L1111" s="77">
        <f t="shared" si="543"/>
        <v>6</v>
      </c>
      <c r="M1111" s="77">
        <f t="shared" si="543"/>
        <v>20</v>
      </c>
      <c r="N1111" s="71">
        <f t="shared" si="543"/>
        <v>0</v>
      </c>
      <c r="O1111" s="44"/>
      <c r="P1111" s="45" t="str">
        <f t="shared" si="525"/>
        <v/>
      </c>
      <c r="Q1111" s="46" t="str">
        <f t="shared" si="526"/>
        <v/>
      </c>
      <c r="R1111" s="47" t="e">
        <f t="shared" si="527"/>
        <v>#VALUE!</v>
      </c>
      <c r="S1111" s="48" t="e">
        <f t="shared" si="516"/>
        <v>#VALUE!</v>
      </c>
      <c r="T1111" s="47" t="str">
        <f t="shared" si="528"/>
        <v/>
      </c>
      <c r="U1111" s="49"/>
      <c r="V1111" s="50"/>
      <c r="W1111" s="51" t="e">
        <f t="shared" si="529"/>
        <v>#VALUE!</v>
      </c>
      <c r="X1111" s="52"/>
      <c r="Y1111" s="52"/>
      <c r="Z1111" s="52"/>
      <c r="AA1111" s="47" t="e">
        <f>INDEX(VISITORS[INSECT ORDER], MATCH(X1111,VISITORS[NAME USED],0))</f>
        <v>#N/A</v>
      </c>
      <c r="AB1111" s="47" t="e">
        <f t="shared" si="530"/>
        <v>#N/A</v>
      </c>
      <c r="AC1111" s="53" t="e">
        <f t="shared" si="531"/>
        <v>#VALUE!</v>
      </c>
      <c r="AD1111" s="54" t="str">
        <f t="shared" si="532"/>
        <v/>
      </c>
      <c r="AE1111" s="54"/>
      <c r="AF1111" s="54"/>
      <c r="AG1111" s="55" t="str">
        <f t="shared" si="533"/>
        <v/>
      </c>
      <c r="AH1111" s="56" t="str">
        <f t="shared" si="534"/>
        <v/>
      </c>
      <c r="AI1111" s="55"/>
      <c r="AJ1111" s="56" t="str">
        <f t="shared" si="535"/>
        <v/>
      </c>
      <c r="AK1111" s="55"/>
      <c r="AL1111" s="56" t="str">
        <f t="shared" si="536"/>
        <v/>
      </c>
      <c r="AM1111" s="55"/>
      <c r="AN1111" s="56" t="str">
        <f t="shared" si="537"/>
        <v/>
      </c>
      <c r="AO1111" s="55"/>
      <c r="AP1111" s="56" t="str">
        <f t="shared" si="538"/>
        <v/>
      </c>
      <c r="AQ1111" s="55"/>
      <c r="AR1111" s="56" t="str">
        <f t="shared" si="539"/>
        <v/>
      </c>
      <c r="AS1111" s="57"/>
      <c r="AT1111" s="58"/>
      <c r="AU1111" s="58"/>
      <c r="AV1111" s="59"/>
      <c r="AW1111" s="60" t="str">
        <f t="shared" si="517"/>
        <v/>
      </c>
      <c r="AX1111" s="61" t="str">
        <f t="shared" si="518"/>
        <v/>
      </c>
      <c r="AY1111" s="60" t="str">
        <f t="shared" si="519"/>
        <v/>
      </c>
      <c r="AZ1111" s="61" t="str">
        <f t="shared" si="520"/>
        <v/>
      </c>
    </row>
    <row r="1112" spans="1:52" s="3" customFormat="1" hidden="1" x14ac:dyDescent="0.35">
      <c r="A1112" s="72">
        <f t="shared" si="521"/>
        <v>2021</v>
      </c>
      <c r="B1112" s="72" t="str">
        <f t="shared" si="522"/>
        <v>Nov</v>
      </c>
      <c r="C1112" s="73">
        <f t="shared" si="540"/>
        <v>15</v>
      </c>
      <c r="D1112" s="74">
        <f t="shared" si="523"/>
        <v>10</v>
      </c>
      <c r="E1112" s="75">
        <f t="shared" si="524"/>
        <v>28</v>
      </c>
      <c r="F1112" s="79"/>
      <c r="G1112" s="82"/>
      <c r="H1112" s="68" t="str">
        <f t="shared" si="541"/>
        <v>Clesim6_20211115_10_00</v>
      </c>
      <c r="I1112" s="69">
        <f t="shared" si="543"/>
        <v>1</v>
      </c>
      <c r="J1112" s="76" t="str">
        <f t="shared" si="543"/>
        <v>Clematis</v>
      </c>
      <c r="K1112" s="76" t="str">
        <f t="shared" si="543"/>
        <v>simense</v>
      </c>
      <c r="L1112" s="77">
        <f t="shared" si="543"/>
        <v>6</v>
      </c>
      <c r="M1112" s="77">
        <f t="shared" si="543"/>
        <v>20</v>
      </c>
      <c r="N1112" s="71">
        <f t="shared" si="543"/>
        <v>0</v>
      </c>
      <c r="O1112" s="44"/>
      <c r="P1112" s="45" t="str">
        <f t="shared" si="525"/>
        <v/>
      </c>
      <c r="Q1112" s="46" t="str">
        <f t="shared" si="526"/>
        <v/>
      </c>
      <c r="R1112" s="47" t="e">
        <f t="shared" si="527"/>
        <v>#VALUE!</v>
      </c>
      <c r="S1112" s="48" t="e">
        <f t="shared" si="516"/>
        <v>#VALUE!</v>
      </c>
      <c r="T1112" s="47" t="str">
        <f t="shared" si="528"/>
        <v/>
      </c>
      <c r="U1112" s="49"/>
      <c r="V1112" s="50"/>
      <c r="W1112" s="51" t="e">
        <f t="shared" si="529"/>
        <v>#VALUE!</v>
      </c>
      <c r="X1112" s="52"/>
      <c r="Y1112" s="52"/>
      <c r="Z1112" s="52"/>
      <c r="AA1112" s="47" t="e">
        <f>INDEX(VISITORS[INSECT ORDER], MATCH(X1112,VISITORS[NAME USED],0))</f>
        <v>#N/A</v>
      </c>
      <c r="AB1112" s="47" t="e">
        <f t="shared" si="530"/>
        <v>#N/A</v>
      </c>
      <c r="AC1112" s="53" t="e">
        <f t="shared" si="531"/>
        <v>#VALUE!</v>
      </c>
      <c r="AD1112" s="54" t="str">
        <f t="shared" si="532"/>
        <v/>
      </c>
      <c r="AE1112" s="54"/>
      <c r="AF1112" s="54"/>
      <c r="AG1112" s="55" t="str">
        <f t="shared" si="533"/>
        <v/>
      </c>
      <c r="AH1112" s="56" t="str">
        <f t="shared" si="534"/>
        <v/>
      </c>
      <c r="AI1112" s="55"/>
      <c r="AJ1112" s="56" t="str">
        <f t="shared" si="535"/>
        <v/>
      </c>
      <c r="AK1112" s="55"/>
      <c r="AL1112" s="56" t="str">
        <f t="shared" si="536"/>
        <v/>
      </c>
      <c r="AM1112" s="55"/>
      <c r="AN1112" s="56" t="str">
        <f t="shared" si="537"/>
        <v/>
      </c>
      <c r="AO1112" s="55"/>
      <c r="AP1112" s="56" t="str">
        <f t="shared" si="538"/>
        <v/>
      </c>
      <c r="AQ1112" s="55"/>
      <c r="AR1112" s="56" t="str">
        <f t="shared" si="539"/>
        <v/>
      </c>
      <c r="AS1112" s="57"/>
      <c r="AT1112" s="58"/>
      <c r="AU1112" s="58"/>
      <c r="AV1112" s="59"/>
      <c r="AW1112" s="60" t="str">
        <f t="shared" si="517"/>
        <v/>
      </c>
      <c r="AX1112" s="61" t="str">
        <f t="shared" si="518"/>
        <v/>
      </c>
      <c r="AY1112" s="60" t="str">
        <f t="shared" si="519"/>
        <v/>
      </c>
      <c r="AZ1112" s="61" t="str">
        <f t="shared" si="520"/>
        <v/>
      </c>
    </row>
    <row r="1113" spans="1:52" s="3" customFormat="1" hidden="1" x14ac:dyDescent="0.35">
      <c r="A1113" s="72">
        <f t="shared" si="521"/>
        <v>2021</v>
      </c>
      <c r="B1113" s="72" t="str">
        <f t="shared" si="522"/>
        <v>Nov</v>
      </c>
      <c r="C1113" s="73">
        <f t="shared" si="540"/>
        <v>15</v>
      </c>
      <c r="D1113" s="74">
        <f t="shared" si="523"/>
        <v>10</v>
      </c>
      <c r="E1113" s="75">
        <f t="shared" si="524"/>
        <v>29</v>
      </c>
      <c r="F1113" s="79"/>
      <c r="G1113" s="82"/>
      <c r="H1113" s="68" t="str">
        <f t="shared" si="541"/>
        <v>Clesim6_20211115_10_00</v>
      </c>
      <c r="I1113" s="69">
        <f t="shared" si="543"/>
        <v>1</v>
      </c>
      <c r="J1113" s="76" t="str">
        <f t="shared" si="543"/>
        <v>Clematis</v>
      </c>
      <c r="K1113" s="76" t="str">
        <f t="shared" si="543"/>
        <v>simense</v>
      </c>
      <c r="L1113" s="77">
        <f t="shared" si="543"/>
        <v>6</v>
      </c>
      <c r="M1113" s="77">
        <f t="shared" si="543"/>
        <v>20</v>
      </c>
      <c r="N1113" s="71">
        <f t="shared" si="543"/>
        <v>0</v>
      </c>
      <c r="O1113" s="44"/>
      <c r="P1113" s="45" t="str">
        <f t="shared" si="525"/>
        <v/>
      </c>
      <c r="Q1113" s="46" t="str">
        <f t="shared" si="526"/>
        <v/>
      </c>
      <c r="R1113" s="47" t="e">
        <f t="shared" si="527"/>
        <v>#VALUE!</v>
      </c>
      <c r="S1113" s="48" t="e">
        <f t="shared" si="516"/>
        <v>#VALUE!</v>
      </c>
      <c r="T1113" s="47" t="str">
        <f t="shared" si="528"/>
        <v/>
      </c>
      <c r="U1113" s="49"/>
      <c r="V1113" s="50"/>
      <c r="W1113" s="51" t="e">
        <f t="shared" si="529"/>
        <v>#VALUE!</v>
      </c>
      <c r="X1113" s="52"/>
      <c r="Y1113" s="52"/>
      <c r="Z1113" s="52"/>
      <c r="AA1113" s="47" t="e">
        <f>INDEX(VISITORS[INSECT ORDER], MATCH(X1113,VISITORS[NAME USED],0))</f>
        <v>#N/A</v>
      </c>
      <c r="AB1113" s="47" t="e">
        <f t="shared" si="530"/>
        <v>#N/A</v>
      </c>
      <c r="AC1113" s="53" t="e">
        <f t="shared" si="531"/>
        <v>#VALUE!</v>
      </c>
      <c r="AD1113" s="54" t="str">
        <f t="shared" si="532"/>
        <v/>
      </c>
      <c r="AE1113" s="54"/>
      <c r="AF1113" s="54"/>
      <c r="AG1113" s="55" t="str">
        <f t="shared" si="533"/>
        <v/>
      </c>
      <c r="AH1113" s="56" t="str">
        <f t="shared" si="534"/>
        <v/>
      </c>
      <c r="AI1113" s="55"/>
      <c r="AJ1113" s="56" t="str">
        <f t="shared" si="535"/>
        <v/>
      </c>
      <c r="AK1113" s="55"/>
      <c r="AL1113" s="56" t="str">
        <f t="shared" si="536"/>
        <v/>
      </c>
      <c r="AM1113" s="55"/>
      <c r="AN1113" s="56" t="str">
        <f t="shared" si="537"/>
        <v/>
      </c>
      <c r="AO1113" s="55"/>
      <c r="AP1113" s="56" t="str">
        <f t="shared" si="538"/>
        <v/>
      </c>
      <c r="AQ1113" s="55"/>
      <c r="AR1113" s="56" t="str">
        <f t="shared" si="539"/>
        <v/>
      </c>
      <c r="AS1113" s="57"/>
      <c r="AT1113" s="58"/>
      <c r="AU1113" s="58"/>
      <c r="AV1113" s="59"/>
      <c r="AW1113" s="60" t="str">
        <f t="shared" si="517"/>
        <v/>
      </c>
      <c r="AX1113" s="61" t="str">
        <f t="shared" si="518"/>
        <v/>
      </c>
      <c r="AY1113" s="60" t="str">
        <f t="shared" si="519"/>
        <v/>
      </c>
      <c r="AZ1113" s="61" t="str">
        <f t="shared" si="520"/>
        <v/>
      </c>
    </row>
    <row r="1114" spans="1:52" s="3" customFormat="1" hidden="1" x14ac:dyDescent="0.35">
      <c r="A1114" s="72">
        <f t="shared" si="521"/>
        <v>2021</v>
      </c>
      <c r="B1114" s="72" t="str">
        <f t="shared" si="522"/>
        <v>Nov</v>
      </c>
      <c r="C1114" s="73">
        <f t="shared" si="540"/>
        <v>15</v>
      </c>
      <c r="D1114" s="74">
        <f t="shared" si="523"/>
        <v>10</v>
      </c>
      <c r="E1114" s="75">
        <f t="shared" si="524"/>
        <v>30</v>
      </c>
      <c r="F1114" s="79"/>
      <c r="G1114" s="82"/>
      <c r="H1114" s="68" t="str">
        <f t="shared" si="541"/>
        <v>Clesim6_20211115_10_00</v>
      </c>
      <c r="I1114" s="69">
        <f t="shared" si="543"/>
        <v>1</v>
      </c>
      <c r="J1114" s="76" t="str">
        <f t="shared" si="543"/>
        <v>Clematis</v>
      </c>
      <c r="K1114" s="76" t="str">
        <f t="shared" si="543"/>
        <v>simense</v>
      </c>
      <c r="L1114" s="77">
        <f t="shared" si="543"/>
        <v>6</v>
      </c>
      <c r="M1114" s="77">
        <f t="shared" si="543"/>
        <v>20</v>
      </c>
      <c r="N1114" s="71">
        <f t="shared" si="543"/>
        <v>0</v>
      </c>
      <c r="O1114" s="44"/>
      <c r="P1114" s="45" t="str">
        <f t="shared" si="525"/>
        <v/>
      </c>
      <c r="Q1114" s="46" t="str">
        <f t="shared" si="526"/>
        <v/>
      </c>
      <c r="R1114" s="47" t="e">
        <f t="shared" si="527"/>
        <v>#VALUE!</v>
      </c>
      <c r="S1114" s="48" t="e">
        <f t="shared" si="516"/>
        <v>#VALUE!</v>
      </c>
      <c r="T1114" s="47" t="str">
        <f t="shared" si="528"/>
        <v/>
      </c>
      <c r="U1114" s="49"/>
      <c r="V1114" s="50"/>
      <c r="W1114" s="51" t="e">
        <f t="shared" si="529"/>
        <v>#VALUE!</v>
      </c>
      <c r="X1114" s="52"/>
      <c r="Y1114" s="52"/>
      <c r="Z1114" s="52"/>
      <c r="AA1114" s="47" t="e">
        <f>INDEX(VISITORS[INSECT ORDER], MATCH(X1114,VISITORS[NAME USED],0))</f>
        <v>#N/A</v>
      </c>
      <c r="AB1114" s="47" t="e">
        <f t="shared" si="530"/>
        <v>#N/A</v>
      </c>
      <c r="AC1114" s="53" t="e">
        <f t="shared" si="531"/>
        <v>#VALUE!</v>
      </c>
      <c r="AD1114" s="54" t="str">
        <f t="shared" si="532"/>
        <v/>
      </c>
      <c r="AE1114" s="54"/>
      <c r="AF1114" s="54"/>
      <c r="AG1114" s="55" t="str">
        <f t="shared" si="533"/>
        <v/>
      </c>
      <c r="AH1114" s="56" t="str">
        <f t="shared" si="534"/>
        <v/>
      </c>
      <c r="AI1114" s="55"/>
      <c r="AJ1114" s="56" t="str">
        <f t="shared" si="535"/>
        <v/>
      </c>
      <c r="AK1114" s="55"/>
      <c r="AL1114" s="56" t="str">
        <f t="shared" si="536"/>
        <v/>
      </c>
      <c r="AM1114" s="55"/>
      <c r="AN1114" s="56" t="str">
        <f t="shared" si="537"/>
        <v/>
      </c>
      <c r="AO1114" s="55"/>
      <c r="AP1114" s="56" t="str">
        <f t="shared" si="538"/>
        <v/>
      </c>
      <c r="AQ1114" s="55"/>
      <c r="AR1114" s="56" t="str">
        <f t="shared" si="539"/>
        <v/>
      </c>
      <c r="AS1114" s="57"/>
      <c r="AT1114" s="58"/>
      <c r="AU1114" s="58"/>
      <c r="AV1114" s="59"/>
      <c r="AW1114" s="60" t="str">
        <f t="shared" si="517"/>
        <v/>
      </c>
      <c r="AX1114" s="61" t="str">
        <f t="shared" si="518"/>
        <v/>
      </c>
      <c r="AY1114" s="60" t="str">
        <f t="shared" si="519"/>
        <v/>
      </c>
      <c r="AZ1114" s="61" t="str">
        <f t="shared" si="520"/>
        <v/>
      </c>
    </row>
    <row r="1115" spans="1:52" s="3" customFormat="1" hidden="1" x14ac:dyDescent="0.35">
      <c r="A1115" s="72">
        <f t="shared" si="521"/>
        <v>2021</v>
      </c>
      <c r="B1115" s="72" t="str">
        <f t="shared" si="522"/>
        <v>Nov</v>
      </c>
      <c r="C1115" s="73">
        <f t="shared" si="540"/>
        <v>15</v>
      </c>
      <c r="D1115" s="74">
        <f t="shared" si="523"/>
        <v>10</v>
      </c>
      <c r="E1115" s="75">
        <f t="shared" si="524"/>
        <v>31</v>
      </c>
      <c r="F1115" s="79"/>
      <c r="G1115" s="82"/>
      <c r="H1115" s="68" t="str">
        <f t="shared" si="541"/>
        <v>Clesim6_20211115_10_00</v>
      </c>
      <c r="I1115" s="69">
        <f t="shared" si="543"/>
        <v>1</v>
      </c>
      <c r="J1115" s="76" t="str">
        <f t="shared" si="543"/>
        <v>Clematis</v>
      </c>
      <c r="K1115" s="76" t="str">
        <f t="shared" si="543"/>
        <v>simense</v>
      </c>
      <c r="L1115" s="77">
        <f t="shared" si="543"/>
        <v>6</v>
      </c>
      <c r="M1115" s="77">
        <f t="shared" si="543"/>
        <v>20</v>
      </c>
      <c r="N1115" s="71">
        <f t="shared" si="543"/>
        <v>0</v>
      </c>
      <c r="O1115" s="44"/>
      <c r="P1115" s="45" t="str">
        <f t="shared" si="525"/>
        <v/>
      </c>
      <c r="Q1115" s="46" t="str">
        <f t="shared" si="526"/>
        <v/>
      </c>
      <c r="R1115" s="47" t="e">
        <f t="shared" si="527"/>
        <v>#VALUE!</v>
      </c>
      <c r="S1115" s="48" t="e">
        <f t="shared" si="516"/>
        <v>#VALUE!</v>
      </c>
      <c r="T1115" s="47" t="str">
        <f t="shared" si="528"/>
        <v/>
      </c>
      <c r="U1115" s="49"/>
      <c r="V1115" s="50"/>
      <c r="W1115" s="51" t="e">
        <f t="shared" si="529"/>
        <v>#VALUE!</v>
      </c>
      <c r="X1115" s="52"/>
      <c r="Y1115" s="52"/>
      <c r="Z1115" s="52"/>
      <c r="AA1115" s="47" t="e">
        <f>INDEX(VISITORS[INSECT ORDER], MATCH(X1115,VISITORS[NAME USED],0))</f>
        <v>#N/A</v>
      </c>
      <c r="AB1115" s="47" t="e">
        <f t="shared" si="530"/>
        <v>#N/A</v>
      </c>
      <c r="AC1115" s="53" t="e">
        <f t="shared" si="531"/>
        <v>#VALUE!</v>
      </c>
      <c r="AD1115" s="54" t="str">
        <f t="shared" si="532"/>
        <v/>
      </c>
      <c r="AE1115" s="54"/>
      <c r="AF1115" s="54"/>
      <c r="AG1115" s="55" t="str">
        <f t="shared" si="533"/>
        <v/>
      </c>
      <c r="AH1115" s="56" t="str">
        <f t="shared" si="534"/>
        <v/>
      </c>
      <c r="AI1115" s="55"/>
      <c r="AJ1115" s="56" t="str">
        <f t="shared" si="535"/>
        <v/>
      </c>
      <c r="AK1115" s="55"/>
      <c r="AL1115" s="56" t="str">
        <f t="shared" si="536"/>
        <v/>
      </c>
      <c r="AM1115" s="55"/>
      <c r="AN1115" s="56" t="str">
        <f t="shared" si="537"/>
        <v/>
      </c>
      <c r="AO1115" s="55"/>
      <c r="AP1115" s="56" t="str">
        <f t="shared" si="538"/>
        <v/>
      </c>
      <c r="AQ1115" s="55"/>
      <c r="AR1115" s="56" t="str">
        <f t="shared" si="539"/>
        <v/>
      </c>
      <c r="AS1115" s="57"/>
      <c r="AT1115" s="58"/>
      <c r="AU1115" s="58"/>
      <c r="AV1115" s="59"/>
      <c r="AW1115" s="60" t="str">
        <f t="shared" si="517"/>
        <v/>
      </c>
      <c r="AX1115" s="61" t="str">
        <f t="shared" si="518"/>
        <v/>
      </c>
      <c r="AY1115" s="60" t="str">
        <f t="shared" si="519"/>
        <v/>
      </c>
      <c r="AZ1115" s="61" t="str">
        <f t="shared" si="520"/>
        <v/>
      </c>
    </row>
    <row r="1116" spans="1:52" s="3" customFormat="1" hidden="1" x14ac:dyDescent="0.35">
      <c r="A1116" s="72">
        <f t="shared" si="521"/>
        <v>2021</v>
      </c>
      <c r="B1116" s="72" t="str">
        <f t="shared" si="522"/>
        <v>Nov</v>
      </c>
      <c r="C1116" s="73">
        <f t="shared" si="540"/>
        <v>15</v>
      </c>
      <c r="D1116" s="74">
        <f t="shared" si="523"/>
        <v>10</v>
      </c>
      <c r="E1116" s="75">
        <f t="shared" si="524"/>
        <v>32</v>
      </c>
      <c r="F1116" s="79"/>
      <c r="G1116" s="82"/>
      <c r="H1116" s="68" t="str">
        <f t="shared" si="541"/>
        <v>Clesim6_20211115_10_00</v>
      </c>
      <c r="I1116" s="69">
        <f t="shared" si="543"/>
        <v>1</v>
      </c>
      <c r="J1116" s="76" t="str">
        <f t="shared" si="543"/>
        <v>Clematis</v>
      </c>
      <c r="K1116" s="76" t="str">
        <f t="shared" si="543"/>
        <v>simense</v>
      </c>
      <c r="L1116" s="77">
        <f t="shared" si="543"/>
        <v>6</v>
      </c>
      <c r="M1116" s="77">
        <f t="shared" si="543"/>
        <v>20</v>
      </c>
      <c r="N1116" s="71">
        <f t="shared" si="543"/>
        <v>0</v>
      </c>
      <c r="O1116" s="44"/>
      <c r="P1116" s="45" t="str">
        <f t="shared" si="525"/>
        <v/>
      </c>
      <c r="Q1116" s="46" t="str">
        <f t="shared" si="526"/>
        <v/>
      </c>
      <c r="R1116" s="47" t="e">
        <f t="shared" si="527"/>
        <v>#VALUE!</v>
      </c>
      <c r="S1116" s="48" t="e">
        <f t="shared" si="516"/>
        <v>#VALUE!</v>
      </c>
      <c r="T1116" s="47" t="str">
        <f t="shared" si="528"/>
        <v/>
      </c>
      <c r="U1116" s="49"/>
      <c r="V1116" s="50"/>
      <c r="W1116" s="51" t="e">
        <f t="shared" si="529"/>
        <v>#VALUE!</v>
      </c>
      <c r="X1116" s="52"/>
      <c r="Y1116" s="52"/>
      <c r="Z1116" s="52"/>
      <c r="AA1116" s="47" t="e">
        <f>INDEX(VISITORS[INSECT ORDER], MATCH(X1116,VISITORS[NAME USED],0))</f>
        <v>#N/A</v>
      </c>
      <c r="AB1116" s="47" t="e">
        <f t="shared" si="530"/>
        <v>#N/A</v>
      </c>
      <c r="AC1116" s="53" t="e">
        <f t="shared" si="531"/>
        <v>#VALUE!</v>
      </c>
      <c r="AD1116" s="54" t="str">
        <f t="shared" si="532"/>
        <v/>
      </c>
      <c r="AE1116" s="54"/>
      <c r="AF1116" s="54"/>
      <c r="AG1116" s="55" t="str">
        <f t="shared" si="533"/>
        <v/>
      </c>
      <c r="AH1116" s="56" t="str">
        <f t="shared" si="534"/>
        <v/>
      </c>
      <c r="AI1116" s="55"/>
      <c r="AJ1116" s="56" t="str">
        <f t="shared" si="535"/>
        <v/>
      </c>
      <c r="AK1116" s="55"/>
      <c r="AL1116" s="56" t="str">
        <f t="shared" si="536"/>
        <v/>
      </c>
      <c r="AM1116" s="55"/>
      <c r="AN1116" s="56" t="str">
        <f t="shared" si="537"/>
        <v/>
      </c>
      <c r="AO1116" s="55"/>
      <c r="AP1116" s="56" t="str">
        <f t="shared" si="538"/>
        <v/>
      </c>
      <c r="AQ1116" s="55"/>
      <c r="AR1116" s="56" t="str">
        <f t="shared" si="539"/>
        <v/>
      </c>
      <c r="AS1116" s="57"/>
      <c r="AT1116" s="58"/>
      <c r="AU1116" s="58"/>
      <c r="AV1116" s="59"/>
      <c r="AW1116" s="60" t="str">
        <f t="shared" si="517"/>
        <v/>
      </c>
      <c r="AX1116" s="61" t="str">
        <f t="shared" si="518"/>
        <v/>
      </c>
      <c r="AY1116" s="60" t="str">
        <f t="shared" si="519"/>
        <v/>
      </c>
      <c r="AZ1116" s="61" t="str">
        <f t="shared" si="520"/>
        <v/>
      </c>
    </row>
    <row r="1117" spans="1:52" s="3" customFormat="1" hidden="1" x14ac:dyDescent="0.35">
      <c r="A1117" s="72">
        <f t="shared" si="521"/>
        <v>2021</v>
      </c>
      <c r="B1117" s="72" t="str">
        <f t="shared" si="522"/>
        <v>Nov</v>
      </c>
      <c r="C1117" s="73">
        <f t="shared" si="540"/>
        <v>15</v>
      </c>
      <c r="D1117" s="74">
        <f t="shared" si="523"/>
        <v>10</v>
      </c>
      <c r="E1117" s="75">
        <f t="shared" si="524"/>
        <v>33</v>
      </c>
      <c r="F1117" s="79"/>
      <c r="G1117" s="82"/>
      <c r="H1117" s="68" t="str">
        <f t="shared" si="541"/>
        <v>Clesim6_20211115_10_00</v>
      </c>
      <c r="I1117" s="69">
        <f t="shared" si="543"/>
        <v>1</v>
      </c>
      <c r="J1117" s="76" t="str">
        <f t="shared" si="543"/>
        <v>Clematis</v>
      </c>
      <c r="K1117" s="76" t="str">
        <f t="shared" si="543"/>
        <v>simense</v>
      </c>
      <c r="L1117" s="77">
        <f t="shared" si="543"/>
        <v>6</v>
      </c>
      <c r="M1117" s="77">
        <f t="shared" si="543"/>
        <v>20</v>
      </c>
      <c r="N1117" s="71">
        <f t="shared" si="543"/>
        <v>0</v>
      </c>
      <c r="O1117" s="44"/>
      <c r="P1117" s="45" t="str">
        <f t="shared" si="525"/>
        <v/>
      </c>
      <c r="Q1117" s="46" t="str">
        <f t="shared" si="526"/>
        <v/>
      </c>
      <c r="R1117" s="47" t="e">
        <f t="shared" si="527"/>
        <v>#VALUE!</v>
      </c>
      <c r="S1117" s="48" t="e">
        <f t="shared" si="516"/>
        <v>#VALUE!</v>
      </c>
      <c r="T1117" s="47" t="str">
        <f t="shared" si="528"/>
        <v/>
      </c>
      <c r="U1117" s="49"/>
      <c r="V1117" s="50"/>
      <c r="W1117" s="51" t="e">
        <f t="shared" si="529"/>
        <v>#VALUE!</v>
      </c>
      <c r="X1117" s="52"/>
      <c r="Y1117" s="52"/>
      <c r="Z1117" s="52"/>
      <c r="AA1117" s="47" t="e">
        <f>INDEX(VISITORS[INSECT ORDER], MATCH(X1117,VISITORS[NAME USED],0))</f>
        <v>#N/A</v>
      </c>
      <c r="AB1117" s="47" t="e">
        <f t="shared" si="530"/>
        <v>#N/A</v>
      </c>
      <c r="AC1117" s="53" t="e">
        <f t="shared" si="531"/>
        <v>#VALUE!</v>
      </c>
      <c r="AD1117" s="54" t="str">
        <f t="shared" si="532"/>
        <v/>
      </c>
      <c r="AE1117" s="54"/>
      <c r="AF1117" s="54"/>
      <c r="AG1117" s="55" t="str">
        <f t="shared" si="533"/>
        <v/>
      </c>
      <c r="AH1117" s="56" t="str">
        <f t="shared" si="534"/>
        <v/>
      </c>
      <c r="AI1117" s="55"/>
      <c r="AJ1117" s="56" t="str">
        <f t="shared" si="535"/>
        <v/>
      </c>
      <c r="AK1117" s="55"/>
      <c r="AL1117" s="56" t="str">
        <f t="shared" si="536"/>
        <v/>
      </c>
      <c r="AM1117" s="55"/>
      <c r="AN1117" s="56" t="str">
        <f t="shared" si="537"/>
        <v/>
      </c>
      <c r="AO1117" s="55"/>
      <c r="AP1117" s="56" t="str">
        <f t="shared" si="538"/>
        <v/>
      </c>
      <c r="AQ1117" s="55"/>
      <c r="AR1117" s="56" t="str">
        <f t="shared" si="539"/>
        <v/>
      </c>
      <c r="AS1117" s="57"/>
      <c r="AT1117" s="58"/>
      <c r="AU1117" s="58"/>
      <c r="AV1117" s="59"/>
      <c r="AW1117" s="60" t="str">
        <f t="shared" si="517"/>
        <v/>
      </c>
      <c r="AX1117" s="61" t="str">
        <f t="shared" si="518"/>
        <v/>
      </c>
      <c r="AY1117" s="60" t="str">
        <f t="shared" si="519"/>
        <v/>
      </c>
      <c r="AZ1117" s="61" t="str">
        <f t="shared" si="520"/>
        <v/>
      </c>
    </row>
    <row r="1118" spans="1:52" s="3" customFormat="1" hidden="1" x14ac:dyDescent="0.35">
      <c r="A1118" s="72">
        <f t="shared" si="521"/>
        <v>2021</v>
      </c>
      <c r="B1118" s="72" t="str">
        <f t="shared" si="522"/>
        <v>Nov</v>
      </c>
      <c r="C1118" s="73">
        <f t="shared" si="540"/>
        <v>15</v>
      </c>
      <c r="D1118" s="74">
        <f t="shared" si="523"/>
        <v>10</v>
      </c>
      <c r="E1118" s="75">
        <f t="shared" si="524"/>
        <v>34</v>
      </c>
      <c r="F1118" s="79"/>
      <c r="G1118" s="82"/>
      <c r="H1118" s="68" t="str">
        <f t="shared" si="541"/>
        <v>Clesim6_20211115_10_00</v>
      </c>
      <c r="I1118" s="69">
        <f t="shared" si="543"/>
        <v>1</v>
      </c>
      <c r="J1118" s="76" t="str">
        <f t="shared" si="543"/>
        <v>Clematis</v>
      </c>
      <c r="K1118" s="76" t="str">
        <f t="shared" si="543"/>
        <v>simense</v>
      </c>
      <c r="L1118" s="77">
        <f t="shared" si="543"/>
        <v>6</v>
      </c>
      <c r="M1118" s="77">
        <f t="shared" si="543"/>
        <v>20</v>
      </c>
      <c r="N1118" s="71">
        <f t="shared" si="543"/>
        <v>0</v>
      </c>
      <c r="O1118" s="44"/>
      <c r="P1118" s="45" t="str">
        <f t="shared" si="525"/>
        <v/>
      </c>
      <c r="Q1118" s="46" t="str">
        <f t="shared" si="526"/>
        <v/>
      </c>
      <c r="R1118" s="47" t="e">
        <f t="shared" si="527"/>
        <v>#VALUE!</v>
      </c>
      <c r="S1118" s="48" t="e">
        <f t="shared" si="516"/>
        <v>#VALUE!</v>
      </c>
      <c r="T1118" s="47" t="str">
        <f t="shared" si="528"/>
        <v/>
      </c>
      <c r="U1118" s="49"/>
      <c r="V1118" s="50"/>
      <c r="W1118" s="51" t="e">
        <f t="shared" si="529"/>
        <v>#VALUE!</v>
      </c>
      <c r="X1118" s="52"/>
      <c r="Y1118" s="52"/>
      <c r="Z1118" s="52"/>
      <c r="AA1118" s="47" t="e">
        <f>INDEX(VISITORS[INSECT ORDER], MATCH(X1118,VISITORS[NAME USED],0))</f>
        <v>#N/A</v>
      </c>
      <c r="AB1118" s="47" t="e">
        <f t="shared" si="530"/>
        <v>#N/A</v>
      </c>
      <c r="AC1118" s="53" t="e">
        <f t="shared" si="531"/>
        <v>#VALUE!</v>
      </c>
      <c r="AD1118" s="54" t="str">
        <f t="shared" si="532"/>
        <v/>
      </c>
      <c r="AE1118" s="54"/>
      <c r="AF1118" s="54"/>
      <c r="AG1118" s="55" t="str">
        <f t="shared" si="533"/>
        <v/>
      </c>
      <c r="AH1118" s="56" t="str">
        <f t="shared" si="534"/>
        <v/>
      </c>
      <c r="AI1118" s="55"/>
      <c r="AJ1118" s="56" t="str">
        <f t="shared" si="535"/>
        <v/>
      </c>
      <c r="AK1118" s="55"/>
      <c r="AL1118" s="56" t="str">
        <f t="shared" si="536"/>
        <v/>
      </c>
      <c r="AM1118" s="55"/>
      <c r="AN1118" s="56" t="str">
        <f t="shared" si="537"/>
        <v/>
      </c>
      <c r="AO1118" s="55"/>
      <c r="AP1118" s="56" t="str">
        <f t="shared" si="538"/>
        <v/>
      </c>
      <c r="AQ1118" s="55"/>
      <c r="AR1118" s="56" t="str">
        <f t="shared" si="539"/>
        <v/>
      </c>
      <c r="AS1118" s="57"/>
      <c r="AT1118" s="58"/>
      <c r="AU1118" s="58"/>
      <c r="AV1118" s="59"/>
      <c r="AW1118" s="60" t="str">
        <f t="shared" si="517"/>
        <v/>
      </c>
      <c r="AX1118" s="61" t="str">
        <f t="shared" si="518"/>
        <v/>
      </c>
      <c r="AY1118" s="60" t="str">
        <f t="shared" si="519"/>
        <v/>
      </c>
      <c r="AZ1118" s="61" t="str">
        <f t="shared" si="520"/>
        <v/>
      </c>
    </row>
    <row r="1119" spans="1:52" s="3" customFormat="1" hidden="1" x14ac:dyDescent="0.35">
      <c r="A1119" s="72">
        <f t="shared" si="521"/>
        <v>2021</v>
      </c>
      <c r="B1119" s="72" t="str">
        <f t="shared" si="522"/>
        <v>Nov</v>
      </c>
      <c r="C1119" s="73">
        <f t="shared" si="540"/>
        <v>15</v>
      </c>
      <c r="D1119" s="74">
        <f t="shared" si="523"/>
        <v>10</v>
      </c>
      <c r="E1119" s="75">
        <f t="shared" si="524"/>
        <v>35</v>
      </c>
      <c r="F1119" s="79"/>
      <c r="G1119" s="82"/>
      <c r="H1119" s="68" t="str">
        <f t="shared" si="541"/>
        <v>Clesim6_20211115_10_00</v>
      </c>
      <c r="I1119" s="69">
        <f t="shared" si="543"/>
        <v>1</v>
      </c>
      <c r="J1119" s="76" t="str">
        <f t="shared" si="543"/>
        <v>Clematis</v>
      </c>
      <c r="K1119" s="76" t="str">
        <f t="shared" si="543"/>
        <v>simense</v>
      </c>
      <c r="L1119" s="77">
        <f t="shared" si="543"/>
        <v>6</v>
      </c>
      <c r="M1119" s="77">
        <f t="shared" si="543"/>
        <v>20</v>
      </c>
      <c r="N1119" s="71">
        <f t="shared" si="543"/>
        <v>0</v>
      </c>
      <c r="O1119" s="44"/>
      <c r="P1119" s="45" t="str">
        <f t="shared" si="525"/>
        <v/>
      </c>
      <c r="Q1119" s="46" t="str">
        <f t="shared" si="526"/>
        <v/>
      </c>
      <c r="R1119" s="47" t="e">
        <f t="shared" si="527"/>
        <v>#VALUE!</v>
      </c>
      <c r="S1119" s="48" t="e">
        <f t="shared" si="516"/>
        <v>#VALUE!</v>
      </c>
      <c r="T1119" s="47" t="str">
        <f t="shared" si="528"/>
        <v/>
      </c>
      <c r="U1119" s="49"/>
      <c r="V1119" s="50"/>
      <c r="W1119" s="51" t="e">
        <f t="shared" si="529"/>
        <v>#VALUE!</v>
      </c>
      <c r="X1119" s="52"/>
      <c r="Y1119" s="52"/>
      <c r="Z1119" s="52"/>
      <c r="AA1119" s="47" t="e">
        <f>INDEX(VISITORS[INSECT ORDER], MATCH(X1119,VISITORS[NAME USED],0))</f>
        <v>#N/A</v>
      </c>
      <c r="AB1119" s="47" t="e">
        <f t="shared" si="530"/>
        <v>#N/A</v>
      </c>
      <c r="AC1119" s="53" t="e">
        <f t="shared" si="531"/>
        <v>#VALUE!</v>
      </c>
      <c r="AD1119" s="54" t="str">
        <f t="shared" si="532"/>
        <v/>
      </c>
      <c r="AE1119" s="54"/>
      <c r="AF1119" s="54"/>
      <c r="AG1119" s="55" t="str">
        <f t="shared" si="533"/>
        <v/>
      </c>
      <c r="AH1119" s="56" t="str">
        <f t="shared" si="534"/>
        <v/>
      </c>
      <c r="AI1119" s="55"/>
      <c r="AJ1119" s="56" t="str">
        <f t="shared" si="535"/>
        <v/>
      </c>
      <c r="AK1119" s="55"/>
      <c r="AL1119" s="56" t="str">
        <f t="shared" si="536"/>
        <v/>
      </c>
      <c r="AM1119" s="55"/>
      <c r="AN1119" s="56" t="str">
        <f t="shared" si="537"/>
        <v/>
      </c>
      <c r="AO1119" s="55"/>
      <c r="AP1119" s="56" t="str">
        <f t="shared" si="538"/>
        <v/>
      </c>
      <c r="AQ1119" s="55"/>
      <c r="AR1119" s="56" t="str">
        <f t="shared" si="539"/>
        <v/>
      </c>
      <c r="AS1119" s="57"/>
      <c r="AT1119" s="58"/>
      <c r="AU1119" s="58"/>
      <c r="AV1119" s="59"/>
      <c r="AW1119" s="60" t="str">
        <f t="shared" si="517"/>
        <v/>
      </c>
      <c r="AX1119" s="61" t="str">
        <f t="shared" si="518"/>
        <v/>
      </c>
      <c r="AY1119" s="60" t="str">
        <f t="shared" si="519"/>
        <v/>
      </c>
      <c r="AZ1119" s="61" t="str">
        <f t="shared" si="520"/>
        <v/>
      </c>
    </row>
    <row r="1120" spans="1:52" s="3" customFormat="1" hidden="1" x14ac:dyDescent="0.35">
      <c r="A1120" s="72">
        <f t="shared" si="521"/>
        <v>2021</v>
      </c>
      <c r="B1120" s="72" t="str">
        <f t="shared" si="522"/>
        <v>Nov</v>
      </c>
      <c r="C1120" s="73">
        <f t="shared" si="540"/>
        <v>15</v>
      </c>
      <c r="D1120" s="74">
        <f t="shared" si="523"/>
        <v>10</v>
      </c>
      <c r="E1120" s="75">
        <f t="shared" si="524"/>
        <v>36</v>
      </c>
      <c r="F1120" s="79"/>
      <c r="G1120" s="82"/>
      <c r="H1120" s="68" t="str">
        <f t="shared" si="541"/>
        <v>Clesim6_20211115_10_00</v>
      </c>
      <c r="I1120" s="69">
        <f t="shared" si="543"/>
        <v>1</v>
      </c>
      <c r="J1120" s="76" t="str">
        <f t="shared" si="543"/>
        <v>Clematis</v>
      </c>
      <c r="K1120" s="76" t="str">
        <f t="shared" si="543"/>
        <v>simense</v>
      </c>
      <c r="L1120" s="77">
        <f t="shared" si="543"/>
        <v>6</v>
      </c>
      <c r="M1120" s="77">
        <f t="shared" si="543"/>
        <v>20</v>
      </c>
      <c r="N1120" s="71">
        <f t="shared" si="543"/>
        <v>0</v>
      </c>
      <c r="O1120" s="44"/>
      <c r="P1120" s="45" t="str">
        <f t="shared" si="525"/>
        <v/>
      </c>
      <c r="Q1120" s="46" t="str">
        <f t="shared" si="526"/>
        <v/>
      </c>
      <c r="R1120" s="47" t="e">
        <f t="shared" si="527"/>
        <v>#VALUE!</v>
      </c>
      <c r="S1120" s="48" t="e">
        <f t="shared" si="516"/>
        <v>#VALUE!</v>
      </c>
      <c r="T1120" s="47" t="str">
        <f t="shared" si="528"/>
        <v/>
      </c>
      <c r="U1120" s="49"/>
      <c r="V1120" s="50"/>
      <c r="W1120" s="51" t="e">
        <f t="shared" si="529"/>
        <v>#VALUE!</v>
      </c>
      <c r="X1120" s="52"/>
      <c r="Y1120" s="52"/>
      <c r="Z1120" s="52"/>
      <c r="AA1120" s="47" t="e">
        <f>INDEX(VISITORS[INSECT ORDER], MATCH(X1120,VISITORS[NAME USED],0))</f>
        <v>#N/A</v>
      </c>
      <c r="AB1120" s="47" t="e">
        <f t="shared" si="530"/>
        <v>#N/A</v>
      </c>
      <c r="AC1120" s="53" t="e">
        <f t="shared" si="531"/>
        <v>#VALUE!</v>
      </c>
      <c r="AD1120" s="54" t="str">
        <f t="shared" si="532"/>
        <v/>
      </c>
      <c r="AE1120" s="54"/>
      <c r="AF1120" s="54"/>
      <c r="AG1120" s="55" t="str">
        <f t="shared" si="533"/>
        <v/>
      </c>
      <c r="AH1120" s="56" t="str">
        <f t="shared" si="534"/>
        <v/>
      </c>
      <c r="AI1120" s="55"/>
      <c r="AJ1120" s="56" t="str">
        <f t="shared" si="535"/>
        <v/>
      </c>
      <c r="AK1120" s="55"/>
      <c r="AL1120" s="56" t="str">
        <f t="shared" si="536"/>
        <v/>
      </c>
      <c r="AM1120" s="55"/>
      <c r="AN1120" s="56" t="str">
        <f t="shared" si="537"/>
        <v/>
      </c>
      <c r="AO1120" s="55"/>
      <c r="AP1120" s="56" t="str">
        <f t="shared" si="538"/>
        <v/>
      </c>
      <c r="AQ1120" s="55"/>
      <c r="AR1120" s="56" t="str">
        <f t="shared" si="539"/>
        <v/>
      </c>
      <c r="AS1120" s="57"/>
      <c r="AT1120" s="58"/>
      <c r="AU1120" s="58"/>
      <c r="AV1120" s="59"/>
      <c r="AW1120" s="60" t="str">
        <f t="shared" si="517"/>
        <v/>
      </c>
      <c r="AX1120" s="61" t="str">
        <f t="shared" si="518"/>
        <v/>
      </c>
      <c r="AY1120" s="60" t="str">
        <f t="shared" si="519"/>
        <v/>
      </c>
      <c r="AZ1120" s="61" t="str">
        <f t="shared" si="520"/>
        <v/>
      </c>
    </row>
    <row r="1121" spans="1:52" s="3" customFormat="1" hidden="1" x14ac:dyDescent="0.35">
      <c r="A1121" s="72">
        <f t="shared" si="521"/>
        <v>2021</v>
      </c>
      <c r="B1121" s="72" t="str">
        <f t="shared" si="522"/>
        <v>Nov</v>
      </c>
      <c r="C1121" s="73">
        <f t="shared" si="540"/>
        <v>15</v>
      </c>
      <c r="D1121" s="74">
        <f t="shared" si="523"/>
        <v>10</v>
      </c>
      <c r="E1121" s="75">
        <f t="shared" si="524"/>
        <v>37</v>
      </c>
      <c r="F1121" s="79"/>
      <c r="G1121" s="82"/>
      <c r="H1121" s="68" t="str">
        <f t="shared" si="541"/>
        <v>Clesim6_20211115_10_00</v>
      </c>
      <c r="I1121" s="69">
        <f t="shared" si="543"/>
        <v>1</v>
      </c>
      <c r="J1121" s="76" t="str">
        <f t="shared" si="543"/>
        <v>Clematis</v>
      </c>
      <c r="K1121" s="76" t="str">
        <f t="shared" si="543"/>
        <v>simense</v>
      </c>
      <c r="L1121" s="77">
        <f t="shared" si="543"/>
        <v>6</v>
      </c>
      <c r="M1121" s="77">
        <f t="shared" si="543"/>
        <v>20</v>
      </c>
      <c r="N1121" s="71">
        <f t="shared" si="543"/>
        <v>0</v>
      </c>
      <c r="O1121" s="44"/>
      <c r="P1121" s="45" t="str">
        <f t="shared" si="525"/>
        <v/>
      </c>
      <c r="Q1121" s="46" t="str">
        <f t="shared" si="526"/>
        <v/>
      </c>
      <c r="R1121" s="47" t="e">
        <f t="shared" si="527"/>
        <v>#VALUE!</v>
      </c>
      <c r="S1121" s="48" t="e">
        <f t="shared" si="516"/>
        <v>#VALUE!</v>
      </c>
      <c r="T1121" s="47" t="str">
        <f t="shared" si="528"/>
        <v/>
      </c>
      <c r="U1121" s="49"/>
      <c r="V1121" s="50"/>
      <c r="W1121" s="51" t="e">
        <f t="shared" si="529"/>
        <v>#VALUE!</v>
      </c>
      <c r="X1121" s="52"/>
      <c r="Y1121" s="52"/>
      <c r="Z1121" s="52"/>
      <c r="AA1121" s="47" t="e">
        <f>INDEX(VISITORS[INSECT ORDER], MATCH(X1121,VISITORS[NAME USED],0))</f>
        <v>#N/A</v>
      </c>
      <c r="AB1121" s="47" t="e">
        <f t="shared" si="530"/>
        <v>#N/A</v>
      </c>
      <c r="AC1121" s="53" t="e">
        <f t="shared" si="531"/>
        <v>#VALUE!</v>
      </c>
      <c r="AD1121" s="54" t="str">
        <f t="shared" si="532"/>
        <v/>
      </c>
      <c r="AE1121" s="54"/>
      <c r="AF1121" s="54"/>
      <c r="AG1121" s="55" t="str">
        <f t="shared" si="533"/>
        <v/>
      </c>
      <c r="AH1121" s="56" t="str">
        <f t="shared" si="534"/>
        <v/>
      </c>
      <c r="AI1121" s="55"/>
      <c r="AJ1121" s="56" t="str">
        <f t="shared" si="535"/>
        <v/>
      </c>
      <c r="AK1121" s="55"/>
      <c r="AL1121" s="56" t="str">
        <f t="shared" si="536"/>
        <v/>
      </c>
      <c r="AM1121" s="55"/>
      <c r="AN1121" s="56" t="str">
        <f t="shared" si="537"/>
        <v/>
      </c>
      <c r="AO1121" s="55"/>
      <c r="AP1121" s="56" t="str">
        <f t="shared" si="538"/>
        <v/>
      </c>
      <c r="AQ1121" s="55"/>
      <c r="AR1121" s="56" t="str">
        <f t="shared" si="539"/>
        <v/>
      </c>
      <c r="AS1121" s="57"/>
      <c r="AT1121" s="58"/>
      <c r="AU1121" s="58"/>
      <c r="AV1121" s="59"/>
      <c r="AW1121" s="60" t="str">
        <f t="shared" si="517"/>
        <v/>
      </c>
      <c r="AX1121" s="61" t="str">
        <f t="shared" si="518"/>
        <v/>
      </c>
      <c r="AY1121" s="60" t="str">
        <f t="shared" si="519"/>
        <v/>
      </c>
      <c r="AZ1121" s="61" t="str">
        <f t="shared" si="520"/>
        <v/>
      </c>
    </row>
    <row r="1122" spans="1:52" s="3" customFormat="1" hidden="1" x14ac:dyDescent="0.35">
      <c r="A1122" s="72">
        <f t="shared" si="521"/>
        <v>2021</v>
      </c>
      <c r="B1122" s="72" t="str">
        <f t="shared" si="522"/>
        <v>Nov</v>
      </c>
      <c r="C1122" s="73">
        <f t="shared" si="540"/>
        <v>15</v>
      </c>
      <c r="D1122" s="74">
        <f t="shared" si="523"/>
        <v>10</v>
      </c>
      <c r="E1122" s="75">
        <f t="shared" si="524"/>
        <v>38</v>
      </c>
      <c r="F1122" s="79"/>
      <c r="G1122" s="82"/>
      <c r="H1122" s="68" t="str">
        <f t="shared" si="541"/>
        <v>Clesim6_20211115_10_00</v>
      </c>
      <c r="I1122" s="69">
        <f t="shared" si="543"/>
        <v>1</v>
      </c>
      <c r="J1122" s="76" t="str">
        <f t="shared" si="543"/>
        <v>Clematis</v>
      </c>
      <c r="K1122" s="76" t="str">
        <f t="shared" si="543"/>
        <v>simense</v>
      </c>
      <c r="L1122" s="77">
        <f t="shared" si="543"/>
        <v>6</v>
      </c>
      <c r="M1122" s="77">
        <f t="shared" si="543"/>
        <v>20</v>
      </c>
      <c r="N1122" s="71">
        <f t="shared" si="543"/>
        <v>0</v>
      </c>
      <c r="O1122" s="44"/>
      <c r="P1122" s="45" t="str">
        <f t="shared" si="525"/>
        <v/>
      </c>
      <c r="Q1122" s="46" t="str">
        <f t="shared" si="526"/>
        <v/>
      </c>
      <c r="R1122" s="47" t="e">
        <f t="shared" si="527"/>
        <v>#VALUE!</v>
      </c>
      <c r="S1122" s="48" t="e">
        <f t="shared" si="516"/>
        <v>#VALUE!</v>
      </c>
      <c r="T1122" s="47" t="str">
        <f t="shared" si="528"/>
        <v/>
      </c>
      <c r="U1122" s="49"/>
      <c r="V1122" s="50"/>
      <c r="W1122" s="51" t="e">
        <f t="shared" si="529"/>
        <v>#VALUE!</v>
      </c>
      <c r="X1122" s="52"/>
      <c r="Y1122" s="52"/>
      <c r="Z1122" s="52"/>
      <c r="AA1122" s="47" t="e">
        <f>INDEX(VISITORS[INSECT ORDER], MATCH(X1122,VISITORS[NAME USED],0))</f>
        <v>#N/A</v>
      </c>
      <c r="AB1122" s="47" t="e">
        <f t="shared" si="530"/>
        <v>#N/A</v>
      </c>
      <c r="AC1122" s="53" t="e">
        <f t="shared" si="531"/>
        <v>#VALUE!</v>
      </c>
      <c r="AD1122" s="54" t="str">
        <f t="shared" si="532"/>
        <v/>
      </c>
      <c r="AE1122" s="54"/>
      <c r="AF1122" s="54"/>
      <c r="AG1122" s="55" t="str">
        <f t="shared" si="533"/>
        <v/>
      </c>
      <c r="AH1122" s="56" t="str">
        <f t="shared" si="534"/>
        <v/>
      </c>
      <c r="AI1122" s="55"/>
      <c r="AJ1122" s="56" t="str">
        <f t="shared" si="535"/>
        <v/>
      </c>
      <c r="AK1122" s="55"/>
      <c r="AL1122" s="56" t="str">
        <f t="shared" si="536"/>
        <v/>
      </c>
      <c r="AM1122" s="55"/>
      <c r="AN1122" s="56" t="str">
        <f t="shared" si="537"/>
        <v/>
      </c>
      <c r="AO1122" s="55"/>
      <c r="AP1122" s="56" t="str">
        <f t="shared" si="538"/>
        <v/>
      </c>
      <c r="AQ1122" s="55"/>
      <c r="AR1122" s="56" t="str">
        <f t="shared" si="539"/>
        <v/>
      </c>
      <c r="AS1122" s="57"/>
      <c r="AT1122" s="58"/>
      <c r="AU1122" s="58"/>
      <c r="AV1122" s="59"/>
      <c r="AW1122" s="60" t="str">
        <f t="shared" si="517"/>
        <v/>
      </c>
      <c r="AX1122" s="61" t="str">
        <f t="shared" si="518"/>
        <v/>
      </c>
      <c r="AY1122" s="60" t="str">
        <f t="shared" si="519"/>
        <v/>
      </c>
      <c r="AZ1122" s="61" t="str">
        <f t="shared" si="520"/>
        <v/>
      </c>
    </row>
    <row r="1123" spans="1:52" s="3" customFormat="1" hidden="1" x14ac:dyDescent="0.35">
      <c r="A1123" s="72">
        <f t="shared" si="521"/>
        <v>2021</v>
      </c>
      <c r="B1123" s="72" t="str">
        <f t="shared" si="522"/>
        <v>Nov</v>
      </c>
      <c r="C1123" s="73">
        <f t="shared" si="540"/>
        <v>15</v>
      </c>
      <c r="D1123" s="74">
        <f t="shared" si="523"/>
        <v>10</v>
      </c>
      <c r="E1123" s="75">
        <f t="shared" si="524"/>
        <v>39</v>
      </c>
      <c r="F1123" s="79"/>
      <c r="G1123" s="82"/>
      <c r="H1123" s="68" t="str">
        <f t="shared" si="541"/>
        <v>Clesim6_20211115_10_00</v>
      </c>
      <c r="I1123" s="69">
        <f t="shared" si="543"/>
        <v>1</v>
      </c>
      <c r="J1123" s="76" t="str">
        <f t="shared" si="543"/>
        <v>Clematis</v>
      </c>
      <c r="K1123" s="76" t="str">
        <f t="shared" si="543"/>
        <v>simense</v>
      </c>
      <c r="L1123" s="77">
        <f t="shared" si="543"/>
        <v>6</v>
      </c>
      <c r="M1123" s="77">
        <f t="shared" si="543"/>
        <v>20</v>
      </c>
      <c r="N1123" s="71">
        <f t="shared" si="543"/>
        <v>0</v>
      </c>
      <c r="O1123" s="44"/>
      <c r="P1123" s="45" t="str">
        <f t="shared" si="525"/>
        <v/>
      </c>
      <c r="Q1123" s="46" t="str">
        <f t="shared" si="526"/>
        <v/>
      </c>
      <c r="R1123" s="47" t="e">
        <f t="shared" si="527"/>
        <v>#VALUE!</v>
      </c>
      <c r="S1123" s="48" t="e">
        <f t="shared" si="516"/>
        <v>#VALUE!</v>
      </c>
      <c r="T1123" s="47" t="str">
        <f t="shared" si="528"/>
        <v/>
      </c>
      <c r="U1123" s="49"/>
      <c r="V1123" s="50"/>
      <c r="W1123" s="51" t="e">
        <f t="shared" si="529"/>
        <v>#VALUE!</v>
      </c>
      <c r="X1123" s="52"/>
      <c r="Y1123" s="52"/>
      <c r="Z1123" s="52"/>
      <c r="AA1123" s="47" t="e">
        <f>INDEX(VISITORS[INSECT ORDER], MATCH(X1123,VISITORS[NAME USED],0))</f>
        <v>#N/A</v>
      </c>
      <c r="AB1123" s="47" t="e">
        <f t="shared" si="530"/>
        <v>#N/A</v>
      </c>
      <c r="AC1123" s="53" t="e">
        <f t="shared" si="531"/>
        <v>#VALUE!</v>
      </c>
      <c r="AD1123" s="54" t="str">
        <f t="shared" si="532"/>
        <v/>
      </c>
      <c r="AE1123" s="54"/>
      <c r="AF1123" s="54"/>
      <c r="AG1123" s="55" t="str">
        <f t="shared" si="533"/>
        <v/>
      </c>
      <c r="AH1123" s="56" t="str">
        <f t="shared" si="534"/>
        <v/>
      </c>
      <c r="AI1123" s="55"/>
      <c r="AJ1123" s="56" t="str">
        <f t="shared" si="535"/>
        <v/>
      </c>
      <c r="AK1123" s="55"/>
      <c r="AL1123" s="56" t="str">
        <f t="shared" si="536"/>
        <v/>
      </c>
      <c r="AM1123" s="55"/>
      <c r="AN1123" s="56" t="str">
        <f t="shared" si="537"/>
        <v/>
      </c>
      <c r="AO1123" s="55"/>
      <c r="AP1123" s="56" t="str">
        <f t="shared" si="538"/>
        <v/>
      </c>
      <c r="AQ1123" s="55"/>
      <c r="AR1123" s="56" t="str">
        <f t="shared" si="539"/>
        <v/>
      </c>
      <c r="AS1123" s="57"/>
      <c r="AT1123" s="58"/>
      <c r="AU1123" s="58"/>
      <c r="AV1123" s="59"/>
      <c r="AW1123" s="60" t="str">
        <f t="shared" si="517"/>
        <v/>
      </c>
      <c r="AX1123" s="61" t="str">
        <f t="shared" si="518"/>
        <v/>
      </c>
      <c r="AY1123" s="60" t="str">
        <f t="shared" si="519"/>
        <v/>
      </c>
      <c r="AZ1123" s="61" t="str">
        <f t="shared" si="520"/>
        <v/>
      </c>
    </row>
    <row r="1124" spans="1:52" s="3" customFormat="1" hidden="1" x14ac:dyDescent="0.35">
      <c r="A1124" s="72">
        <f t="shared" si="521"/>
        <v>2021</v>
      </c>
      <c r="B1124" s="72" t="str">
        <f t="shared" si="522"/>
        <v>Nov</v>
      </c>
      <c r="C1124" s="73">
        <f t="shared" si="540"/>
        <v>15</v>
      </c>
      <c r="D1124" s="74">
        <f t="shared" si="523"/>
        <v>10</v>
      </c>
      <c r="E1124" s="75">
        <f t="shared" si="524"/>
        <v>40</v>
      </c>
      <c r="F1124" s="79"/>
      <c r="G1124" s="82"/>
      <c r="H1124" s="68" t="str">
        <f t="shared" si="541"/>
        <v>Clesim6_20211115_10_00</v>
      </c>
      <c r="I1124" s="69">
        <f t="shared" si="543"/>
        <v>1</v>
      </c>
      <c r="J1124" s="76" t="str">
        <f t="shared" si="543"/>
        <v>Clematis</v>
      </c>
      <c r="K1124" s="76" t="str">
        <f t="shared" si="543"/>
        <v>simense</v>
      </c>
      <c r="L1124" s="77">
        <f t="shared" si="543"/>
        <v>6</v>
      </c>
      <c r="M1124" s="77">
        <f t="shared" si="543"/>
        <v>20</v>
      </c>
      <c r="N1124" s="71">
        <f t="shared" si="543"/>
        <v>0</v>
      </c>
      <c r="O1124" s="44"/>
      <c r="P1124" s="45" t="str">
        <f t="shared" si="525"/>
        <v/>
      </c>
      <c r="Q1124" s="46" t="str">
        <f t="shared" si="526"/>
        <v/>
      </c>
      <c r="R1124" s="47" t="e">
        <f t="shared" si="527"/>
        <v>#VALUE!</v>
      </c>
      <c r="S1124" s="48" t="e">
        <f t="shared" si="516"/>
        <v>#VALUE!</v>
      </c>
      <c r="T1124" s="47" t="str">
        <f t="shared" si="528"/>
        <v/>
      </c>
      <c r="U1124" s="49"/>
      <c r="V1124" s="50"/>
      <c r="W1124" s="51" t="e">
        <f t="shared" si="529"/>
        <v>#VALUE!</v>
      </c>
      <c r="X1124" s="52"/>
      <c r="Y1124" s="52"/>
      <c r="Z1124" s="52"/>
      <c r="AA1124" s="47" t="e">
        <f>INDEX(VISITORS[INSECT ORDER], MATCH(X1124,VISITORS[NAME USED],0))</f>
        <v>#N/A</v>
      </c>
      <c r="AB1124" s="47" t="e">
        <f t="shared" si="530"/>
        <v>#N/A</v>
      </c>
      <c r="AC1124" s="53" t="e">
        <f t="shared" si="531"/>
        <v>#VALUE!</v>
      </c>
      <c r="AD1124" s="54" t="str">
        <f t="shared" si="532"/>
        <v/>
      </c>
      <c r="AE1124" s="54"/>
      <c r="AF1124" s="54"/>
      <c r="AG1124" s="55" t="str">
        <f t="shared" si="533"/>
        <v/>
      </c>
      <c r="AH1124" s="56" t="str">
        <f t="shared" si="534"/>
        <v/>
      </c>
      <c r="AI1124" s="55"/>
      <c r="AJ1124" s="56" t="str">
        <f t="shared" si="535"/>
        <v/>
      </c>
      <c r="AK1124" s="55"/>
      <c r="AL1124" s="56" t="str">
        <f t="shared" si="536"/>
        <v/>
      </c>
      <c r="AM1124" s="55"/>
      <c r="AN1124" s="56" t="str">
        <f t="shared" si="537"/>
        <v/>
      </c>
      <c r="AO1124" s="55"/>
      <c r="AP1124" s="56" t="str">
        <f t="shared" si="538"/>
        <v/>
      </c>
      <c r="AQ1124" s="55"/>
      <c r="AR1124" s="56" t="str">
        <f t="shared" si="539"/>
        <v/>
      </c>
      <c r="AS1124" s="57"/>
      <c r="AT1124" s="58"/>
      <c r="AU1124" s="58"/>
      <c r="AV1124" s="59"/>
      <c r="AW1124" s="60" t="str">
        <f t="shared" si="517"/>
        <v/>
      </c>
      <c r="AX1124" s="61" t="str">
        <f t="shared" si="518"/>
        <v/>
      </c>
      <c r="AY1124" s="60" t="str">
        <f t="shared" si="519"/>
        <v/>
      </c>
      <c r="AZ1124" s="61" t="str">
        <f t="shared" si="520"/>
        <v/>
      </c>
    </row>
    <row r="1125" spans="1:52" s="3" customFormat="1" hidden="1" x14ac:dyDescent="0.35">
      <c r="A1125" s="72">
        <f t="shared" si="521"/>
        <v>2021</v>
      </c>
      <c r="B1125" s="72" t="str">
        <f t="shared" si="522"/>
        <v>Nov</v>
      </c>
      <c r="C1125" s="73">
        <f t="shared" si="540"/>
        <v>15</v>
      </c>
      <c r="D1125" s="74">
        <f t="shared" si="523"/>
        <v>10</v>
      </c>
      <c r="E1125" s="75">
        <f t="shared" si="524"/>
        <v>41</v>
      </c>
      <c r="F1125" s="79"/>
      <c r="G1125" s="82"/>
      <c r="H1125" s="68" t="str">
        <f t="shared" si="541"/>
        <v>Clesim6_20211115_10_00</v>
      </c>
      <c r="I1125" s="69">
        <f t="shared" si="543"/>
        <v>1</v>
      </c>
      <c r="J1125" s="76" t="str">
        <f t="shared" si="543"/>
        <v>Clematis</v>
      </c>
      <c r="K1125" s="76" t="str">
        <f t="shared" si="543"/>
        <v>simense</v>
      </c>
      <c r="L1125" s="77">
        <f t="shared" si="543"/>
        <v>6</v>
      </c>
      <c r="M1125" s="77">
        <f t="shared" si="543"/>
        <v>20</v>
      </c>
      <c r="N1125" s="71">
        <f t="shared" si="543"/>
        <v>0</v>
      </c>
      <c r="O1125" s="44"/>
      <c r="P1125" s="45" t="str">
        <f t="shared" si="525"/>
        <v/>
      </c>
      <c r="Q1125" s="46" t="str">
        <f t="shared" si="526"/>
        <v/>
      </c>
      <c r="R1125" s="47" t="e">
        <f t="shared" si="527"/>
        <v>#VALUE!</v>
      </c>
      <c r="S1125" s="48" t="e">
        <f t="shared" si="516"/>
        <v>#VALUE!</v>
      </c>
      <c r="T1125" s="47" t="str">
        <f t="shared" si="528"/>
        <v/>
      </c>
      <c r="U1125" s="49"/>
      <c r="V1125" s="50"/>
      <c r="W1125" s="51" t="e">
        <f t="shared" si="529"/>
        <v>#VALUE!</v>
      </c>
      <c r="X1125" s="52"/>
      <c r="Y1125" s="52"/>
      <c r="Z1125" s="52"/>
      <c r="AA1125" s="47" t="e">
        <f>INDEX(VISITORS[INSECT ORDER], MATCH(X1125,VISITORS[NAME USED],0))</f>
        <v>#N/A</v>
      </c>
      <c r="AB1125" s="47" t="e">
        <f t="shared" si="530"/>
        <v>#N/A</v>
      </c>
      <c r="AC1125" s="53" t="e">
        <f t="shared" si="531"/>
        <v>#VALUE!</v>
      </c>
      <c r="AD1125" s="54" t="str">
        <f t="shared" si="532"/>
        <v/>
      </c>
      <c r="AE1125" s="54"/>
      <c r="AF1125" s="54"/>
      <c r="AG1125" s="55" t="str">
        <f t="shared" si="533"/>
        <v/>
      </c>
      <c r="AH1125" s="56" t="str">
        <f t="shared" si="534"/>
        <v/>
      </c>
      <c r="AI1125" s="55"/>
      <c r="AJ1125" s="56" t="str">
        <f t="shared" si="535"/>
        <v/>
      </c>
      <c r="AK1125" s="55"/>
      <c r="AL1125" s="56" t="str">
        <f t="shared" si="536"/>
        <v/>
      </c>
      <c r="AM1125" s="55"/>
      <c r="AN1125" s="56" t="str">
        <f t="shared" si="537"/>
        <v/>
      </c>
      <c r="AO1125" s="55"/>
      <c r="AP1125" s="56" t="str">
        <f t="shared" si="538"/>
        <v/>
      </c>
      <c r="AQ1125" s="55"/>
      <c r="AR1125" s="56" t="str">
        <f t="shared" si="539"/>
        <v/>
      </c>
      <c r="AS1125" s="57"/>
      <c r="AT1125" s="58"/>
      <c r="AU1125" s="58"/>
      <c r="AV1125" s="59"/>
      <c r="AW1125" s="60" t="str">
        <f t="shared" si="517"/>
        <v/>
      </c>
      <c r="AX1125" s="61" t="str">
        <f t="shared" si="518"/>
        <v/>
      </c>
      <c r="AY1125" s="60" t="str">
        <f t="shared" si="519"/>
        <v/>
      </c>
      <c r="AZ1125" s="61" t="str">
        <f t="shared" si="520"/>
        <v/>
      </c>
    </row>
    <row r="1126" spans="1:52" s="3" customFormat="1" hidden="1" x14ac:dyDescent="0.35">
      <c r="A1126" s="72">
        <f t="shared" si="521"/>
        <v>2021</v>
      </c>
      <c r="B1126" s="72" t="str">
        <f t="shared" si="522"/>
        <v>Nov</v>
      </c>
      <c r="C1126" s="73">
        <f t="shared" si="540"/>
        <v>15</v>
      </c>
      <c r="D1126" s="74">
        <f t="shared" si="523"/>
        <v>10</v>
      </c>
      <c r="E1126" s="75">
        <f t="shared" si="524"/>
        <v>42</v>
      </c>
      <c r="F1126" s="79"/>
      <c r="G1126" s="82"/>
      <c r="H1126" s="68" t="str">
        <f t="shared" si="541"/>
        <v>Clesim6_20211115_10_00</v>
      </c>
      <c r="I1126" s="69">
        <f t="shared" ref="I1126:N1141" si="544">I1125</f>
        <v>1</v>
      </c>
      <c r="J1126" s="76" t="str">
        <f t="shared" si="544"/>
        <v>Clematis</v>
      </c>
      <c r="K1126" s="76" t="str">
        <f t="shared" si="544"/>
        <v>simense</v>
      </c>
      <c r="L1126" s="77">
        <f t="shared" si="544"/>
        <v>6</v>
      </c>
      <c r="M1126" s="77">
        <f t="shared" si="544"/>
        <v>20</v>
      </c>
      <c r="N1126" s="71">
        <f t="shared" si="544"/>
        <v>0</v>
      </c>
      <c r="O1126" s="44"/>
      <c r="P1126" s="45" t="str">
        <f t="shared" si="525"/>
        <v/>
      </c>
      <c r="Q1126" s="46" t="str">
        <f t="shared" si="526"/>
        <v/>
      </c>
      <c r="R1126" s="47" t="e">
        <f t="shared" si="527"/>
        <v>#VALUE!</v>
      </c>
      <c r="S1126" s="48" t="e">
        <f t="shared" si="516"/>
        <v>#VALUE!</v>
      </c>
      <c r="T1126" s="47" t="str">
        <f t="shared" si="528"/>
        <v/>
      </c>
      <c r="U1126" s="49"/>
      <c r="V1126" s="50"/>
      <c r="W1126" s="51" t="e">
        <f t="shared" si="529"/>
        <v>#VALUE!</v>
      </c>
      <c r="X1126" s="52"/>
      <c r="Y1126" s="52"/>
      <c r="Z1126" s="52"/>
      <c r="AA1126" s="47" t="e">
        <f>INDEX(VISITORS[INSECT ORDER], MATCH(X1126,VISITORS[NAME USED],0))</f>
        <v>#N/A</v>
      </c>
      <c r="AB1126" s="47" t="e">
        <f t="shared" si="530"/>
        <v>#N/A</v>
      </c>
      <c r="AC1126" s="53" t="e">
        <f t="shared" si="531"/>
        <v>#VALUE!</v>
      </c>
      <c r="AD1126" s="54" t="str">
        <f t="shared" si="532"/>
        <v/>
      </c>
      <c r="AE1126" s="54"/>
      <c r="AF1126" s="54"/>
      <c r="AG1126" s="55" t="str">
        <f t="shared" si="533"/>
        <v/>
      </c>
      <c r="AH1126" s="56" t="str">
        <f t="shared" si="534"/>
        <v/>
      </c>
      <c r="AI1126" s="55"/>
      <c r="AJ1126" s="56" t="str">
        <f t="shared" si="535"/>
        <v/>
      </c>
      <c r="AK1126" s="55"/>
      <c r="AL1126" s="56" t="str">
        <f t="shared" si="536"/>
        <v/>
      </c>
      <c r="AM1126" s="55"/>
      <c r="AN1126" s="56" t="str">
        <f t="shared" si="537"/>
        <v/>
      </c>
      <c r="AO1126" s="55"/>
      <c r="AP1126" s="56" t="str">
        <f t="shared" si="538"/>
        <v/>
      </c>
      <c r="AQ1126" s="55"/>
      <c r="AR1126" s="56" t="str">
        <f t="shared" si="539"/>
        <v/>
      </c>
      <c r="AS1126" s="57"/>
      <c r="AT1126" s="58"/>
      <c r="AU1126" s="58"/>
      <c r="AV1126" s="59"/>
      <c r="AW1126" s="60" t="str">
        <f t="shared" si="517"/>
        <v/>
      </c>
      <c r="AX1126" s="61" t="str">
        <f t="shared" si="518"/>
        <v/>
      </c>
      <c r="AY1126" s="60" t="str">
        <f t="shared" si="519"/>
        <v/>
      </c>
      <c r="AZ1126" s="61" t="str">
        <f t="shared" si="520"/>
        <v/>
      </c>
    </row>
    <row r="1127" spans="1:52" s="3" customFormat="1" hidden="1" x14ac:dyDescent="0.35">
      <c r="A1127" s="72">
        <f t="shared" si="521"/>
        <v>2021</v>
      </c>
      <c r="B1127" s="72" t="str">
        <f t="shared" si="522"/>
        <v>Nov</v>
      </c>
      <c r="C1127" s="73">
        <f t="shared" si="540"/>
        <v>15</v>
      </c>
      <c r="D1127" s="74">
        <f t="shared" si="523"/>
        <v>10</v>
      </c>
      <c r="E1127" s="75">
        <f t="shared" si="524"/>
        <v>43</v>
      </c>
      <c r="F1127" s="79"/>
      <c r="G1127" s="82"/>
      <c r="H1127" s="68" t="str">
        <f t="shared" si="541"/>
        <v>Clesim6_20211115_10_00</v>
      </c>
      <c r="I1127" s="69">
        <f t="shared" si="544"/>
        <v>1</v>
      </c>
      <c r="J1127" s="76" t="str">
        <f t="shared" si="544"/>
        <v>Clematis</v>
      </c>
      <c r="K1127" s="76" t="str">
        <f t="shared" si="544"/>
        <v>simense</v>
      </c>
      <c r="L1127" s="77">
        <f t="shared" si="544"/>
        <v>6</v>
      </c>
      <c r="M1127" s="77">
        <f t="shared" si="544"/>
        <v>20</v>
      </c>
      <c r="N1127" s="71">
        <f t="shared" si="544"/>
        <v>0</v>
      </c>
      <c r="O1127" s="44"/>
      <c r="P1127" s="45" t="str">
        <f t="shared" si="525"/>
        <v/>
      </c>
      <c r="Q1127" s="46" t="str">
        <f t="shared" si="526"/>
        <v/>
      </c>
      <c r="R1127" s="47" t="e">
        <f t="shared" si="527"/>
        <v>#VALUE!</v>
      </c>
      <c r="S1127" s="48" t="e">
        <f t="shared" si="516"/>
        <v>#VALUE!</v>
      </c>
      <c r="T1127" s="47" t="str">
        <f t="shared" si="528"/>
        <v/>
      </c>
      <c r="U1127" s="49"/>
      <c r="V1127" s="50"/>
      <c r="W1127" s="51" t="e">
        <f t="shared" si="529"/>
        <v>#VALUE!</v>
      </c>
      <c r="X1127" s="52"/>
      <c r="Y1127" s="52"/>
      <c r="Z1127" s="52"/>
      <c r="AA1127" s="47" t="e">
        <f>INDEX(VISITORS[INSECT ORDER], MATCH(X1127,VISITORS[NAME USED],0))</f>
        <v>#N/A</v>
      </c>
      <c r="AB1127" s="47" t="e">
        <f t="shared" si="530"/>
        <v>#N/A</v>
      </c>
      <c r="AC1127" s="53" t="e">
        <f t="shared" si="531"/>
        <v>#VALUE!</v>
      </c>
      <c r="AD1127" s="54" t="str">
        <f t="shared" si="532"/>
        <v/>
      </c>
      <c r="AE1127" s="54"/>
      <c r="AF1127" s="54"/>
      <c r="AG1127" s="55" t="str">
        <f t="shared" si="533"/>
        <v/>
      </c>
      <c r="AH1127" s="56" t="str">
        <f t="shared" si="534"/>
        <v/>
      </c>
      <c r="AI1127" s="55"/>
      <c r="AJ1127" s="56" t="str">
        <f t="shared" si="535"/>
        <v/>
      </c>
      <c r="AK1127" s="55"/>
      <c r="AL1127" s="56" t="str">
        <f t="shared" si="536"/>
        <v/>
      </c>
      <c r="AM1127" s="55"/>
      <c r="AN1127" s="56" t="str">
        <f t="shared" si="537"/>
        <v/>
      </c>
      <c r="AO1127" s="55"/>
      <c r="AP1127" s="56" t="str">
        <f t="shared" si="538"/>
        <v/>
      </c>
      <c r="AQ1127" s="55"/>
      <c r="AR1127" s="56" t="str">
        <f t="shared" si="539"/>
        <v/>
      </c>
      <c r="AS1127" s="57"/>
      <c r="AT1127" s="58"/>
      <c r="AU1127" s="58"/>
      <c r="AV1127" s="59"/>
      <c r="AW1127" s="60" t="str">
        <f t="shared" si="517"/>
        <v/>
      </c>
      <c r="AX1127" s="61" t="str">
        <f t="shared" si="518"/>
        <v/>
      </c>
      <c r="AY1127" s="60" t="str">
        <f t="shared" si="519"/>
        <v/>
      </c>
      <c r="AZ1127" s="61" t="str">
        <f t="shared" si="520"/>
        <v/>
      </c>
    </row>
    <row r="1128" spans="1:52" s="3" customFormat="1" hidden="1" x14ac:dyDescent="0.35">
      <c r="A1128" s="72">
        <f t="shared" si="521"/>
        <v>2021</v>
      </c>
      <c r="B1128" s="72" t="str">
        <f t="shared" si="522"/>
        <v>Nov</v>
      </c>
      <c r="C1128" s="73">
        <f t="shared" si="540"/>
        <v>15</v>
      </c>
      <c r="D1128" s="74">
        <f t="shared" si="523"/>
        <v>10</v>
      </c>
      <c r="E1128" s="75">
        <f t="shared" si="524"/>
        <v>44</v>
      </c>
      <c r="F1128" s="79"/>
      <c r="G1128" s="82"/>
      <c r="H1128" s="68" t="str">
        <f t="shared" si="541"/>
        <v>Clesim6_20211115_10_00</v>
      </c>
      <c r="I1128" s="69">
        <f t="shared" si="544"/>
        <v>1</v>
      </c>
      <c r="J1128" s="76" t="str">
        <f t="shared" si="544"/>
        <v>Clematis</v>
      </c>
      <c r="K1128" s="76" t="str">
        <f t="shared" si="544"/>
        <v>simense</v>
      </c>
      <c r="L1128" s="77">
        <f t="shared" si="544"/>
        <v>6</v>
      </c>
      <c r="M1128" s="77">
        <f t="shared" si="544"/>
        <v>20</v>
      </c>
      <c r="N1128" s="71">
        <f t="shared" si="544"/>
        <v>0</v>
      </c>
      <c r="O1128" s="44"/>
      <c r="P1128" s="45" t="str">
        <f t="shared" si="525"/>
        <v/>
      </c>
      <c r="Q1128" s="46" t="str">
        <f t="shared" si="526"/>
        <v/>
      </c>
      <c r="R1128" s="47" t="e">
        <f t="shared" si="527"/>
        <v>#VALUE!</v>
      </c>
      <c r="S1128" s="48" t="e">
        <f t="shared" si="516"/>
        <v>#VALUE!</v>
      </c>
      <c r="T1128" s="47" t="str">
        <f t="shared" si="528"/>
        <v/>
      </c>
      <c r="U1128" s="49"/>
      <c r="V1128" s="50"/>
      <c r="W1128" s="51" t="e">
        <f t="shared" si="529"/>
        <v>#VALUE!</v>
      </c>
      <c r="X1128" s="52"/>
      <c r="Y1128" s="52"/>
      <c r="Z1128" s="52"/>
      <c r="AA1128" s="47" t="e">
        <f>INDEX(VISITORS[INSECT ORDER], MATCH(X1128,VISITORS[NAME USED],0))</f>
        <v>#N/A</v>
      </c>
      <c r="AB1128" s="47" t="e">
        <f t="shared" si="530"/>
        <v>#N/A</v>
      </c>
      <c r="AC1128" s="53" t="e">
        <f t="shared" si="531"/>
        <v>#VALUE!</v>
      </c>
      <c r="AD1128" s="54" t="str">
        <f t="shared" si="532"/>
        <v/>
      </c>
      <c r="AE1128" s="54"/>
      <c r="AF1128" s="54"/>
      <c r="AG1128" s="55" t="str">
        <f t="shared" si="533"/>
        <v/>
      </c>
      <c r="AH1128" s="56" t="str">
        <f t="shared" si="534"/>
        <v/>
      </c>
      <c r="AI1128" s="55"/>
      <c r="AJ1128" s="56" t="str">
        <f t="shared" si="535"/>
        <v/>
      </c>
      <c r="AK1128" s="55"/>
      <c r="AL1128" s="56" t="str">
        <f t="shared" si="536"/>
        <v/>
      </c>
      <c r="AM1128" s="55"/>
      <c r="AN1128" s="56" t="str">
        <f t="shared" si="537"/>
        <v/>
      </c>
      <c r="AO1128" s="55"/>
      <c r="AP1128" s="56" t="str">
        <f t="shared" si="538"/>
        <v/>
      </c>
      <c r="AQ1128" s="55"/>
      <c r="AR1128" s="56" t="str">
        <f t="shared" si="539"/>
        <v/>
      </c>
      <c r="AS1128" s="57"/>
      <c r="AT1128" s="58"/>
      <c r="AU1128" s="58"/>
      <c r="AV1128" s="59"/>
      <c r="AW1128" s="60" t="str">
        <f t="shared" si="517"/>
        <v/>
      </c>
      <c r="AX1128" s="61" t="str">
        <f t="shared" si="518"/>
        <v/>
      </c>
      <c r="AY1128" s="60" t="str">
        <f t="shared" si="519"/>
        <v/>
      </c>
      <c r="AZ1128" s="61" t="str">
        <f t="shared" si="520"/>
        <v/>
      </c>
    </row>
    <row r="1129" spans="1:52" s="3" customFormat="1" hidden="1" x14ac:dyDescent="0.35">
      <c r="A1129" s="72">
        <f t="shared" si="521"/>
        <v>2021</v>
      </c>
      <c r="B1129" s="72" t="str">
        <f t="shared" si="522"/>
        <v>Nov</v>
      </c>
      <c r="C1129" s="73">
        <f t="shared" si="540"/>
        <v>15</v>
      </c>
      <c r="D1129" s="74">
        <f t="shared" si="523"/>
        <v>10</v>
      </c>
      <c r="E1129" s="75">
        <f t="shared" si="524"/>
        <v>45</v>
      </c>
      <c r="F1129" s="79"/>
      <c r="G1129" s="82"/>
      <c r="H1129" s="68" t="str">
        <f t="shared" si="541"/>
        <v>Clesim6_20211115_10_00</v>
      </c>
      <c r="I1129" s="69">
        <f t="shared" si="544"/>
        <v>1</v>
      </c>
      <c r="J1129" s="76" t="str">
        <f t="shared" si="544"/>
        <v>Clematis</v>
      </c>
      <c r="K1129" s="76" t="str">
        <f t="shared" si="544"/>
        <v>simense</v>
      </c>
      <c r="L1129" s="77">
        <f t="shared" si="544"/>
        <v>6</v>
      </c>
      <c r="M1129" s="77">
        <f t="shared" si="544"/>
        <v>20</v>
      </c>
      <c r="N1129" s="71">
        <f t="shared" si="544"/>
        <v>0</v>
      </c>
      <c r="O1129" s="44"/>
      <c r="P1129" s="45" t="str">
        <f t="shared" si="525"/>
        <v/>
      </c>
      <c r="Q1129" s="46" t="str">
        <f t="shared" si="526"/>
        <v/>
      </c>
      <c r="R1129" s="47" t="e">
        <f t="shared" si="527"/>
        <v>#VALUE!</v>
      </c>
      <c r="S1129" s="48" t="e">
        <f t="shared" si="516"/>
        <v>#VALUE!</v>
      </c>
      <c r="T1129" s="47" t="str">
        <f t="shared" si="528"/>
        <v/>
      </c>
      <c r="U1129" s="49"/>
      <c r="V1129" s="50"/>
      <c r="W1129" s="51" t="e">
        <f t="shared" si="529"/>
        <v>#VALUE!</v>
      </c>
      <c r="X1129" s="52"/>
      <c r="Y1129" s="52"/>
      <c r="Z1129" s="52"/>
      <c r="AA1129" s="47" t="e">
        <f>INDEX(VISITORS[INSECT ORDER], MATCH(X1129,VISITORS[NAME USED],0))</f>
        <v>#N/A</v>
      </c>
      <c r="AB1129" s="47" t="e">
        <f t="shared" si="530"/>
        <v>#N/A</v>
      </c>
      <c r="AC1129" s="53" t="e">
        <f t="shared" si="531"/>
        <v>#VALUE!</v>
      </c>
      <c r="AD1129" s="54" t="str">
        <f t="shared" si="532"/>
        <v/>
      </c>
      <c r="AE1129" s="54"/>
      <c r="AF1129" s="54"/>
      <c r="AG1129" s="55" t="str">
        <f t="shared" si="533"/>
        <v/>
      </c>
      <c r="AH1129" s="56" t="str">
        <f t="shared" si="534"/>
        <v/>
      </c>
      <c r="AI1129" s="55"/>
      <c r="AJ1129" s="56" t="str">
        <f t="shared" si="535"/>
        <v/>
      </c>
      <c r="AK1129" s="55"/>
      <c r="AL1129" s="56" t="str">
        <f t="shared" si="536"/>
        <v/>
      </c>
      <c r="AM1129" s="55"/>
      <c r="AN1129" s="56" t="str">
        <f t="shared" si="537"/>
        <v/>
      </c>
      <c r="AO1129" s="55"/>
      <c r="AP1129" s="56" t="str">
        <f t="shared" si="538"/>
        <v/>
      </c>
      <c r="AQ1129" s="55"/>
      <c r="AR1129" s="56" t="str">
        <f t="shared" si="539"/>
        <v/>
      </c>
      <c r="AS1129" s="57"/>
      <c r="AT1129" s="58"/>
      <c r="AU1129" s="58"/>
      <c r="AV1129" s="59"/>
      <c r="AW1129" s="60" t="str">
        <f t="shared" si="517"/>
        <v/>
      </c>
      <c r="AX1129" s="61" t="str">
        <f t="shared" si="518"/>
        <v/>
      </c>
      <c r="AY1129" s="60" t="str">
        <f t="shared" si="519"/>
        <v/>
      </c>
      <c r="AZ1129" s="61" t="str">
        <f t="shared" si="520"/>
        <v/>
      </c>
    </row>
    <row r="1130" spans="1:52" s="3" customFormat="1" hidden="1" x14ac:dyDescent="0.35">
      <c r="A1130" s="72">
        <f t="shared" si="521"/>
        <v>2021</v>
      </c>
      <c r="B1130" s="72" t="str">
        <f t="shared" si="522"/>
        <v>Nov</v>
      </c>
      <c r="C1130" s="73">
        <f t="shared" si="540"/>
        <v>15</v>
      </c>
      <c r="D1130" s="74">
        <f t="shared" si="523"/>
        <v>10</v>
      </c>
      <c r="E1130" s="75">
        <f t="shared" si="524"/>
        <v>46</v>
      </c>
      <c r="F1130" s="79"/>
      <c r="G1130" s="82"/>
      <c r="H1130" s="68" t="str">
        <f t="shared" si="541"/>
        <v>Clesim6_20211115_10_00</v>
      </c>
      <c r="I1130" s="69">
        <f t="shared" si="544"/>
        <v>1</v>
      </c>
      <c r="J1130" s="76" t="str">
        <f t="shared" si="544"/>
        <v>Clematis</v>
      </c>
      <c r="K1130" s="76" t="str">
        <f t="shared" si="544"/>
        <v>simense</v>
      </c>
      <c r="L1130" s="77">
        <f t="shared" si="544"/>
        <v>6</v>
      </c>
      <c r="M1130" s="77">
        <f t="shared" si="544"/>
        <v>20</v>
      </c>
      <c r="N1130" s="71">
        <f t="shared" si="544"/>
        <v>0</v>
      </c>
      <c r="O1130" s="44"/>
      <c r="P1130" s="45" t="str">
        <f t="shared" si="525"/>
        <v/>
      </c>
      <c r="Q1130" s="46" t="str">
        <f t="shared" si="526"/>
        <v/>
      </c>
      <c r="R1130" s="47" t="e">
        <f t="shared" si="527"/>
        <v>#VALUE!</v>
      </c>
      <c r="S1130" s="48" t="e">
        <f t="shared" si="516"/>
        <v>#VALUE!</v>
      </c>
      <c r="T1130" s="47" t="str">
        <f t="shared" si="528"/>
        <v/>
      </c>
      <c r="U1130" s="49"/>
      <c r="V1130" s="50"/>
      <c r="W1130" s="51" t="e">
        <f t="shared" si="529"/>
        <v>#VALUE!</v>
      </c>
      <c r="X1130" s="52"/>
      <c r="Y1130" s="52"/>
      <c r="Z1130" s="52"/>
      <c r="AA1130" s="47" t="e">
        <f>INDEX(VISITORS[INSECT ORDER], MATCH(X1130,VISITORS[NAME USED],0))</f>
        <v>#N/A</v>
      </c>
      <c r="AB1130" s="47" t="e">
        <f t="shared" si="530"/>
        <v>#N/A</v>
      </c>
      <c r="AC1130" s="53" t="e">
        <f t="shared" si="531"/>
        <v>#VALUE!</v>
      </c>
      <c r="AD1130" s="54" t="str">
        <f t="shared" si="532"/>
        <v/>
      </c>
      <c r="AE1130" s="54"/>
      <c r="AF1130" s="54"/>
      <c r="AG1130" s="55" t="str">
        <f t="shared" si="533"/>
        <v/>
      </c>
      <c r="AH1130" s="56" t="str">
        <f t="shared" si="534"/>
        <v/>
      </c>
      <c r="AI1130" s="55"/>
      <c r="AJ1130" s="56" t="str">
        <f t="shared" si="535"/>
        <v/>
      </c>
      <c r="AK1130" s="55"/>
      <c r="AL1130" s="56" t="str">
        <f t="shared" si="536"/>
        <v/>
      </c>
      <c r="AM1130" s="55"/>
      <c r="AN1130" s="56" t="str">
        <f t="shared" si="537"/>
        <v/>
      </c>
      <c r="AO1130" s="55"/>
      <c r="AP1130" s="56" t="str">
        <f t="shared" si="538"/>
        <v/>
      </c>
      <c r="AQ1130" s="55"/>
      <c r="AR1130" s="56" t="str">
        <f t="shared" si="539"/>
        <v/>
      </c>
      <c r="AS1130" s="57"/>
      <c r="AT1130" s="58"/>
      <c r="AU1130" s="58"/>
      <c r="AV1130" s="59"/>
      <c r="AW1130" s="60" t="str">
        <f t="shared" si="517"/>
        <v/>
      </c>
      <c r="AX1130" s="61" t="str">
        <f t="shared" si="518"/>
        <v/>
      </c>
      <c r="AY1130" s="60" t="str">
        <f t="shared" si="519"/>
        <v/>
      </c>
      <c r="AZ1130" s="61" t="str">
        <f t="shared" si="520"/>
        <v/>
      </c>
    </row>
    <row r="1131" spans="1:52" s="3" customFormat="1" hidden="1" x14ac:dyDescent="0.35">
      <c r="A1131" s="72">
        <f t="shared" si="521"/>
        <v>2021</v>
      </c>
      <c r="B1131" s="72" t="str">
        <f t="shared" si="522"/>
        <v>Nov</v>
      </c>
      <c r="C1131" s="73">
        <f t="shared" si="540"/>
        <v>15</v>
      </c>
      <c r="D1131" s="74">
        <f t="shared" si="523"/>
        <v>10</v>
      </c>
      <c r="E1131" s="75">
        <f t="shared" si="524"/>
        <v>47</v>
      </c>
      <c r="F1131" s="79"/>
      <c r="G1131" s="82"/>
      <c r="H1131" s="68" t="str">
        <f t="shared" si="541"/>
        <v>Clesim6_20211115_10_00</v>
      </c>
      <c r="I1131" s="69">
        <f t="shared" si="544"/>
        <v>1</v>
      </c>
      <c r="J1131" s="76" t="str">
        <f t="shared" si="544"/>
        <v>Clematis</v>
      </c>
      <c r="K1131" s="76" t="str">
        <f t="shared" si="544"/>
        <v>simense</v>
      </c>
      <c r="L1131" s="77">
        <f t="shared" si="544"/>
        <v>6</v>
      </c>
      <c r="M1131" s="77">
        <f t="shared" si="544"/>
        <v>20</v>
      </c>
      <c r="N1131" s="71">
        <f t="shared" si="544"/>
        <v>0</v>
      </c>
      <c r="O1131" s="44"/>
      <c r="P1131" s="45" t="str">
        <f t="shared" si="525"/>
        <v/>
      </c>
      <c r="Q1131" s="46" t="str">
        <f t="shared" si="526"/>
        <v/>
      </c>
      <c r="R1131" s="47" t="e">
        <f t="shared" si="527"/>
        <v>#VALUE!</v>
      </c>
      <c r="S1131" s="48" t="e">
        <f t="shared" si="516"/>
        <v>#VALUE!</v>
      </c>
      <c r="T1131" s="47" t="str">
        <f t="shared" si="528"/>
        <v/>
      </c>
      <c r="U1131" s="49"/>
      <c r="V1131" s="50"/>
      <c r="W1131" s="51" t="e">
        <f t="shared" si="529"/>
        <v>#VALUE!</v>
      </c>
      <c r="X1131" s="52"/>
      <c r="Y1131" s="52"/>
      <c r="Z1131" s="52"/>
      <c r="AA1131" s="47" t="e">
        <f>INDEX(VISITORS[INSECT ORDER], MATCH(X1131,VISITORS[NAME USED],0))</f>
        <v>#N/A</v>
      </c>
      <c r="AB1131" s="47" t="e">
        <f t="shared" si="530"/>
        <v>#N/A</v>
      </c>
      <c r="AC1131" s="53" t="e">
        <f t="shared" si="531"/>
        <v>#VALUE!</v>
      </c>
      <c r="AD1131" s="54" t="str">
        <f t="shared" si="532"/>
        <v/>
      </c>
      <c r="AE1131" s="54"/>
      <c r="AF1131" s="54"/>
      <c r="AG1131" s="55" t="str">
        <f t="shared" si="533"/>
        <v/>
      </c>
      <c r="AH1131" s="56" t="str">
        <f t="shared" si="534"/>
        <v/>
      </c>
      <c r="AI1131" s="55"/>
      <c r="AJ1131" s="56" t="str">
        <f t="shared" si="535"/>
        <v/>
      </c>
      <c r="AK1131" s="55"/>
      <c r="AL1131" s="56" t="str">
        <f t="shared" si="536"/>
        <v/>
      </c>
      <c r="AM1131" s="55"/>
      <c r="AN1131" s="56" t="str">
        <f t="shared" si="537"/>
        <v/>
      </c>
      <c r="AO1131" s="55"/>
      <c r="AP1131" s="56" t="str">
        <f t="shared" si="538"/>
        <v/>
      </c>
      <c r="AQ1131" s="55"/>
      <c r="AR1131" s="56" t="str">
        <f t="shared" si="539"/>
        <v/>
      </c>
      <c r="AS1131" s="57"/>
      <c r="AT1131" s="58"/>
      <c r="AU1131" s="58"/>
      <c r="AV1131" s="59"/>
      <c r="AW1131" s="60" t="str">
        <f t="shared" si="517"/>
        <v/>
      </c>
      <c r="AX1131" s="61" t="str">
        <f t="shared" si="518"/>
        <v/>
      </c>
      <c r="AY1131" s="60" t="str">
        <f t="shared" si="519"/>
        <v/>
      </c>
      <c r="AZ1131" s="61" t="str">
        <f t="shared" si="520"/>
        <v/>
      </c>
    </row>
    <row r="1132" spans="1:52" s="3" customFormat="1" hidden="1" x14ac:dyDescent="0.35">
      <c r="A1132" s="72">
        <f t="shared" si="521"/>
        <v>2021</v>
      </c>
      <c r="B1132" s="72" t="str">
        <f t="shared" si="522"/>
        <v>Nov</v>
      </c>
      <c r="C1132" s="73">
        <f t="shared" si="540"/>
        <v>15</v>
      </c>
      <c r="D1132" s="74">
        <f t="shared" si="523"/>
        <v>10</v>
      </c>
      <c r="E1132" s="75">
        <f t="shared" si="524"/>
        <v>48</v>
      </c>
      <c r="F1132" s="79"/>
      <c r="G1132" s="82"/>
      <c r="H1132" s="68" t="str">
        <f t="shared" si="541"/>
        <v>Clesim6_20211115_10_00</v>
      </c>
      <c r="I1132" s="69">
        <f t="shared" si="544"/>
        <v>1</v>
      </c>
      <c r="J1132" s="76" t="str">
        <f t="shared" si="544"/>
        <v>Clematis</v>
      </c>
      <c r="K1132" s="76" t="str">
        <f t="shared" si="544"/>
        <v>simense</v>
      </c>
      <c r="L1132" s="77">
        <f t="shared" si="544"/>
        <v>6</v>
      </c>
      <c r="M1132" s="77">
        <f t="shared" si="544"/>
        <v>20</v>
      </c>
      <c r="N1132" s="71">
        <f t="shared" si="544"/>
        <v>0</v>
      </c>
      <c r="O1132" s="44"/>
      <c r="P1132" s="45" t="str">
        <f t="shared" si="525"/>
        <v/>
      </c>
      <c r="Q1132" s="46" t="str">
        <f t="shared" si="526"/>
        <v/>
      </c>
      <c r="R1132" s="47" t="e">
        <f t="shared" si="527"/>
        <v>#VALUE!</v>
      </c>
      <c r="S1132" s="48" t="e">
        <f t="shared" si="516"/>
        <v>#VALUE!</v>
      </c>
      <c r="T1132" s="47" t="str">
        <f t="shared" si="528"/>
        <v/>
      </c>
      <c r="U1132" s="49"/>
      <c r="V1132" s="50"/>
      <c r="W1132" s="51" t="e">
        <f t="shared" si="529"/>
        <v>#VALUE!</v>
      </c>
      <c r="X1132" s="52"/>
      <c r="Y1132" s="52"/>
      <c r="Z1132" s="52"/>
      <c r="AA1132" s="47" t="e">
        <f>INDEX(VISITORS[INSECT ORDER], MATCH(X1132,VISITORS[NAME USED],0))</f>
        <v>#N/A</v>
      </c>
      <c r="AB1132" s="47" t="e">
        <f t="shared" si="530"/>
        <v>#N/A</v>
      </c>
      <c r="AC1132" s="53" t="e">
        <f t="shared" si="531"/>
        <v>#VALUE!</v>
      </c>
      <c r="AD1132" s="54" t="str">
        <f t="shared" si="532"/>
        <v/>
      </c>
      <c r="AE1132" s="54"/>
      <c r="AF1132" s="54"/>
      <c r="AG1132" s="55" t="str">
        <f t="shared" si="533"/>
        <v/>
      </c>
      <c r="AH1132" s="56" t="str">
        <f t="shared" si="534"/>
        <v/>
      </c>
      <c r="AI1132" s="55"/>
      <c r="AJ1132" s="56" t="str">
        <f t="shared" si="535"/>
        <v/>
      </c>
      <c r="AK1132" s="55"/>
      <c r="AL1132" s="56" t="str">
        <f t="shared" si="536"/>
        <v/>
      </c>
      <c r="AM1132" s="55"/>
      <c r="AN1132" s="56" t="str">
        <f t="shared" si="537"/>
        <v/>
      </c>
      <c r="AO1132" s="55"/>
      <c r="AP1132" s="56" t="str">
        <f t="shared" si="538"/>
        <v/>
      </c>
      <c r="AQ1132" s="55"/>
      <c r="AR1132" s="56" t="str">
        <f t="shared" si="539"/>
        <v/>
      </c>
      <c r="AS1132" s="57"/>
      <c r="AT1132" s="58"/>
      <c r="AU1132" s="58"/>
      <c r="AV1132" s="59"/>
      <c r="AW1132" s="60" t="str">
        <f t="shared" si="517"/>
        <v/>
      </c>
      <c r="AX1132" s="61" t="str">
        <f t="shared" si="518"/>
        <v/>
      </c>
      <c r="AY1132" s="60" t="str">
        <f t="shared" si="519"/>
        <v/>
      </c>
      <c r="AZ1132" s="61" t="str">
        <f t="shared" si="520"/>
        <v/>
      </c>
    </row>
    <row r="1133" spans="1:52" s="3" customFormat="1" hidden="1" x14ac:dyDescent="0.35">
      <c r="A1133" s="72">
        <f t="shared" si="521"/>
        <v>2021</v>
      </c>
      <c r="B1133" s="72" t="str">
        <f t="shared" si="522"/>
        <v>Nov</v>
      </c>
      <c r="C1133" s="73">
        <f t="shared" si="540"/>
        <v>15</v>
      </c>
      <c r="D1133" s="74">
        <f t="shared" si="523"/>
        <v>10</v>
      </c>
      <c r="E1133" s="75">
        <f t="shared" si="524"/>
        <v>49</v>
      </c>
      <c r="F1133" s="79"/>
      <c r="G1133" s="82"/>
      <c r="H1133" s="68" t="str">
        <f t="shared" si="541"/>
        <v>Clesim6_20211115_10_00</v>
      </c>
      <c r="I1133" s="69">
        <f t="shared" si="544"/>
        <v>1</v>
      </c>
      <c r="J1133" s="76" t="str">
        <f t="shared" si="544"/>
        <v>Clematis</v>
      </c>
      <c r="K1133" s="76" t="str">
        <f t="shared" si="544"/>
        <v>simense</v>
      </c>
      <c r="L1133" s="77">
        <f t="shared" si="544"/>
        <v>6</v>
      </c>
      <c r="M1133" s="77">
        <f t="shared" si="544"/>
        <v>20</v>
      </c>
      <c r="N1133" s="71">
        <f t="shared" si="544"/>
        <v>0</v>
      </c>
      <c r="O1133" s="44"/>
      <c r="P1133" s="45" t="str">
        <f t="shared" si="525"/>
        <v/>
      </c>
      <c r="Q1133" s="46" t="str">
        <f t="shared" si="526"/>
        <v/>
      </c>
      <c r="R1133" s="47" t="e">
        <f t="shared" si="527"/>
        <v>#VALUE!</v>
      </c>
      <c r="S1133" s="48" t="e">
        <f t="shared" si="516"/>
        <v>#VALUE!</v>
      </c>
      <c r="T1133" s="47" t="str">
        <f t="shared" si="528"/>
        <v/>
      </c>
      <c r="U1133" s="49"/>
      <c r="V1133" s="50"/>
      <c r="W1133" s="51" t="e">
        <f t="shared" si="529"/>
        <v>#VALUE!</v>
      </c>
      <c r="X1133" s="52"/>
      <c r="Y1133" s="52"/>
      <c r="Z1133" s="52"/>
      <c r="AA1133" s="47" t="e">
        <f>INDEX(VISITORS[INSECT ORDER], MATCH(X1133,VISITORS[NAME USED],0))</f>
        <v>#N/A</v>
      </c>
      <c r="AB1133" s="47" t="e">
        <f t="shared" si="530"/>
        <v>#N/A</v>
      </c>
      <c r="AC1133" s="53" t="e">
        <f t="shared" si="531"/>
        <v>#VALUE!</v>
      </c>
      <c r="AD1133" s="54" t="str">
        <f t="shared" si="532"/>
        <v/>
      </c>
      <c r="AE1133" s="54"/>
      <c r="AF1133" s="54"/>
      <c r="AG1133" s="55" t="str">
        <f t="shared" si="533"/>
        <v/>
      </c>
      <c r="AH1133" s="56" t="str">
        <f t="shared" si="534"/>
        <v/>
      </c>
      <c r="AI1133" s="55"/>
      <c r="AJ1133" s="56" t="str">
        <f t="shared" si="535"/>
        <v/>
      </c>
      <c r="AK1133" s="55"/>
      <c r="AL1133" s="56" t="str">
        <f t="shared" si="536"/>
        <v/>
      </c>
      <c r="AM1133" s="55"/>
      <c r="AN1133" s="56" t="str">
        <f t="shared" si="537"/>
        <v/>
      </c>
      <c r="AO1133" s="55"/>
      <c r="AP1133" s="56" t="str">
        <f t="shared" si="538"/>
        <v/>
      </c>
      <c r="AQ1133" s="55"/>
      <c r="AR1133" s="56" t="str">
        <f t="shared" si="539"/>
        <v/>
      </c>
      <c r="AS1133" s="57"/>
      <c r="AT1133" s="58"/>
      <c r="AU1133" s="58"/>
      <c r="AV1133" s="59"/>
      <c r="AW1133" s="60" t="str">
        <f t="shared" si="517"/>
        <v/>
      </c>
      <c r="AX1133" s="61" t="str">
        <f t="shared" si="518"/>
        <v/>
      </c>
      <c r="AY1133" s="60" t="str">
        <f t="shared" si="519"/>
        <v/>
      </c>
      <c r="AZ1133" s="61" t="str">
        <f t="shared" si="520"/>
        <v/>
      </c>
    </row>
    <row r="1134" spans="1:52" s="3" customFormat="1" hidden="1" x14ac:dyDescent="0.35">
      <c r="A1134" s="72">
        <f t="shared" si="521"/>
        <v>2021</v>
      </c>
      <c r="B1134" s="72" t="str">
        <f t="shared" si="522"/>
        <v>Nov</v>
      </c>
      <c r="C1134" s="73">
        <f t="shared" si="540"/>
        <v>15</v>
      </c>
      <c r="D1134" s="74">
        <f t="shared" si="523"/>
        <v>10</v>
      </c>
      <c r="E1134" s="75">
        <f t="shared" si="524"/>
        <v>50</v>
      </c>
      <c r="F1134" s="79"/>
      <c r="G1134" s="82"/>
      <c r="H1134" s="68" t="str">
        <f t="shared" si="541"/>
        <v>Clesim6_20211115_10_00</v>
      </c>
      <c r="I1134" s="69">
        <f t="shared" si="544"/>
        <v>1</v>
      </c>
      <c r="J1134" s="76" t="str">
        <f t="shared" si="544"/>
        <v>Clematis</v>
      </c>
      <c r="K1134" s="76" t="str">
        <f t="shared" si="544"/>
        <v>simense</v>
      </c>
      <c r="L1134" s="77">
        <f t="shared" si="544"/>
        <v>6</v>
      </c>
      <c r="M1134" s="77">
        <f t="shared" si="544"/>
        <v>20</v>
      </c>
      <c r="N1134" s="71">
        <f t="shared" si="544"/>
        <v>0</v>
      </c>
      <c r="O1134" s="44"/>
      <c r="P1134" s="45" t="str">
        <f t="shared" si="525"/>
        <v/>
      </c>
      <c r="Q1134" s="46" t="str">
        <f t="shared" si="526"/>
        <v/>
      </c>
      <c r="R1134" s="47" t="e">
        <f t="shared" si="527"/>
        <v>#VALUE!</v>
      </c>
      <c r="S1134" s="48" t="e">
        <f t="shared" si="516"/>
        <v>#VALUE!</v>
      </c>
      <c r="T1134" s="47" t="str">
        <f t="shared" si="528"/>
        <v/>
      </c>
      <c r="U1134" s="49"/>
      <c r="V1134" s="50"/>
      <c r="W1134" s="51" t="e">
        <f t="shared" si="529"/>
        <v>#VALUE!</v>
      </c>
      <c r="X1134" s="52"/>
      <c r="Y1134" s="52"/>
      <c r="Z1134" s="52"/>
      <c r="AA1134" s="47" t="e">
        <f>INDEX(VISITORS[INSECT ORDER], MATCH(X1134,VISITORS[NAME USED],0))</f>
        <v>#N/A</v>
      </c>
      <c r="AB1134" s="47" t="e">
        <f t="shared" si="530"/>
        <v>#N/A</v>
      </c>
      <c r="AC1134" s="53" t="e">
        <f t="shared" si="531"/>
        <v>#VALUE!</v>
      </c>
      <c r="AD1134" s="54" t="str">
        <f t="shared" si="532"/>
        <v/>
      </c>
      <c r="AE1134" s="54"/>
      <c r="AF1134" s="54"/>
      <c r="AG1134" s="55" t="str">
        <f t="shared" si="533"/>
        <v/>
      </c>
      <c r="AH1134" s="56" t="str">
        <f t="shared" si="534"/>
        <v/>
      </c>
      <c r="AI1134" s="55"/>
      <c r="AJ1134" s="56" t="str">
        <f t="shared" si="535"/>
        <v/>
      </c>
      <c r="AK1134" s="55"/>
      <c r="AL1134" s="56" t="str">
        <f t="shared" si="536"/>
        <v/>
      </c>
      <c r="AM1134" s="55"/>
      <c r="AN1134" s="56" t="str">
        <f t="shared" si="537"/>
        <v/>
      </c>
      <c r="AO1134" s="55"/>
      <c r="AP1134" s="56" t="str">
        <f t="shared" si="538"/>
        <v/>
      </c>
      <c r="AQ1134" s="55"/>
      <c r="AR1134" s="56" t="str">
        <f t="shared" si="539"/>
        <v/>
      </c>
      <c r="AS1134" s="57"/>
      <c r="AT1134" s="58"/>
      <c r="AU1134" s="58"/>
      <c r="AV1134" s="59"/>
      <c r="AW1134" s="60" t="str">
        <f t="shared" si="517"/>
        <v/>
      </c>
      <c r="AX1134" s="61" t="str">
        <f t="shared" si="518"/>
        <v/>
      </c>
      <c r="AY1134" s="60" t="str">
        <f t="shared" si="519"/>
        <v/>
      </c>
      <c r="AZ1134" s="61" t="str">
        <f t="shared" si="520"/>
        <v/>
      </c>
    </row>
    <row r="1135" spans="1:52" s="3" customFormat="1" hidden="1" x14ac:dyDescent="0.35">
      <c r="A1135" s="72">
        <f t="shared" si="521"/>
        <v>2021</v>
      </c>
      <c r="B1135" s="72" t="str">
        <f t="shared" si="522"/>
        <v>Nov</v>
      </c>
      <c r="C1135" s="73">
        <f t="shared" si="540"/>
        <v>15</v>
      </c>
      <c r="D1135" s="74">
        <f t="shared" si="523"/>
        <v>10</v>
      </c>
      <c r="E1135" s="75">
        <f t="shared" si="524"/>
        <v>51</v>
      </c>
      <c r="F1135" s="79"/>
      <c r="G1135" s="82"/>
      <c r="H1135" s="68" t="str">
        <f t="shared" si="541"/>
        <v>Clesim6_20211115_10_00</v>
      </c>
      <c r="I1135" s="69">
        <f t="shared" si="544"/>
        <v>1</v>
      </c>
      <c r="J1135" s="76" t="str">
        <f t="shared" si="544"/>
        <v>Clematis</v>
      </c>
      <c r="K1135" s="76" t="str">
        <f t="shared" si="544"/>
        <v>simense</v>
      </c>
      <c r="L1135" s="77">
        <f t="shared" si="544"/>
        <v>6</v>
      </c>
      <c r="M1135" s="77">
        <f t="shared" si="544"/>
        <v>20</v>
      </c>
      <c r="N1135" s="71">
        <f t="shared" si="544"/>
        <v>0</v>
      </c>
      <c r="O1135" s="44"/>
      <c r="P1135" s="45" t="str">
        <f t="shared" si="525"/>
        <v/>
      </c>
      <c r="Q1135" s="46" t="str">
        <f t="shared" si="526"/>
        <v/>
      </c>
      <c r="R1135" s="47" t="e">
        <f t="shared" si="527"/>
        <v>#VALUE!</v>
      </c>
      <c r="S1135" s="48" t="e">
        <f t="shared" si="516"/>
        <v>#VALUE!</v>
      </c>
      <c r="T1135" s="47" t="str">
        <f t="shared" si="528"/>
        <v/>
      </c>
      <c r="U1135" s="49"/>
      <c r="V1135" s="50"/>
      <c r="W1135" s="51" t="e">
        <f t="shared" si="529"/>
        <v>#VALUE!</v>
      </c>
      <c r="X1135" s="52"/>
      <c r="Y1135" s="52"/>
      <c r="Z1135" s="52"/>
      <c r="AA1135" s="47" t="e">
        <f>INDEX(VISITORS[INSECT ORDER], MATCH(X1135,VISITORS[NAME USED],0))</f>
        <v>#N/A</v>
      </c>
      <c r="AB1135" s="47" t="e">
        <f t="shared" si="530"/>
        <v>#N/A</v>
      </c>
      <c r="AC1135" s="53" t="e">
        <f t="shared" si="531"/>
        <v>#VALUE!</v>
      </c>
      <c r="AD1135" s="54" t="str">
        <f t="shared" si="532"/>
        <v/>
      </c>
      <c r="AE1135" s="54"/>
      <c r="AF1135" s="54"/>
      <c r="AG1135" s="55" t="str">
        <f t="shared" si="533"/>
        <v/>
      </c>
      <c r="AH1135" s="56" t="str">
        <f t="shared" si="534"/>
        <v/>
      </c>
      <c r="AI1135" s="55"/>
      <c r="AJ1135" s="56" t="str">
        <f t="shared" si="535"/>
        <v/>
      </c>
      <c r="AK1135" s="55"/>
      <c r="AL1135" s="56" t="str">
        <f t="shared" si="536"/>
        <v/>
      </c>
      <c r="AM1135" s="55"/>
      <c r="AN1135" s="56" t="str">
        <f t="shared" si="537"/>
        <v/>
      </c>
      <c r="AO1135" s="55"/>
      <c r="AP1135" s="56" t="str">
        <f t="shared" si="538"/>
        <v/>
      </c>
      <c r="AQ1135" s="55"/>
      <c r="AR1135" s="56" t="str">
        <f t="shared" si="539"/>
        <v/>
      </c>
      <c r="AS1135" s="57"/>
      <c r="AT1135" s="58"/>
      <c r="AU1135" s="58"/>
      <c r="AV1135" s="59"/>
      <c r="AW1135" s="60" t="str">
        <f t="shared" si="517"/>
        <v/>
      </c>
      <c r="AX1135" s="61" t="str">
        <f t="shared" si="518"/>
        <v/>
      </c>
      <c r="AY1135" s="60" t="str">
        <f t="shared" si="519"/>
        <v/>
      </c>
      <c r="AZ1135" s="61" t="str">
        <f t="shared" si="520"/>
        <v/>
      </c>
    </row>
    <row r="1136" spans="1:52" s="3" customFormat="1" hidden="1" x14ac:dyDescent="0.35">
      <c r="A1136" s="72">
        <f t="shared" si="521"/>
        <v>2021</v>
      </c>
      <c r="B1136" s="72" t="str">
        <f t="shared" si="522"/>
        <v>Nov</v>
      </c>
      <c r="C1136" s="73">
        <f t="shared" si="540"/>
        <v>15</v>
      </c>
      <c r="D1136" s="74">
        <f t="shared" si="523"/>
        <v>10</v>
      </c>
      <c r="E1136" s="75">
        <f t="shared" si="524"/>
        <v>52</v>
      </c>
      <c r="F1136" s="79"/>
      <c r="G1136" s="82"/>
      <c r="H1136" s="68" t="str">
        <f t="shared" si="541"/>
        <v>Clesim6_20211115_10_00</v>
      </c>
      <c r="I1136" s="69">
        <f t="shared" si="544"/>
        <v>1</v>
      </c>
      <c r="J1136" s="76" t="str">
        <f t="shared" si="544"/>
        <v>Clematis</v>
      </c>
      <c r="K1136" s="76" t="str">
        <f t="shared" si="544"/>
        <v>simense</v>
      </c>
      <c r="L1136" s="77">
        <f t="shared" si="544"/>
        <v>6</v>
      </c>
      <c r="M1136" s="77">
        <f t="shared" si="544"/>
        <v>20</v>
      </c>
      <c r="N1136" s="71">
        <f t="shared" si="544"/>
        <v>0</v>
      </c>
      <c r="O1136" s="44"/>
      <c r="P1136" s="45" t="str">
        <f t="shared" si="525"/>
        <v/>
      </c>
      <c r="Q1136" s="46" t="str">
        <f t="shared" si="526"/>
        <v/>
      </c>
      <c r="R1136" s="47" t="e">
        <f t="shared" si="527"/>
        <v>#VALUE!</v>
      </c>
      <c r="S1136" s="48" t="e">
        <f t="shared" si="516"/>
        <v>#VALUE!</v>
      </c>
      <c r="T1136" s="47" t="str">
        <f t="shared" si="528"/>
        <v/>
      </c>
      <c r="U1136" s="49"/>
      <c r="V1136" s="50"/>
      <c r="W1136" s="51" t="e">
        <f t="shared" si="529"/>
        <v>#VALUE!</v>
      </c>
      <c r="X1136" s="52"/>
      <c r="Y1136" s="52"/>
      <c r="Z1136" s="52"/>
      <c r="AA1136" s="47" t="e">
        <f>INDEX(VISITORS[INSECT ORDER], MATCH(X1136,VISITORS[NAME USED],0))</f>
        <v>#N/A</v>
      </c>
      <c r="AB1136" s="47" t="e">
        <f t="shared" si="530"/>
        <v>#N/A</v>
      </c>
      <c r="AC1136" s="53" t="e">
        <f t="shared" si="531"/>
        <v>#VALUE!</v>
      </c>
      <c r="AD1136" s="54" t="str">
        <f t="shared" si="532"/>
        <v/>
      </c>
      <c r="AE1136" s="54"/>
      <c r="AF1136" s="54"/>
      <c r="AG1136" s="55" t="str">
        <f t="shared" si="533"/>
        <v/>
      </c>
      <c r="AH1136" s="56" t="str">
        <f t="shared" si="534"/>
        <v/>
      </c>
      <c r="AI1136" s="55"/>
      <c r="AJ1136" s="56" t="str">
        <f t="shared" si="535"/>
        <v/>
      </c>
      <c r="AK1136" s="55"/>
      <c r="AL1136" s="56" t="str">
        <f t="shared" si="536"/>
        <v/>
      </c>
      <c r="AM1136" s="55"/>
      <c r="AN1136" s="56" t="str">
        <f t="shared" si="537"/>
        <v/>
      </c>
      <c r="AO1136" s="55"/>
      <c r="AP1136" s="56" t="str">
        <f t="shared" si="538"/>
        <v/>
      </c>
      <c r="AQ1136" s="55"/>
      <c r="AR1136" s="56" t="str">
        <f t="shared" si="539"/>
        <v/>
      </c>
      <c r="AS1136" s="57"/>
      <c r="AT1136" s="58"/>
      <c r="AU1136" s="58"/>
      <c r="AV1136" s="59"/>
      <c r="AW1136" s="60" t="str">
        <f t="shared" si="517"/>
        <v/>
      </c>
      <c r="AX1136" s="61" t="str">
        <f t="shared" si="518"/>
        <v/>
      </c>
      <c r="AY1136" s="60" t="str">
        <f t="shared" si="519"/>
        <v/>
      </c>
      <c r="AZ1136" s="61" t="str">
        <f t="shared" si="520"/>
        <v/>
      </c>
    </row>
    <row r="1137" spans="1:52" s="3" customFormat="1" hidden="1" x14ac:dyDescent="0.35">
      <c r="A1137" s="72">
        <f t="shared" si="521"/>
        <v>2021</v>
      </c>
      <c r="B1137" s="72" t="str">
        <f t="shared" si="522"/>
        <v>Nov</v>
      </c>
      <c r="C1137" s="73">
        <f t="shared" si="540"/>
        <v>15</v>
      </c>
      <c r="D1137" s="74">
        <f t="shared" si="523"/>
        <v>10</v>
      </c>
      <c r="E1137" s="75">
        <f t="shared" si="524"/>
        <v>53</v>
      </c>
      <c r="F1137" s="79"/>
      <c r="G1137" s="82"/>
      <c r="H1137" s="68" t="str">
        <f t="shared" si="541"/>
        <v>Clesim6_20211115_10_00</v>
      </c>
      <c r="I1137" s="69">
        <f t="shared" si="544"/>
        <v>1</v>
      </c>
      <c r="J1137" s="76" t="str">
        <f t="shared" si="544"/>
        <v>Clematis</v>
      </c>
      <c r="K1137" s="76" t="str">
        <f t="shared" si="544"/>
        <v>simense</v>
      </c>
      <c r="L1137" s="77">
        <f t="shared" si="544"/>
        <v>6</v>
      </c>
      <c r="M1137" s="77">
        <f t="shared" si="544"/>
        <v>20</v>
      </c>
      <c r="N1137" s="71">
        <f t="shared" si="544"/>
        <v>0</v>
      </c>
      <c r="O1137" s="44"/>
      <c r="P1137" s="45" t="str">
        <f t="shared" si="525"/>
        <v/>
      </c>
      <c r="Q1137" s="46" t="str">
        <f t="shared" si="526"/>
        <v/>
      </c>
      <c r="R1137" s="47" t="e">
        <f t="shared" si="527"/>
        <v>#VALUE!</v>
      </c>
      <c r="S1137" s="48" t="e">
        <f t="shared" si="516"/>
        <v>#VALUE!</v>
      </c>
      <c r="T1137" s="47" t="str">
        <f t="shared" si="528"/>
        <v/>
      </c>
      <c r="U1137" s="49"/>
      <c r="V1137" s="50"/>
      <c r="W1137" s="51" t="e">
        <f t="shared" si="529"/>
        <v>#VALUE!</v>
      </c>
      <c r="X1137" s="52"/>
      <c r="Y1137" s="52"/>
      <c r="Z1137" s="52"/>
      <c r="AA1137" s="47" t="e">
        <f>INDEX(VISITORS[INSECT ORDER], MATCH(X1137,VISITORS[NAME USED],0))</f>
        <v>#N/A</v>
      </c>
      <c r="AB1137" s="47" t="e">
        <f t="shared" si="530"/>
        <v>#N/A</v>
      </c>
      <c r="AC1137" s="53" t="e">
        <f t="shared" si="531"/>
        <v>#VALUE!</v>
      </c>
      <c r="AD1137" s="54" t="str">
        <f t="shared" si="532"/>
        <v/>
      </c>
      <c r="AE1137" s="54"/>
      <c r="AF1137" s="54"/>
      <c r="AG1137" s="55" t="str">
        <f t="shared" si="533"/>
        <v/>
      </c>
      <c r="AH1137" s="56" t="str">
        <f t="shared" si="534"/>
        <v/>
      </c>
      <c r="AI1137" s="55"/>
      <c r="AJ1137" s="56" t="str">
        <f t="shared" si="535"/>
        <v/>
      </c>
      <c r="AK1137" s="55"/>
      <c r="AL1137" s="56" t="str">
        <f t="shared" si="536"/>
        <v/>
      </c>
      <c r="AM1137" s="55"/>
      <c r="AN1137" s="56" t="str">
        <f t="shared" si="537"/>
        <v/>
      </c>
      <c r="AO1137" s="55"/>
      <c r="AP1137" s="56" t="str">
        <f t="shared" si="538"/>
        <v/>
      </c>
      <c r="AQ1137" s="55"/>
      <c r="AR1137" s="56" t="str">
        <f t="shared" si="539"/>
        <v/>
      </c>
      <c r="AS1137" s="57"/>
      <c r="AT1137" s="58"/>
      <c r="AU1137" s="58"/>
      <c r="AV1137" s="59"/>
      <c r="AW1137" s="60" t="str">
        <f t="shared" si="517"/>
        <v/>
      </c>
      <c r="AX1137" s="61" t="str">
        <f t="shared" si="518"/>
        <v/>
      </c>
      <c r="AY1137" s="60" t="str">
        <f t="shared" si="519"/>
        <v/>
      </c>
      <c r="AZ1137" s="61" t="str">
        <f t="shared" si="520"/>
        <v/>
      </c>
    </row>
    <row r="1138" spans="1:52" s="3" customFormat="1" hidden="1" x14ac:dyDescent="0.35">
      <c r="A1138" s="72">
        <f t="shared" si="521"/>
        <v>2021</v>
      </c>
      <c r="B1138" s="72" t="str">
        <f t="shared" si="522"/>
        <v>Nov</v>
      </c>
      <c r="C1138" s="73">
        <f t="shared" si="540"/>
        <v>15</v>
      </c>
      <c r="D1138" s="74">
        <f t="shared" si="523"/>
        <v>10</v>
      </c>
      <c r="E1138" s="75">
        <f t="shared" si="524"/>
        <v>54</v>
      </c>
      <c r="F1138" s="79"/>
      <c r="G1138" s="82"/>
      <c r="H1138" s="68" t="str">
        <f t="shared" si="541"/>
        <v>Clesim6_20211115_10_00</v>
      </c>
      <c r="I1138" s="69">
        <f t="shared" si="544"/>
        <v>1</v>
      </c>
      <c r="J1138" s="76" t="str">
        <f t="shared" si="544"/>
        <v>Clematis</v>
      </c>
      <c r="K1138" s="76" t="str">
        <f t="shared" si="544"/>
        <v>simense</v>
      </c>
      <c r="L1138" s="77">
        <f t="shared" si="544"/>
        <v>6</v>
      </c>
      <c r="M1138" s="77">
        <f t="shared" si="544"/>
        <v>20</v>
      </c>
      <c r="N1138" s="71">
        <f t="shared" si="544"/>
        <v>0</v>
      </c>
      <c r="O1138" s="44"/>
      <c r="P1138" s="45" t="str">
        <f t="shared" si="525"/>
        <v/>
      </c>
      <c r="Q1138" s="46" t="str">
        <f t="shared" si="526"/>
        <v/>
      </c>
      <c r="R1138" s="47" t="e">
        <f t="shared" si="527"/>
        <v>#VALUE!</v>
      </c>
      <c r="S1138" s="48" t="e">
        <f t="shared" si="516"/>
        <v>#VALUE!</v>
      </c>
      <c r="T1138" s="47" t="str">
        <f t="shared" si="528"/>
        <v/>
      </c>
      <c r="U1138" s="49"/>
      <c r="V1138" s="50"/>
      <c r="W1138" s="51" t="e">
        <f t="shared" si="529"/>
        <v>#VALUE!</v>
      </c>
      <c r="X1138" s="52"/>
      <c r="Y1138" s="52"/>
      <c r="Z1138" s="52"/>
      <c r="AA1138" s="47" t="e">
        <f>INDEX(VISITORS[INSECT ORDER], MATCH(X1138,VISITORS[NAME USED],0))</f>
        <v>#N/A</v>
      </c>
      <c r="AB1138" s="47" t="e">
        <f t="shared" si="530"/>
        <v>#N/A</v>
      </c>
      <c r="AC1138" s="53" t="e">
        <f t="shared" si="531"/>
        <v>#VALUE!</v>
      </c>
      <c r="AD1138" s="54" t="str">
        <f t="shared" si="532"/>
        <v/>
      </c>
      <c r="AE1138" s="54"/>
      <c r="AF1138" s="54"/>
      <c r="AG1138" s="55" t="str">
        <f t="shared" si="533"/>
        <v/>
      </c>
      <c r="AH1138" s="56" t="str">
        <f t="shared" si="534"/>
        <v/>
      </c>
      <c r="AI1138" s="55"/>
      <c r="AJ1138" s="56" t="str">
        <f t="shared" si="535"/>
        <v/>
      </c>
      <c r="AK1138" s="55"/>
      <c r="AL1138" s="56" t="str">
        <f t="shared" si="536"/>
        <v/>
      </c>
      <c r="AM1138" s="55"/>
      <c r="AN1138" s="56" t="str">
        <f t="shared" si="537"/>
        <v/>
      </c>
      <c r="AO1138" s="55"/>
      <c r="AP1138" s="56" t="str">
        <f t="shared" si="538"/>
        <v/>
      </c>
      <c r="AQ1138" s="55"/>
      <c r="AR1138" s="56" t="str">
        <f t="shared" si="539"/>
        <v/>
      </c>
      <c r="AS1138" s="57"/>
      <c r="AT1138" s="58"/>
      <c r="AU1138" s="58"/>
      <c r="AV1138" s="59"/>
      <c r="AW1138" s="60" t="str">
        <f t="shared" si="517"/>
        <v/>
      </c>
      <c r="AX1138" s="61" t="str">
        <f t="shared" si="518"/>
        <v/>
      </c>
      <c r="AY1138" s="60" t="str">
        <f t="shared" si="519"/>
        <v/>
      </c>
      <c r="AZ1138" s="61" t="str">
        <f t="shared" si="520"/>
        <v/>
      </c>
    </row>
    <row r="1139" spans="1:52" s="3" customFormat="1" hidden="1" x14ac:dyDescent="0.35">
      <c r="A1139" s="72">
        <f t="shared" si="521"/>
        <v>2021</v>
      </c>
      <c r="B1139" s="72" t="str">
        <f t="shared" si="522"/>
        <v>Nov</v>
      </c>
      <c r="C1139" s="73">
        <f t="shared" si="540"/>
        <v>15</v>
      </c>
      <c r="D1139" s="74">
        <f t="shared" si="523"/>
        <v>10</v>
      </c>
      <c r="E1139" s="75">
        <f t="shared" si="524"/>
        <v>55</v>
      </c>
      <c r="F1139" s="79"/>
      <c r="G1139" s="82"/>
      <c r="H1139" s="68" t="str">
        <f t="shared" si="541"/>
        <v>Clesim6_20211115_10_00</v>
      </c>
      <c r="I1139" s="69">
        <f t="shared" si="544"/>
        <v>1</v>
      </c>
      <c r="J1139" s="76" t="str">
        <f t="shared" si="544"/>
        <v>Clematis</v>
      </c>
      <c r="K1139" s="76" t="str">
        <f t="shared" si="544"/>
        <v>simense</v>
      </c>
      <c r="L1139" s="77">
        <f t="shared" si="544"/>
        <v>6</v>
      </c>
      <c r="M1139" s="77">
        <f t="shared" si="544"/>
        <v>20</v>
      </c>
      <c r="N1139" s="71">
        <f t="shared" si="544"/>
        <v>0</v>
      </c>
      <c r="O1139" s="44"/>
      <c r="P1139" s="45" t="str">
        <f t="shared" si="525"/>
        <v/>
      </c>
      <c r="Q1139" s="46" t="str">
        <f t="shared" si="526"/>
        <v/>
      </c>
      <c r="R1139" s="47" t="e">
        <f t="shared" si="527"/>
        <v>#VALUE!</v>
      </c>
      <c r="S1139" s="48" t="e">
        <f t="shared" si="516"/>
        <v>#VALUE!</v>
      </c>
      <c r="T1139" s="47" t="str">
        <f t="shared" si="528"/>
        <v/>
      </c>
      <c r="U1139" s="49"/>
      <c r="V1139" s="50"/>
      <c r="W1139" s="51" t="e">
        <f t="shared" si="529"/>
        <v>#VALUE!</v>
      </c>
      <c r="X1139" s="52"/>
      <c r="Y1139" s="52"/>
      <c r="Z1139" s="52"/>
      <c r="AA1139" s="47" t="e">
        <f>INDEX(VISITORS[INSECT ORDER], MATCH(X1139,VISITORS[NAME USED],0))</f>
        <v>#N/A</v>
      </c>
      <c r="AB1139" s="47" t="e">
        <f t="shared" si="530"/>
        <v>#N/A</v>
      </c>
      <c r="AC1139" s="53" t="e">
        <f t="shared" si="531"/>
        <v>#VALUE!</v>
      </c>
      <c r="AD1139" s="54" t="str">
        <f t="shared" si="532"/>
        <v/>
      </c>
      <c r="AE1139" s="54"/>
      <c r="AF1139" s="54"/>
      <c r="AG1139" s="55" t="str">
        <f t="shared" si="533"/>
        <v/>
      </c>
      <c r="AH1139" s="56" t="str">
        <f t="shared" si="534"/>
        <v/>
      </c>
      <c r="AI1139" s="55"/>
      <c r="AJ1139" s="56" t="str">
        <f t="shared" si="535"/>
        <v/>
      </c>
      <c r="AK1139" s="55"/>
      <c r="AL1139" s="56" t="str">
        <f t="shared" si="536"/>
        <v/>
      </c>
      <c r="AM1139" s="55"/>
      <c r="AN1139" s="56" t="str">
        <f t="shared" si="537"/>
        <v/>
      </c>
      <c r="AO1139" s="55"/>
      <c r="AP1139" s="56" t="str">
        <f t="shared" si="538"/>
        <v/>
      </c>
      <c r="AQ1139" s="55"/>
      <c r="AR1139" s="56" t="str">
        <f t="shared" si="539"/>
        <v/>
      </c>
      <c r="AS1139" s="57"/>
      <c r="AT1139" s="58"/>
      <c r="AU1139" s="58"/>
      <c r="AV1139" s="59"/>
      <c r="AW1139" s="60" t="str">
        <f t="shared" si="517"/>
        <v/>
      </c>
      <c r="AX1139" s="61" t="str">
        <f t="shared" si="518"/>
        <v/>
      </c>
      <c r="AY1139" s="60" t="str">
        <f t="shared" si="519"/>
        <v/>
      </c>
      <c r="AZ1139" s="61" t="str">
        <f t="shared" si="520"/>
        <v/>
      </c>
    </row>
    <row r="1140" spans="1:52" s="3" customFormat="1" hidden="1" x14ac:dyDescent="0.35">
      <c r="A1140" s="72">
        <f t="shared" si="521"/>
        <v>2021</v>
      </c>
      <c r="B1140" s="72" t="str">
        <f t="shared" si="522"/>
        <v>Nov</v>
      </c>
      <c r="C1140" s="73">
        <f t="shared" si="540"/>
        <v>15</v>
      </c>
      <c r="D1140" s="74">
        <f t="shared" si="523"/>
        <v>10</v>
      </c>
      <c r="E1140" s="75">
        <f t="shared" si="524"/>
        <v>56</v>
      </c>
      <c r="F1140" s="79"/>
      <c r="G1140" s="82"/>
      <c r="H1140" s="68" t="str">
        <f t="shared" si="541"/>
        <v>Clesim6_20211115_10_00</v>
      </c>
      <c r="I1140" s="69">
        <f t="shared" si="544"/>
        <v>1</v>
      </c>
      <c r="J1140" s="76" t="str">
        <f t="shared" si="544"/>
        <v>Clematis</v>
      </c>
      <c r="K1140" s="76" t="str">
        <f t="shared" si="544"/>
        <v>simense</v>
      </c>
      <c r="L1140" s="77">
        <f t="shared" si="544"/>
        <v>6</v>
      </c>
      <c r="M1140" s="77">
        <f t="shared" si="544"/>
        <v>20</v>
      </c>
      <c r="N1140" s="71">
        <f t="shared" si="544"/>
        <v>0</v>
      </c>
      <c r="O1140" s="44"/>
      <c r="P1140" s="45" t="str">
        <f t="shared" si="525"/>
        <v/>
      </c>
      <c r="Q1140" s="46" t="str">
        <f t="shared" si="526"/>
        <v/>
      </c>
      <c r="R1140" s="47" t="e">
        <f t="shared" si="527"/>
        <v>#VALUE!</v>
      </c>
      <c r="S1140" s="48" t="e">
        <f t="shared" si="516"/>
        <v>#VALUE!</v>
      </c>
      <c r="T1140" s="47" t="str">
        <f t="shared" si="528"/>
        <v/>
      </c>
      <c r="U1140" s="49"/>
      <c r="V1140" s="50"/>
      <c r="W1140" s="51" t="e">
        <f t="shared" si="529"/>
        <v>#VALUE!</v>
      </c>
      <c r="X1140" s="52"/>
      <c r="Y1140" s="52"/>
      <c r="Z1140" s="52"/>
      <c r="AA1140" s="47" t="e">
        <f>INDEX(VISITORS[INSECT ORDER], MATCH(X1140,VISITORS[NAME USED],0))</f>
        <v>#N/A</v>
      </c>
      <c r="AB1140" s="47" t="e">
        <f t="shared" si="530"/>
        <v>#N/A</v>
      </c>
      <c r="AC1140" s="53" t="e">
        <f t="shared" si="531"/>
        <v>#VALUE!</v>
      </c>
      <c r="AD1140" s="54" t="str">
        <f t="shared" si="532"/>
        <v/>
      </c>
      <c r="AE1140" s="54"/>
      <c r="AF1140" s="54"/>
      <c r="AG1140" s="55" t="str">
        <f t="shared" si="533"/>
        <v/>
      </c>
      <c r="AH1140" s="56" t="str">
        <f t="shared" si="534"/>
        <v/>
      </c>
      <c r="AI1140" s="55"/>
      <c r="AJ1140" s="56" t="str">
        <f t="shared" si="535"/>
        <v/>
      </c>
      <c r="AK1140" s="55"/>
      <c r="AL1140" s="56" t="str">
        <f t="shared" si="536"/>
        <v/>
      </c>
      <c r="AM1140" s="55"/>
      <c r="AN1140" s="56" t="str">
        <f t="shared" si="537"/>
        <v/>
      </c>
      <c r="AO1140" s="55"/>
      <c r="AP1140" s="56" t="str">
        <f t="shared" si="538"/>
        <v/>
      </c>
      <c r="AQ1140" s="55"/>
      <c r="AR1140" s="56" t="str">
        <f t="shared" si="539"/>
        <v/>
      </c>
      <c r="AS1140" s="57"/>
      <c r="AT1140" s="58"/>
      <c r="AU1140" s="58"/>
      <c r="AV1140" s="59"/>
      <c r="AW1140" s="60" t="str">
        <f t="shared" si="517"/>
        <v/>
      </c>
      <c r="AX1140" s="61" t="str">
        <f t="shared" si="518"/>
        <v/>
      </c>
      <c r="AY1140" s="60" t="str">
        <f t="shared" si="519"/>
        <v/>
      </c>
      <c r="AZ1140" s="61" t="str">
        <f t="shared" si="520"/>
        <v/>
      </c>
    </row>
    <row r="1141" spans="1:52" s="3" customFormat="1" hidden="1" x14ac:dyDescent="0.35">
      <c r="A1141" s="72">
        <f t="shared" si="521"/>
        <v>2021</v>
      </c>
      <c r="B1141" s="72" t="str">
        <f t="shared" si="522"/>
        <v>Nov</v>
      </c>
      <c r="C1141" s="73">
        <f t="shared" si="540"/>
        <v>15</v>
      </c>
      <c r="D1141" s="74">
        <f t="shared" si="523"/>
        <v>10</v>
      </c>
      <c r="E1141" s="75">
        <f t="shared" si="524"/>
        <v>57</v>
      </c>
      <c r="F1141" s="79"/>
      <c r="G1141" s="82"/>
      <c r="H1141" s="68" t="str">
        <f t="shared" si="541"/>
        <v>Clesim6_20211115_10_00</v>
      </c>
      <c r="I1141" s="69">
        <f t="shared" si="544"/>
        <v>1</v>
      </c>
      <c r="J1141" s="76" t="str">
        <f t="shared" si="544"/>
        <v>Clematis</v>
      </c>
      <c r="K1141" s="76" t="str">
        <f t="shared" si="544"/>
        <v>simense</v>
      </c>
      <c r="L1141" s="77">
        <f t="shared" si="544"/>
        <v>6</v>
      </c>
      <c r="M1141" s="77">
        <f t="shared" si="544"/>
        <v>20</v>
      </c>
      <c r="N1141" s="71">
        <f t="shared" si="544"/>
        <v>0</v>
      </c>
      <c r="O1141" s="44"/>
      <c r="P1141" s="45" t="str">
        <f t="shared" si="525"/>
        <v/>
      </c>
      <c r="Q1141" s="46" t="str">
        <f t="shared" si="526"/>
        <v/>
      </c>
      <c r="R1141" s="47" t="e">
        <f t="shared" si="527"/>
        <v>#VALUE!</v>
      </c>
      <c r="S1141" s="48" t="e">
        <f t="shared" si="516"/>
        <v>#VALUE!</v>
      </c>
      <c r="T1141" s="47" t="str">
        <f t="shared" si="528"/>
        <v/>
      </c>
      <c r="U1141" s="49"/>
      <c r="V1141" s="50"/>
      <c r="W1141" s="51" t="e">
        <f t="shared" si="529"/>
        <v>#VALUE!</v>
      </c>
      <c r="X1141" s="52"/>
      <c r="Y1141" s="52"/>
      <c r="Z1141" s="52"/>
      <c r="AA1141" s="47" t="e">
        <f>INDEX(VISITORS[INSECT ORDER], MATCH(X1141,VISITORS[NAME USED],0))</f>
        <v>#N/A</v>
      </c>
      <c r="AB1141" s="47" t="e">
        <f t="shared" si="530"/>
        <v>#N/A</v>
      </c>
      <c r="AC1141" s="53" t="e">
        <f t="shared" si="531"/>
        <v>#VALUE!</v>
      </c>
      <c r="AD1141" s="54" t="str">
        <f t="shared" si="532"/>
        <v/>
      </c>
      <c r="AE1141" s="54"/>
      <c r="AF1141" s="54"/>
      <c r="AG1141" s="55" t="str">
        <f t="shared" si="533"/>
        <v/>
      </c>
      <c r="AH1141" s="56" t="str">
        <f t="shared" si="534"/>
        <v/>
      </c>
      <c r="AI1141" s="55"/>
      <c r="AJ1141" s="56" t="str">
        <f t="shared" si="535"/>
        <v/>
      </c>
      <c r="AK1141" s="55"/>
      <c r="AL1141" s="56" t="str">
        <f t="shared" si="536"/>
        <v/>
      </c>
      <c r="AM1141" s="55"/>
      <c r="AN1141" s="56" t="str">
        <f t="shared" si="537"/>
        <v/>
      </c>
      <c r="AO1141" s="55"/>
      <c r="AP1141" s="56" t="str">
        <f t="shared" si="538"/>
        <v/>
      </c>
      <c r="AQ1141" s="55"/>
      <c r="AR1141" s="56" t="str">
        <f t="shared" si="539"/>
        <v/>
      </c>
      <c r="AS1141" s="57"/>
      <c r="AT1141" s="58"/>
      <c r="AU1141" s="58"/>
      <c r="AV1141" s="59"/>
      <c r="AW1141" s="60" t="str">
        <f t="shared" si="517"/>
        <v/>
      </c>
      <c r="AX1141" s="61" t="str">
        <f t="shared" si="518"/>
        <v/>
      </c>
      <c r="AY1141" s="60" t="str">
        <f t="shared" si="519"/>
        <v/>
      </c>
      <c r="AZ1141" s="61" t="str">
        <f t="shared" si="520"/>
        <v/>
      </c>
    </row>
    <row r="1142" spans="1:52" s="3" customFormat="1" hidden="1" x14ac:dyDescent="0.35">
      <c r="A1142" s="72">
        <f t="shared" si="521"/>
        <v>2021</v>
      </c>
      <c r="B1142" s="72" t="str">
        <f t="shared" si="522"/>
        <v>Nov</v>
      </c>
      <c r="C1142" s="73">
        <f t="shared" si="540"/>
        <v>15</v>
      </c>
      <c r="D1142" s="74">
        <f t="shared" si="523"/>
        <v>10</v>
      </c>
      <c r="E1142" s="75">
        <f t="shared" si="524"/>
        <v>58</v>
      </c>
      <c r="F1142" s="79"/>
      <c r="G1142" s="82"/>
      <c r="H1142" s="68" t="str">
        <f t="shared" si="541"/>
        <v>Clesim6_20211115_10_00</v>
      </c>
      <c r="I1142" s="69">
        <f t="shared" ref="I1142:N1157" si="545">I1141</f>
        <v>1</v>
      </c>
      <c r="J1142" s="76" t="str">
        <f t="shared" si="545"/>
        <v>Clematis</v>
      </c>
      <c r="K1142" s="76" t="str">
        <f t="shared" si="545"/>
        <v>simense</v>
      </c>
      <c r="L1142" s="77">
        <f t="shared" si="545"/>
        <v>6</v>
      </c>
      <c r="M1142" s="77">
        <f t="shared" si="545"/>
        <v>20</v>
      </c>
      <c r="N1142" s="71">
        <f t="shared" si="545"/>
        <v>0</v>
      </c>
      <c r="O1142" s="44"/>
      <c r="P1142" s="45" t="str">
        <f t="shared" si="525"/>
        <v/>
      </c>
      <c r="Q1142" s="46" t="str">
        <f t="shared" si="526"/>
        <v/>
      </c>
      <c r="R1142" s="47" t="e">
        <f t="shared" si="527"/>
        <v>#VALUE!</v>
      </c>
      <c r="S1142" s="48" t="e">
        <f t="shared" si="516"/>
        <v>#VALUE!</v>
      </c>
      <c r="T1142" s="47" t="str">
        <f t="shared" si="528"/>
        <v/>
      </c>
      <c r="U1142" s="49"/>
      <c r="V1142" s="50"/>
      <c r="W1142" s="51" t="e">
        <f t="shared" si="529"/>
        <v>#VALUE!</v>
      </c>
      <c r="X1142" s="52"/>
      <c r="Y1142" s="52"/>
      <c r="Z1142" s="52"/>
      <c r="AA1142" s="47" t="e">
        <f>INDEX(VISITORS[INSECT ORDER], MATCH(X1142,VISITORS[NAME USED],0))</f>
        <v>#N/A</v>
      </c>
      <c r="AB1142" s="47" t="e">
        <f t="shared" si="530"/>
        <v>#N/A</v>
      </c>
      <c r="AC1142" s="53" t="e">
        <f t="shared" si="531"/>
        <v>#VALUE!</v>
      </c>
      <c r="AD1142" s="54" t="str">
        <f t="shared" si="532"/>
        <v/>
      </c>
      <c r="AE1142" s="54"/>
      <c r="AF1142" s="54"/>
      <c r="AG1142" s="55" t="str">
        <f t="shared" si="533"/>
        <v/>
      </c>
      <c r="AH1142" s="56" t="str">
        <f t="shared" si="534"/>
        <v/>
      </c>
      <c r="AI1142" s="55"/>
      <c r="AJ1142" s="56" t="str">
        <f t="shared" si="535"/>
        <v/>
      </c>
      <c r="AK1142" s="55"/>
      <c r="AL1142" s="56" t="str">
        <f t="shared" si="536"/>
        <v/>
      </c>
      <c r="AM1142" s="55"/>
      <c r="AN1142" s="56" t="str">
        <f t="shared" si="537"/>
        <v/>
      </c>
      <c r="AO1142" s="55"/>
      <c r="AP1142" s="56" t="str">
        <f t="shared" si="538"/>
        <v/>
      </c>
      <c r="AQ1142" s="55"/>
      <c r="AR1142" s="56" t="str">
        <f t="shared" si="539"/>
        <v/>
      </c>
      <c r="AS1142" s="57"/>
      <c r="AT1142" s="58"/>
      <c r="AU1142" s="58"/>
      <c r="AV1142" s="59"/>
      <c r="AW1142" s="60" t="str">
        <f t="shared" si="517"/>
        <v/>
      </c>
      <c r="AX1142" s="61" t="str">
        <f t="shared" si="518"/>
        <v/>
      </c>
      <c r="AY1142" s="60" t="str">
        <f t="shared" si="519"/>
        <v/>
      </c>
      <c r="AZ1142" s="61" t="str">
        <f t="shared" si="520"/>
        <v/>
      </c>
    </row>
    <row r="1143" spans="1:52" s="3" customFormat="1" hidden="1" x14ac:dyDescent="0.35">
      <c r="A1143" s="72">
        <f t="shared" si="521"/>
        <v>2021</v>
      </c>
      <c r="B1143" s="72" t="str">
        <f t="shared" si="522"/>
        <v>Nov</v>
      </c>
      <c r="C1143" s="73">
        <f t="shared" si="540"/>
        <v>15</v>
      </c>
      <c r="D1143" s="74">
        <f t="shared" si="523"/>
        <v>10</v>
      </c>
      <c r="E1143" s="75">
        <f t="shared" si="524"/>
        <v>59</v>
      </c>
      <c r="F1143" s="79"/>
      <c r="G1143" s="82"/>
      <c r="H1143" s="68" t="str">
        <f t="shared" si="541"/>
        <v>Clesim6_20211115_10_00</v>
      </c>
      <c r="I1143" s="69">
        <f t="shared" si="545"/>
        <v>1</v>
      </c>
      <c r="J1143" s="76" t="str">
        <f t="shared" si="545"/>
        <v>Clematis</v>
      </c>
      <c r="K1143" s="76" t="str">
        <f t="shared" si="545"/>
        <v>simense</v>
      </c>
      <c r="L1143" s="77">
        <f t="shared" si="545"/>
        <v>6</v>
      </c>
      <c r="M1143" s="77">
        <f t="shared" si="545"/>
        <v>20</v>
      </c>
      <c r="N1143" s="71">
        <f t="shared" si="545"/>
        <v>0</v>
      </c>
      <c r="O1143" s="44"/>
      <c r="P1143" s="45" t="str">
        <f t="shared" si="525"/>
        <v/>
      </c>
      <c r="Q1143" s="46" t="str">
        <f t="shared" si="526"/>
        <v/>
      </c>
      <c r="R1143" s="47" t="e">
        <f t="shared" si="527"/>
        <v>#VALUE!</v>
      </c>
      <c r="S1143" s="48" t="e">
        <f t="shared" si="516"/>
        <v>#VALUE!</v>
      </c>
      <c r="T1143" s="47" t="str">
        <f t="shared" si="528"/>
        <v/>
      </c>
      <c r="U1143" s="49"/>
      <c r="V1143" s="50"/>
      <c r="W1143" s="51" t="e">
        <f t="shared" si="529"/>
        <v>#VALUE!</v>
      </c>
      <c r="X1143" s="52"/>
      <c r="Y1143" s="52"/>
      <c r="Z1143" s="52"/>
      <c r="AA1143" s="47" t="e">
        <f>INDEX(VISITORS[INSECT ORDER], MATCH(X1143,VISITORS[NAME USED],0))</f>
        <v>#N/A</v>
      </c>
      <c r="AB1143" s="47" t="e">
        <f t="shared" si="530"/>
        <v>#N/A</v>
      </c>
      <c r="AC1143" s="53" t="e">
        <f t="shared" si="531"/>
        <v>#VALUE!</v>
      </c>
      <c r="AD1143" s="54" t="str">
        <f t="shared" si="532"/>
        <v/>
      </c>
      <c r="AE1143" s="54"/>
      <c r="AF1143" s="54"/>
      <c r="AG1143" s="55" t="str">
        <f t="shared" si="533"/>
        <v/>
      </c>
      <c r="AH1143" s="56" t="str">
        <f t="shared" si="534"/>
        <v/>
      </c>
      <c r="AI1143" s="55"/>
      <c r="AJ1143" s="56" t="str">
        <f t="shared" si="535"/>
        <v/>
      </c>
      <c r="AK1143" s="55"/>
      <c r="AL1143" s="56" t="str">
        <f t="shared" si="536"/>
        <v/>
      </c>
      <c r="AM1143" s="55"/>
      <c r="AN1143" s="56" t="str">
        <f t="shared" si="537"/>
        <v/>
      </c>
      <c r="AO1143" s="55"/>
      <c r="AP1143" s="56" t="str">
        <f t="shared" si="538"/>
        <v/>
      </c>
      <c r="AQ1143" s="55"/>
      <c r="AR1143" s="56" t="str">
        <f t="shared" si="539"/>
        <v/>
      </c>
      <c r="AS1143" s="57"/>
      <c r="AT1143" s="58"/>
      <c r="AU1143" s="58"/>
      <c r="AV1143" s="59"/>
      <c r="AW1143" s="60" t="str">
        <f t="shared" si="517"/>
        <v/>
      </c>
      <c r="AX1143" s="61" t="str">
        <f t="shared" si="518"/>
        <v/>
      </c>
      <c r="AY1143" s="60" t="str">
        <f t="shared" si="519"/>
        <v/>
      </c>
      <c r="AZ1143" s="61" t="str">
        <f t="shared" si="520"/>
        <v/>
      </c>
    </row>
    <row r="1144" spans="1:52" s="3" customFormat="1" hidden="1" x14ac:dyDescent="0.35">
      <c r="A1144" s="72">
        <f t="shared" si="521"/>
        <v>2021</v>
      </c>
      <c r="B1144" s="72" t="str">
        <f t="shared" si="522"/>
        <v>Nov</v>
      </c>
      <c r="C1144" s="73">
        <f t="shared" si="540"/>
        <v>15</v>
      </c>
      <c r="D1144" s="74">
        <f t="shared" si="523"/>
        <v>11</v>
      </c>
      <c r="E1144" s="75">
        <f t="shared" si="524"/>
        <v>0</v>
      </c>
      <c r="F1144" s="79"/>
      <c r="G1144" s="82"/>
      <c r="H1144" s="68" t="str">
        <f t="shared" si="541"/>
        <v>Clesim6_20211115_11_00</v>
      </c>
      <c r="I1144" s="69">
        <f t="shared" si="545"/>
        <v>1</v>
      </c>
      <c r="J1144" s="76" t="str">
        <f t="shared" si="545"/>
        <v>Clematis</v>
      </c>
      <c r="K1144" s="76" t="str">
        <f t="shared" si="545"/>
        <v>simense</v>
      </c>
      <c r="L1144" s="77">
        <f t="shared" si="545"/>
        <v>6</v>
      </c>
      <c r="M1144" s="77">
        <f t="shared" si="545"/>
        <v>20</v>
      </c>
      <c r="N1144" s="71">
        <f t="shared" si="545"/>
        <v>0</v>
      </c>
      <c r="O1144" s="44"/>
      <c r="P1144" s="45" t="str">
        <f t="shared" si="525"/>
        <v/>
      </c>
      <c r="Q1144" s="46" t="str">
        <f t="shared" si="526"/>
        <v/>
      </c>
      <c r="R1144" s="47" t="e">
        <f t="shared" si="527"/>
        <v>#VALUE!</v>
      </c>
      <c r="S1144" s="48" t="e">
        <f t="shared" si="516"/>
        <v>#VALUE!</v>
      </c>
      <c r="T1144" s="47" t="str">
        <f t="shared" si="528"/>
        <v/>
      </c>
      <c r="U1144" s="49"/>
      <c r="V1144" s="50"/>
      <c r="W1144" s="51" t="e">
        <f t="shared" si="529"/>
        <v>#VALUE!</v>
      </c>
      <c r="X1144" s="52"/>
      <c r="Y1144" s="52"/>
      <c r="Z1144" s="52"/>
      <c r="AA1144" s="47" t="e">
        <f>INDEX(VISITORS[INSECT ORDER], MATCH(X1144,VISITORS[NAME USED],0))</f>
        <v>#N/A</v>
      </c>
      <c r="AB1144" s="47" t="e">
        <f t="shared" si="530"/>
        <v>#N/A</v>
      </c>
      <c r="AC1144" s="53" t="e">
        <f t="shared" si="531"/>
        <v>#VALUE!</v>
      </c>
      <c r="AD1144" s="54" t="str">
        <f t="shared" si="532"/>
        <v/>
      </c>
      <c r="AE1144" s="54"/>
      <c r="AF1144" s="54"/>
      <c r="AG1144" s="55" t="str">
        <f t="shared" si="533"/>
        <v/>
      </c>
      <c r="AH1144" s="56" t="str">
        <f t="shared" si="534"/>
        <v/>
      </c>
      <c r="AI1144" s="55"/>
      <c r="AJ1144" s="56" t="str">
        <f t="shared" si="535"/>
        <v/>
      </c>
      <c r="AK1144" s="55"/>
      <c r="AL1144" s="56" t="str">
        <f t="shared" si="536"/>
        <v/>
      </c>
      <c r="AM1144" s="55"/>
      <c r="AN1144" s="56" t="str">
        <f t="shared" si="537"/>
        <v/>
      </c>
      <c r="AO1144" s="55"/>
      <c r="AP1144" s="56" t="str">
        <f t="shared" si="538"/>
        <v/>
      </c>
      <c r="AQ1144" s="55"/>
      <c r="AR1144" s="56" t="str">
        <f t="shared" si="539"/>
        <v/>
      </c>
      <c r="AS1144" s="57"/>
      <c r="AT1144" s="58"/>
      <c r="AU1144" s="58"/>
      <c r="AV1144" s="59"/>
      <c r="AW1144" s="60" t="str">
        <f t="shared" si="517"/>
        <v/>
      </c>
      <c r="AX1144" s="61" t="str">
        <f t="shared" si="518"/>
        <v/>
      </c>
      <c r="AY1144" s="60" t="str">
        <f t="shared" si="519"/>
        <v/>
      </c>
      <c r="AZ1144" s="61" t="str">
        <f t="shared" si="520"/>
        <v/>
      </c>
    </row>
    <row r="1145" spans="1:52" s="3" customFormat="1" hidden="1" x14ac:dyDescent="0.35">
      <c r="A1145" s="72">
        <f t="shared" si="521"/>
        <v>2021</v>
      </c>
      <c r="B1145" s="72" t="str">
        <f t="shared" si="522"/>
        <v>Nov</v>
      </c>
      <c r="C1145" s="73">
        <f t="shared" si="540"/>
        <v>15</v>
      </c>
      <c r="D1145" s="74">
        <f t="shared" si="523"/>
        <v>11</v>
      </c>
      <c r="E1145" s="75">
        <f t="shared" si="524"/>
        <v>1</v>
      </c>
      <c r="F1145" s="79"/>
      <c r="G1145" s="82"/>
      <c r="H1145" s="68" t="str">
        <f t="shared" si="541"/>
        <v>Clesim6_20211115_11_00</v>
      </c>
      <c r="I1145" s="69">
        <f t="shared" si="545"/>
        <v>1</v>
      </c>
      <c r="J1145" s="76" t="str">
        <f t="shared" si="545"/>
        <v>Clematis</v>
      </c>
      <c r="K1145" s="76" t="str">
        <f t="shared" si="545"/>
        <v>simense</v>
      </c>
      <c r="L1145" s="77">
        <f t="shared" si="545"/>
        <v>6</v>
      </c>
      <c r="M1145" s="77">
        <f t="shared" si="545"/>
        <v>20</v>
      </c>
      <c r="N1145" s="71">
        <f t="shared" si="545"/>
        <v>0</v>
      </c>
      <c r="O1145" s="44"/>
      <c r="P1145" s="45" t="str">
        <f t="shared" si="525"/>
        <v/>
      </c>
      <c r="Q1145" s="46" t="str">
        <f t="shared" si="526"/>
        <v/>
      </c>
      <c r="R1145" s="47" t="e">
        <f t="shared" si="527"/>
        <v>#VALUE!</v>
      </c>
      <c r="S1145" s="48" t="e">
        <f t="shared" si="516"/>
        <v>#VALUE!</v>
      </c>
      <c r="T1145" s="47" t="str">
        <f t="shared" si="528"/>
        <v/>
      </c>
      <c r="U1145" s="49"/>
      <c r="V1145" s="50"/>
      <c r="W1145" s="51" t="e">
        <f t="shared" si="529"/>
        <v>#VALUE!</v>
      </c>
      <c r="X1145" s="52"/>
      <c r="Y1145" s="52"/>
      <c r="Z1145" s="52"/>
      <c r="AA1145" s="47" t="e">
        <f>INDEX(VISITORS[INSECT ORDER], MATCH(X1145,VISITORS[NAME USED],0))</f>
        <v>#N/A</v>
      </c>
      <c r="AB1145" s="47" t="e">
        <f t="shared" si="530"/>
        <v>#N/A</v>
      </c>
      <c r="AC1145" s="53" t="e">
        <f t="shared" si="531"/>
        <v>#VALUE!</v>
      </c>
      <c r="AD1145" s="54" t="str">
        <f t="shared" si="532"/>
        <v/>
      </c>
      <c r="AE1145" s="54"/>
      <c r="AF1145" s="54"/>
      <c r="AG1145" s="55" t="str">
        <f t="shared" si="533"/>
        <v/>
      </c>
      <c r="AH1145" s="56" t="str">
        <f t="shared" si="534"/>
        <v/>
      </c>
      <c r="AI1145" s="55"/>
      <c r="AJ1145" s="56" t="str">
        <f t="shared" si="535"/>
        <v/>
      </c>
      <c r="AK1145" s="55"/>
      <c r="AL1145" s="56" t="str">
        <f t="shared" si="536"/>
        <v/>
      </c>
      <c r="AM1145" s="55"/>
      <c r="AN1145" s="56" t="str">
        <f t="shared" si="537"/>
        <v/>
      </c>
      <c r="AO1145" s="55"/>
      <c r="AP1145" s="56" t="str">
        <f t="shared" si="538"/>
        <v/>
      </c>
      <c r="AQ1145" s="55"/>
      <c r="AR1145" s="56" t="str">
        <f t="shared" si="539"/>
        <v/>
      </c>
      <c r="AS1145" s="57"/>
      <c r="AT1145" s="58"/>
      <c r="AU1145" s="58"/>
      <c r="AV1145" s="59"/>
      <c r="AW1145" s="60" t="str">
        <f t="shared" si="517"/>
        <v/>
      </c>
      <c r="AX1145" s="61" t="str">
        <f t="shared" si="518"/>
        <v/>
      </c>
      <c r="AY1145" s="60" t="str">
        <f t="shared" si="519"/>
        <v/>
      </c>
      <c r="AZ1145" s="61" t="str">
        <f t="shared" si="520"/>
        <v/>
      </c>
    </row>
    <row r="1146" spans="1:52" s="3" customFormat="1" hidden="1" x14ac:dyDescent="0.35">
      <c r="A1146" s="72">
        <f t="shared" si="521"/>
        <v>2021</v>
      </c>
      <c r="B1146" s="72" t="str">
        <f t="shared" si="522"/>
        <v>Nov</v>
      </c>
      <c r="C1146" s="73">
        <f t="shared" si="540"/>
        <v>15</v>
      </c>
      <c r="D1146" s="74">
        <f t="shared" si="523"/>
        <v>11</v>
      </c>
      <c r="E1146" s="75">
        <f t="shared" si="524"/>
        <v>2</v>
      </c>
      <c r="F1146" s="79"/>
      <c r="G1146" s="82"/>
      <c r="H1146" s="68" t="str">
        <f t="shared" si="541"/>
        <v>Clesim6_20211115_11_00</v>
      </c>
      <c r="I1146" s="69">
        <f t="shared" si="545"/>
        <v>1</v>
      </c>
      <c r="J1146" s="76" t="str">
        <f t="shared" si="545"/>
        <v>Clematis</v>
      </c>
      <c r="K1146" s="76" t="str">
        <f t="shared" si="545"/>
        <v>simense</v>
      </c>
      <c r="L1146" s="77">
        <f t="shared" si="545"/>
        <v>6</v>
      </c>
      <c r="M1146" s="77">
        <f t="shared" si="545"/>
        <v>20</v>
      </c>
      <c r="N1146" s="71">
        <f t="shared" si="545"/>
        <v>0</v>
      </c>
      <c r="O1146" s="44"/>
      <c r="P1146" s="45" t="str">
        <f t="shared" si="525"/>
        <v/>
      </c>
      <c r="Q1146" s="46" t="str">
        <f t="shared" si="526"/>
        <v/>
      </c>
      <c r="R1146" s="47" t="e">
        <f t="shared" si="527"/>
        <v>#VALUE!</v>
      </c>
      <c r="S1146" s="48" t="e">
        <f t="shared" si="516"/>
        <v>#VALUE!</v>
      </c>
      <c r="T1146" s="47" t="str">
        <f t="shared" si="528"/>
        <v/>
      </c>
      <c r="U1146" s="49"/>
      <c r="V1146" s="50"/>
      <c r="W1146" s="51" t="e">
        <f t="shared" si="529"/>
        <v>#VALUE!</v>
      </c>
      <c r="X1146" s="52"/>
      <c r="Y1146" s="52"/>
      <c r="Z1146" s="52"/>
      <c r="AA1146" s="47" t="e">
        <f>INDEX(VISITORS[INSECT ORDER], MATCH(X1146,VISITORS[NAME USED],0))</f>
        <v>#N/A</v>
      </c>
      <c r="AB1146" s="47" t="e">
        <f t="shared" si="530"/>
        <v>#N/A</v>
      </c>
      <c r="AC1146" s="53" t="e">
        <f t="shared" si="531"/>
        <v>#VALUE!</v>
      </c>
      <c r="AD1146" s="54" t="str">
        <f t="shared" si="532"/>
        <v/>
      </c>
      <c r="AE1146" s="54"/>
      <c r="AF1146" s="54"/>
      <c r="AG1146" s="55" t="str">
        <f t="shared" si="533"/>
        <v/>
      </c>
      <c r="AH1146" s="56" t="str">
        <f t="shared" si="534"/>
        <v/>
      </c>
      <c r="AI1146" s="55"/>
      <c r="AJ1146" s="56" t="str">
        <f t="shared" si="535"/>
        <v/>
      </c>
      <c r="AK1146" s="55"/>
      <c r="AL1146" s="56" t="str">
        <f t="shared" si="536"/>
        <v/>
      </c>
      <c r="AM1146" s="55"/>
      <c r="AN1146" s="56" t="str">
        <f t="shared" si="537"/>
        <v/>
      </c>
      <c r="AO1146" s="55"/>
      <c r="AP1146" s="56" t="str">
        <f t="shared" si="538"/>
        <v/>
      </c>
      <c r="AQ1146" s="55"/>
      <c r="AR1146" s="56" t="str">
        <f t="shared" si="539"/>
        <v/>
      </c>
      <c r="AS1146" s="57"/>
      <c r="AT1146" s="58"/>
      <c r="AU1146" s="58"/>
      <c r="AV1146" s="59"/>
      <c r="AW1146" s="60" t="str">
        <f t="shared" si="517"/>
        <v/>
      </c>
      <c r="AX1146" s="61" t="str">
        <f t="shared" si="518"/>
        <v/>
      </c>
      <c r="AY1146" s="60" t="str">
        <f t="shared" si="519"/>
        <v/>
      </c>
      <c r="AZ1146" s="61" t="str">
        <f t="shared" si="520"/>
        <v/>
      </c>
    </row>
    <row r="1147" spans="1:52" s="3" customFormat="1" hidden="1" x14ac:dyDescent="0.35">
      <c r="A1147" s="72">
        <f t="shared" si="521"/>
        <v>2021</v>
      </c>
      <c r="B1147" s="72" t="str">
        <f t="shared" si="522"/>
        <v>Nov</v>
      </c>
      <c r="C1147" s="73">
        <f t="shared" si="540"/>
        <v>15</v>
      </c>
      <c r="D1147" s="74">
        <f t="shared" si="523"/>
        <v>11</v>
      </c>
      <c r="E1147" s="75">
        <f t="shared" si="524"/>
        <v>3</v>
      </c>
      <c r="F1147" s="79"/>
      <c r="G1147" s="82"/>
      <c r="H1147" s="68" t="str">
        <f t="shared" si="541"/>
        <v>Clesim6_20211115_11_00</v>
      </c>
      <c r="I1147" s="69">
        <f t="shared" si="545"/>
        <v>1</v>
      </c>
      <c r="J1147" s="76" t="str">
        <f t="shared" si="545"/>
        <v>Clematis</v>
      </c>
      <c r="K1147" s="76" t="str">
        <f t="shared" si="545"/>
        <v>simense</v>
      </c>
      <c r="L1147" s="77">
        <f t="shared" si="545"/>
        <v>6</v>
      </c>
      <c r="M1147" s="77">
        <f t="shared" si="545"/>
        <v>20</v>
      </c>
      <c r="N1147" s="71">
        <f t="shared" si="545"/>
        <v>0</v>
      </c>
      <c r="O1147" s="44"/>
      <c r="P1147" s="45" t="str">
        <f t="shared" si="525"/>
        <v/>
      </c>
      <c r="Q1147" s="46" t="str">
        <f t="shared" si="526"/>
        <v/>
      </c>
      <c r="R1147" s="47" t="e">
        <f t="shared" si="527"/>
        <v>#VALUE!</v>
      </c>
      <c r="S1147" s="48" t="e">
        <f t="shared" si="516"/>
        <v>#VALUE!</v>
      </c>
      <c r="T1147" s="47" t="str">
        <f t="shared" si="528"/>
        <v/>
      </c>
      <c r="U1147" s="49"/>
      <c r="V1147" s="50"/>
      <c r="W1147" s="51" t="e">
        <f t="shared" si="529"/>
        <v>#VALUE!</v>
      </c>
      <c r="X1147" s="52"/>
      <c r="Y1147" s="52"/>
      <c r="Z1147" s="52"/>
      <c r="AA1147" s="47" t="e">
        <f>INDEX(VISITORS[INSECT ORDER], MATCH(X1147,VISITORS[NAME USED],0))</f>
        <v>#N/A</v>
      </c>
      <c r="AB1147" s="47" t="e">
        <f t="shared" si="530"/>
        <v>#N/A</v>
      </c>
      <c r="AC1147" s="53" t="e">
        <f t="shared" si="531"/>
        <v>#VALUE!</v>
      </c>
      <c r="AD1147" s="54" t="str">
        <f t="shared" si="532"/>
        <v/>
      </c>
      <c r="AE1147" s="54"/>
      <c r="AF1147" s="54"/>
      <c r="AG1147" s="55" t="str">
        <f t="shared" si="533"/>
        <v/>
      </c>
      <c r="AH1147" s="56" t="str">
        <f t="shared" si="534"/>
        <v/>
      </c>
      <c r="AI1147" s="55"/>
      <c r="AJ1147" s="56" t="str">
        <f t="shared" si="535"/>
        <v/>
      </c>
      <c r="AK1147" s="55"/>
      <c r="AL1147" s="56" t="str">
        <f t="shared" si="536"/>
        <v/>
      </c>
      <c r="AM1147" s="55"/>
      <c r="AN1147" s="56" t="str">
        <f t="shared" si="537"/>
        <v/>
      </c>
      <c r="AO1147" s="55"/>
      <c r="AP1147" s="56" t="str">
        <f t="shared" si="538"/>
        <v/>
      </c>
      <c r="AQ1147" s="55"/>
      <c r="AR1147" s="56" t="str">
        <f t="shared" si="539"/>
        <v/>
      </c>
      <c r="AS1147" s="57"/>
      <c r="AT1147" s="58"/>
      <c r="AU1147" s="58"/>
      <c r="AV1147" s="59"/>
      <c r="AW1147" s="60" t="str">
        <f t="shared" si="517"/>
        <v/>
      </c>
      <c r="AX1147" s="61" t="str">
        <f t="shared" si="518"/>
        <v/>
      </c>
      <c r="AY1147" s="60" t="str">
        <f t="shared" si="519"/>
        <v/>
      </c>
      <c r="AZ1147" s="61" t="str">
        <f t="shared" si="520"/>
        <v/>
      </c>
    </row>
    <row r="1148" spans="1:52" s="3" customFormat="1" hidden="1" x14ac:dyDescent="0.35">
      <c r="A1148" s="72">
        <f t="shared" si="521"/>
        <v>2021</v>
      </c>
      <c r="B1148" s="72" t="str">
        <f t="shared" si="522"/>
        <v>Nov</v>
      </c>
      <c r="C1148" s="73">
        <f t="shared" si="540"/>
        <v>15</v>
      </c>
      <c r="D1148" s="74">
        <f t="shared" si="523"/>
        <v>11</v>
      </c>
      <c r="E1148" s="75">
        <f t="shared" si="524"/>
        <v>4</v>
      </c>
      <c r="F1148" s="79"/>
      <c r="G1148" s="82"/>
      <c r="H1148" s="68" t="str">
        <f t="shared" si="541"/>
        <v>Clesim6_20211115_11_00</v>
      </c>
      <c r="I1148" s="69">
        <f t="shared" si="545"/>
        <v>1</v>
      </c>
      <c r="J1148" s="76" t="str">
        <f t="shared" si="545"/>
        <v>Clematis</v>
      </c>
      <c r="K1148" s="76" t="str">
        <f t="shared" si="545"/>
        <v>simense</v>
      </c>
      <c r="L1148" s="77">
        <f t="shared" si="545"/>
        <v>6</v>
      </c>
      <c r="M1148" s="77">
        <f t="shared" si="545"/>
        <v>20</v>
      </c>
      <c r="N1148" s="71">
        <f t="shared" si="545"/>
        <v>0</v>
      </c>
      <c r="O1148" s="44"/>
      <c r="P1148" s="45" t="str">
        <f t="shared" si="525"/>
        <v/>
      </c>
      <c r="Q1148" s="46" t="str">
        <f t="shared" si="526"/>
        <v/>
      </c>
      <c r="R1148" s="47" t="e">
        <f t="shared" si="527"/>
        <v>#VALUE!</v>
      </c>
      <c r="S1148" s="48" t="e">
        <f t="shared" si="516"/>
        <v>#VALUE!</v>
      </c>
      <c r="T1148" s="47" t="str">
        <f t="shared" si="528"/>
        <v/>
      </c>
      <c r="U1148" s="49"/>
      <c r="V1148" s="50"/>
      <c r="W1148" s="51" t="e">
        <f t="shared" si="529"/>
        <v>#VALUE!</v>
      </c>
      <c r="X1148" s="52"/>
      <c r="Y1148" s="52"/>
      <c r="Z1148" s="52"/>
      <c r="AA1148" s="47" t="e">
        <f>INDEX(VISITORS[INSECT ORDER], MATCH(X1148,VISITORS[NAME USED],0))</f>
        <v>#N/A</v>
      </c>
      <c r="AB1148" s="47" t="e">
        <f t="shared" si="530"/>
        <v>#N/A</v>
      </c>
      <c r="AC1148" s="53" t="e">
        <f t="shared" si="531"/>
        <v>#VALUE!</v>
      </c>
      <c r="AD1148" s="54" t="str">
        <f t="shared" si="532"/>
        <v/>
      </c>
      <c r="AE1148" s="54"/>
      <c r="AF1148" s="54"/>
      <c r="AG1148" s="55" t="str">
        <f t="shared" si="533"/>
        <v/>
      </c>
      <c r="AH1148" s="56" t="str">
        <f t="shared" si="534"/>
        <v/>
      </c>
      <c r="AI1148" s="55"/>
      <c r="AJ1148" s="56" t="str">
        <f t="shared" si="535"/>
        <v/>
      </c>
      <c r="AK1148" s="55"/>
      <c r="AL1148" s="56" t="str">
        <f t="shared" si="536"/>
        <v/>
      </c>
      <c r="AM1148" s="55"/>
      <c r="AN1148" s="56" t="str">
        <f t="shared" si="537"/>
        <v/>
      </c>
      <c r="AO1148" s="55"/>
      <c r="AP1148" s="56" t="str">
        <f t="shared" si="538"/>
        <v/>
      </c>
      <c r="AQ1148" s="55"/>
      <c r="AR1148" s="56" t="str">
        <f t="shared" si="539"/>
        <v/>
      </c>
      <c r="AS1148" s="57"/>
      <c r="AT1148" s="58"/>
      <c r="AU1148" s="58"/>
      <c r="AV1148" s="59"/>
      <c r="AW1148" s="60" t="str">
        <f t="shared" si="517"/>
        <v/>
      </c>
      <c r="AX1148" s="61" t="str">
        <f t="shared" si="518"/>
        <v/>
      </c>
      <c r="AY1148" s="60" t="str">
        <f t="shared" si="519"/>
        <v/>
      </c>
      <c r="AZ1148" s="61" t="str">
        <f t="shared" si="520"/>
        <v/>
      </c>
    </row>
    <row r="1149" spans="1:52" s="3" customFormat="1" hidden="1" x14ac:dyDescent="0.35">
      <c r="A1149" s="72">
        <f t="shared" si="521"/>
        <v>2021</v>
      </c>
      <c r="B1149" s="72" t="str">
        <f t="shared" si="522"/>
        <v>Nov</v>
      </c>
      <c r="C1149" s="73">
        <f t="shared" si="540"/>
        <v>15</v>
      </c>
      <c r="D1149" s="74">
        <f t="shared" si="523"/>
        <v>11</v>
      </c>
      <c r="E1149" s="75">
        <f t="shared" si="524"/>
        <v>5</v>
      </c>
      <c r="F1149" s="79"/>
      <c r="G1149" s="82"/>
      <c r="H1149" s="68" t="str">
        <f t="shared" si="541"/>
        <v>Clesim6_20211115_11_00</v>
      </c>
      <c r="I1149" s="69">
        <f t="shared" si="545"/>
        <v>1</v>
      </c>
      <c r="J1149" s="76" t="str">
        <f t="shared" si="545"/>
        <v>Clematis</v>
      </c>
      <c r="K1149" s="76" t="str">
        <f t="shared" si="545"/>
        <v>simense</v>
      </c>
      <c r="L1149" s="77">
        <f t="shared" si="545"/>
        <v>6</v>
      </c>
      <c r="M1149" s="77">
        <f t="shared" si="545"/>
        <v>20</v>
      </c>
      <c r="N1149" s="71">
        <f t="shared" si="545"/>
        <v>0</v>
      </c>
      <c r="O1149" s="44"/>
      <c r="P1149" s="45" t="str">
        <f t="shared" si="525"/>
        <v/>
      </c>
      <c r="Q1149" s="46" t="str">
        <f t="shared" si="526"/>
        <v/>
      </c>
      <c r="R1149" s="47" t="e">
        <f t="shared" si="527"/>
        <v>#VALUE!</v>
      </c>
      <c r="S1149" s="48" t="e">
        <f t="shared" si="516"/>
        <v>#VALUE!</v>
      </c>
      <c r="T1149" s="47" t="str">
        <f t="shared" si="528"/>
        <v/>
      </c>
      <c r="U1149" s="49"/>
      <c r="V1149" s="50"/>
      <c r="W1149" s="51" t="e">
        <f t="shared" si="529"/>
        <v>#VALUE!</v>
      </c>
      <c r="X1149" s="52"/>
      <c r="Y1149" s="52"/>
      <c r="Z1149" s="52"/>
      <c r="AA1149" s="47" t="e">
        <f>INDEX(VISITORS[INSECT ORDER], MATCH(X1149,VISITORS[NAME USED],0))</f>
        <v>#N/A</v>
      </c>
      <c r="AB1149" s="47" t="e">
        <f t="shared" si="530"/>
        <v>#N/A</v>
      </c>
      <c r="AC1149" s="53" t="e">
        <f t="shared" si="531"/>
        <v>#VALUE!</v>
      </c>
      <c r="AD1149" s="54" t="str">
        <f t="shared" si="532"/>
        <v/>
      </c>
      <c r="AE1149" s="54"/>
      <c r="AF1149" s="54"/>
      <c r="AG1149" s="55" t="str">
        <f t="shared" si="533"/>
        <v/>
      </c>
      <c r="AH1149" s="56" t="str">
        <f t="shared" si="534"/>
        <v/>
      </c>
      <c r="AI1149" s="55"/>
      <c r="AJ1149" s="56" t="str">
        <f t="shared" si="535"/>
        <v/>
      </c>
      <c r="AK1149" s="55"/>
      <c r="AL1149" s="56" t="str">
        <f t="shared" si="536"/>
        <v/>
      </c>
      <c r="AM1149" s="55"/>
      <c r="AN1149" s="56" t="str">
        <f t="shared" si="537"/>
        <v/>
      </c>
      <c r="AO1149" s="55"/>
      <c r="AP1149" s="56" t="str">
        <f t="shared" si="538"/>
        <v/>
      </c>
      <c r="AQ1149" s="55"/>
      <c r="AR1149" s="56" t="str">
        <f t="shared" si="539"/>
        <v/>
      </c>
      <c r="AS1149" s="57"/>
      <c r="AT1149" s="58"/>
      <c r="AU1149" s="58"/>
      <c r="AV1149" s="59"/>
      <c r="AW1149" s="60" t="str">
        <f t="shared" si="517"/>
        <v/>
      </c>
      <c r="AX1149" s="61" t="str">
        <f t="shared" si="518"/>
        <v/>
      </c>
      <c r="AY1149" s="60" t="str">
        <f t="shared" si="519"/>
        <v/>
      </c>
      <c r="AZ1149" s="61" t="str">
        <f t="shared" si="520"/>
        <v/>
      </c>
    </row>
    <row r="1150" spans="1:52" s="3" customFormat="1" hidden="1" x14ac:dyDescent="0.35">
      <c r="A1150" s="72">
        <f t="shared" si="521"/>
        <v>2021</v>
      </c>
      <c r="B1150" s="72" t="str">
        <f t="shared" si="522"/>
        <v>Nov</v>
      </c>
      <c r="C1150" s="73">
        <f t="shared" si="540"/>
        <v>15</v>
      </c>
      <c r="D1150" s="74">
        <f t="shared" si="523"/>
        <v>11</v>
      </c>
      <c r="E1150" s="75">
        <f t="shared" si="524"/>
        <v>6</v>
      </c>
      <c r="F1150" s="79"/>
      <c r="G1150" s="82"/>
      <c r="H1150" s="68" t="str">
        <f t="shared" si="541"/>
        <v>Clesim6_20211115_11_00</v>
      </c>
      <c r="I1150" s="69">
        <f t="shared" si="545"/>
        <v>1</v>
      </c>
      <c r="J1150" s="76" t="str">
        <f t="shared" si="545"/>
        <v>Clematis</v>
      </c>
      <c r="K1150" s="76" t="str">
        <f t="shared" si="545"/>
        <v>simense</v>
      </c>
      <c r="L1150" s="77">
        <f t="shared" si="545"/>
        <v>6</v>
      </c>
      <c r="M1150" s="77">
        <f t="shared" si="545"/>
        <v>20</v>
      </c>
      <c r="N1150" s="71">
        <f t="shared" si="545"/>
        <v>0</v>
      </c>
      <c r="O1150" s="44"/>
      <c r="P1150" s="45" t="str">
        <f t="shared" si="525"/>
        <v/>
      </c>
      <c r="Q1150" s="46" t="str">
        <f t="shared" si="526"/>
        <v/>
      </c>
      <c r="R1150" s="47" t="e">
        <f t="shared" si="527"/>
        <v>#VALUE!</v>
      </c>
      <c r="S1150" s="48" t="e">
        <f t="shared" si="516"/>
        <v>#VALUE!</v>
      </c>
      <c r="T1150" s="47" t="str">
        <f t="shared" si="528"/>
        <v/>
      </c>
      <c r="U1150" s="49"/>
      <c r="V1150" s="50"/>
      <c r="W1150" s="51" t="e">
        <f t="shared" si="529"/>
        <v>#VALUE!</v>
      </c>
      <c r="X1150" s="52"/>
      <c r="Y1150" s="52"/>
      <c r="Z1150" s="52"/>
      <c r="AA1150" s="47" t="e">
        <f>INDEX(VISITORS[INSECT ORDER], MATCH(X1150,VISITORS[NAME USED],0))</f>
        <v>#N/A</v>
      </c>
      <c r="AB1150" s="47" t="e">
        <f t="shared" si="530"/>
        <v>#N/A</v>
      </c>
      <c r="AC1150" s="53" t="e">
        <f t="shared" si="531"/>
        <v>#VALUE!</v>
      </c>
      <c r="AD1150" s="54" t="str">
        <f t="shared" si="532"/>
        <v/>
      </c>
      <c r="AE1150" s="54"/>
      <c r="AF1150" s="54"/>
      <c r="AG1150" s="55" t="str">
        <f t="shared" si="533"/>
        <v/>
      </c>
      <c r="AH1150" s="56" t="str">
        <f t="shared" si="534"/>
        <v/>
      </c>
      <c r="AI1150" s="55"/>
      <c r="AJ1150" s="56" t="str">
        <f t="shared" si="535"/>
        <v/>
      </c>
      <c r="AK1150" s="55"/>
      <c r="AL1150" s="56" t="str">
        <f t="shared" si="536"/>
        <v/>
      </c>
      <c r="AM1150" s="55"/>
      <c r="AN1150" s="56" t="str">
        <f t="shared" si="537"/>
        <v/>
      </c>
      <c r="AO1150" s="55"/>
      <c r="AP1150" s="56" t="str">
        <f t="shared" si="538"/>
        <v/>
      </c>
      <c r="AQ1150" s="55"/>
      <c r="AR1150" s="56" t="str">
        <f t="shared" si="539"/>
        <v/>
      </c>
      <c r="AS1150" s="57"/>
      <c r="AT1150" s="58"/>
      <c r="AU1150" s="58"/>
      <c r="AV1150" s="59"/>
      <c r="AW1150" s="60" t="str">
        <f t="shared" si="517"/>
        <v/>
      </c>
      <c r="AX1150" s="61" t="str">
        <f t="shared" si="518"/>
        <v/>
      </c>
      <c r="AY1150" s="60" t="str">
        <f t="shared" si="519"/>
        <v/>
      </c>
      <c r="AZ1150" s="61" t="str">
        <f t="shared" si="520"/>
        <v/>
      </c>
    </row>
    <row r="1151" spans="1:52" s="3" customFormat="1" x14ac:dyDescent="0.35">
      <c r="A1151" s="72">
        <f t="shared" si="521"/>
        <v>2021</v>
      </c>
      <c r="B1151" s="72" t="str">
        <f t="shared" si="522"/>
        <v>Nov</v>
      </c>
      <c r="C1151" s="73">
        <f t="shared" si="540"/>
        <v>15</v>
      </c>
      <c r="D1151" s="74">
        <f t="shared" si="523"/>
        <v>11</v>
      </c>
      <c r="E1151" s="75">
        <f t="shared" si="524"/>
        <v>7</v>
      </c>
      <c r="F1151" s="79">
        <v>11</v>
      </c>
      <c r="G1151" s="82"/>
      <c r="H1151" s="68" t="str">
        <f t="shared" si="541"/>
        <v>Clesim6_20211115_11_00</v>
      </c>
      <c r="I1151" s="69">
        <f t="shared" si="545"/>
        <v>1</v>
      </c>
      <c r="J1151" s="76" t="str">
        <f t="shared" si="545"/>
        <v>Clematis</v>
      </c>
      <c r="K1151" s="76" t="str">
        <f t="shared" si="545"/>
        <v>simense</v>
      </c>
      <c r="L1151" s="77">
        <f t="shared" si="545"/>
        <v>6</v>
      </c>
      <c r="M1151" s="77">
        <f t="shared" si="545"/>
        <v>20</v>
      </c>
      <c r="N1151" s="71">
        <f t="shared" si="545"/>
        <v>0</v>
      </c>
      <c r="O1151" s="44"/>
      <c r="P1151" s="45">
        <f t="shared" si="525"/>
        <v>1</v>
      </c>
      <c r="Q1151" s="46" t="str">
        <f t="shared" si="526"/>
        <v>11:07:11</v>
      </c>
      <c r="R1151" s="47" t="str">
        <f t="shared" si="527"/>
        <v>07:11</v>
      </c>
      <c r="S1151" s="48">
        <f t="shared" si="516"/>
        <v>79</v>
      </c>
      <c r="T1151" s="47" t="str">
        <f t="shared" si="528"/>
        <v>11</v>
      </c>
      <c r="U1151" s="49">
        <v>8</v>
      </c>
      <c r="V1151" s="50">
        <v>30</v>
      </c>
      <c r="W1151" s="51" t="str">
        <f t="shared" si="529"/>
        <v>08:30</v>
      </c>
      <c r="X1151" s="123" t="s">
        <v>66</v>
      </c>
      <c r="Y1151" s="52" t="s">
        <v>70</v>
      </c>
      <c r="Z1151" s="52" t="s">
        <v>87</v>
      </c>
      <c r="AA1151" s="47" t="s">
        <v>67</v>
      </c>
      <c r="AB1151" s="47" t="str">
        <f t="shared" si="530"/>
        <v>NA</v>
      </c>
      <c r="AC1151" s="53" t="str">
        <f t="shared" si="531"/>
        <v/>
      </c>
      <c r="AD1151" s="54">
        <f t="shared" si="532"/>
        <v>1</v>
      </c>
      <c r="AE1151" s="54"/>
      <c r="AF1151" s="54"/>
      <c r="AG1151" s="55" t="str">
        <f t="shared" si="533"/>
        <v/>
      </c>
      <c r="AH1151" s="56" t="str">
        <f t="shared" si="534"/>
        <v/>
      </c>
      <c r="AI1151" s="55"/>
      <c r="AJ1151" s="56" t="str">
        <f t="shared" si="535"/>
        <v/>
      </c>
      <c r="AK1151" s="55"/>
      <c r="AL1151" s="56" t="str">
        <f t="shared" si="536"/>
        <v/>
      </c>
      <c r="AM1151" s="55"/>
      <c r="AN1151" s="56" t="str">
        <f t="shared" si="537"/>
        <v/>
      </c>
      <c r="AO1151" s="55"/>
      <c r="AP1151" s="56" t="str">
        <f t="shared" si="538"/>
        <v/>
      </c>
      <c r="AQ1151" s="55"/>
      <c r="AR1151" s="56" t="str">
        <f t="shared" si="539"/>
        <v/>
      </c>
      <c r="AS1151" s="57"/>
      <c r="AT1151" s="58"/>
      <c r="AU1151" s="58"/>
      <c r="AV1151" s="59"/>
      <c r="AW1151" s="60">
        <f t="shared" si="517"/>
        <v>0</v>
      </c>
      <c r="AX1151" s="61" t="str">
        <f t="shared" si="518"/>
        <v/>
      </c>
      <c r="AY1151" s="60">
        <f t="shared" si="519"/>
        <v>0</v>
      </c>
      <c r="AZ1151" s="61" t="str">
        <f t="shared" si="520"/>
        <v/>
      </c>
    </row>
    <row r="1152" spans="1:52" s="3" customFormat="1" hidden="1" x14ac:dyDescent="0.35">
      <c r="A1152" s="72">
        <f t="shared" si="521"/>
        <v>2021</v>
      </c>
      <c r="B1152" s="72" t="str">
        <f t="shared" si="522"/>
        <v>Nov</v>
      </c>
      <c r="C1152" s="73">
        <f t="shared" si="540"/>
        <v>15</v>
      </c>
      <c r="D1152" s="74">
        <f t="shared" si="523"/>
        <v>11</v>
      </c>
      <c r="E1152" s="75">
        <f t="shared" si="524"/>
        <v>8</v>
      </c>
      <c r="F1152" s="79"/>
      <c r="G1152" s="82"/>
      <c r="H1152" s="68" t="str">
        <f t="shared" si="541"/>
        <v>Clesim6_20211115_11_00</v>
      </c>
      <c r="I1152" s="69">
        <f t="shared" si="545"/>
        <v>1</v>
      </c>
      <c r="J1152" s="76" t="str">
        <f t="shared" si="545"/>
        <v>Clematis</v>
      </c>
      <c r="K1152" s="76" t="str">
        <f t="shared" si="545"/>
        <v>simense</v>
      </c>
      <c r="L1152" s="77">
        <f t="shared" si="545"/>
        <v>6</v>
      </c>
      <c r="M1152" s="77">
        <f t="shared" si="545"/>
        <v>20</v>
      </c>
      <c r="N1152" s="71">
        <f t="shared" si="545"/>
        <v>0</v>
      </c>
      <c r="O1152" s="44"/>
      <c r="P1152" s="45" t="str">
        <f t="shared" si="525"/>
        <v/>
      </c>
      <c r="Q1152" s="46" t="str">
        <f t="shared" si="526"/>
        <v/>
      </c>
      <c r="R1152" s="47" t="e">
        <f t="shared" si="527"/>
        <v>#VALUE!</v>
      </c>
      <c r="S1152" s="48" t="e">
        <f t="shared" si="516"/>
        <v>#VALUE!</v>
      </c>
      <c r="T1152" s="47" t="str">
        <f t="shared" si="528"/>
        <v/>
      </c>
      <c r="U1152" s="49"/>
      <c r="V1152" s="50"/>
      <c r="W1152" s="51" t="e">
        <f t="shared" si="529"/>
        <v>#VALUE!</v>
      </c>
      <c r="X1152" s="52"/>
      <c r="Y1152" s="52"/>
      <c r="Z1152" s="52"/>
      <c r="AA1152" s="47" t="e">
        <f>INDEX(VISITORS[INSECT ORDER], MATCH(X1152,VISITORS[NAME USED],0))</f>
        <v>#N/A</v>
      </c>
      <c r="AB1152" s="47" t="e">
        <f t="shared" si="530"/>
        <v>#N/A</v>
      </c>
      <c r="AC1152" s="53" t="e">
        <f t="shared" si="531"/>
        <v>#VALUE!</v>
      </c>
      <c r="AD1152" s="54" t="str">
        <f t="shared" si="532"/>
        <v/>
      </c>
      <c r="AE1152" s="54"/>
      <c r="AF1152" s="54"/>
      <c r="AG1152" s="55" t="str">
        <f t="shared" si="533"/>
        <v/>
      </c>
      <c r="AH1152" s="56" t="str">
        <f t="shared" si="534"/>
        <v/>
      </c>
      <c r="AI1152" s="55"/>
      <c r="AJ1152" s="56" t="str">
        <f t="shared" si="535"/>
        <v/>
      </c>
      <c r="AK1152" s="55"/>
      <c r="AL1152" s="56" t="str">
        <f t="shared" si="536"/>
        <v/>
      </c>
      <c r="AM1152" s="55"/>
      <c r="AN1152" s="56" t="str">
        <f t="shared" si="537"/>
        <v/>
      </c>
      <c r="AO1152" s="55"/>
      <c r="AP1152" s="56" t="str">
        <f t="shared" si="538"/>
        <v/>
      </c>
      <c r="AQ1152" s="55"/>
      <c r="AR1152" s="56" t="str">
        <f t="shared" si="539"/>
        <v/>
      </c>
      <c r="AS1152" s="57"/>
      <c r="AT1152" s="58"/>
      <c r="AU1152" s="58"/>
      <c r="AV1152" s="59"/>
      <c r="AW1152" s="60" t="str">
        <f t="shared" si="517"/>
        <v/>
      </c>
      <c r="AX1152" s="61" t="str">
        <f t="shared" si="518"/>
        <v/>
      </c>
      <c r="AY1152" s="60" t="str">
        <f t="shared" si="519"/>
        <v/>
      </c>
      <c r="AZ1152" s="61" t="str">
        <f t="shared" si="520"/>
        <v/>
      </c>
    </row>
    <row r="1153" spans="1:52" s="3" customFormat="1" hidden="1" x14ac:dyDescent="0.35">
      <c r="A1153" s="72">
        <f t="shared" si="521"/>
        <v>2021</v>
      </c>
      <c r="B1153" s="72" t="str">
        <f t="shared" si="522"/>
        <v>Nov</v>
      </c>
      <c r="C1153" s="73">
        <f t="shared" si="540"/>
        <v>15</v>
      </c>
      <c r="D1153" s="74">
        <f t="shared" si="523"/>
        <v>11</v>
      </c>
      <c r="E1153" s="75">
        <f t="shared" si="524"/>
        <v>9</v>
      </c>
      <c r="F1153" s="79"/>
      <c r="G1153" s="82"/>
      <c r="H1153" s="68" t="str">
        <f t="shared" si="541"/>
        <v>Clesim6_20211115_11_00</v>
      </c>
      <c r="I1153" s="69">
        <f t="shared" si="545"/>
        <v>1</v>
      </c>
      <c r="J1153" s="76" t="str">
        <f t="shared" si="545"/>
        <v>Clematis</v>
      </c>
      <c r="K1153" s="76" t="str">
        <f t="shared" si="545"/>
        <v>simense</v>
      </c>
      <c r="L1153" s="77">
        <f t="shared" si="545"/>
        <v>6</v>
      </c>
      <c r="M1153" s="77">
        <f t="shared" si="545"/>
        <v>20</v>
      </c>
      <c r="N1153" s="71">
        <f t="shared" si="545"/>
        <v>0</v>
      </c>
      <c r="O1153" s="44"/>
      <c r="P1153" s="45" t="str">
        <f t="shared" si="525"/>
        <v/>
      </c>
      <c r="Q1153" s="46" t="str">
        <f t="shared" si="526"/>
        <v/>
      </c>
      <c r="R1153" s="47" t="e">
        <f t="shared" si="527"/>
        <v>#VALUE!</v>
      </c>
      <c r="S1153" s="48" t="e">
        <f t="shared" si="516"/>
        <v>#VALUE!</v>
      </c>
      <c r="T1153" s="47" t="str">
        <f t="shared" si="528"/>
        <v/>
      </c>
      <c r="U1153" s="49"/>
      <c r="V1153" s="50"/>
      <c r="W1153" s="51" t="e">
        <f t="shared" si="529"/>
        <v>#VALUE!</v>
      </c>
      <c r="X1153" s="52"/>
      <c r="Y1153" s="52"/>
      <c r="Z1153" s="52"/>
      <c r="AA1153" s="47" t="e">
        <f>INDEX(VISITORS[INSECT ORDER], MATCH(X1153,VISITORS[NAME USED],0))</f>
        <v>#N/A</v>
      </c>
      <c r="AB1153" s="47" t="e">
        <f t="shared" si="530"/>
        <v>#N/A</v>
      </c>
      <c r="AC1153" s="53" t="e">
        <f t="shared" si="531"/>
        <v>#VALUE!</v>
      </c>
      <c r="AD1153" s="54" t="str">
        <f t="shared" si="532"/>
        <v/>
      </c>
      <c r="AE1153" s="54"/>
      <c r="AF1153" s="54"/>
      <c r="AG1153" s="55" t="str">
        <f t="shared" si="533"/>
        <v/>
      </c>
      <c r="AH1153" s="56" t="str">
        <f t="shared" si="534"/>
        <v/>
      </c>
      <c r="AI1153" s="55"/>
      <c r="AJ1153" s="56" t="str">
        <f t="shared" si="535"/>
        <v/>
      </c>
      <c r="AK1153" s="55"/>
      <c r="AL1153" s="56" t="str">
        <f t="shared" si="536"/>
        <v/>
      </c>
      <c r="AM1153" s="55"/>
      <c r="AN1153" s="56" t="str">
        <f t="shared" si="537"/>
        <v/>
      </c>
      <c r="AO1153" s="55"/>
      <c r="AP1153" s="56" t="str">
        <f t="shared" si="538"/>
        <v/>
      </c>
      <c r="AQ1153" s="55"/>
      <c r="AR1153" s="56" t="str">
        <f t="shared" si="539"/>
        <v/>
      </c>
      <c r="AS1153" s="57"/>
      <c r="AT1153" s="58"/>
      <c r="AU1153" s="58"/>
      <c r="AV1153" s="59"/>
      <c r="AW1153" s="60" t="str">
        <f t="shared" si="517"/>
        <v/>
      </c>
      <c r="AX1153" s="61" t="str">
        <f t="shared" si="518"/>
        <v/>
      </c>
      <c r="AY1153" s="60" t="str">
        <f t="shared" si="519"/>
        <v/>
      </c>
      <c r="AZ1153" s="61" t="str">
        <f t="shared" si="520"/>
        <v/>
      </c>
    </row>
    <row r="1154" spans="1:52" s="3" customFormat="1" hidden="1" x14ac:dyDescent="0.35">
      <c r="A1154" s="72">
        <f t="shared" si="521"/>
        <v>2021</v>
      </c>
      <c r="B1154" s="72" t="str">
        <f t="shared" si="522"/>
        <v>Nov</v>
      </c>
      <c r="C1154" s="73">
        <f t="shared" si="540"/>
        <v>15</v>
      </c>
      <c r="D1154" s="74">
        <f t="shared" si="523"/>
        <v>11</v>
      </c>
      <c r="E1154" s="75">
        <f t="shared" si="524"/>
        <v>10</v>
      </c>
      <c r="F1154" s="79"/>
      <c r="G1154" s="82"/>
      <c r="H1154" s="68" t="str">
        <f t="shared" si="541"/>
        <v>Clesim6_20211115_11_00</v>
      </c>
      <c r="I1154" s="69">
        <f t="shared" si="545"/>
        <v>1</v>
      </c>
      <c r="J1154" s="76" t="str">
        <f t="shared" si="545"/>
        <v>Clematis</v>
      </c>
      <c r="K1154" s="76" t="str">
        <f t="shared" si="545"/>
        <v>simense</v>
      </c>
      <c r="L1154" s="77">
        <f t="shared" si="545"/>
        <v>6</v>
      </c>
      <c r="M1154" s="77">
        <f t="shared" si="545"/>
        <v>20</v>
      </c>
      <c r="N1154" s="71">
        <f t="shared" si="545"/>
        <v>0</v>
      </c>
      <c r="O1154" s="44"/>
      <c r="P1154" s="45" t="str">
        <f t="shared" si="525"/>
        <v/>
      </c>
      <c r="Q1154" s="46" t="str">
        <f t="shared" si="526"/>
        <v/>
      </c>
      <c r="R1154" s="47" t="e">
        <f t="shared" si="527"/>
        <v>#VALUE!</v>
      </c>
      <c r="S1154" s="48" t="e">
        <f t="shared" si="516"/>
        <v>#VALUE!</v>
      </c>
      <c r="T1154" s="47" t="str">
        <f t="shared" si="528"/>
        <v/>
      </c>
      <c r="U1154" s="49"/>
      <c r="V1154" s="50"/>
      <c r="W1154" s="51" t="e">
        <f t="shared" si="529"/>
        <v>#VALUE!</v>
      </c>
      <c r="X1154" s="52"/>
      <c r="Y1154" s="52"/>
      <c r="Z1154" s="52"/>
      <c r="AA1154" s="47" t="e">
        <f>INDEX(VISITORS[INSECT ORDER], MATCH(X1154,VISITORS[NAME USED],0))</f>
        <v>#N/A</v>
      </c>
      <c r="AB1154" s="47" t="e">
        <f t="shared" si="530"/>
        <v>#N/A</v>
      </c>
      <c r="AC1154" s="53" t="e">
        <f t="shared" si="531"/>
        <v>#VALUE!</v>
      </c>
      <c r="AD1154" s="54" t="str">
        <f t="shared" si="532"/>
        <v/>
      </c>
      <c r="AE1154" s="54"/>
      <c r="AF1154" s="54"/>
      <c r="AG1154" s="55" t="str">
        <f t="shared" si="533"/>
        <v/>
      </c>
      <c r="AH1154" s="56" t="str">
        <f t="shared" si="534"/>
        <v/>
      </c>
      <c r="AI1154" s="55"/>
      <c r="AJ1154" s="56" t="str">
        <f t="shared" si="535"/>
        <v/>
      </c>
      <c r="AK1154" s="55"/>
      <c r="AL1154" s="56" t="str">
        <f t="shared" si="536"/>
        <v/>
      </c>
      <c r="AM1154" s="55"/>
      <c r="AN1154" s="56" t="str">
        <f t="shared" si="537"/>
        <v/>
      </c>
      <c r="AO1154" s="55"/>
      <c r="AP1154" s="56" t="str">
        <f t="shared" si="538"/>
        <v/>
      </c>
      <c r="AQ1154" s="55"/>
      <c r="AR1154" s="56" t="str">
        <f t="shared" si="539"/>
        <v/>
      </c>
      <c r="AS1154" s="57"/>
      <c r="AT1154" s="58"/>
      <c r="AU1154" s="58"/>
      <c r="AV1154" s="59"/>
      <c r="AW1154" s="60" t="str">
        <f t="shared" si="517"/>
        <v/>
      </c>
      <c r="AX1154" s="61" t="str">
        <f t="shared" si="518"/>
        <v/>
      </c>
      <c r="AY1154" s="60" t="str">
        <f t="shared" si="519"/>
        <v/>
      </c>
      <c r="AZ1154" s="61" t="str">
        <f t="shared" si="520"/>
        <v/>
      </c>
    </row>
    <row r="1155" spans="1:52" s="3" customFormat="1" hidden="1" x14ac:dyDescent="0.35">
      <c r="A1155" s="72">
        <f t="shared" si="521"/>
        <v>2021</v>
      </c>
      <c r="B1155" s="72" t="str">
        <f t="shared" si="522"/>
        <v>Nov</v>
      </c>
      <c r="C1155" s="73">
        <f t="shared" si="540"/>
        <v>15</v>
      </c>
      <c r="D1155" s="74">
        <f t="shared" si="523"/>
        <v>11</v>
      </c>
      <c r="E1155" s="75">
        <f t="shared" si="524"/>
        <v>11</v>
      </c>
      <c r="F1155" s="79"/>
      <c r="G1155" s="82"/>
      <c r="H1155" s="68" t="str">
        <f t="shared" si="541"/>
        <v>Clesim6_20211115_11_00</v>
      </c>
      <c r="I1155" s="69">
        <f t="shared" si="545"/>
        <v>1</v>
      </c>
      <c r="J1155" s="76" t="str">
        <f t="shared" si="545"/>
        <v>Clematis</v>
      </c>
      <c r="K1155" s="76" t="str">
        <f t="shared" si="545"/>
        <v>simense</v>
      </c>
      <c r="L1155" s="77">
        <f t="shared" si="545"/>
        <v>6</v>
      </c>
      <c r="M1155" s="77">
        <f t="shared" si="545"/>
        <v>20</v>
      </c>
      <c r="N1155" s="71">
        <f t="shared" si="545"/>
        <v>0</v>
      </c>
      <c r="O1155" s="44"/>
      <c r="P1155" s="45" t="str">
        <f t="shared" si="525"/>
        <v/>
      </c>
      <c r="Q1155" s="46" t="str">
        <f t="shared" si="526"/>
        <v/>
      </c>
      <c r="R1155" s="47" t="e">
        <f t="shared" si="527"/>
        <v>#VALUE!</v>
      </c>
      <c r="S1155" s="48" t="e">
        <f t="shared" si="516"/>
        <v>#VALUE!</v>
      </c>
      <c r="T1155" s="47" t="str">
        <f t="shared" si="528"/>
        <v/>
      </c>
      <c r="U1155" s="49"/>
      <c r="V1155" s="50"/>
      <c r="W1155" s="51" t="e">
        <f t="shared" si="529"/>
        <v>#VALUE!</v>
      </c>
      <c r="X1155" s="52"/>
      <c r="Y1155" s="52"/>
      <c r="Z1155" s="52"/>
      <c r="AA1155" s="47" t="e">
        <f>INDEX(VISITORS[INSECT ORDER], MATCH(X1155,VISITORS[NAME USED],0))</f>
        <v>#N/A</v>
      </c>
      <c r="AB1155" s="47" t="e">
        <f t="shared" si="530"/>
        <v>#N/A</v>
      </c>
      <c r="AC1155" s="53" t="e">
        <f t="shared" si="531"/>
        <v>#VALUE!</v>
      </c>
      <c r="AD1155" s="54" t="str">
        <f t="shared" si="532"/>
        <v/>
      </c>
      <c r="AE1155" s="54"/>
      <c r="AF1155" s="54"/>
      <c r="AG1155" s="55" t="str">
        <f t="shared" si="533"/>
        <v/>
      </c>
      <c r="AH1155" s="56" t="str">
        <f t="shared" si="534"/>
        <v/>
      </c>
      <c r="AI1155" s="55"/>
      <c r="AJ1155" s="56" t="str">
        <f t="shared" si="535"/>
        <v/>
      </c>
      <c r="AK1155" s="55"/>
      <c r="AL1155" s="56" t="str">
        <f t="shared" si="536"/>
        <v/>
      </c>
      <c r="AM1155" s="55"/>
      <c r="AN1155" s="56" t="str">
        <f t="shared" si="537"/>
        <v/>
      </c>
      <c r="AO1155" s="55"/>
      <c r="AP1155" s="56" t="str">
        <f t="shared" si="538"/>
        <v/>
      </c>
      <c r="AQ1155" s="55"/>
      <c r="AR1155" s="56" t="str">
        <f t="shared" si="539"/>
        <v/>
      </c>
      <c r="AS1155" s="57"/>
      <c r="AT1155" s="58"/>
      <c r="AU1155" s="58"/>
      <c r="AV1155" s="59"/>
      <c r="AW1155" s="60" t="str">
        <f t="shared" si="517"/>
        <v/>
      </c>
      <c r="AX1155" s="61" t="str">
        <f t="shared" si="518"/>
        <v/>
      </c>
      <c r="AY1155" s="60" t="str">
        <f t="shared" si="519"/>
        <v/>
      </c>
      <c r="AZ1155" s="61" t="str">
        <f t="shared" si="520"/>
        <v/>
      </c>
    </row>
    <row r="1156" spans="1:52" s="3" customFormat="1" hidden="1" x14ac:dyDescent="0.35">
      <c r="A1156" s="72">
        <f t="shared" si="521"/>
        <v>2021</v>
      </c>
      <c r="B1156" s="72" t="str">
        <f t="shared" si="522"/>
        <v>Nov</v>
      </c>
      <c r="C1156" s="73">
        <f t="shared" si="540"/>
        <v>15</v>
      </c>
      <c r="D1156" s="74">
        <f t="shared" si="523"/>
        <v>11</v>
      </c>
      <c r="E1156" s="75">
        <f t="shared" si="524"/>
        <v>12</v>
      </c>
      <c r="F1156" s="79"/>
      <c r="G1156" s="82"/>
      <c r="H1156" s="68" t="str">
        <f t="shared" si="541"/>
        <v>Clesim6_20211115_11_00</v>
      </c>
      <c r="I1156" s="69">
        <f t="shared" si="545"/>
        <v>1</v>
      </c>
      <c r="J1156" s="76" t="str">
        <f t="shared" si="545"/>
        <v>Clematis</v>
      </c>
      <c r="K1156" s="76" t="str">
        <f t="shared" si="545"/>
        <v>simense</v>
      </c>
      <c r="L1156" s="77">
        <f t="shared" si="545"/>
        <v>6</v>
      </c>
      <c r="M1156" s="77">
        <f t="shared" si="545"/>
        <v>20</v>
      </c>
      <c r="N1156" s="71">
        <f t="shared" si="545"/>
        <v>0</v>
      </c>
      <c r="O1156" s="44"/>
      <c r="P1156" s="45" t="str">
        <f t="shared" si="525"/>
        <v/>
      </c>
      <c r="Q1156" s="46" t="str">
        <f t="shared" si="526"/>
        <v/>
      </c>
      <c r="R1156" s="47" t="e">
        <f t="shared" si="527"/>
        <v>#VALUE!</v>
      </c>
      <c r="S1156" s="48" t="e">
        <f t="shared" ref="S1156:S1219" si="546">IF(T1156&lt;D1156, (T1156*3600+U1156*60+V1156)+((23*3600+59*60+60)-(D1156*3600+E1156*60+LEFT(F1156,2))), (T1156*3600+U1156*60+V1156)-(D1156*3600+E1156*60+LEFT(F1156,2)))</f>
        <v>#VALUE!</v>
      </c>
      <c r="T1156" s="47" t="str">
        <f t="shared" si="528"/>
        <v/>
      </c>
      <c r="U1156" s="49"/>
      <c r="V1156" s="50"/>
      <c r="W1156" s="51" t="e">
        <f t="shared" si="529"/>
        <v>#VALUE!</v>
      </c>
      <c r="X1156" s="52"/>
      <c r="Y1156" s="52"/>
      <c r="Z1156" s="52"/>
      <c r="AA1156" s="47" t="e">
        <f>INDEX(VISITORS[INSECT ORDER], MATCH(X1156,VISITORS[NAME USED],0))</f>
        <v>#N/A</v>
      </c>
      <c r="AB1156" s="47" t="e">
        <f t="shared" si="530"/>
        <v>#N/A</v>
      </c>
      <c r="AC1156" s="53" t="e">
        <f t="shared" si="531"/>
        <v>#VALUE!</v>
      </c>
      <c r="AD1156" s="54" t="str">
        <f t="shared" si="532"/>
        <v/>
      </c>
      <c r="AE1156" s="54"/>
      <c r="AF1156" s="54"/>
      <c r="AG1156" s="55" t="str">
        <f t="shared" si="533"/>
        <v/>
      </c>
      <c r="AH1156" s="56" t="str">
        <f t="shared" si="534"/>
        <v/>
      </c>
      <c r="AI1156" s="55"/>
      <c r="AJ1156" s="56" t="str">
        <f t="shared" si="535"/>
        <v/>
      </c>
      <c r="AK1156" s="55"/>
      <c r="AL1156" s="56" t="str">
        <f t="shared" si="536"/>
        <v/>
      </c>
      <c r="AM1156" s="55"/>
      <c r="AN1156" s="56" t="str">
        <f t="shared" si="537"/>
        <v/>
      </c>
      <c r="AO1156" s="55"/>
      <c r="AP1156" s="56" t="str">
        <f t="shared" si="538"/>
        <v/>
      </c>
      <c r="AQ1156" s="55"/>
      <c r="AR1156" s="56" t="str">
        <f t="shared" si="539"/>
        <v/>
      </c>
      <c r="AS1156" s="57"/>
      <c r="AT1156" s="58"/>
      <c r="AU1156" s="58"/>
      <c r="AV1156" s="59"/>
      <c r="AW1156" s="60" t="str">
        <f t="shared" ref="AW1156:AW1219" si="547">IF(P1156=1,0,"")</f>
        <v/>
      </c>
      <c r="AX1156" s="61" t="str">
        <f t="shared" ref="AX1156:AX1219" si="548">IF(AW1156=1,AD1156,"")</f>
        <v/>
      </c>
      <c r="AY1156" s="60" t="str">
        <f t="shared" ref="AY1156:AY1219" si="549">IF(P1156=1,0,"")</f>
        <v/>
      </c>
      <c r="AZ1156" s="61" t="str">
        <f t="shared" ref="AZ1156:AZ1219" si="550">IF(AY1156=1,AD1156,"")</f>
        <v/>
      </c>
    </row>
    <row r="1157" spans="1:52" s="3" customFormat="1" hidden="1" x14ac:dyDescent="0.35">
      <c r="A1157" s="72">
        <f t="shared" ref="A1157:A1220" si="551">A1156</f>
        <v>2021</v>
      </c>
      <c r="B1157" s="72" t="str">
        <f t="shared" ref="B1157:B1220" si="552">IF(C1156-C1157&gt;0, TEXT(DATE(2016,(MONTH(DATEVALUE(B1156&amp;"1"))+1),1),"mmm"), B1156)</f>
        <v>Nov</v>
      </c>
      <c r="C1157" s="73">
        <f t="shared" si="540"/>
        <v>15</v>
      </c>
      <c r="D1157" s="74">
        <f t="shared" ref="D1157:D1220" si="553">IF(IF(E1156=59,D1156+1,D1156)=24,0,IF(E1156=59,D1156+1,D1156))</f>
        <v>11</v>
      </c>
      <c r="E1157" s="75">
        <f t="shared" ref="E1157:E1220" si="554">IF(E1156&lt;59,E1156+1,0)</f>
        <v>13</v>
      </c>
      <c r="F1157" s="79"/>
      <c r="G1157" s="82"/>
      <c r="H1157" s="68" t="str">
        <f t="shared" si="541"/>
        <v>Clesim6_20211115_11_00</v>
      </c>
      <c r="I1157" s="69">
        <f t="shared" si="545"/>
        <v>1</v>
      </c>
      <c r="J1157" s="76" t="str">
        <f t="shared" si="545"/>
        <v>Clematis</v>
      </c>
      <c r="K1157" s="76" t="str">
        <f t="shared" si="545"/>
        <v>simense</v>
      </c>
      <c r="L1157" s="77">
        <f t="shared" si="545"/>
        <v>6</v>
      </c>
      <c r="M1157" s="77">
        <f t="shared" si="545"/>
        <v>20</v>
      </c>
      <c r="N1157" s="71">
        <f t="shared" si="545"/>
        <v>0</v>
      </c>
      <c r="O1157" s="44"/>
      <c r="P1157" s="45" t="str">
        <f t="shared" ref="P1157:P1220" si="555">IF(F1157="","",1)</f>
        <v/>
      </c>
      <c r="Q1157" s="46" t="str">
        <f t="shared" ref="Q1157:Q1220" si="556">TEXT(IF(P1157=1,CONCATENATE($D1157,":",$E1157,":",(LEFT($F1157,2))),""),"hh:mm:ss")</f>
        <v/>
      </c>
      <c r="R1157" s="47" t="e">
        <f t="shared" ref="R1157:R1220" si="557">TEXT(Q1157-TIME(0,RIGHT($H1157,2),$G$9)+(Q1157&gt;TIME(0,RIGHT($H1157,2),$G$9)),"mm:ss")</f>
        <v>#VALUE!</v>
      </c>
      <c r="S1157" s="48" t="e">
        <f t="shared" si="546"/>
        <v>#VALUE!</v>
      </c>
      <c r="T1157" s="47" t="str">
        <f t="shared" ref="T1157:T1220" si="558">TEXT(IF(P1157=1,D1157,""),"00")</f>
        <v/>
      </c>
      <c r="U1157" s="49"/>
      <c r="V1157" s="50"/>
      <c r="W1157" s="51" t="e">
        <f t="shared" ref="W1157:W1220" si="559">IF(O1157=0,TEXT(TIME(T1157,U1157,V1157)-TIME(D1157,E1157,RIGHT(F1157,2))+TIME(0,LEFT(R1157,2),RIGHT(R1157,2)),"mm:ss"),TEXT(TIME(T1157,U1157,V1157)-TIME(D1157,E1157,RIGHT(F1157,2))+TIME(0,LEFT(R1157,2),RIGHT(R1157,2))-TIME(0,($G$10*O1157),0),"mm:ss"))</f>
        <v>#VALUE!</v>
      </c>
      <c r="X1157" s="52"/>
      <c r="Y1157" s="52"/>
      <c r="Z1157" s="52"/>
      <c r="AA1157" s="47" t="e">
        <f>INDEX(VISITORS[INSECT ORDER], MATCH(X1157,VISITORS[NAME USED],0))</f>
        <v>#N/A</v>
      </c>
      <c r="AB1157" s="47" t="e">
        <f t="shared" ref="AB1157:AB1220" si="560">IF(AA1157&lt;&gt;0,"NA","")</f>
        <v>#N/A</v>
      </c>
      <c r="AC1157" s="53" t="e">
        <f t="shared" ref="AC1157:AC1220" si="561">IF(SUM(AH1157,AJ1157,AL1157,AN1157,AP1157,AR1157)=S1157,,"")</f>
        <v>#VALUE!</v>
      </c>
      <c r="AD1157" s="54" t="str">
        <f t="shared" ref="AD1157:AD1219" si="562">IF(P1157=1,1,"")</f>
        <v/>
      </c>
      <c r="AE1157" s="54"/>
      <c r="AF1157" s="54"/>
      <c r="AG1157" s="55" t="str">
        <f t="shared" ref="AG1157:AG1220" si="563">IF(OR(X1157="Something small"),1,"")</f>
        <v/>
      </c>
      <c r="AH1157" s="56" t="str">
        <f t="shared" ref="AH1157:AH1220" si="564">IF(AG1157=1,$S1157,"")</f>
        <v/>
      </c>
      <c r="AI1157" s="55"/>
      <c r="AJ1157" s="56" t="str">
        <f t="shared" ref="AJ1157:AJ1220" si="565">IF(AI1157=1,$S1157,"")</f>
        <v/>
      </c>
      <c r="AK1157" s="55"/>
      <c r="AL1157" s="56" t="str">
        <f t="shared" ref="AL1157:AL1220" si="566">IF(AK1157=1,$S1157,"")</f>
        <v/>
      </c>
      <c r="AM1157" s="55"/>
      <c r="AN1157" s="56" t="str">
        <f t="shared" ref="AN1157:AN1220" si="567">IF(AM1157=1,$S1157,"")</f>
        <v/>
      </c>
      <c r="AO1157" s="55"/>
      <c r="AP1157" s="56" t="str">
        <f t="shared" ref="AP1157:AP1220" si="568">IF(AO1157=1,$S1157,"")</f>
        <v/>
      </c>
      <c r="AQ1157" s="55"/>
      <c r="AR1157" s="56" t="str">
        <f t="shared" ref="AR1157:AR1220" si="569">IF(AQ1157=1,$S1157,"")</f>
        <v/>
      </c>
      <c r="AS1157" s="57"/>
      <c r="AT1157" s="58"/>
      <c r="AU1157" s="58"/>
      <c r="AV1157" s="59"/>
      <c r="AW1157" s="60" t="str">
        <f t="shared" si="547"/>
        <v/>
      </c>
      <c r="AX1157" s="61" t="str">
        <f t="shared" si="548"/>
        <v/>
      </c>
      <c r="AY1157" s="60" t="str">
        <f t="shared" si="549"/>
        <v/>
      </c>
      <c r="AZ1157" s="61" t="str">
        <f t="shared" si="550"/>
        <v/>
      </c>
    </row>
    <row r="1158" spans="1:52" s="3" customFormat="1" x14ac:dyDescent="0.35">
      <c r="A1158" s="72">
        <f t="shared" si="551"/>
        <v>2021</v>
      </c>
      <c r="B1158" s="72" t="str">
        <f t="shared" si="552"/>
        <v>Nov</v>
      </c>
      <c r="C1158" s="73">
        <f t="shared" ref="C1158:C1221" si="570">IF(AND(D1158=0, E1158=0), IF(TEXT(C1157,"dd")=TEXT(EOMONTH(DATE(A1157,MONTH(DATEVALUE(B1157&amp;"1")),C1157),0), "dd"), 1, C1157+1), C1157)</f>
        <v>15</v>
      </c>
      <c r="D1158" s="74">
        <f t="shared" si="553"/>
        <v>11</v>
      </c>
      <c r="E1158" s="75">
        <f t="shared" si="554"/>
        <v>14</v>
      </c>
      <c r="F1158" s="79">
        <v>20</v>
      </c>
      <c r="G1158" s="82"/>
      <c r="H1158" s="68" t="str">
        <f t="shared" ref="H1158:H1221" si="571">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Clesim6_20211115_11_00</v>
      </c>
      <c r="I1158" s="69">
        <f t="shared" ref="I1158:N1173" si="572">I1157</f>
        <v>1</v>
      </c>
      <c r="J1158" s="76" t="str">
        <f t="shared" si="572"/>
        <v>Clematis</v>
      </c>
      <c r="K1158" s="76" t="str">
        <f t="shared" si="572"/>
        <v>simense</v>
      </c>
      <c r="L1158" s="77">
        <f t="shared" si="572"/>
        <v>6</v>
      </c>
      <c r="M1158" s="77">
        <f t="shared" si="572"/>
        <v>20</v>
      </c>
      <c r="N1158" s="71">
        <f t="shared" si="572"/>
        <v>0</v>
      </c>
      <c r="O1158" s="44"/>
      <c r="P1158" s="45">
        <f t="shared" si="555"/>
        <v>1</v>
      </c>
      <c r="Q1158" s="46" t="str">
        <f t="shared" si="556"/>
        <v>11:14:20</v>
      </c>
      <c r="R1158" s="47" t="str">
        <f t="shared" si="557"/>
        <v>14:20</v>
      </c>
      <c r="S1158" s="48">
        <f t="shared" si="546"/>
        <v>56</v>
      </c>
      <c r="T1158" s="47" t="str">
        <f t="shared" si="558"/>
        <v>11</v>
      </c>
      <c r="U1158" s="49">
        <v>15</v>
      </c>
      <c r="V1158" s="50">
        <v>16</v>
      </c>
      <c r="W1158" s="51" t="str">
        <f t="shared" si="559"/>
        <v>15:16</v>
      </c>
      <c r="X1158" s="123" t="s">
        <v>66</v>
      </c>
      <c r="Y1158" s="52" t="s">
        <v>70</v>
      </c>
      <c r="Z1158" s="52" t="s">
        <v>87</v>
      </c>
      <c r="AA1158" s="47" t="s">
        <v>67</v>
      </c>
      <c r="AB1158" s="47" t="str">
        <f t="shared" si="560"/>
        <v>NA</v>
      </c>
      <c r="AC1158" s="53" t="str">
        <f t="shared" si="561"/>
        <v/>
      </c>
      <c r="AD1158" s="54">
        <v>3</v>
      </c>
      <c r="AE1158" s="54"/>
      <c r="AF1158" s="54"/>
      <c r="AG1158" s="55" t="str">
        <f t="shared" si="563"/>
        <v/>
      </c>
      <c r="AH1158" s="56" t="str">
        <f t="shared" si="564"/>
        <v/>
      </c>
      <c r="AI1158" s="55"/>
      <c r="AJ1158" s="56" t="str">
        <f t="shared" si="565"/>
        <v/>
      </c>
      <c r="AK1158" s="55"/>
      <c r="AL1158" s="56" t="str">
        <f t="shared" si="566"/>
        <v/>
      </c>
      <c r="AM1158" s="55"/>
      <c r="AN1158" s="56" t="str">
        <f t="shared" si="567"/>
        <v/>
      </c>
      <c r="AO1158" s="55"/>
      <c r="AP1158" s="56" t="str">
        <f t="shared" si="568"/>
        <v/>
      </c>
      <c r="AQ1158" s="55"/>
      <c r="AR1158" s="56" t="str">
        <f t="shared" si="569"/>
        <v/>
      </c>
      <c r="AS1158" s="57"/>
      <c r="AT1158" s="58"/>
      <c r="AU1158" s="58"/>
      <c r="AV1158" s="59"/>
      <c r="AW1158" s="60">
        <f t="shared" si="547"/>
        <v>0</v>
      </c>
      <c r="AX1158" s="61" t="str">
        <f t="shared" si="548"/>
        <v/>
      </c>
      <c r="AY1158" s="60">
        <f t="shared" si="549"/>
        <v>0</v>
      </c>
      <c r="AZ1158" s="61" t="str">
        <f t="shared" si="550"/>
        <v/>
      </c>
    </row>
    <row r="1159" spans="1:52" s="3" customFormat="1" hidden="1" x14ac:dyDescent="0.35">
      <c r="A1159" s="72">
        <f t="shared" si="551"/>
        <v>2021</v>
      </c>
      <c r="B1159" s="72" t="str">
        <f t="shared" si="552"/>
        <v>Nov</v>
      </c>
      <c r="C1159" s="73">
        <f t="shared" si="570"/>
        <v>15</v>
      </c>
      <c r="D1159" s="74">
        <f t="shared" si="553"/>
        <v>11</v>
      </c>
      <c r="E1159" s="75">
        <f t="shared" si="554"/>
        <v>15</v>
      </c>
      <c r="F1159" s="79"/>
      <c r="G1159" s="82"/>
      <c r="H1159" s="68" t="str">
        <f t="shared" si="571"/>
        <v>Clesim6_20211115_11_00</v>
      </c>
      <c r="I1159" s="69">
        <f t="shared" si="572"/>
        <v>1</v>
      </c>
      <c r="J1159" s="76" t="str">
        <f t="shared" si="572"/>
        <v>Clematis</v>
      </c>
      <c r="K1159" s="76" t="str">
        <f t="shared" si="572"/>
        <v>simense</v>
      </c>
      <c r="L1159" s="77">
        <f t="shared" si="572"/>
        <v>6</v>
      </c>
      <c r="M1159" s="77">
        <f t="shared" si="572"/>
        <v>20</v>
      </c>
      <c r="N1159" s="71">
        <f t="shared" si="572"/>
        <v>0</v>
      </c>
      <c r="O1159" s="44"/>
      <c r="P1159" s="45" t="str">
        <f t="shared" si="555"/>
        <v/>
      </c>
      <c r="Q1159" s="46" t="str">
        <f t="shared" si="556"/>
        <v/>
      </c>
      <c r="R1159" s="47" t="e">
        <f t="shared" si="557"/>
        <v>#VALUE!</v>
      </c>
      <c r="S1159" s="48" t="e">
        <f t="shared" si="546"/>
        <v>#VALUE!</v>
      </c>
      <c r="T1159" s="47" t="str">
        <f t="shared" si="558"/>
        <v/>
      </c>
      <c r="U1159" s="49"/>
      <c r="V1159" s="50"/>
      <c r="W1159" s="51" t="e">
        <f t="shared" si="559"/>
        <v>#VALUE!</v>
      </c>
      <c r="X1159" s="52"/>
      <c r="Y1159" s="52"/>
      <c r="Z1159" s="52"/>
      <c r="AA1159" s="47" t="e">
        <f>INDEX(VISITORS[INSECT ORDER], MATCH(X1159,VISITORS[NAME USED],0))</f>
        <v>#N/A</v>
      </c>
      <c r="AB1159" s="47" t="e">
        <f t="shared" si="560"/>
        <v>#N/A</v>
      </c>
      <c r="AC1159" s="53" t="e">
        <f t="shared" si="561"/>
        <v>#VALUE!</v>
      </c>
      <c r="AD1159" s="54" t="str">
        <f t="shared" si="562"/>
        <v/>
      </c>
      <c r="AE1159" s="54"/>
      <c r="AF1159" s="54"/>
      <c r="AG1159" s="55" t="str">
        <f t="shared" si="563"/>
        <v/>
      </c>
      <c r="AH1159" s="56" t="str">
        <f t="shared" si="564"/>
        <v/>
      </c>
      <c r="AI1159" s="55"/>
      <c r="AJ1159" s="56" t="str">
        <f t="shared" si="565"/>
        <v/>
      </c>
      <c r="AK1159" s="55"/>
      <c r="AL1159" s="56" t="str">
        <f t="shared" si="566"/>
        <v/>
      </c>
      <c r="AM1159" s="55"/>
      <c r="AN1159" s="56" t="str">
        <f t="shared" si="567"/>
        <v/>
      </c>
      <c r="AO1159" s="55"/>
      <c r="AP1159" s="56" t="str">
        <f t="shared" si="568"/>
        <v/>
      </c>
      <c r="AQ1159" s="55"/>
      <c r="AR1159" s="56" t="str">
        <f t="shared" si="569"/>
        <v/>
      </c>
      <c r="AS1159" s="57"/>
      <c r="AT1159" s="58"/>
      <c r="AU1159" s="58"/>
      <c r="AV1159" s="59"/>
      <c r="AW1159" s="60" t="str">
        <f t="shared" si="547"/>
        <v/>
      </c>
      <c r="AX1159" s="61" t="str">
        <f t="shared" si="548"/>
        <v/>
      </c>
      <c r="AY1159" s="60" t="str">
        <f t="shared" si="549"/>
        <v/>
      </c>
      <c r="AZ1159" s="61" t="str">
        <f t="shared" si="550"/>
        <v/>
      </c>
    </row>
    <row r="1160" spans="1:52" s="3" customFormat="1" hidden="1" x14ac:dyDescent="0.35">
      <c r="A1160" s="72">
        <f t="shared" si="551"/>
        <v>2021</v>
      </c>
      <c r="B1160" s="72" t="str">
        <f t="shared" si="552"/>
        <v>Nov</v>
      </c>
      <c r="C1160" s="73">
        <f t="shared" si="570"/>
        <v>15</v>
      </c>
      <c r="D1160" s="74">
        <f t="shared" si="553"/>
        <v>11</v>
      </c>
      <c r="E1160" s="75">
        <f t="shared" si="554"/>
        <v>16</v>
      </c>
      <c r="F1160" s="79"/>
      <c r="G1160" s="82"/>
      <c r="H1160" s="68" t="str">
        <f t="shared" si="571"/>
        <v>Clesim6_20211115_11_00</v>
      </c>
      <c r="I1160" s="69">
        <f t="shared" si="572"/>
        <v>1</v>
      </c>
      <c r="J1160" s="76" t="str">
        <f t="shared" si="572"/>
        <v>Clematis</v>
      </c>
      <c r="K1160" s="76" t="str">
        <f t="shared" si="572"/>
        <v>simense</v>
      </c>
      <c r="L1160" s="77">
        <f t="shared" si="572"/>
        <v>6</v>
      </c>
      <c r="M1160" s="77">
        <f t="shared" si="572"/>
        <v>20</v>
      </c>
      <c r="N1160" s="71">
        <f t="shared" si="572"/>
        <v>0</v>
      </c>
      <c r="O1160" s="44"/>
      <c r="P1160" s="45" t="str">
        <f t="shared" si="555"/>
        <v/>
      </c>
      <c r="Q1160" s="46" t="str">
        <f t="shared" si="556"/>
        <v/>
      </c>
      <c r="R1160" s="47" t="e">
        <f t="shared" si="557"/>
        <v>#VALUE!</v>
      </c>
      <c r="S1160" s="48" t="e">
        <f t="shared" si="546"/>
        <v>#VALUE!</v>
      </c>
      <c r="T1160" s="47" t="str">
        <f t="shared" si="558"/>
        <v/>
      </c>
      <c r="U1160" s="49"/>
      <c r="V1160" s="50"/>
      <c r="W1160" s="51" t="e">
        <f t="shared" si="559"/>
        <v>#VALUE!</v>
      </c>
      <c r="X1160" s="52"/>
      <c r="Y1160" s="52"/>
      <c r="Z1160" s="52"/>
      <c r="AA1160" s="47" t="e">
        <f>INDEX(VISITORS[INSECT ORDER], MATCH(X1160,VISITORS[NAME USED],0))</f>
        <v>#N/A</v>
      </c>
      <c r="AB1160" s="47" t="e">
        <f t="shared" si="560"/>
        <v>#N/A</v>
      </c>
      <c r="AC1160" s="53" t="e">
        <f t="shared" si="561"/>
        <v>#VALUE!</v>
      </c>
      <c r="AD1160" s="54" t="str">
        <f t="shared" si="562"/>
        <v/>
      </c>
      <c r="AE1160" s="54"/>
      <c r="AF1160" s="54"/>
      <c r="AG1160" s="55" t="str">
        <f t="shared" si="563"/>
        <v/>
      </c>
      <c r="AH1160" s="56" t="str">
        <f t="shared" si="564"/>
        <v/>
      </c>
      <c r="AI1160" s="55"/>
      <c r="AJ1160" s="56" t="str">
        <f t="shared" si="565"/>
        <v/>
      </c>
      <c r="AK1160" s="55"/>
      <c r="AL1160" s="56" t="str">
        <f t="shared" si="566"/>
        <v/>
      </c>
      <c r="AM1160" s="55"/>
      <c r="AN1160" s="56" t="str">
        <f t="shared" si="567"/>
        <v/>
      </c>
      <c r="AO1160" s="55"/>
      <c r="AP1160" s="56" t="str">
        <f t="shared" si="568"/>
        <v/>
      </c>
      <c r="AQ1160" s="55"/>
      <c r="AR1160" s="56" t="str">
        <f t="shared" si="569"/>
        <v/>
      </c>
      <c r="AS1160" s="57"/>
      <c r="AT1160" s="58"/>
      <c r="AU1160" s="58"/>
      <c r="AV1160" s="59"/>
      <c r="AW1160" s="60" t="str">
        <f t="shared" si="547"/>
        <v/>
      </c>
      <c r="AX1160" s="61" t="str">
        <f t="shared" si="548"/>
        <v/>
      </c>
      <c r="AY1160" s="60" t="str">
        <f t="shared" si="549"/>
        <v/>
      </c>
      <c r="AZ1160" s="61" t="str">
        <f t="shared" si="550"/>
        <v/>
      </c>
    </row>
    <row r="1161" spans="1:52" s="3" customFormat="1" hidden="1" x14ac:dyDescent="0.35">
      <c r="A1161" s="72">
        <f t="shared" si="551"/>
        <v>2021</v>
      </c>
      <c r="B1161" s="72" t="str">
        <f t="shared" si="552"/>
        <v>Nov</v>
      </c>
      <c r="C1161" s="73">
        <f t="shared" si="570"/>
        <v>15</v>
      </c>
      <c r="D1161" s="74">
        <f t="shared" si="553"/>
        <v>11</v>
      </c>
      <c r="E1161" s="75">
        <f t="shared" si="554"/>
        <v>17</v>
      </c>
      <c r="F1161" s="79"/>
      <c r="G1161" s="82"/>
      <c r="H1161" s="68" t="str">
        <f t="shared" si="571"/>
        <v>Clesim6_20211115_11_00</v>
      </c>
      <c r="I1161" s="69">
        <f t="shared" si="572"/>
        <v>1</v>
      </c>
      <c r="J1161" s="76" t="str">
        <f t="shared" si="572"/>
        <v>Clematis</v>
      </c>
      <c r="K1161" s="76" t="str">
        <f t="shared" si="572"/>
        <v>simense</v>
      </c>
      <c r="L1161" s="77">
        <f t="shared" si="572"/>
        <v>6</v>
      </c>
      <c r="M1161" s="77">
        <f t="shared" si="572"/>
        <v>20</v>
      </c>
      <c r="N1161" s="71">
        <f t="shared" si="572"/>
        <v>0</v>
      </c>
      <c r="O1161" s="44"/>
      <c r="P1161" s="45" t="str">
        <f t="shared" si="555"/>
        <v/>
      </c>
      <c r="Q1161" s="46" t="str">
        <f t="shared" si="556"/>
        <v/>
      </c>
      <c r="R1161" s="47" t="e">
        <f t="shared" si="557"/>
        <v>#VALUE!</v>
      </c>
      <c r="S1161" s="48" t="e">
        <f t="shared" si="546"/>
        <v>#VALUE!</v>
      </c>
      <c r="T1161" s="47" t="str">
        <f t="shared" si="558"/>
        <v/>
      </c>
      <c r="U1161" s="49"/>
      <c r="V1161" s="50"/>
      <c r="W1161" s="51" t="e">
        <f t="shared" si="559"/>
        <v>#VALUE!</v>
      </c>
      <c r="X1161" s="52"/>
      <c r="Y1161" s="52"/>
      <c r="Z1161" s="52"/>
      <c r="AA1161" s="47" t="e">
        <f>INDEX(VISITORS[INSECT ORDER], MATCH(X1161,VISITORS[NAME USED],0))</f>
        <v>#N/A</v>
      </c>
      <c r="AB1161" s="47" t="e">
        <f t="shared" si="560"/>
        <v>#N/A</v>
      </c>
      <c r="AC1161" s="53" t="e">
        <f t="shared" si="561"/>
        <v>#VALUE!</v>
      </c>
      <c r="AD1161" s="54" t="str">
        <f t="shared" si="562"/>
        <v/>
      </c>
      <c r="AE1161" s="54"/>
      <c r="AF1161" s="54"/>
      <c r="AG1161" s="55" t="str">
        <f t="shared" si="563"/>
        <v/>
      </c>
      <c r="AH1161" s="56" t="str">
        <f t="shared" si="564"/>
        <v/>
      </c>
      <c r="AI1161" s="55"/>
      <c r="AJ1161" s="56" t="str">
        <f t="shared" si="565"/>
        <v/>
      </c>
      <c r="AK1161" s="55"/>
      <c r="AL1161" s="56" t="str">
        <f t="shared" si="566"/>
        <v/>
      </c>
      <c r="AM1161" s="55"/>
      <c r="AN1161" s="56" t="str">
        <f t="shared" si="567"/>
        <v/>
      </c>
      <c r="AO1161" s="55"/>
      <c r="AP1161" s="56" t="str">
        <f t="shared" si="568"/>
        <v/>
      </c>
      <c r="AQ1161" s="55"/>
      <c r="AR1161" s="56" t="str">
        <f t="shared" si="569"/>
        <v/>
      </c>
      <c r="AS1161" s="57"/>
      <c r="AT1161" s="58"/>
      <c r="AU1161" s="58"/>
      <c r="AV1161" s="59"/>
      <c r="AW1161" s="60" t="str">
        <f t="shared" si="547"/>
        <v/>
      </c>
      <c r="AX1161" s="61" t="str">
        <f t="shared" si="548"/>
        <v/>
      </c>
      <c r="AY1161" s="60" t="str">
        <f t="shared" si="549"/>
        <v/>
      </c>
      <c r="AZ1161" s="61" t="str">
        <f t="shared" si="550"/>
        <v/>
      </c>
    </row>
    <row r="1162" spans="1:52" s="3" customFormat="1" hidden="1" x14ac:dyDescent="0.35">
      <c r="A1162" s="72">
        <f t="shared" si="551"/>
        <v>2021</v>
      </c>
      <c r="B1162" s="72" t="str">
        <f t="shared" si="552"/>
        <v>Nov</v>
      </c>
      <c r="C1162" s="73">
        <f t="shared" si="570"/>
        <v>15</v>
      </c>
      <c r="D1162" s="74">
        <f t="shared" si="553"/>
        <v>11</v>
      </c>
      <c r="E1162" s="75">
        <f t="shared" si="554"/>
        <v>18</v>
      </c>
      <c r="F1162" s="79"/>
      <c r="G1162" s="82"/>
      <c r="H1162" s="68" t="str">
        <f t="shared" si="571"/>
        <v>Clesim6_20211115_11_00</v>
      </c>
      <c r="I1162" s="69">
        <f t="shared" si="572"/>
        <v>1</v>
      </c>
      <c r="J1162" s="76" t="str">
        <f t="shared" si="572"/>
        <v>Clematis</v>
      </c>
      <c r="K1162" s="76" t="str">
        <f t="shared" si="572"/>
        <v>simense</v>
      </c>
      <c r="L1162" s="77">
        <f t="shared" si="572"/>
        <v>6</v>
      </c>
      <c r="M1162" s="77">
        <f t="shared" si="572"/>
        <v>20</v>
      </c>
      <c r="N1162" s="71">
        <f t="shared" si="572"/>
        <v>0</v>
      </c>
      <c r="O1162" s="44"/>
      <c r="P1162" s="45" t="str">
        <f t="shared" si="555"/>
        <v/>
      </c>
      <c r="Q1162" s="46" t="str">
        <f t="shared" si="556"/>
        <v/>
      </c>
      <c r="R1162" s="47" t="e">
        <f t="shared" si="557"/>
        <v>#VALUE!</v>
      </c>
      <c r="S1162" s="48" t="e">
        <f t="shared" si="546"/>
        <v>#VALUE!</v>
      </c>
      <c r="T1162" s="47" t="str">
        <f t="shared" si="558"/>
        <v/>
      </c>
      <c r="U1162" s="49"/>
      <c r="V1162" s="50"/>
      <c r="W1162" s="51" t="e">
        <f t="shared" si="559"/>
        <v>#VALUE!</v>
      </c>
      <c r="X1162" s="52"/>
      <c r="Y1162" s="52"/>
      <c r="Z1162" s="52"/>
      <c r="AA1162" s="47" t="e">
        <f>INDEX(VISITORS[INSECT ORDER], MATCH(X1162,VISITORS[NAME USED],0))</f>
        <v>#N/A</v>
      </c>
      <c r="AB1162" s="47" t="e">
        <f t="shared" si="560"/>
        <v>#N/A</v>
      </c>
      <c r="AC1162" s="53" t="e">
        <f t="shared" si="561"/>
        <v>#VALUE!</v>
      </c>
      <c r="AD1162" s="54" t="str">
        <f t="shared" si="562"/>
        <v/>
      </c>
      <c r="AE1162" s="54"/>
      <c r="AF1162" s="54"/>
      <c r="AG1162" s="55" t="str">
        <f t="shared" si="563"/>
        <v/>
      </c>
      <c r="AH1162" s="56" t="str">
        <f t="shared" si="564"/>
        <v/>
      </c>
      <c r="AI1162" s="55"/>
      <c r="AJ1162" s="56" t="str">
        <f t="shared" si="565"/>
        <v/>
      </c>
      <c r="AK1162" s="55"/>
      <c r="AL1162" s="56" t="str">
        <f t="shared" si="566"/>
        <v/>
      </c>
      <c r="AM1162" s="55"/>
      <c r="AN1162" s="56" t="str">
        <f t="shared" si="567"/>
        <v/>
      </c>
      <c r="AO1162" s="55"/>
      <c r="AP1162" s="56" t="str">
        <f t="shared" si="568"/>
        <v/>
      </c>
      <c r="AQ1162" s="55"/>
      <c r="AR1162" s="56" t="str">
        <f t="shared" si="569"/>
        <v/>
      </c>
      <c r="AS1162" s="57"/>
      <c r="AT1162" s="58"/>
      <c r="AU1162" s="58"/>
      <c r="AV1162" s="59"/>
      <c r="AW1162" s="60" t="str">
        <f t="shared" si="547"/>
        <v/>
      </c>
      <c r="AX1162" s="61" t="str">
        <f t="shared" si="548"/>
        <v/>
      </c>
      <c r="AY1162" s="60" t="str">
        <f t="shared" si="549"/>
        <v/>
      </c>
      <c r="AZ1162" s="61" t="str">
        <f t="shared" si="550"/>
        <v/>
      </c>
    </row>
    <row r="1163" spans="1:52" s="3" customFormat="1" hidden="1" x14ac:dyDescent="0.35">
      <c r="A1163" s="72">
        <f t="shared" si="551"/>
        <v>2021</v>
      </c>
      <c r="B1163" s="72" t="str">
        <f t="shared" si="552"/>
        <v>Nov</v>
      </c>
      <c r="C1163" s="73">
        <f t="shared" si="570"/>
        <v>15</v>
      </c>
      <c r="D1163" s="74">
        <f t="shared" si="553"/>
        <v>11</v>
      </c>
      <c r="E1163" s="75">
        <f t="shared" si="554"/>
        <v>19</v>
      </c>
      <c r="F1163" s="79"/>
      <c r="G1163" s="82"/>
      <c r="H1163" s="68" t="str">
        <f t="shared" si="571"/>
        <v>Clesim6_20211115_11_00</v>
      </c>
      <c r="I1163" s="69">
        <f t="shared" si="572"/>
        <v>1</v>
      </c>
      <c r="J1163" s="76" t="str">
        <f t="shared" si="572"/>
        <v>Clematis</v>
      </c>
      <c r="K1163" s="76" t="str">
        <f t="shared" si="572"/>
        <v>simense</v>
      </c>
      <c r="L1163" s="77">
        <f t="shared" si="572"/>
        <v>6</v>
      </c>
      <c r="M1163" s="77">
        <f t="shared" si="572"/>
        <v>20</v>
      </c>
      <c r="N1163" s="71">
        <f t="shared" si="572"/>
        <v>0</v>
      </c>
      <c r="O1163" s="44"/>
      <c r="P1163" s="45" t="str">
        <f t="shared" si="555"/>
        <v/>
      </c>
      <c r="Q1163" s="46" t="str">
        <f t="shared" si="556"/>
        <v/>
      </c>
      <c r="R1163" s="47" t="e">
        <f t="shared" si="557"/>
        <v>#VALUE!</v>
      </c>
      <c r="S1163" s="48" t="e">
        <f t="shared" si="546"/>
        <v>#VALUE!</v>
      </c>
      <c r="T1163" s="47" t="str">
        <f t="shared" si="558"/>
        <v/>
      </c>
      <c r="U1163" s="49"/>
      <c r="V1163" s="50"/>
      <c r="W1163" s="51" t="e">
        <f t="shared" si="559"/>
        <v>#VALUE!</v>
      </c>
      <c r="X1163" s="52"/>
      <c r="Y1163" s="52"/>
      <c r="Z1163" s="52"/>
      <c r="AA1163" s="47" t="e">
        <f>INDEX(VISITORS[INSECT ORDER], MATCH(X1163,VISITORS[NAME USED],0))</f>
        <v>#N/A</v>
      </c>
      <c r="AB1163" s="47" t="e">
        <f t="shared" si="560"/>
        <v>#N/A</v>
      </c>
      <c r="AC1163" s="53" t="e">
        <f t="shared" si="561"/>
        <v>#VALUE!</v>
      </c>
      <c r="AD1163" s="54" t="str">
        <f t="shared" si="562"/>
        <v/>
      </c>
      <c r="AE1163" s="54"/>
      <c r="AF1163" s="54"/>
      <c r="AG1163" s="55" t="str">
        <f t="shared" si="563"/>
        <v/>
      </c>
      <c r="AH1163" s="56" t="str">
        <f t="shared" si="564"/>
        <v/>
      </c>
      <c r="AI1163" s="55"/>
      <c r="AJ1163" s="56" t="str">
        <f t="shared" si="565"/>
        <v/>
      </c>
      <c r="AK1163" s="55"/>
      <c r="AL1163" s="56" t="str">
        <f t="shared" si="566"/>
        <v/>
      </c>
      <c r="AM1163" s="55"/>
      <c r="AN1163" s="56" t="str">
        <f t="shared" si="567"/>
        <v/>
      </c>
      <c r="AO1163" s="55"/>
      <c r="AP1163" s="56" t="str">
        <f t="shared" si="568"/>
        <v/>
      </c>
      <c r="AQ1163" s="55"/>
      <c r="AR1163" s="56" t="str">
        <f t="shared" si="569"/>
        <v/>
      </c>
      <c r="AS1163" s="57"/>
      <c r="AT1163" s="58"/>
      <c r="AU1163" s="58"/>
      <c r="AV1163" s="59"/>
      <c r="AW1163" s="60" t="str">
        <f t="shared" si="547"/>
        <v/>
      </c>
      <c r="AX1163" s="61" t="str">
        <f t="shared" si="548"/>
        <v/>
      </c>
      <c r="AY1163" s="60" t="str">
        <f t="shared" si="549"/>
        <v/>
      </c>
      <c r="AZ1163" s="61" t="str">
        <f t="shared" si="550"/>
        <v/>
      </c>
    </row>
    <row r="1164" spans="1:52" s="3" customFormat="1" hidden="1" x14ac:dyDescent="0.35">
      <c r="A1164" s="72">
        <f t="shared" si="551"/>
        <v>2021</v>
      </c>
      <c r="B1164" s="72" t="str">
        <f t="shared" si="552"/>
        <v>Nov</v>
      </c>
      <c r="C1164" s="73">
        <f t="shared" si="570"/>
        <v>15</v>
      </c>
      <c r="D1164" s="74">
        <f t="shared" si="553"/>
        <v>11</v>
      </c>
      <c r="E1164" s="75">
        <f t="shared" si="554"/>
        <v>20</v>
      </c>
      <c r="F1164" s="79"/>
      <c r="G1164" s="82"/>
      <c r="H1164" s="68" t="str">
        <f t="shared" si="571"/>
        <v>Clesim6_20211115_11_00</v>
      </c>
      <c r="I1164" s="69">
        <f t="shared" si="572"/>
        <v>1</v>
      </c>
      <c r="J1164" s="76" t="str">
        <f t="shared" si="572"/>
        <v>Clematis</v>
      </c>
      <c r="K1164" s="76" t="str">
        <f t="shared" si="572"/>
        <v>simense</v>
      </c>
      <c r="L1164" s="77">
        <f t="shared" si="572"/>
        <v>6</v>
      </c>
      <c r="M1164" s="77">
        <f t="shared" si="572"/>
        <v>20</v>
      </c>
      <c r="N1164" s="71">
        <f t="shared" si="572"/>
        <v>0</v>
      </c>
      <c r="O1164" s="44"/>
      <c r="P1164" s="45" t="str">
        <f t="shared" si="555"/>
        <v/>
      </c>
      <c r="Q1164" s="46" t="str">
        <f t="shared" si="556"/>
        <v/>
      </c>
      <c r="R1164" s="47" t="e">
        <f t="shared" si="557"/>
        <v>#VALUE!</v>
      </c>
      <c r="S1164" s="48" t="e">
        <f t="shared" si="546"/>
        <v>#VALUE!</v>
      </c>
      <c r="T1164" s="47" t="str">
        <f t="shared" si="558"/>
        <v/>
      </c>
      <c r="U1164" s="49"/>
      <c r="V1164" s="50"/>
      <c r="W1164" s="51" t="e">
        <f t="shared" si="559"/>
        <v>#VALUE!</v>
      </c>
      <c r="X1164" s="52"/>
      <c r="Y1164" s="52"/>
      <c r="Z1164" s="52"/>
      <c r="AA1164" s="47" t="e">
        <f>INDEX(VISITORS[INSECT ORDER], MATCH(X1164,VISITORS[NAME USED],0))</f>
        <v>#N/A</v>
      </c>
      <c r="AB1164" s="47" t="e">
        <f t="shared" si="560"/>
        <v>#N/A</v>
      </c>
      <c r="AC1164" s="53" t="e">
        <f t="shared" si="561"/>
        <v>#VALUE!</v>
      </c>
      <c r="AD1164" s="54" t="str">
        <f t="shared" si="562"/>
        <v/>
      </c>
      <c r="AE1164" s="54"/>
      <c r="AF1164" s="54"/>
      <c r="AG1164" s="55" t="str">
        <f t="shared" si="563"/>
        <v/>
      </c>
      <c r="AH1164" s="56" t="str">
        <f t="shared" si="564"/>
        <v/>
      </c>
      <c r="AI1164" s="55"/>
      <c r="AJ1164" s="56" t="str">
        <f t="shared" si="565"/>
        <v/>
      </c>
      <c r="AK1164" s="55"/>
      <c r="AL1164" s="56" t="str">
        <f t="shared" si="566"/>
        <v/>
      </c>
      <c r="AM1164" s="55"/>
      <c r="AN1164" s="56" t="str">
        <f t="shared" si="567"/>
        <v/>
      </c>
      <c r="AO1164" s="55"/>
      <c r="AP1164" s="56" t="str">
        <f t="shared" si="568"/>
        <v/>
      </c>
      <c r="AQ1164" s="55"/>
      <c r="AR1164" s="56" t="str">
        <f t="shared" si="569"/>
        <v/>
      </c>
      <c r="AS1164" s="57"/>
      <c r="AT1164" s="58"/>
      <c r="AU1164" s="58"/>
      <c r="AV1164" s="59"/>
      <c r="AW1164" s="60" t="str">
        <f t="shared" si="547"/>
        <v/>
      </c>
      <c r="AX1164" s="61" t="str">
        <f t="shared" si="548"/>
        <v/>
      </c>
      <c r="AY1164" s="60" t="str">
        <f t="shared" si="549"/>
        <v/>
      </c>
      <c r="AZ1164" s="61" t="str">
        <f t="shared" si="550"/>
        <v/>
      </c>
    </row>
    <row r="1165" spans="1:52" s="3" customFormat="1" hidden="1" x14ac:dyDescent="0.35">
      <c r="A1165" s="72">
        <f t="shared" si="551"/>
        <v>2021</v>
      </c>
      <c r="B1165" s="72" t="str">
        <f t="shared" si="552"/>
        <v>Nov</v>
      </c>
      <c r="C1165" s="73">
        <f t="shared" si="570"/>
        <v>15</v>
      </c>
      <c r="D1165" s="74">
        <f t="shared" si="553"/>
        <v>11</v>
      </c>
      <c r="E1165" s="75">
        <f t="shared" si="554"/>
        <v>21</v>
      </c>
      <c r="F1165" s="79"/>
      <c r="G1165" s="82"/>
      <c r="H1165" s="68" t="str">
        <f t="shared" si="571"/>
        <v>Clesim6_20211115_11_00</v>
      </c>
      <c r="I1165" s="69">
        <f t="shared" si="572"/>
        <v>1</v>
      </c>
      <c r="J1165" s="76" t="str">
        <f t="shared" si="572"/>
        <v>Clematis</v>
      </c>
      <c r="K1165" s="76" t="str">
        <f t="shared" si="572"/>
        <v>simense</v>
      </c>
      <c r="L1165" s="77">
        <f t="shared" si="572"/>
        <v>6</v>
      </c>
      <c r="M1165" s="77">
        <f t="shared" si="572"/>
        <v>20</v>
      </c>
      <c r="N1165" s="71">
        <f t="shared" si="572"/>
        <v>0</v>
      </c>
      <c r="O1165" s="44"/>
      <c r="P1165" s="45" t="str">
        <f t="shared" si="555"/>
        <v/>
      </c>
      <c r="Q1165" s="46" t="str">
        <f t="shared" si="556"/>
        <v/>
      </c>
      <c r="R1165" s="47" t="e">
        <f t="shared" si="557"/>
        <v>#VALUE!</v>
      </c>
      <c r="S1165" s="48" t="e">
        <f t="shared" si="546"/>
        <v>#VALUE!</v>
      </c>
      <c r="T1165" s="47" t="str">
        <f t="shared" si="558"/>
        <v/>
      </c>
      <c r="U1165" s="49"/>
      <c r="V1165" s="50"/>
      <c r="W1165" s="51" t="e">
        <f t="shared" si="559"/>
        <v>#VALUE!</v>
      </c>
      <c r="X1165" s="52"/>
      <c r="Y1165" s="52"/>
      <c r="Z1165" s="52"/>
      <c r="AA1165" s="47" t="e">
        <f>INDEX(VISITORS[INSECT ORDER], MATCH(X1165,VISITORS[NAME USED],0))</f>
        <v>#N/A</v>
      </c>
      <c r="AB1165" s="47" t="e">
        <f t="shared" si="560"/>
        <v>#N/A</v>
      </c>
      <c r="AC1165" s="53" t="e">
        <f t="shared" si="561"/>
        <v>#VALUE!</v>
      </c>
      <c r="AD1165" s="54" t="str">
        <f t="shared" si="562"/>
        <v/>
      </c>
      <c r="AE1165" s="54"/>
      <c r="AF1165" s="54"/>
      <c r="AG1165" s="55" t="str">
        <f t="shared" si="563"/>
        <v/>
      </c>
      <c r="AH1165" s="56" t="str">
        <f t="shared" si="564"/>
        <v/>
      </c>
      <c r="AI1165" s="55"/>
      <c r="AJ1165" s="56" t="str">
        <f t="shared" si="565"/>
        <v/>
      </c>
      <c r="AK1165" s="55"/>
      <c r="AL1165" s="56" t="str">
        <f t="shared" si="566"/>
        <v/>
      </c>
      <c r="AM1165" s="55"/>
      <c r="AN1165" s="56" t="str">
        <f t="shared" si="567"/>
        <v/>
      </c>
      <c r="AO1165" s="55"/>
      <c r="AP1165" s="56" t="str">
        <f t="shared" si="568"/>
        <v/>
      </c>
      <c r="AQ1165" s="55"/>
      <c r="AR1165" s="56" t="str">
        <f t="shared" si="569"/>
        <v/>
      </c>
      <c r="AS1165" s="57"/>
      <c r="AT1165" s="58"/>
      <c r="AU1165" s="58"/>
      <c r="AV1165" s="59"/>
      <c r="AW1165" s="60" t="str">
        <f t="shared" si="547"/>
        <v/>
      </c>
      <c r="AX1165" s="61" t="str">
        <f t="shared" si="548"/>
        <v/>
      </c>
      <c r="AY1165" s="60" t="str">
        <f t="shared" si="549"/>
        <v/>
      </c>
      <c r="AZ1165" s="61" t="str">
        <f t="shared" si="550"/>
        <v/>
      </c>
    </row>
    <row r="1166" spans="1:52" s="3" customFormat="1" x14ac:dyDescent="0.35">
      <c r="A1166" s="72">
        <f t="shared" si="551"/>
        <v>2021</v>
      </c>
      <c r="B1166" s="72" t="str">
        <f t="shared" si="552"/>
        <v>Nov</v>
      </c>
      <c r="C1166" s="73">
        <f t="shared" si="570"/>
        <v>15</v>
      </c>
      <c r="D1166" s="74">
        <f t="shared" si="553"/>
        <v>11</v>
      </c>
      <c r="E1166" s="75">
        <f t="shared" si="554"/>
        <v>22</v>
      </c>
      <c r="F1166" s="79">
        <v>15</v>
      </c>
      <c r="G1166" s="82"/>
      <c r="H1166" s="68" t="str">
        <f t="shared" si="571"/>
        <v>Clesim6_20211115_11_00</v>
      </c>
      <c r="I1166" s="69">
        <f t="shared" si="572"/>
        <v>1</v>
      </c>
      <c r="J1166" s="76" t="str">
        <f t="shared" si="572"/>
        <v>Clematis</v>
      </c>
      <c r="K1166" s="76" t="str">
        <f t="shared" si="572"/>
        <v>simense</v>
      </c>
      <c r="L1166" s="77">
        <f t="shared" si="572"/>
        <v>6</v>
      </c>
      <c r="M1166" s="77">
        <f t="shared" si="572"/>
        <v>20</v>
      </c>
      <c r="N1166" s="71">
        <f t="shared" si="572"/>
        <v>0</v>
      </c>
      <c r="O1166" s="44"/>
      <c r="P1166" s="45">
        <f t="shared" si="555"/>
        <v>1</v>
      </c>
      <c r="Q1166" s="46" t="str">
        <f t="shared" si="556"/>
        <v>11:22:15</v>
      </c>
      <c r="R1166" s="47" t="str">
        <f t="shared" si="557"/>
        <v>22:15</v>
      </c>
      <c r="S1166" s="48">
        <f t="shared" si="546"/>
        <v>230</v>
      </c>
      <c r="T1166" s="47" t="str">
        <f t="shared" si="558"/>
        <v>11</v>
      </c>
      <c r="U1166" s="49">
        <v>26</v>
      </c>
      <c r="V1166" s="50">
        <v>5</v>
      </c>
      <c r="W1166" s="51" t="str">
        <f t="shared" si="559"/>
        <v>26:05</v>
      </c>
      <c r="X1166" s="123" t="s">
        <v>66</v>
      </c>
      <c r="Y1166" s="52" t="s">
        <v>89</v>
      </c>
      <c r="Z1166" s="52" t="s">
        <v>87</v>
      </c>
      <c r="AA1166" s="47" t="s">
        <v>67</v>
      </c>
      <c r="AB1166" s="47" t="str">
        <f t="shared" si="560"/>
        <v>NA</v>
      </c>
      <c r="AC1166" s="53" t="str">
        <f t="shared" si="561"/>
        <v/>
      </c>
      <c r="AD1166" s="54">
        <v>3</v>
      </c>
      <c r="AE1166" s="54"/>
      <c r="AF1166" s="54"/>
      <c r="AG1166" s="55" t="str">
        <f t="shared" si="563"/>
        <v/>
      </c>
      <c r="AH1166" s="56" t="str">
        <f t="shared" si="564"/>
        <v/>
      </c>
      <c r="AI1166" s="55"/>
      <c r="AJ1166" s="56" t="str">
        <f t="shared" si="565"/>
        <v/>
      </c>
      <c r="AK1166" s="55"/>
      <c r="AL1166" s="56" t="str">
        <f t="shared" si="566"/>
        <v/>
      </c>
      <c r="AM1166" s="55"/>
      <c r="AN1166" s="56" t="str">
        <f t="shared" si="567"/>
        <v/>
      </c>
      <c r="AO1166" s="55"/>
      <c r="AP1166" s="56" t="str">
        <f t="shared" si="568"/>
        <v/>
      </c>
      <c r="AQ1166" s="55"/>
      <c r="AR1166" s="56" t="str">
        <f t="shared" si="569"/>
        <v/>
      </c>
      <c r="AS1166" s="57"/>
      <c r="AT1166" s="58"/>
      <c r="AU1166" s="58"/>
      <c r="AV1166" s="59"/>
      <c r="AW1166" s="60">
        <f t="shared" si="547"/>
        <v>0</v>
      </c>
      <c r="AX1166" s="61" t="str">
        <f t="shared" si="548"/>
        <v/>
      </c>
      <c r="AY1166" s="60">
        <f t="shared" si="549"/>
        <v>0</v>
      </c>
      <c r="AZ1166" s="61" t="str">
        <f t="shared" si="550"/>
        <v/>
      </c>
    </row>
    <row r="1167" spans="1:52" s="3" customFormat="1" hidden="1" x14ac:dyDescent="0.35">
      <c r="A1167" s="72">
        <f t="shared" si="551"/>
        <v>2021</v>
      </c>
      <c r="B1167" s="72" t="str">
        <f t="shared" si="552"/>
        <v>Nov</v>
      </c>
      <c r="C1167" s="73">
        <f t="shared" si="570"/>
        <v>15</v>
      </c>
      <c r="D1167" s="74">
        <f t="shared" si="553"/>
        <v>11</v>
      </c>
      <c r="E1167" s="75">
        <f t="shared" si="554"/>
        <v>23</v>
      </c>
      <c r="F1167" s="79"/>
      <c r="G1167" s="82"/>
      <c r="H1167" s="68" t="str">
        <f t="shared" si="571"/>
        <v>Clesim6_20211115_11_00</v>
      </c>
      <c r="I1167" s="69">
        <f t="shared" si="572"/>
        <v>1</v>
      </c>
      <c r="J1167" s="76" t="str">
        <f t="shared" si="572"/>
        <v>Clematis</v>
      </c>
      <c r="K1167" s="76" t="str">
        <f t="shared" si="572"/>
        <v>simense</v>
      </c>
      <c r="L1167" s="77">
        <f t="shared" si="572"/>
        <v>6</v>
      </c>
      <c r="M1167" s="77">
        <f t="shared" si="572"/>
        <v>20</v>
      </c>
      <c r="N1167" s="71">
        <f t="shared" si="572"/>
        <v>0</v>
      </c>
      <c r="O1167" s="44"/>
      <c r="P1167" s="45" t="str">
        <f t="shared" si="555"/>
        <v/>
      </c>
      <c r="Q1167" s="46" t="str">
        <f t="shared" si="556"/>
        <v/>
      </c>
      <c r="R1167" s="47" t="e">
        <f t="shared" si="557"/>
        <v>#VALUE!</v>
      </c>
      <c r="S1167" s="48" t="e">
        <f t="shared" si="546"/>
        <v>#VALUE!</v>
      </c>
      <c r="T1167" s="47" t="str">
        <f t="shared" si="558"/>
        <v/>
      </c>
      <c r="U1167" s="49"/>
      <c r="V1167" s="50"/>
      <c r="W1167" s="51" t="e">
        <f t="shared" si="559"/>
        <v>#VALUE!</v>
      </c>
      <c r="X1167" s="52"/>
      <c r="Y1167" s="52"/>
      <c r="Z1167" s="52"/>
      <c r="AA1167" s="47" t="e">
        <f>INDEX(VISITORS[INSECT ORDER], MATCH(X1167,VISITORS[NAME USED],0))</f>
        <v>#N/A</v>
      </c>
      <c r="AB1167" s="47" t="e">
        <f t="shared" si="560"/>
        <v>#N/A</v>
      </c>
      <c r="AC1167" s="53" t="e">
        <f t="shared" si="561"/>
        <v>#VALUE!</v>
      </c>
      <c r="AD1167" s="54" t="str">
        <f t="shared" si="562"/>
        <v/>
      </c>
      <c r="AE1167" s="54"/>
      <c r="AF1167" s="54"/>
      <c r="AG1167" s="55" t="str">
        <f t="shared" si="563"/>
        <v/>
      </c>
      <c r="AH1167" s="56" t="str">
        <f t="shared" si="564"/>
        <v/>
      </c>
      <c r="AI1167" s="55"/>
      <c r="AJ1167" s="56" t="str">
        <f t="shared" si="565"/>
        <v/>
      </c>
      <c r="AK1167" s="55"/>
      <c r="AL1167" s="56" t="str">
        <f t="shared" si="566"/>
        <v/>
      </c>
      <c r="AM1167" s="55"/>
      <c r="AN1167" s="56" t="str">
        <f t="shared" si="567"/>
        <v/>
      </c>
      <c r="AO1167" s="55"/>
      <c r="AP1167" s="56" t="str">
        <f t="shared" si="568"/>
        <v/>
      </c>
      <c r="AQ1167" s="55"/>
      <c r="AR1167" s="56" t="str">
        <f t="shared" si="569"/>
        <v/>
      </c>
      <c r="AS1167" s="57"/>
      <c r="AT1167" s="58"/>
      <c r="AU1167" s="58"/>
      <c r="AV1167" s="59"/>
      <c r="AW1167" s="60" t="str">
        <f t="shared" si="547"/>
        <v/>
      </c>
      <c r="AX1167" s="61" t="str">
        <f t="shared" si="548"/>
        <v/>
      </c>
      <c r="AY1167" s="60" t="str">
        <f t="shared" si="549"/>
        <v/>
      </c>
      <c r="AZ1167" s="61" t="str">
        <f t="shared" si="550"/>
        <v/>
      </c>
    </row>
    <row r="1168" spans="1:52" s="3" customFormat="1" hidden="1" x14ac:dyDescent="0.35">
      <c r="A1168" s="72">
        <f t="shared" si="551"/>
        <v>2021</v>
      </c>
      <c r="B1168" s="72" t="str">
        <f t="shared" si="552"/>
        <v>Nov</v>
      </c>
      <c r="C1168" s="73">
        <f t="shared" si="570"/>
        <v>15</v>
      </c>
      <c r="D1168" s="74">
        <f t="shared" si="553"/>
        <v>11</v>
      </c>
      <c r="E1168" s="75">
        <f t="shared" si="554"/>
        <v>24</v>
      </c>
      <c r="F1168" s="79"/>
      <c r="G1168" s="82"/>
      <c r="H1168" s="68" t="str">
        <f t="shared" si="571"/>
        <v>Clesim6_20211115_11_00</v>
      </c>
      <c r="I1168" s="69">
        <f t="shared" si="572"/>
        <v>1</v>
      </c>
      <c r="J1168" s="76" t="str">
        <f t="shared" si="572"/>
        <v>Clematis</v>
      </c>
      <c r="K1168" s="76" t="str">
        <f t="shared" si="572"/>
        <v>simense</v>
      </c>
      <c r="L1168" s="77">
        <f t="shared" si="572"/>
        <v>6</v>
      </c>
      <c r="M1168" s="77">
        <f t="shared" si="572"/>
        <v>20</v>
      </c>
      <c r="N1168" s="71">
        <f t="shared" si="572"/>
        <v>0</v>
      </c>
      <c r="O1168" s="44"/>
      <c r="P1168" s="45" t="str">
        <f t="shared" si="555"/>
        <v/>
      </c>
      <c r="Q1168" s="46" t="str">
        <f t="shared" si="556"/>
        <v/>
      </c>
      <c r="R1168" s="47" t="e">
        <f t="shared" si="557"/>
        <v>#VALUE!</v>
      </c>
      <c r="S1168" s="48" t="e">
        <f t="shared" si="546"/>
        <v>#VALUE!</v>
      </c>
      <c r="T1168" s="47" t="str">
        <f t="shared" si="558"/>
        <v/>
      </c>
      <c r="U1168" s="49"/>
      <c r="V1168" s="50"/>
      <c r="W1168" s="51" t="e">
        <f t="shared" si="559"/>
        <v>#VALUE!</v>
      </c>
      <c r="X1168" s="52"/>
      <c r="Y1168" s="52"/>
      <c r="Z1168" s="52"/>
      <c r="AA1168" s="47" t="e">
        <f>INDEX(VISITORS[INSECT ORDER], MATCH(X1168,VISITORS[NAME USED],0))</f>
        <v>#N/A</v>
      </c>
      <c r="AB1168" s="47" t="e">
        <f t="shared" si="560"/>
        <v>#N/A</v>
      </c>
      <c r="AC1168" s="53" t="e">
        <f t="shared" si="561"/>
        <v>#VALUE!</v>
      </c>
      <c r="AD1168" s="54" t="str">
        <f t="shared" si="562"/>
        <v/>
      </c>
      <c r="AE1168" s="54"/>
      <c r="AF1168" s="54"/>
      <c r="AG1168" s="55" t="str">
        <f t="shared" si="563"/>
        <v/>
      </c>
      <c r="AH1168" s="56" t="str">
        <f t="shared" si="564"/>
        <v/>
      </c>
      <c r="AI1168" s="55"/>
      <c r="AJ1168" s="56" t="str">
        <f t="shared" si="565"/>
        <v/>
      </c>
      <c r="AK1168" s="55"/>
      <c r="AL1168" s="56" t="str">
        <f t="shared" si="566"/>
        <v/>
      </c>
      <c r="AM1168" s="55"/>
      <c r="AN1168" s="56" t="str">
        <f t="shared" si="567"/>
        <v/>
      </c>
      <c r="AO1168" s="55"/>
      <c r="AP1168" s="56" t="str">
        <f t="shared" si="568"/>
        <v/>
      </c>
      <c r="AQ1168" s="55"/>
      <c r="AR1168" s="56" t="str">
        <f t="shared" si="569"/>
        <v/>
      </c>
      <c r="AS1168" s="57"/>
      <c r="AT1168" s="58"/>
      <c r="AU1168" s="58"/>
      <c r="AV1168" s="59"/>
      <c r="AW1168" s="60" t="str">
        <f t="shared" si="547"/>
        <v/>
      </c>
      <c r="AX1168" s="61" t="str">
        <f t="shared" si="548"/>
        <v/>
      </c>
      <c r="AY1168" s="60" t="str">
        <f t="shared" si="549"/>
        <v/>
      </c>
      <c r="AZ1168" s="61" t="str">
        <f t="shared" si="550"/>
        <v/>
      </c>
    </row>
    <row r="1169" spans="1:52" s="3" customFormat="1" hidden="1" x14ac:dyDescent="0.35">
      <c r="A1169" s="72">
        <f t="shared" si="551"/>
        <v>2021</v>
      </c>
      <c r="B1169" s="72" t="str">
        <f t="shared" si="552"/>
        <v>Nov</v>
      </c>
      <c r="C1169" s="73">
        <f t="shared" si="570"/>
        <v>15</v>
      </c>
      <c r="D1169" s="74">
        <f t="shared" si="553"/>
        <v>11</v>
      </c>
      <c r="E1169" s="75">
        <f t="shared" si="554"/>
        <v>25</v>
      </c>
      <c r="F1169" s="79"/>
      <c r="G1169" s="82"/>
      <c r="H1169" s="68" t="str">
        <f t="shared" si="571"/>
        <v>Clesim6_20211115_11_00</v>
      </c>
      <c r="I1169" s="69">
        <f t="shared" si="572"/>
        <v>1</v>
      </c>
      <c r="J1169" s="76" t="str">
        <f t="shared" si="572"/>
        <v>Clematis</v>
      </c>
      <c r="K1169" s="76" t="str">
        <f t="shared" si="572"/>
        <v>simense</v>
      </c>
      <c r="L1169" s="77">
        <f t="shared" si="572"/>
        <v>6</v>
      </c>
      <c r="M1169" s="77">
        <f t="shared" si="572"/>
        <v>20</v>
      </c>
      <c r="N1169" s="71">
        <f t="shared" si="572"/>
        <v>0</v>
      </c>
      <c r="O1169" s="44"/>
      <c r="P1169" s="45" t="str">
        <f t="shared" si="555"/>
        <v/>
      </c>
      <c r="Q1169" s="46" t="str">
        <f t="shared" si="556"/>
        <v/>
      </c>
      <c r="R1169" s="47" t="e">
        <f t="shared" si="557"/>
        <v>#VALUE!</v>
      </c>
      <c r="S1169" s="48" t="e">
        <f t="shared" si="546"/>
        <v>#VALUE!</v>
      </c>
      <c r="T1169" s="47" t="str">
        <f t="shared" si="558"/>
        <v/>
      </c>
      <c r="U1169" s="49"/>
      <c r="V1169" s="50"/>
      <c r="W1169" s="51" t="e">
        <f t="shared" si="559"/>
        <v>#VALUE!</v>
      </c>
      <c r="X1169" s="52"/>
      <c r="Y1169" s="52"/>
      <c r="Z1169" s="52"/>
      <c r="AA1169" s="47" t="e">
        <f>INDEX(VISITORS[INSECT ORDER], MATCH(X1169,VISITORS[NAME USED],0))</f>
        <v>#N/A</v>
      </c>
      <c r="AB1169" s="47" t="e">
        <f t="shared" si="560"/>
        <v>#N/A</v>
      </c>
      <c r="AC1169" s="53" t="e">
        <f t="shared" si="561"/>
        <v>#VALUE!</v>
      </c>
      <c r="AD1169" s="54" t="str">
        <f t="shared" si="562"/>
        <v/>
      </c>
      <c r="AE1169" s="54"/>
      <c r="AF1169" s="54"/>
      <c r="AG1169" s="55" t="str">
        <f t="shared" si="563"/>
        <v/>
      </c>
      <c r="AH1169" s="56" t="str">
        <f t="shared" si="564"/>
        <v/>
      </c>
      <c r="AI1169" s="55"/>
      <c r="AJ1169" s="56" t="str">
        <f t="shared" si="565"/>
        <v/>
      </c>
      <c r="AK1169" s="55"/>
      <c r="AL1169" s="56" t="str">
        <f t="shared" si="566"/>
        <v/>
      </c>
      <c r="AM1169" s="55"/>
      <c r="AN1169" s="56" t="str">
        <f t="shared" si="567"/>
        <v/>
      </c>
      <c r="AO1169" s="55"/>
      <c r="AP1169" s="56" t="str">
        <f t="shared" si="568"/>
        <v/>
      </c>
      <c r="AQ1169" s="55"/>
      <c r="AR1169" s="56" t="str">
        <f t="shared" si="569"/>
        <v/>
      </c>
      <c r="AS1169" s="57"/>
      <c r="AT1169" s="58"/>
      <c r="AU1169" s="58"/>
      <c r="AV1169" s="59"/>
      <c r="AW1169" s="60" t="str">
        <f t="shared" si="547"/>
        <v/>
      </c>
      <c r="AX1169" s="61" t="str">
        <f t="shared" si="548"/>
        <v/>
      </c>
      <c r="AY1169" s="60" t="str">
        <f t="shared" si="549"/>
        <v/>
      </c>
      <c r="AZ1169" s="61" t="str">
        <f t="shared" si="550"/>
        <v/>
      </c>
    </row>
    <row r="1170" spans="1:52" s="3" customFormat="1" hidden="1" x14ac:dyDescent="0.35">
      <c r="A1170" s="72">
        <f t="shared" si="551"/>
        <v>2021</v>
      </c>
      <c r="B1170" s="72" t="str">
        <f t="shared" si="552"/>
        <v>Nov</v>
      </c>
      <c r="C1170" s="73">
        <f t="shared" si="570"/>
        <v>15</v>
      </c>
      <c r="D1170" s="74">
        <f t="shared" si="553"/>
        <v>11</v>
      </c>
      <c r="E1170" s="75">
        <f t="shared" si="554"/>
        <v>26</v>
      </c>
      <c r="F1170" s="79"/>
      <c r="G1170" s="82"/>
      <c r="H1170" s="68" t="str">
        <f t="shared" si="571"/>
        <v>Clesim6_20211115_11_00</v>
      </c>
      <c r="I1170" s="69">
        <f t="shared" si="572"/>
        <v>1</v>
      </c>
      <c r="J1170" s="76" t="str">
        <f t="shared" si="572"/>
        <v>Clematis</v>
      </c>
      <c r="K1170" s="76" t="str">
        <f t="shared" si="572"/>
        <v>simense</v>
      </c>
      <c r="L1170" s="77">
        <f t="shared" si="572"/>
        <v>6</v>
      </c>
      <c r="M1170" s="77">
        <f t="shared" si="572"/>
        <v>20</v>
      </c>
      <c r="N1170" s="71">
        <f t="shared" si="572"/>
        <v>0</v>
      </c>
      <c r="O1170" s="44"/>
      <c r="P1170" s="45" t="str">
        <f t="shared" si="555"/>
        <v/>
      </c>
      <c r="Q1170" s="46" t="str">
        <f t="shared" si="556"/>
        <v/>
      </c>
      <c r="R1170" s="47" t="e">
        <f t="shared" si="557"/>
        <v>#VALUE!</v>
      </c>
      <c r="S1170" s="48" t="e">
        <f t="shared" si="546"/>
        <v>#VALUE!</v>
      </c>
      <c r="T1170" s="47" t="str">
        <f t="shared" si="558"/>
        <v/>
      </c>
      <c r="U1170" s="49"/>
      <c r="V1170" s="50"/>
      <c r="W1170" s="51" t="e">
        <f t="shared" si="559"/>
        <v>#VALUE!</v>
      </c>
      <c r="X1170" s="52"/>
      <c r="Y1170" s="52"/>
      <c r="Z1170" s="52"/>
      <c r="AA1170" s="47" t="e">
        <f>INDEX(VISITORS[INSECT ORDER], MATCH(X1170,VISITORS[NAME USED],0))</f>
        <v>#N/A</v>
      </c>
      <c r="AB1170" s="47" t="e">
        <f t="shared" si="560"/>
        <v>#N/A</v>
      </c>
      <c r="AC1170" s="53" t="e">
        <f t="shared" si="561"/>
        <v>#VALUE!</v>
      </c>
      <c r="AD1170" s="54" t="str">
        <f t="shared" si="562"/>
        <v/>
      </c>
      <c r="AE1170" s="54"/>
      <c r="AF1170" s="54"/>
      <c r="AG1170" s="55" t="str">
        <f t="shared" si="563"/>
        <v/>
      </c>
      <c r="AH1170" s="56" t="str">
        <f t="shared" si="564"/>
        <v/>
      </c>
      <c r="AI1170" s="55"/>
      <c r="AJ1170" s="56" t="str">
        <f t="shared" si="565"/>
        <v/>
      </c>
      <c r="AK1170" s="55"/>
      <c r="AL1170" s="56" t="str">
        <f t="shared" si="566"/>
        <v/>
      </c>
      <c r="AM1170" s="55"/>
      <c r="AN1170" s="56" t="str">
        <f t="shared" si="567"/>
        <v/>
      </c>
      <c r="AO1170" s="55"/>
      <c r="AP1170" s="56" t="str">
        <f t="shared" si="568"/>
        <v/>
      </c>
      <c r="AQ1170" s="55"/>
      <c r="AR1170" s="56" t="str">
        <f t="shared" si="569"/>
        <v/>
      </c>
      <c r="AS1170" s="57"/>
      <c r="AT1170" s="58"/>
      <c r="AU1170" s="58"/>
      <c r="AV1170" s="59"/>
      <c r="AW1170" s="60" t="str">
        <f t="shared" si="547"/>
        <v/>
      </c>
      <c r="AX1170" s="61" t="str">
        <f t="shared" si="548"/>
        <v/>
      </c>
      <c r="AY1170" s="60" t="str">
        <f t="shared" si="549"/>
        <v/>
      </c>
      <c r="AZ1170" s="61" t="str">
        <f t="shared" si="550"/>
        <v/>
      </c>
    </row>
    <row r="1171" spans="1:52" s="3" customFormat="1" hidden="1" x14ac:dyDescent="0.35">
      <c r="A1171" s="72">
        <f t="shared" si="551"/>
        <v>2021</v>
      </c>
      <c r="B1171" s="72" t="str">
        <f t="shared" si="552"/>
        <v>Nov</v>
      </c>
      <c r="C1171" s="73">
        <f t="shared" si="570"/>
        <v>15</v>
      </c>
      <c r="D1171" s="74">
        <f t="shared" si="553"/>
        <v>11</v>
      </c>
      <c r="E1171" s="75">
        <f t="shared" si="554"/>
        <v>27</v>
      </c>
      <c r="F1171" s="79"/>
      <c r="G1171" s="82"/>
      <c r="H1171" s="68" t="str">
        <f t="shared" si="571"/>
        <v>Clesim6_20211115_11_00</v>
      </c>
      <c r="I1171" s="69">
        <f t="shared" si="572"/>
        <v>1</v>
      </c>
      <c r="J1171" s="76" t="str">
        <f t="shared" si="572"/>
        <v>Clematis</v>
      </c>
      <c r="K1171" s="76" t="str">
        <f t="shared" si="572"/>
        <v>simense</v>
      </c>
      <c r="L1171" s="77">
        <f t="shared" si="572"/>
        <v>6</v>
      </c>
      <c r="M1171" s="77">
        <f t="shared" si="572"/>
        <v>20</v>
      </c>
      <c r="N1171" s="71">
        <f t="shared" si="572"/>
        <v>0</v>
      </c>
      <c r="O1171" s="44"/>
      <c r="P1171" s="45" t="str">
        <f t="shared" si="555"/>
        <v/>
      </c>
      <c r="Q1171" s="46" t="str">
        <f t="shared" si="556"/>
        <v/>
      </c>
      <c r="R1171" s="47" t="e">
        <f t="shared" si="557"/>
        <v>#VALUE!</v>
      </c>
      <c r="S1171" s="48" t="e">
        <f t="shared" si="546"/>
        <v>#VALUE!</v>
      </c>
      <c r="T1171" s="47" t="str">
        <f t="shared" si="558"/>
        <v/>
      </c>
      <c r="U1171" s="49"/>
      <c r="V1171" s="50"/>
      <c r="W1171" s="51" t="e">
        <f t="shared" si="559"/>
        <v>#VALUE!</v>
      </c>
      <c r="X1171" s="52"/>
      <c r="Y1171" s="52"/>
      <c r="Z1171" s="52"/>
      <c r="AA1171" s="47" t="e">
        <f>INDEX(VISITORS[INSECT ORDER], MATCH(X1171,VISITORS[NAME USED],0))</f>
        <v>#N/A</v>
      </c>
      <c r="AB1171" s="47" t="e">
        <f t="shared" si="560"/>
        <v>#N/A</v>
      </c>
      <c r="AC1171" s="53" t="e">
        <f t="shared" si="561"/>
        <v>#VALUE!</v>
      </c>
      <c r="AD1171" s="54" t="str">
        <f t="shared" si="562"/>
        <v/>
      </c>
      <c r="AE1171" s="54"/>
      <c r="AF1171" s="54"/>
      <c r="AG1171" s="55" t="str">
        <f t="shared" si="563"/>
        <v/>
      </c>
      <c r="AH1171" s="56" t="str">
        <f t="shared" si="564"/>
        <v/>
      </c>
      <c r="AI1171" s="55"/>
      <c r="AJ1171" s="56" t="str">
        <f t="shared" si="565"/>
        <v/>
      </c>
      <c r="AK1171" s="55"/>
      <c r="AL1171" s="56" t="str">
        <f t="shared" si="566"/>
        <v/>
      </c>
      <c r="AM1171" s="55"/>
      <c r="AN1171" s="56" t="str">
        <f t="shared" si="567"/>
        <v/>
      </c>
      <c r="AO1171" s="55"/>
      <c r="AP1171" s="56" t="str">
        <f t="shared" si="568"/>
        <v/>
      </c>
      <c r="AQ1171" s="55"/>
      <c r="AR1171" s="56" t="str">
        <f t="shared" si="569"/>
        <v/>
      </c>
      <c r="AS1171" s="57"/>
      <c r="AT1171" s="58"/>
      <c r="AU1171" s="58"/>
      <c r="AV1171" s="59"/>
      <c r="AW1171" s="60" t="str">
        <f t="shared" si="547"/>
        <v/>
      </c>
      <c r="AX1171" s="61" t="str">
        <f t="shared" si="548"/>
        <v/>
      </c>
      <c r="AY1171" s="60" t="str">
        <f t="shared" si="549"/>
        <v/>
      </c>
      <c r="AZ1171" s="61" t="str">
        <f t="shared" si="550"/>
        <v/>
      </c>
    </row>
    <row r="1172" spans="1:52" s="3" customFormat="1" hidden="1" x14ac:dyDescent="0.35">
      <c r="A1172" s="72">
        <f t="shared" si="551"/>
        <v>2021</v>
      </c>
      <c r="B1172" s="72" t="str">
        <f t="shared" si="552"/>
        <v>Nov</v>
      </c>
      <c r="C1172" s="73">
        <f t="shared" si="570"/>
        <v>15</v>
      </c>
      <c r="D1172" s="74">
        <f t="shared" si="553"/>
        <v>11</v>
      </c>
      <c r="E1172" s="75">
        <f t="shared" si="554"/>
        <v>28</v>
      </c>
      <c r="F1172" s="79"/>
      <c r="G1172" s="82"/>
      <c r="H1172" s="68" t="str">
        <f t="shared" si="571"/>
        <v>Clesim6_20211115_11_00</v>
      </c>
      <c r="I1172" s="69">
        <f t="shared" si="572"/>
        <v>1</v>
      </c>
      <c r="J1172" s="76" t="str">
        <f t="shared" si="572"/>
        <v>Clematis</v>
      </c>
      <c r="K1172" s="76" t="str">
        <f t="shared" si="572"/>
        <v>simense</v>
      </c>
      <c r="L1172" s="77">
        <f t="shared" si="572"/>
        <v>6</v>
      </c>
      <c r="M1172" s="77">
        <f t="shared" si="572"/>
        <v>20</v>
      </c>
      <c r="N1172" s="71">
        <f t="shared" si="572"/>
        <v>0</v>
      </c>
      <c r="O1172" s="44"/>
      <c r="P1172" s="45" t="str">
        <f t="shared" si="555"/>
        <v/>
      </c>
      <c r="Q1172" s="46" t="str">
        <f t="shared" si="556"/>
        <v/>
      </c>
      <c r="R1172" s="47" t="e">
        <f t="shared" si="557"/>
        <v>#VALUE!</v>
      </c>
      <c r="S1172" s="48" t="e">
        <f t="shared" si="546"/>
        <v>#VALUE!</v>
      </c>
      <c r="T1172" s="47" t="str">
        <f t="shared" si="558"/>
        <v/>
      </c>
      <c r="U1172" s="49"/>
      <c r="V1172" s="50"/>
      <c r="W1172" s="51" t="e">
        <f t="shared" si="559"/>
        <v>#VALUE!</v>
      </c>
      <c r="X1172" s="52"/>
      <c r="Y1172" s="52"/>
      <c r="Z1172" s="52"/>
      <c r="AA1172" s="47" t="e">
        <f>INDEX(VISITORS[INSECT ORDER], MATCH(X1172,VISITORS[NAME USED],0))</f>
        <v>#N/A</v>
      </c>
      <c r="AB1172" s="47" t="e">
        <f t="shared" si="560"/>
        <v>#N/A</v>
      </c>
      <c r="AC1172" s="53" t="e">
        <f t="shared" si="561"/>
        <v>#VALUE!</v>
      </c>
      <c r="AD1172" s="54" t="str">
        <f t="shared" si="562"/>
        <v/>
      </c>
      <c r="AE1172" s="54"/>
      <c r="AF1172" s="54"/>
      <c r="AG1172" s="55" t="str">
        <f t="shared" si="563"/>
        <v/>
      </c>
      <c r="AH1172" s="56" t="str">
        <f t="shared" si="564"/>
        <v/>
      </c>
      <c r="AI1172" s="55"/>
      <c r="AJ1172" s="56" t="str">
        <f t="shared" si="565"/>
        <v/>
      </c>
      <c r="AK1172" s="55"/>
      <c r="AL1172" s="56" t="str">
        <f t="shared" si="566"/>
        <v/>
      </c>
      <c r="AM1172" s="55"/>
      <c r="AN1172" s="56" t="str">
        <f t="shared" si="567"/>
        <v/>
      </c>
      <c r="AO1172" s="55"/>
      <c r="AP1172" s="56" t="str">
        <f t="shared" si="568"/>
        <v/>
      </c>
      <c r="AQ1172" s="55"/>
      <c r="AR1172" s="56" t="str">
        <f t="shared" si="569"/>
        <v/>
      </c>
      <c r="AS1172" s="57"/>
      <c r="AT1172" s="58"/>
      <c r="AU1172" s="58"/>
      <c r="AV1172" s="59"/>
      <c r="AW1172" s="60" t="str">
        <f t="shared" si="547"/>
        <v/>
      </c>
      <c r="AX1172" s="61" t="str">
        <f t="shared" si="548"/>
        <v/>
      </c>
      <c r="AY1172" s="60" t="str">
        <f t="shared" si="549"/>
        <v/>
      </c>
      <c r="AZ1172" s="61" t="str">
        <f t="shared" si="550"/>
        <v/>
      </c>
    </row>
    <row r="1173" spans="1:52" s="3" customFormat="1" hidden="1" x14ac:dyDescent="0.35">
      <c r="A1173" s="72">
        <f t="shared" si="551"/>
        <v>2021</v>
      </c>
      <c r="B1173" s="72" t="str">
        <f t="shared" si="552"/>
        <v>Nov</v>
      </c>
      <c r="C1173" s="73">
        <f t="shared" si="570"/>
        <v>15</v>
      </c>
      <c r="D1173" s="74">
        <f t="shared" si="553"/>
        <v>11</v>
      </c>
      <c r="E1173" s="75">
        <f t="shared" si="554"/>
        <v>29</v>
      </c>
      <c r="F1173" s="79"/>
      <c r="G1173" s="82"/>
      <c r="H1173" s="68" t="str">
        <f t="shared" si="571"/>
        <v>Clesim6_20211115_11_00</v>
      </c>
      <c r="I1173" s="69">
        <f t="shared" si="572"/>
        <v>1</v>
      </c>
      <c r="J1173" s="76" t="str">
        <f t="shared" si="572"/>
        <v>Clematis</v>
      </c>
      <c r="K1173" s="76" t="str">
        <f t="shared" si="572"/>
        <v>simense</v>
      </c>
      <c r="L1173" s="77">
        <f t="shared" si="572"/>
        <v>6</v>
      </c>
      <c r="M1173" s="77">
        <f t="shared" si="572"/>
        <v>20</v>
      </c>
      <c r="N1173" s="71">
        <f t="shared" si="572"/>
        <v>0</v>
      </c>
      <c r="O1173" s="44"/>
      <c r="P1173" s="45" t="str">
        <f t="shared" si="555"/>
        <v/>
      </c>
      <c r="Q1173" s="46" t="str">
        <f t="shared" si="556"/>
        <v/>
      </c>
      <c r="R1173" s="47" t="e">
        <f t="shared" si="557"/>
        <v>#VALUE!</v>
      </c>
      <c r="S1173" s="48" t="e">
        <f t="shared" si="546"/>
        <v>#VALUE!</v>
      </c>
      <c r="T1173" s="47" t="str">
        <f t="shared" si="558"/>
        <v/>
      </c>
      <c r="U1173" s="49"/>
      <c r="V1173" s="50"/>
      <c r="W1173" s="51" t="e">
        <f t="shared" si="559"/>
        <v>#VALUE!</v>
      </c>
      <c r="X1173" s="52"/>
      <c r="Y1173" s="52"/>
      <c r="Z1173" s="52"/>
      <c r="AA1173" s="47" t="e">
        <f>INDEX(VISITORS[INSECT ORDER], MATCH(X1173,VISITORS[NAME USED],0))</f>
        <v>#N/A</v>
      </c>
      <c r="AB1173" s="47" t="e">
        <f t="shared" si="560"/>
        <v>#N/A</v>
      </c>
      <c r="AC1173" s="53" t="e">
        <f t="shared" si="561"/>
        <v>#VALUE!</v>
      </c>
      <c r="AD1173" s="54" t="str">
        <f t="shared" si="562"/>
        <v/>
      </c>
      <c r="AE1173" s="54"/>
      <c r="AF1173" s="54"/>
      <c r="AG1173" s="55" t="str">
        <f t="shared" si="563"/>
        <v/>
      </c>
      <c r="AH1173" s="56" t="str">
        <f t="shared" si="564"/>
        <v/>
      </c>
      <c r="AI1173" s="55"/>
      <c r="AJ1173" s="56" t="str">
        <f t="shared" si="565"/>
        <v/>
      </c>
      <c r="AK1173" s="55"/>
      <c r="AL1173" s="56" t="str">
        <f t="shared" si="566"/>
        <v/>
      </c>
      <c r="AM1173" s="55"/>
      <c r="AN1173" s="56" t="str">
        <f t="shared" si="567"/>
        <v/>
      </c>
      <c r="AO1173" s="55"/>
      <c r="AP1173" s="56" t="str">
        <f t="shared" si="568"/>
        <v/>
      </c>
      <c r="AQ1173" s="55"/>
      <c r="AR1173" s="56" t="str">
        <f t="shared" si="569"/>
        <v/>
      </c>
      <c r="AS1173" s="57"/>
      <c r="AT1173" s="58"/>
      <c r="AU1173" s="58"/>
      <c r="AV1173" s="59"/>
      <c r="AW1173" s="60" t="str">
        <f t="shared" si="547"/>
        <v/>
      </c>
      <c r="AX1173" s="61" t="str">
        <f t="shared" si="548"/>
        <v/>
      </c>
      <c r="AY1173" s="60" t="str">
        <f t="shared" si="549"/>
        <v/>
      </c>
      <c r="AZ1173" s="61" t="str">
        <f t="shared" si="550"/>
        <v/>
      </c>
    </row>
    <row r="1174" spans="1:52" s="3" customFormat="1" hidden="1" x14ac:dyDescent="0.35">
      <c r="A1174" s="72">
        <f t="shared" si="551"/>
        <v>2021</v>
      </c>
      <c r="B1174" s="72" t="str">
        <f t="shared" si="552"/>
        <v>Nov</v>
      </c>
      <c r="C1174" s="73">
        <f t="shared" si="570"/>
        <v>15</v>
      </c>
      <c r="D1174" s="74">
        <f t="shared" si="553"/>
        <v>11</v>
      </c>
      <c r="E1174" s="75">
        <f t="shared" si="554"/>
        <v>30</v>
      </c>
      <c r="F1174" s="79"/>
      <c r="G1174" s="82"/>
      <c r="H1174" s="68" t="str">
        <f t="shared" si="571"/>
        <v>Clesim6_20211115_11_00</v>
      </c>
      <c r="I1174" s="69">
        <f t="shared" ref="I1174:N1189" si="573">I1173</f>
        <v>1</v>
      </c>
      <c r="J1174" s="76" t="str">
        <f t="shared" si="573"/>
        <v>Clematis</v>
      </c>
      <c r="K1174" s="76" t="str">
        <f t="shared" si="573"/>
        <v>simense</v>
      </c>
      <c r="L1174" s="77">
        <f t="shared" si="573"/>
        <v>6</v>
      </c>
      <c r="M1174" s="77">
        <f t="shared" si="573"/>
        <v>20</v>
      </c>
      <c r="N1174" s="71">
        <f t="shared" si="573"/>
        <v>0</v>
      </c>
      <c r="O1174" s="44"/>
      <c r="P1174" s="45" t="str">
        <f t="shared" si="555"/>
        <v/>
      </c>
      <c r="Q1174" s="46" t="str">
        <f t="shared" si="556"/>
        <v/>
      </c>
      <c r="R1174" s="47" t="e">
        <f t="shared" si="557"/>
        <v>#VALUE!</v>
      </c>
      <c r="S1174" s="48" t="e">
        <f t="shared" si="546"/>
        <v>#VALUE!</v>
      </c>
      <c r="T1174" s="47" t="str">
        <f t="shared" si="558"/>
        <v/>
      </c>
      <c r="U1174" s="49"/>
      <c r="V1174" s="50"/>
      <c r="W1174" s="51" t="e">
        <f t="shared" si="559"/>
        <v>#VALUE!</v>
      </c>
      <c r="X1174" s="52"/>
      <c r="Y1174" s="52"/>
      <c r="Z1174" s="52"/>
      <c r="AA1174" s="47" t="e">
        <f>INDEX(VISITORS[INSECT ORDER], MATCH(X1174,VISITORS[NAME USED],0))</f>
        <v>#N/A</v>
      </c>
      <c r="AB1174" s="47" t="e">
        <f t="shared" si="560"/>
        <v>#N/A</v>
      </c>
      <c r="AC1174" s="53" t="e">
        <f t="shared" si="561"/>
        <v>#VALUE!</v>
      </c>
      <c r="AD1174" s="54" t="str">
        <f t="shared" si="562"/>
        <v/>
      </c>
      <c r="AE1174" s="54"/>
      <c r="AF1174" s="54"/>
      <c r="AG1174" s="55" t="str">
        <f t="shared" si="563"/>
        <v/>
      </c>
      <c r="AH1174" s="56" t="str">
        <f t="shared" si="564"/>
        <v/>
      </c>
      <c r="AI1174" s="55"/>
      <c r="AJ1174" s="56" t="str">
        <f t="shared" si="565"/>
        <v/>
      </c>
      <c r="AK1174" s="55"/>
      <c r="AL1174" s="56" t="str">
        <f t="shared" si="566"/>
        <v/>
      </c>
      <c r="AM1174" s="55"/>
      <c r="AN1174" s="56" t="str">
        <f t="shared" si="567"/>
        <v/>
      </c>
      <c r="AO1174" s="55"/>
      <c r="AP1174" s="56" t="str">
        <f t="shared" si="568"/>
        <v/>
      </c>
      <c r="AQ1174" s="55"/>
      <c r="AR1174" s="56" t="str">
        <f t="shared" si="569"/>
        <v/>
      </c>
      <c r="AS1174" s="57"/>
      <c r="AT1174" s="58"/>
      <c r="AU1174" s="58"/>
      <c r="AV1174" s="59"/>
      <c r="AW1174" s="60" t="str">
        <f t="shared" si="547"/>
        <v/>
      </c>
      <c r="AX1174" s="61" t="str">
        <f t="shared" si="548"/>
        <v/>
      </c>
      <c r="AY1174" s="60" t="str">
        <f t="shared" si="549"/>
        <v/>
      </c>
      <c r="AZ1174" s="61" t="str">
        <f t="shared" si="550"/>
        <v/>
      </c>
    </row>
    <row r="1175" spans="1:52" s="3" customFormat="1" hidden="1" x14ac:dyDescent="0.35">
      <c r="A1175" s="72">
        <f t="shared" si="551"/>
        <v>2021</v>
      </c>
      <c r="B1175" s="72" t="str">
        <f t="shared" si="552"/>
        <v>Nov</v>
      </c>
      <c r="C1175" s="73">
        <f t="shared" si="570"/>
        <v>15</v>
      </c>
      <c r="D1175" s="74">
        <f t="shared" si="553"/>
        <v>11</v>
      </c>
      <c r="E1175" s="75">
        <f t="shared" si="554"/>
        <v>31</v>
      </c>
      <c r="F1175" s="79"/>
      <c r="G1175" s="82"/>
      <c r="H1175" s="68" t="str">
        <f t="shared" si="571"/>
        <v>Clesim6_20211115_11_00</v>
      </c>
      <c r="I1175" s="69">
        <f t="shared" si="573"/>
        <v>1</v>
      </c>
      <c r="J1175" s="76" t="str">
        <f t="shared" si="573"/>
        <v>Clematis</v>
      </c>
      <c r="K1175" s="76" t="str">
        <f t="shared" si="573"/>
        <v>simense</v>
      </c>
      <c r="L1175" s="77">
        <f t="shared" si="573"/>
        <v>6</v>
      </c>
      <c r="M1175" s="77">
        <f t="shared" si="573"/>
        <v>20</v>
      </c>
      <c r="N1175" s="71">
        <f t="shared" si="573"/>
        <v>0</v>
      </c>
      <c r="O1175" s="44"/>
      <c r="P1175" s="45" t="str">
        <f t="shared" si="555"/>
        <v/>
      </c>
      <c r="Q1175" s="46" t="str">
        <f t="shared" si="556"/>
        <v/>
      </c>
      <c r="R1175" s="47" t="e">
        <f t="shared" si="557"/>
        <v>#VALUE!</v>
      </c>
      <c r="S1175" s="48" t="e">
        <f t="shared" si="546"/>
        <v>#VALUE!</v>
      </c>
      <c r="T1175" s="47" t="str">
        <f t="shared" si="558"/>
        <v/>
      </c>
      <c r="U1175" s="49"/>
      <c r="V1175" s="50"/>
      <c r="W1175" s="51" t="e">
        <f t="shared" si="559"/>
        <v>#VALUE!</v>
      </c>
      <c r="X1175" s="52"/>
      <c r="Y1175" s="52"/>
      <c r="Z1175" s="52"/>
      <c r="AA1175" s="47" t="e">
        <f>INDEX(VISITORS[INSECT ORDER], MATCH(X1175,VISITORS[NAME USED],0))</f>
        <v>#N/A</v>
      </c>
      <c r="AB1175" s="47" t="e">
        <f t="shared" si="560"/>
        <v>#N/A</v>
      </c>
      <c r="AC1175" s="53" t="e">
        <f t="shared" si="561"/>
        <v>#VALUE!</v>
      </c>
      <c r="AD1175" s="54" t="str">
        <f t="shared" si="562"/>
        <v/>
      </c>
      <c r="AE1175" s="54"/>
      <c r="AF1175" s="54"/>
      <c r="AG1175" s="55" t="str">
        <f t="shared" si="563"/>
        <v/>
      </c>
      <c r="AH1175" s="56" t="str">
        <f t="shared" si="564"/>
        <v/>
      </c>
      <c r="AI1175" s="55"/>
      <c r="AJ1175" s="56" t="str">
        <f t="shared" si="565"/>
        <v/>
      </c>
      <c r="AK1175" s="55"/>
      <c r="AL1175" s="56" t="str">
        <f t="shared" si="566"/>
        <v/>
      </c>
      <c r="AM1175" s="55"/>
      <c r="AN1175" s="56" t="str">
        <f t="shared" si="567"/>
        <v/>
      </c>
      <c r="AO1175" s="55"/>
      <c r="AP1175" s="56" t="str">
        <f t="shared" si="568"/>
        <v/>
      </c>
      <c r="AQ1175" s="55"/>
      <c r="AR1175" s="56" t="str">
        <f t="shared" si="569"/>
        <v/>
      </c>
      <c r="AS1175" s="57"/>
      <c r="AT1175" s="58"/>
      <c r="AU1175" s="58"/>
      <c r="AV1175" s="59"/>
      <c r="AW1175" s="60" t="str">
        <f t="shared" si="547"/>
        <v/>
      </c>
      <c r="AX1175" s="61" t="str">
        <f t="shared" si="548"/>
        <v/>
      </c>
      <c r="AY1175" s="60" t="str">
        <f t="shared" si="549"/>
        <v/>
      </c>
      <c r="AZ1175" s="61" t="str">
        <f t="shared" si="550"/>
        <v/>
      </c>
    </row>
    <row r="1176" spans="1:52" s="3" customFormat="1" x14ac:dyDescent="0.35">
      <c r="A1176" s="72">
        <f t="shared" si="551"/>
        <v>2021</v>
      </c>
      <c r="B1176" s="72" t="str">
        <f t="shared" si="552"/>
        <v>Nov</v>
      </c>
      <c r="C1176" s="73">
        <f t="shared" si="570"/>
        <v>15</v>
      </c>
      <c r="D1176" s="74">
        <f t="shared" si="553"/>
        <v>11</v>
      </c>
      <c r="E1176" s="75">
        <f t="shared" si="554"/>
        <v>32</v>
      </c>
      <c r="F1176" s="79">
        <v>30</v>
      </c>
      <c r="G1176" s="82"/>
      <c r="H1176" s="68" t="str">
        <f t="shared" si="571"/>
        <v>Clesim6_20211115_11_00</v>
      </c>
      <c r="I1176" s="69">
        <f t="shared" si="573"/>
        <v>1</v>
      </c>
      <c r="J1176" s="76" t="str">
        <f t="shared" si="573"/>
        <v>Clematis</v>
      </c>
      <c r="K1176" s="76" t="str">
        <f t="shared" si="573"/>
        <v>simense</v>
      </c>
      <c r="L1176" s="77">
        <f t="shared" si="573"/>
        <v>6</v>
      </c>
      <c r="M1176" s="77">
        <f t="shared" si="573"/>
        <v>20</v>
      </c>
      <c r="N1176" s="71">
        <f t="shared" si="573"/>
        <v>0</v>
      </c>
      <c r="O1176" s="44"/>
      <c r="P1176" s="45">
        <f t="shared" si="555"/>
        <v>1</v>
      </c>
      <c r="Q1176" s="46" t="str">
        <f t="shared" si="556"/>
        <v>11:32:30</v>
      </c>
      <c r="R1176" s="47" t="str">
        <f t="shared" si="557"/>
        <v>32:30</v>
      </c>
      <c r="S1176" s="48">
        <f t="shared" si="546"/>
        <v>170</v>
      </c>
      <c r="T1176" s="47" t="str">
        <f t="shared" si="558"/>
        <v>11</v>
      </c>
      <c r="U1176" s="49">
        <v>35</v>
      </c>
      <c r="V1176" s="50">
        <v>20</v>
      </c>
      <c r="W1176" s="51" t="str">
        <f t="shared" si="559"/>
        <v>35:20</v>
      </c>
      <c r="X1176" s="123" t="s">
        <v>66</v>
      </c>
      <c r="Y1176" s="52" t="s">
        <v>89</v>
      </c>
      <c r="Z1176" s="52" t="s">
        <v>87</v>
      </c>
      <c r="AA1176" s="47" t="s">
        <v>67</v>
      </c>
      <c r="AB1176" s="47" t="str">
        <f t="shared" si="560"/>
        <v>NA</v>
      </c>
      <c r="AC1176" s="53" t="str">
        <f t="shared" si="561"/>
        <v/>
      </c>
      <c r="AD1176" s="54">
        <v>5</v>
      </c>
      <c r="AE1176" s="54"/>
      <c r="AF1176" s="54"/>
      <c r="AG1176" s="55" t="str">
        <f t="shared" si="563"/>
        <v/>
      </c>
      <c r="AH1176" s="56" t="str">
        <f t="shared" si="564"/>
        <v/>
      </c>
      <c r="AI1176" s="55"/>
      <c r="AJ1176" s="56" t="str">
        <f t="shared" si="565"/>
        <v/>
      </c>
      <c r="AK1176" s="55"/>
      <c r="AL1176" s="56" t="str">
        <f t="shared" si="566"/>
        <v/>
      </c>
      <c r="AM1176" s="55"/>
      <c r="AN1176" s="56" t="str">
        <f t="shared" si="567"/>
        <v/>
      </c>
      <c r="AO1176" s="55"/>
      <c r="AP1176" s="56" t="str">
        <f t="shared" si="568"/>
        <v/>
      </c>
      <c r="AQ1176" s="55"/>
      <c r="AR1176" s="56" t="str">
        <f t="shared" si="569"/>
        <v/>
      </c>
      <c r="AS1176" s="57"/>
      <c r="AT1176" s="58"/>
      <c r="AU1176" s="58"/>
      <c r="AV1176" s="59"/>
      <c r="AW1176" s="60">
        <f t="shared" si="547"/>
        <v>0</v>
      </c>
      <c r="AX1176" s="61" t="str">
        <f t="shared" si="548"/>
        <v/>
      </c>
      <c r="AY1176" s="60">
        <f t="shared" si="549"/>
        <v>0</v>
      </c>
      <c r="AZ1176" s="61" t="str">
        <f t="shared" si="550"/>
        <v/>
      </c>
    </row>
    <row r="1177" spans="1:52" s="3" customFormat="1" hidden="1" x14ac:dyDescent="0.35">
      <c r="A1177" s="72">
        <f t="shared" si="551"/>
        <v>2021</v>
      </c>
      <c r="B1177" s="72" t="str">
        <f t="shared" si="552"/>
        <v>Nov</v>
      </c>
      <c r="C1177" s="73">
        <f t="shared" si="570"/>
        <v>15</v>
      </c>
      <c r="D1177" s="74">
        <f t="shared" si="553"/>
        <v>11</v>
      </c>
      <c r="E1177" s="75">
        <f t="shared" si="554"/>
        <v>33</v>
      </c>
      <c r="F1177" s="79"/>
      <c r="G1177" s="82"/>
      <c r="H1177" s="68" t="str">
        <f t="shared" si="571"/>
        <v>Clesim6_20211115_11_00</v>
      </c>
      <c r="I1177" s="69">
        <f t="shared" si="573"/>
        <v>1</v>
      </c>
      <c r="J1177" s="76" t="str">
        <f t="shared" si="573"/>
        <v>Clematis</v>
      </c>
      <c r="K1177" s="76" t="str">
        <f t="shared" si="573"/>
        <v>simense</v>
      </c>
      <c r="L1177" s="77">
        <f t="shared" si="573"/>
        <v>6</v>
      </c>
      <c r="M1177" s="77">
        <f t="shared" si="573"/>
        <v>20</v>
      </c>
      <c r="N1177" s="71">
        <f t="shared" si="573"/>
        <v>0</v>
      </c>
      <c r="O1177" s="44"/>
      <c r="P1177" s="45" t="str">
        <f t="shared" si="555"/>
        <v/>
      </c>
      <c r="Q1177" s="46" t="str">
        <f t="shared" si="556"/>
        <v/>
      </c>
      <c r="R1177" s="47" t="e">
        <f t="shared" si="557"/>
        <v>#VALUE!</v>
      </c>
      <c r="S1177" s="48" t="e">
        <f t="shared" si="546"/>
        <v>#VALUE!</v>
      </c>
      <c r="T1177" s="47" t="str">
        <f t="shared" si="558"/>
        <v/>
      </c>
      <c r="U1177" s="49"/>
      <c r="V1177" s="50"/>
      <c r="W1177" s="51" t="e">
        <f t="shared" si="559"/>
        <v>#VALUE!</v>
      </c>
      <c r="X1177" s="52"/>
      <c r="Y1177" s="52"/>
      <c r="Z1177" s="52"/>
      <c r="AA1177" s="47" t="e">
        <f>INDEX(VISITORS[INSECT ORDER], MATCH(X1177,VISITORS[NAME USED],0))</f>
        <v>#N/A</v>
      </c>
      <c r="AB1177" s="47" t="e">
        <f t="shared" si="560"/>
        <v>#N/A</v>
      </c>
      <c r="AC1177" s="53" t="e">
        <f t="shared" si="561"/>
        <v>#VALUE!</v>
      </c>
      <c r="AD1177" s="54" t="str">
        <f t="shared" si="562"/>
        <v/>
      </c>
      <c r="AE1177" s="54"/>
      <c r="AF1177" s="54"/>
      <c r="AG1177" s="55" t="str">
        <f t="shared" si="563"/>
        <v/>
      </c>
      <c r="AH1177" s="56" t="str">
        <f t="shared" si="564"/>
        <v/>
      </c>
      <c r="AI1177" s="55"/>
      <c r="AJ1177" s="56" t="str">
        <f t="shared" si="565"/>
        <v/>
      </c>
      <c r="AK1177" s="55"/>
      <c r="AL1177" s="56" t="str">
        <f t="shared" si="566"/>
        <v/>
      </c>
      <c r="AM1177" s="55"/>
      <c r="AN1177" s="56" t="str">
        <f t="shared" si="567"/>
        <v/>
      </c>
      <c r="AO1177" s="55"/>
      <c r="AP1177" s="56" t="str">
        <f t="shared" si="568"/>
        <v/>
      </c>
      <c r="AQ1177" s="55"/>
      <c r="AR1177" s="56" t="str">
        <f t="shared" si="569"/>
        <v/>
      </c>
      <c r="AS1177" s="57"/>
      <c r="AT1177" s="58"/>
      <c r="AU1177" s="58"/>
      <c r="AV1177" s="59"/>
      <c r="AW1177" s="60" t="str">
        <f t="shared" si="547"/>
        <v/>
      </c>
      <c r="AX1177" s="61" t="str">
        <f t="shared" si="548"/>
        <v/>
      </c>
      <c r="AY1177" s="60" t="str">
        <f t="shared" si="549"/>
        <v/>
      </c>
      <c r="AZ1177" s="61" t="str">
        <f t="shared" si="550"/>
        <v/>
      </c>
    </row>
    <row r="1178" spans="1:52" s="3" customFormat="1" hidden="1" x14ac:dyDescent="0.35">
      <c r="A1178" s="72">
        <f t="shared" si="551"/>
        <v>2021</v>
      </c>
      <c r="B1178" s="72" t="str">
        <f t="shared" si="552"/>
        <v>Nov</v>
      </c>
      <c r="C1178" s="73">
        <f t="shared" si="570"/>
        <v>15</v>
      </c>
      <c r="D1178" s="74">
        <f t="shared" si="553"/>
        <v>11</v>
      </c>
      <c r="E1178" s="75">
        <f t="shared" si="554"/>
        <v>34</v>
      </c>
      <c r="F1178" s="79"/>
      <c r="G1178" s="82"/>
      <c r="H1178" s="68" t="str">
        <f t="shared" si="571"/>
        <v>Clesim6_20211115_11_00</v>
      </c>
      <c r="I1178" s="69">
        <f t="shared" si="573"/>
        <v>1</v>
      </c>
      <c r="J1178" s="76" t="str">
        <f t="shared" si="573"/>
        <v>Clematis</v>
      </c>
      <c r="K1178" s="76" t="str">
        <f t="shared" si="573"/>
        <v>simense</v>
      </c>
      <c r="L1178" s="77">
        <f t="shared" si="573"/>
        <v>6</v>
      </c>
      <c r="M1178" s="77">
        <f t="shared" si="573"/>
        <v>20</v>
      </c>
      <c r="N1178" s="71">
        <f t="shared" si="573"/>
        <v>0</v>
      </c>
      <c r="O1178" s="44"/>
      <c r="P1178" s="45" t="str">
        <f t="shared" si="555"/>
        <v/>
      </c>
      <c r="Q1178" s="46" t="str">
        <f t="shared" si="556"/>
        <v/>
      </c>
      <c r="R1178" s="47" t="e">
        <f t="shared" si="557"/>
        <v>#VALUE!</v>
      </c>
      <c r="S1178" s="48" t="e">
        <f t="shared" si="546"/>
        <v>#VALUE!</v>
      </c>
      <c r="T1178" s="47" t="str">
        <f t="shared" si="558"/>
        <v/>
      </c>
      <c r="U1178" s="49"/>
      <c r="V1178" s="50"/>
      <c r="W1178" s="51" t="e">
        <f t="shared" si="559"/>
        <v>#VALUE!</v>
      </c>
      <c r="X1178" s="52"/>
      <c r="Y1178" s="52"/>
      <c r="Z1178" s="52"/>
      <c r="AA1178" s="47" t="e">
        <f>INDEX(VISITORS[INSECT ORDER], MATCH(X1178,VISITORS[NAME USED],0))</f>
        <v>#N/A</v>
      </c>
      <c r="AB1178" s="47" t="e">
        <f t="shared" si="560"/>
        <v>#N/A</v>
      </c>
      <c r="AC1178" s="53" t="e">
        <f t="shared" si="561"/>
        <v>#VALUE!</v>
      </c>
      <c r="AD1178" s="54" t="str">
        <f t="shared" si="562"/>
        <v/>
      </c>
      <c r="AE1178" s="54"/>
      <c r="AF1178" s="54"/>
      <c r="AG1178" s="55" t="str">
        <f t="shared" si="563"/>
        <v/>
      </c>
      <c r="AH1178" s="56" t="str">
        <f t="shared" si="564"/>
        <v/>
      </c>
      <c r="AI1178" s="55"/>
      <c r="AJ1178" s="56" t="str">
        <f t="shared" si="565"/>
        <v/>
      </c>
      <c r="AK1178" s="55"/>
      <c r="AL1178" s="56" t="str">
        <f t="shared" si="566"/>
        <v/>
      </c>
      <c r="AM1178" s="55"/>
      <c r="AN1178" s="56" t="str">
        <f t="shared" si="567"/>
        <v/>
      </c>
      <c r="AO1178" s="55"/>
      <c r="AP1178" s="56" t="str">
        <f t="shared" si="568"/>
        <v/>
      </c>
      <c r="AQ1178" s="55"/>
      <c r="AR1178" s="56" t="str">
        <f t="shared" si="569"/>
        <v/>
      </c>
      <c r="AS1178" s="57"/>
      <c r="AT1178" s="58"/>
      <c r="AU1178" s="58"/>
      <c r="AV1178" s="59"/>
      <c r="AW1178" s="60" t="str">
        <f t="shared" si="547"/>
        <v/>
      </c>
      <c r="AX1178" s="61" t="str">
        <f t="shared" si="548"/>
        <v/>
      </c>
      <c r="AY1178" s="60" t="str">
        <f t="shared" si="549"/>
        <v/>
      </c>
      <c r="AZ1178" s="61" t="str">
        <f t="shared" si="550"/>
        <v/>
      </c>
    </row>
    <row r="1179" spans="1:52" s="3" customFormat="1" hidden="1" x14ac:dyDescent="0.35">
      <c r="A1179" s="72">
        <f t="shared" si="551"/>
        <v>2021</v>
      </c>
      <c r="B1179" s="72" t="str">
        <f t="shared" si="552"/>
        <v>Nov</v>
      </c>
      <c r="C1179" s="73">
        <f t="shared" si="570"/>
        <v>15</v>
      </c>
      <c r="D1179" s="74">
        <f t="shared" si="553"/>
        <v>11</v>
      </c>
      <c r="E1179" s="75">
        <f t="shared" si="554"/>
        <v>35</v>
      </c>
      <c r="F1179" s="79"/>
      <c r="G1179" s="82"/>
      <c r="H1179" s="68" t="str">
        <f t="shared" si="571"/>
        <v>Clesim6_20211115_11_00</v>
      </c>
      <c r="I1179" s="69">
        <f t="shared" si="573"/>
        <v>1</v>
      </c>
      <c r="J1179" s="76" t="str">
        <f t="shared" si="573"/>
        <v>Clematis</v>
      </c>
      <c r="K1179" s="76" t="str">
        <f t="shared" si="573"/>
        <v>simense</v>
      </c>
      <c r="L1179" s="77">
        <f t="shared" si="573"/>
        <v>6</v>
      </c>
      <c r="M1179" s="77">
        <f t="shared" si="573"/>
        <v>20</v>
      </c>
      <c r="N1179" s="71">
        <f t="shared" si="573"/>
        <v>0</v>
      </c>
      <c r="O1179" s="44"/>
      <c r="P1179" s="45" t="str">
        <f t="shared" si="555"/>
        <v/>
      </c>
      <c r="Q1179" s="46" t="str">
        <f t="shared" si="556"/>
        <v/>
      </c>
      <c r="R1179" s="47" t="e">
        <f t="shared" si="557"/>
        <v>#VALUE!</v>
      </c>
      <c r="S1179" s="48" t="e">
        <f t="shared" si="546"/>
        <v>#VALUE!</v>
      </c>
      <c r="T1179" s="47" t="str">
        <f t="shared" si="558"/>
        <v/>
      </c>
      <c r="U1179" s="49"/>
      <c r="V1179" s="50"/>
      <c r="W1179" s="51" t="e">
        <f t="shared" si="559"/>
        <v>#VALUE!</v>
      </c>
      <c r="X1179" s="52"/>
      <c r="Y1179" s="52"/>
      <c r="Z1179" s="52"/>
      <c r="AA1179" s="47" t="e">
        <f>INDEX(VISITORS[INSECT ORDER], MATCH(X1179,VISITORS[NAME USED],0))</f>
        <v>#N/A</v>
      </c>
      <c r="AB1179" s="47" t="e">
        <f t="shared" si="560"/>
        <v>#N/A</v>
      </c>
      <c r="AC1179" s="53" t="e">
        <f t="shared" si="561"/>
        <v>#VALUE!</v>
      </c>
      <c r="AD1179" s="54" t="str">
        <f t="shared" si="562"/>
        <v/>
      </c>
      <c r="AE1179" s="54"/>
      <c r="AF1179" s="54"/>
      <c r="AG1179" s="55" t="str">
        <f t="shared" si="563"/>
        <v/>
      </c>
      <c r="AH1179" s="56" t="str">
        <f t="shared" si="564"/>
        <v/>
      </c>
      <c r="AI1179" s="55"/>
      <c r="AJ1179" s="56" t="str">
        <f t="shared" si="565"/>
        <v/>
      </c>
      <c r="AK1179" s="55"/>
      <c r="AL1179" s="56" t="str">
        <f t="shared" si="566"/>
        <v/>
      </c>
      <c r="AM1179" s="55"/>
      <c r="AN1179" s="56" t="str">
        <f t="shared" si="567"/>
        <v/>
      </c>
      <c r="AO1179" s="55"/>
      <c r="AP1179" s="56" t="str">
        <f t="shared" si="568"/>
        <v/>
      </c>
      <c r="AQ1179" s="55"/>
      <c r="AR1179" s="56" t="str">
        <f t="shared" si="569"/>
        <v/>
      </c>
      <c r="AS1179" s="57"/>
      <c r="AT1179" s="58"/>
      <c r="AU1179" s="58"/>
      <c r="AV1179" s="59"/>
      <c r="AW1179" s="60" t="str">
        <f t="shared" si="547"/>
        <v/>
      </c>
      <c r="AX1179" s="61" t="str">
        <f t="shared" si="548"/>
        <v/>
      </c>
      <c r="AY1179" s="60" t="str">
        <f t="shared" si="549"/>
        <v/>
      </c>
      <c r="AZ1179" s="61" t="str">
        <f t="shared" si="550"/>
        <v/>
      </c>
    </row>
    <row r="1180" spans="1:52" s="3" customFormat="1" hidden="1" x14ac:dyDescent="0.35">
      <c r="A1180" s="72">
        <f t="shared" si="551"/>
        <v>2021</v>
      </c>
      <c r="B1180" s="72" t="str">
        <f t="shared" si="552"/>
        <v>Nov</v>
      </c>
      <c r="C1180" s="73">
        <f t="shared" si="570"/>
        <v>15</v>
      </c>
      <c r="D1180" s="74">
        <f t="shared" si="553"/>
        <v>11</v>
      </c>
      <c r="E1180" s="75">
        <f t="shared" si="554"/>
        <v>36</v>
      </c>
      <c r="F1180" s="79"/>
      <c r="G1180" s="82"/>
      <c r="H1180" s="68" t="str">
        <f t="shared" si="571"/>
        <v>Clesim6_20211115_11_00</v>
      </c>
      <c r="I1180" s="69">
        <f t="shared" si="573"/>
        <v>1</v>
      </c>
      <c r="J1180" s="76" t="str">
        <f t="shared" si="573"/>
        <v>Clematis</v>
      </c>
      <c r="K1180" s="76" t="str">
        <f t="shared" si="573"/>
        <v>simense</v>
      </c>
      <c r="L1180" s="77">
        <f t="shared" si="573"/>
        <v>6</v>
      </c>
      <c r="M1180" s="77">
        <f t="shared" si="573"/>
        <v>20</v>
      </c>
      <c r="N1180" s="71">
        <f t="shared" si="573"/>
        <v>0</v>
      </c>
      <c r="O1180" s="44"/>
      <c r="P1180" s="45" t="str">
        <f t="shared" si="555"/>
        <v/>
      </c>
      <c r="Q1180" s="46" t="str">
        <f t="shared" si="556"/>
        <v/>
      </c>
      <c r="R1180" s="47" t="e">
        <f t="shared" si="557"/>
        <v>#VALUE!</v>
      </c>
      <c r="S1180" s="48" t="e">
        <f t="shared" si="546"/>
        <v>#VALUE!</v>
      </c>
      <c r="T1180" s="47" t="str">
        <f t="shared" si="558"/>
        <v/>
      </c>
      <c r="U1180" s="49"/>
      <c r="V1180" s="50"/>
      <c r="W1180" s="51" t="e">
        <f t="shared" si="559"/>
        <v>#VALUE!</v>
      </c>
      <c r="X1180" s="52"/>
      <c r="Y1180" s="52"/>
      <c r="Z1180" s="52"/>
      <c r="AA1180" s="47" t="e">
        <f>INDEX(VISITORS[INSECT ORDER], MATCH(X1180,VISITORS[NAME USED],0))</f>
        <v>#N/A</v>
      </c>
      <c r="AB1180" s="47" t="e">
        <f t="shared" si="560"/>
        <v>#N/A</v>
      </c>
      <c r="AC1180" s="53" t="e">
        <f t="shared" si="561"/>
        <v>#VALUE!</v>
      </c>
      <c r="AD1180" s="54" t="str">
        <f t="shared" si="562"/>
        <v/>
      </c>
      <c r="AE1180" s="54"/>
      <c r="AF1180" s="54"/>
      <c r="AG1180" s="55" t="str">
        <f t="shared" si="563"/>
        <v/>
      </c>
      <c r="AH1180" s="56" t="str">
        <f t="shared" si="564"/>
        <v/>
      </c>
      <c r="AI1180" s="55"/>
      <c r="AJ1180" s="56" t="str">
        <f t="shared" si="565"/>
        <v/>
      </c>
      <c r="AK1180" s="55"/>
      <c r="AL1180" s="56" t="str">
        <f t="shared" si="566"/>
        <v/>
      </c>
      <c r="AM1180" s="55"/>
      <c r="AN1180" s="56" t="str">
        <f t="shared" si="567"/>
        <v/>
      </c>
      <c r="AO1180" s="55"/>
      <c r="AP1180" s="56" t="str">
        <f t="shared" si="568"/>
        <v/>
      </c>
      <c r="AQ1180" s="55"/>
      <c r="AR1180" s="56" t="str">
        <f t="shared" si="569"/>
        <v/>
      </c>
      <c r="AS1180" s="57"/>
      <c r="AT1180" s="58"/>
      <c r="AU1180" s="58"/>
      <c r="AV1180" s="59"/>
      <c r="AW1180" s="60" t="str">
        <f t="shared" si="547"/>
        <v/>
      </c>
      <c r="AX1180" s="61" t="str">
        <f t="shared" si="548"/>
        <v/>
      </c>
      <c r="AY1180" s="60" t="str">
        <f t="shared" si="549"/>
        <v/>
      </c>
      <c r="AZ1180" s="61" t="str">
        <f t="shared" si="550"/>
        <v/>
      </c>
    </row>
    <row r="1181" spans="1:52" s="3" customFormat="1" hidden="1" x14ac:dyDescent="0.35">
      <c r="A1181" s="72">
        <f t="shared" si="551"/>
        <v>2021</v>
      </c>
      <c r="B1181" s="72" t="str">
        <f t="shared" si="552"/>
        <v>Nov</v>
      </c>
      <c r="C1181" s="73">
        <f t="shared" si="570"/>
        <v>15</v>
      </c>
      <c r="D1181" s="74">
        <f t="shared" si="553"/>
        <v>11</v>
      </c>
      <c r="E1181" s="75">
        <f t="shared" si="554"/>
        <v>37</v>
      </c>
      <c r="F1181" s="79"/>
      <c r="G1181" s="82"/>
      <c r="H1181" s="68" t="str">
        <f t="shared" si="571"/>
        <v>Clesim6_20211115_11_00</v>
      </c>
      <c r="I1181" s="69">
        <f t="shared" si="573"/>
        <v>1</v>
      </c>
      <c r="J1181" s="76" t="str">
        <f t="shared" si="573"/>
        <v>Clematis</v>
      </c>
      <c r="K1181" s="76" t="str">
        <f t="shared" si="573"/>
        <v>simense</v>
      </c>
      <c r="L1181" s="77">
        <f t="shared" si="573"/>
        <v>6</v>
      </c>
      <c r="M1181" s="77">
        <f t="shared" si="573"/>
        <v>20</v>
      </c>
      <c r="N1181" s="71">
        <f t="shared" si="573"/>
        <v>0</v>
      </c>
      <c r="O1181" s="44"/>
      <c r="P1181" s="45" t="str">
        <f t="shared" si="555"/>
        <v/>
      </c>
      <c r="Q1181" s="46" t="str">
        <f t="shared" si="556"/>
        <v/>
      </c>
      <c r="R1181" s="47" t="e">
        <f t="shared" si="557"/>
        <v>#VALUE!</v>
      </c>
      <c r="S1181" s="48" t="e">
        <f t="shared" si="546"/>
        <v>#VALUE!</v>
      </c>
      <c r="T1181" s="47" t="str">
        <f t="shared" si="558"/>
        <v/>
      </c>
      <c r="U1181" s="49"/>
      <c r="V1181" s="50"/>
      <c r="W1181" s="51" t="e">
        <f t="shared" si="559"/>
        <v>#VALUE!</v>
      </c>
      <c r="X1181" s="52"/>
      <c r="Y1181" s="52"/>
      <c r="Z1181" s="52"/>
      <c r="AA1181" s="47" t="e">
        <f>INDEX(VISITORS[INSECT ORDER], MATCH(X1181,VISITORS[NAME USED],0))</f>
        <v>#N/A</v>
      </c>
      <c r="AB1181" s="47" t="e">
        <f t="shared" si="560"/>
        <v>#N/A</v>
      </c>
      <c r="AC1181" s="53" t="e">
        <f t="shared" si="561"/>
        <v>#VALUE!</v>
      </c>
      <c r="AD1181" s="54" t="str">
        <f t="shared" si="562"/>
        <v/>
      </c>
      <c r="AE1181" s="54"/>
      <c r="AF1181" s="54"/>
      <c r="AG1181" s="55" t="str">
        <f t="shared" si="563"/>
        <v/>
      </c>
      <c r="AH1181" s="56" t="str">
        <f t="shared" si="564"/>
        <v/>
      </c>
      <c r="AI1181" s="55"/>
      <c r="AJ1181" s="56" t="str">
        <f t="shared" si="565"/>
        <v/>
      </c>
      <c r="AK1181" s="55"/>
      <c r="AL1181" s="56" t="str">
        <f t="shared" si="566"/>
        <v/>
      </c>
      <c r="AM1181" s="55"/>
      <c r="AN1181" s="56" t="str">
        <f t="shared" si="567"/>
        <v/>
      </c>
      <c r="AO1181" s="55"/>
      <c r="AP1181" s="56" t="str">
        <f t="shared" si="568"/>
        <v/>
      </c>
      <c r="AQ1181" s="55"/>
      <c r="AR1181" s="56" t="str">
        <f t="shared" si="569"/>
        <v/>
      </c>
      <c r="AS1181" s="57"/>
      <c r="AT1181" s="58"/>
      <c r="AU1181" s="58"/>
      <c r="AV1181" s="59"/>
      <c r="AW1181" s="60" t="str">
        <f t="shared" si="547"/>
        <v/>
      </c>
      <c r="AX1181" s="61" t="str">
        <f t="shared" si="548"/>
        <v/>
      </c>
      <c r="AY1181" s="60" t="str">
        <f t="shared" si="549"/>
        <v/>
      </c>
      <c r="AZ1181" s="61" t="str">
        <f t="shared" si="550"/>
        <v/>
      </c>
    </row>
    <row r="1182" spans="1:52" s="3" customFormat="1" hidden="1" x14ac:dyDescent="0.35">
      <c r="A1182" s="72">
        <f t="shared" si="551"/>
        <v>2021</v>
      </c>
      <c r="B1182" s="72" t="str">
        <f t="shared" si="552"/>
        <v>Nov</v>
      </c>
      <c r="C1182" s="73">
        <f t="shared" si="570"/>
        <v>15</v>
      </c>
      <c r="D1182" s="74">
        <f t="shared" si="553"/>
        <v>11</v>
      </c>
      <c r="E1182" s="75">
        <f t="shared" si="554"/>
        <v>38</v>
      </c>
      <c r="F1182" s="79"/>
      <c r="G1182" s="82"/>
      <c r="H1182" s="68" t="str">
        <f t="shared" si="571"/>
        <v>Clesim6_20211115_11_00</v>
      </c>
      <c r="I1182" s="69">
        <f t="shared" si="573"/>
        <v>1</v>
      </c>
      <c r="J1182" s="76" t="str">
        <f t="shared" si="573"/>
        <v>Clematis</v>
      </c>
      <c r="K1182" s="76" t="str">
        <f t="shared" si="573"/>
        <v>simense</v>
      </c>
      <c r="L1182" s="77">
        <f t="shared" si="573"/>
        <v>6</v>
      </c>
      <c r="M1182" s="77">
        <f t="shared" si="573"/>
        <v>20</v>
      </c>
      <c r="N1182" s="71">
        <f t="shared" si="573"/>
        <v>0</v>
      </c>
      <c r="O1182" s="44"/>
      <c r="P1182" s="45" t="str">
        <f t="shared" si="555"/>
        <v/>
      </c>
      <c r="Q1182" s="46" t="str">
        <f t="shared" si="556"/>
        <v/>
      </c>
      <c r="R1182" s="47" t="e">
        <f t="shared" si="557"/>
        <v>#VALUE!</v>
      </c>
      <c r="S1182" s="48" t="e">
        <f t="shared" si="546"/>
        <v>#VALUE!</v>
      </c>
      <c r="T1182" s="47" t="str">
        <f t="shared" si="558"/>
        <v/>
      </c>
      <c r="U1182" s="49"/>
      <c r="V1182" s="50"/>
      <c r="W1182" s="51" t="e">
        <f t="shared" si="559"/>
        <v>#VALUE!</v>
      </c>
      <c r="X1182" s="52"/>
      <c r="Y1182" s="52"/>
      <c r="Z1182" s="52"/>
      <c r="AA1182" s="47" t="e">
        <f>INDEX(VISITORS[INSECT ORDER], MATCH(X1182,VISITORS[NAME USED],0))</f>
        <v>#N/A</v>
      </c>
      <c r="AB1182" s="47" t="e">
        <f t="shared" si="560"/>
        <v>#N/A</v>
      </c>
      <c r="AC1182" s="53" t="e">
        <f t="shared" si="561"/>
        <v>#VALUE!</v>
      </c>
      <c r="AD1182" s="54" t="str">
        <f t="shared" si="562"/>
        <v/>
      </c>
      <c r="AE1182" s="54"/>
      <c r="AF1182" s="54"/>
      <c r="AG1182" s="55" t="str">
        <f t="shared" si="563"/>
        <v/>
      </c>
      <c r="AH1182" s="56" t="str">
        <f t="shared" si="564"/>
        <v/>
      </c>
      <c r="AI1182" s="55"/>
      <c r="AJ1182" s="56" t="str">
        <f t="shared" si="565"/>
        <v/>
      </c>
      <c r="AK1182" s="55"/>
      <c r="AL1182" s="56" t="str">
        <f t="shared" si="566"/>
        <v/>
      </c>
      <c r="AM1182" s="55"/>
      <c r="AN1182" s="56" t="str">
        <f t="shared" si="567"/>
        <v/>
      </c>
      <c r="AO1182" s="55"/>
      <c r="AP1182" s="56" t="str">
        <f t="shared" si="568"/>
        <v/>
      </c>
      <c r="AQ1182" s="55"/>
      <c r="AR1182" s="56" t="str">
        <f t="shared" si="569"/>
        <v/>
      </c>
      <c r="AS1182" s="57"/>
      <c r="AT1182" s="58"/>
      <c r="AU1182" s="58"/>
      <c r="AV1182" s="59"/>
      <c r="AW1182" s="60" t="str">
        <f t="shared" si="547"/>
        <v/>
      </c>
      <c r="AX1182" s="61" t="str">
        <f t="shared" si="548"/>
        <v/>
      </c>
      <c r="AY1182" s="60" t="str">
        <f t="shared" si="549"/>
        <v/>
      </c>
      <c r="AZ1182" s="61" t="str">
        <f t="shared" si="550"/>
        <v/>
      </c>
    </row>
    <row r="1183" spans="1:52" s="3" customFormat="1" hidden="1" x14ac:dyDescent="0.35">
      <c r="A1183" s="72">
        <f t="shared" si="551"/>
        <v>2021</v>
      </c>
      <c r="B1183" s="72" t="str">
        <f t="shared" si="552"/>
        <v>Nov</v>
      </c>
      <c r="C1183" s="73">
        <f t="shared" si="570"/>
        <v>15</v>
      </c>
      <c r="D1183" s="74">
        <f t="shared" si="553"/>
        <v>11</v>
      </c>
      <c r="E1183" s="75">
        <f t="shared" si="554"/>
        <v>39</v>
      </c>
      <c r="F1183" s="79"/>
      <c r="G1183" s="82"/>
      <c r="H1183" s="68" t="str">
        <f t="shared" si="571"/>
        <v>Clesim6_20211115_11_00</v>
      </c>
      <c r="I1183" s="69">
        <f t="shared" si="573"/>
        <v>1</v>
      </c>
      <c r="J1183" s="76" t="str">
        <f t="shared" si="573"/>
        <v>Clematis</v>
      </c>
      <c r="K1183" s="76" t="str">
        <f t="shared" si="573"/>
        <v>simense</v>
      </c>
      <c r="L1183" s="77">
        <f t="shared" si="573"/>
        <v>6</v>
      </c>
      <c r="M1183" s="77">
        <f t="shared" si="573"/>
        <v>20</v>
      </c>
      <c r="N1183" s="71">
        <f t="shared" si="573"/>
        <v>0</v>
      </c>
      <c r="O1183" s="44"/>
      <c r="P1183" s="45" t="str">
        <f t="shared" si="555"/>
        <v/>
      </c>
      <c r="Q1183" s="46" t="str">
        <f t="shared" si="556"/>
        <v/>
      </c>
      <c r="R1183" s="47" t="e">
        <f t="shared" si="557"/>
        <v>#VALUE!</v>
      </c>
      <c r="S1183" s="48" t="e">
        <f t="shared" si="546"/>
        <v>#VALUE!</v>
      </c>
      <c r="T1183" s="47" t="str">
        <f t="shared" si="558"/>
        <v/>
      </c>
      <c r="U1183" s="49"/>
      <c r="V1183" s="50"/>
      <c r="W1183" s="51" t="e">
        <f t="shared" si="559"/>
        <v>#VALUE!</v>
      </c>
      <c r="X1183" s="52"/>
      <c r="Y1183" s="52"/>
      <c r="Z1183" s="52"/>
      <c r="AA1183" s="47" t="e">
        <f>INDEX(VISITORS[INSECT ORDER], MATCH(X1183,VISITORS[NAME USED],0))</f>
        <v>#N/A</v>
      </c>
      <c r="AB1183" s="47" t="e">
        <f t="shared" si="560"/>
        <v>#N/A</v>
      </c>
      <c r="AC1183" s="53" t="e">
        <f t="shared" si="561"/>
        <v>#VALUE!</v>
      </c>
      <c r="AD1183" s="54" t="str">
        <f t="shared" si="562"/>
        <v/>
      </c>
      <c r="AE1183" s="54"/>
      <c r="AF1183" s="54"/>
      <c r="AG1183" s="55" t="str">
        <f t="shared" si="563"/>
        <v/>
      </c>
      <c r="AH1183" s="56" t="str">
        <f t="shared" si="564"/>
        <v/>
      </c>
      <c r="AI1183" s="55"/>
      <c r="AJ1183" s="56" t="str">
        <f t="shared" si="565"/>
        <v/>
      </c>
      <c r="AK1183" s="55"/>
      <c r="AL1183" s="56" t="str">
        <f t="shared" si="566"/>
        <v/>
      </c>
      <c r="AM1183" s="55"/>
      <c r="AN1183" s="56" t="str">
        <f t="shared" si="567"/>
        <v/>
      </c>
      <c r="AO1183" s="55"/>
      <c r="AP1183" s="56" t="str">
        <f t="shared" si="568"/>
        <v/>
      </c>
      <c r="AQ1183" s="55"/>
      <c r="AR1183" s="56" t="str">
        <f t="shared" si="569"/>
        <v/>
      </c>
      <c r="AS1183" s="57"/>
      <c r="AT1183" s="58"/>
      <c r="AU1183" s="58"/>
      <c r="AV1183" s="59"/>
      <c r="AW1183" s="60" t="str">
        <f t="shared" si="547"/>
        <v/>
      </c>
      <c r="AX1183" s="61" t="str">
        <f t="shared" si="548"/>
        <v/>
      </c>
      <c r="AY1183" s="60" t="str">
        <f t="shared" si="549"/>
        <v/>
      </c>
      <c r="AZ1183" s="61" t="str">
        <f t="shared" si="550"/>
        <v/>
      </c>
    </row>
    <row r="1184" spans="1:52" s="3" customFormat="1" x14ac:dyDescent="0.35">
      <c r="A1184" s="72">
        <f t="shared" si="551"/>
        <v>2021</v>
      </c>
      <c r="B1184" s="72" t="str">
        <f t="shared" si="552"/>
        <v>Nov</v>
      </c>
      <c r="C1184" s="73">
        <f t="shared" si="570"/>
        <v>15</v>
      </c>
      <c r="D1184" s="74">
        <f t="shared" si="553"/>
        <v>11</v>
      </c>
      <c r="E1184" s="75">
        <f t="shared" si="554"/>
        <v>40</v>
      </c>
      <c r="F1184" s="79">
        <v>35</v>
      </c>
      <c r="G1184" s="82"/>
      <c r="H1184" s="68" t="str">
        <f t="shared" si="571"/>
        <v>Clesim6_20211115_11_00</v>
      </c>
      <c r="I1184" s="69">
        <f t="shared" si="573"/>
        <v>1</v>
      </c>
      <c r="J1184" s="76" t="str">
        <f t="shared" si="573"/>
        <v>Clematis</v>
      </c>
      <c r="K1184" s="76" t="str">
        <f t="shared" si="573"/>
        <v>simense</v>
      </c>
      <c r="L1184" s="77">
        <f t="shared" si="573"/>
        <v>6</v>
      </c>
      <c r="M1184" s="77">
        <f t="shared" si="573"/>
        <v>20</v>
      </c>
      <c r="N1184" s="71">
        <f t="shared" si="573"/>
        <v>0</v>
      </c>
      <c r="O1184" s="44"/>
      <c r="P1184" s="45">
        <f t="shared" si="555"/>
        <v>1</v>
      </c>
      <c r="Q1184" s="46" t="str">
        <f t="shared" si="556"/>
        <v>11:40:35</v>
      </c>
      <c r="R1184" s="47" t="str">
        <f t="shared" si="557"/>
        <v>40:35</v>
      </c>
      <c r="S1184" s="48">
        <f t="shared" si="546"/>
        <v>195</v>
      </c>
      <c r="T1184" s="47" t="str">
        <f t="shared" si="558"/>
        <v>11</v>
      </c>
      <c r="U1184" s="49">
        <v>43</v>
      </c>
      <c r="V1184" s="50">
        <v>50</v>
      </c>
      <c r="W1184" s="51" t="str">
        <f t="shared" si="559"/>
        <v>43:50</v>
      </c>
      <c r="X1184" s="123" t="s">
        <v>66</v>
      </c>
      <c r="Y1184" s="52" t="s">
        <v>89</v>
      </c>
      <c r="Z1184" s="52" t="s">
        <v>87</v>
      </c>
      <c r="AA1184" s="47" t="s">
        <v>67</v>
      </c>
      <c r="AB1184" s="47" t="str">
        <f t="shared" si="560"/>
        <v>NA</v>
      </c>
      <c r="AC1184" s="53" t="str">
        <f t="shared" si="561"/>
        <v/>
      </c>
      <c r="AD1184" s="54">
        <v>5</v>
      </c>
      <c r="AE1184" s="54"/>
      <c r="AF1184" s="54"/>
      <c r="AG1184" s="55" t="str">
        <f t="shared" si="563"/>
        <v/>
      </c>
      <c r="AH1184" s="56" t="str">
        <f t="shared" si="564"/>
        <v/>
      </c>
      <c r="AI1184" s="55"/>
      <c r="AJ1184" s="56" t="str">
        <f t="shared" si="565"/>
        <v/>
      </c>
      <c r="AK1184" s="55"/>
      <c r="AL1184" s="56" t="str">
        <f t="shared" si="566"/>
        <v/>
      </c>
      <c r="AM1184" s="55"/>
      <c r="AN1184" s="56" t="str">
        <f t="shared" si="567"/>
        <v/>
      </c>
      <c r="AO1184" s="55"/>
      <c r="AP1184" s="56" t="str">
        <f t="shared" si="568"/>
        <v/>
      </c>
      <c r="AQ1184" s="55"/>
      <c r="AR1184" s="56" t="str">
        <f t="shared" si="569"/>
        <v/>
      </c>
      <c r="AS1184" s="57"/>
      <c r="AT1184" s="58"/>
      <c r="AU1184" s="58"/>
      <c r="AV1184" s="59"/>
      <c r="AW1184" s="60">
        <f t="shared" si="547"/>
        <v>0</v>
      </c>
      <c r="AX1184" s="61" t="str">
        <f t="shared" si="548"/>
        <v/>
      </c>
      <c r="AY1184" s="60">
        <f t="shared" si="549"/>
        <v>0</v>
      </c>
      <c r="AZ1184" s="61" t="str">
        <f t="shared" si="550"/>
        <v/>
      </c>
    </row>
    <row r="1185" spans="1:52" s="3" customFormat="1" hidden="1" x14ac:dyDescent="0.35">
      <c r="A1185" s="72">
        <f t="shared" si="551"/>
        <v>2021</v>
      </c>
      <c r="B1185" s="72" t="str">
        <f t="shared" si="552"/>
        <v>Nov</v>
      </c>
      <c r="C1185" s="73">
        <f t="shared" si="570"/>
        <v>15</v>
      </c>
      <c r="D1185" s="74">
        <f t="shared" si="553"/>
        <v>11</v>
      </c>
      <c r="E1185" s="75">
        <f t="shared" si="554"/>
        <v>41</v>
      </c>
      <c r="F1185" s="79"/>
      <c r="G1185" s="82"/>
      <c r="H1185" s="68" t="str">
        <f t="shared" si="571"/>
        <v>Clesim6_20211115_11_00</v>
      </c>
      <c r="I1185" s="69">
        <f t="shared" si="573"/>
        <v>1</v>
      </c>
      <c r="J1185" s="76" t="str">
        <f t="shared" si="573"/>
        <v>Clematis</v>
      </c>
      <c r="K1185" s="76" t="str">
        <f t="shared" si="573"/>
        <v>simense</v>
      </c>
      <c r="L1185" s="77">
        <f t="shared" si="573"/>
        <v>6</v>
      </c>
      <c r="M1185" s="77">
        <f t="shared" si="573"/>
        <v>20</v>
      </c>
      <c r="N1185" s="71">
        <f t="shared" si="573"/>
        <v>0</v>
      </c>
      <c r="O1185" s="44"/>
      <c r="P1185" s="45" t="str">
        <f t="shared" si="555"/>
        <v/>
      </c>
      <c r="Q1185" s="46" t="str">
        <f t="shared" si="556"/>
        <v/>
      </c>
      <c r="R1185" s="47" t="e">
        <f t="shared" si="557"/>
        <v>#VALUE!</v>
      </c>
      <c r="S1185" s="48" t="e">
        <f t="shared" si="546"/>
        <v>#VALUE!</v>
      </c>
      <c r="T1185" s="47" t="str">
        <f t="shared" si="558"/>
        <v/>
      </c>
      <c r="U1185" s="49"/>
      <c r="V1185" s="50"/>
      <c r="W1185" s="51" t="e">
        <f t="shared" si="559"/>
        <v>#VALUE!</v>
      </c>
      <c r="X1185" s="52"/>
      <c r="Y1185" s="52"/>
      <c r="Z1185" s="52"/>
      <c r="AA1185" s="47" t="e">
        <f>INDEX(VISITORS[INSECT ORDER], MATCH(X1185,VISITORS[NAME USED],0))</f>
        <v>#N/A</v>
      </c>
      <c r="AB1185" s="47" t="e">
        <f t="shared" si="560"/>
        <v>#N/A</v>
      </c>
      <c r="AC1185" s="53" t="e">
        <f t="shared" si="561"/>
        <v>#VALUE!</v>
      </c>
      <c r="AD1185" s="54" t="str">
        <f t="shared" si="562"/>
        <v/>
      </c>
      <c r="AE1185" s="54"/>
      <c r="AF1185" s="54"/>
      <c r="AG1185" s="55" t="str">
        <f t="shared" si="563"/>
        <v/>
      </c>
      <c r="AH1185" s="56" t="str">
        <f t="shared" si="564"/>
        <v/>
      </c>
      <c r="AI1185" s="55"/>
      <c r="AJ1185" s="56" t="str">
        <f t="shared" si="565"/>
        <v/>
      </c>
      <c r="AK1185" s="55"/>
      <c r="AL1185" s="56" t="str">
        <f t="shared" si="566"/>
        <v/>
      </c>
      <c r="AM1185" s="55"/>
      <c r="AN1185" s="56" t="str">
        <f t="shared" si="567"/>
        <v/>
      </c>
      <c r="AO1185" s="55"/>
      <c r="AP1185" s="56" t="str">
        <f t="shared" si="568"/>
        <v/>
      </c>
      <c r="AQ1185" s="55"/>
      <c r="AR1185" s="56" t="str">
        <f t="shared" si="569"/>
        <v/>
      </c>
      <c r="AS1185" s="57"/>
      <c r="AT1185" s="58"/>
      <c r="AU1185" s="58"/>
      <c r="AV1185" s="59"/>
      <c r="AW1185" s="60" t="str">
        <f t="shared" si="547"/>
        <v/>
      </c>
      <c r="AX1185" s="61" t="str">
        <f t="shared" si="548"/>
        <v/>
      </c>
      <c r="AY1185" s="60" t="str">
        <f t="shared" si="549"/>
        <v/>
      </c>
      <c r="AZ1185" s="61" t="str">
        <f t="shared" si="550"/>
        <v/>
      </c>
    </row>
    <row r="1186" spans="1:52" s="3" customFormat="1" hidden="1" x14ac:dyDescent="0.35">
      <c r="A1186" s="72">
        <f t="shared" si="551"/>
        <v>2021</v>
      </c>
      <c r="B1186" s="72" t="str">
        <f t="shared" si="552"/>
        <v>Nov</v>
      </c>
      <c r="C1186" s="73">
        <f t="shared" si="570"/>
        <v>15</v>
      </c>
      <c r="D1186" s="74">
        <f t="shared" si="553"/>
        <v>11</v>
      </c>
      <c r="E1186" s="75">
        <f t="shared" si="554"/>
        <v>42</v>
      </c>
      <c r="F1186" s="79"/>
      <c r="G1186" s="82"/>
      <c r="H1186" s="68" t="str">
        <f t="shared" si="571"/>
        <v>Clesim6_20211115_11_00</v>
      </c>
      <c r="I1186" s="69">
        <f t="shared" si="573"/>
        <v>1</v>
      </c>
      <c r="J1186" s="76" t="str">
        <f t="shared" si="573"/>
        <v>Clematis</v>
      </c>
      <c r="K1186" s="76" t="str">
        <f t="shared" si="573"/>
        <v>simense</v>
      </c>
      <c r="L1186" s="77">
        <f t="shared" si="573"/>
        <v>6</v>
      </c>
      <c r="M1186" s="77">
        <f t="shared" si="573"/>
        <v>20</v>
      </c>
      <c r="N1186" s="71">
        <f t="shared" si="573"/>
        <v>0</v>
      </c>
      <c r="O1186" s="44"/>
      <c r="P1186" s="45" t="str">
        <f t="shared" si="555"/>
        <v/>
      </c>
      <c r="Q1186" s="46" t="str">
        <f t="shared" si="556"/>
        <v/>
      </c>
      <c r="R1186" s="47" t="e">
        <f t="shared" si="557"/>
        <v>#VALUE!</v>
      </c>
      <c r="S1186" s="48" t="e">
        <f t="shared" si="546"/>
        <v>#VALUE!</v>
      </c>
      <c r="T1186" s="47" t="str">
        <f t="shared" si="558"/>
        <v/>
      </c>
      <c r="U1186" s="49"/>
      <c r="V1186" s="50"/>
      <c r="W1186" s="51" t="e">
        <f t="shared" si="559"/>
        <v>#VALUE!</v>
      </c>
      <c r="X1186" s="52"/>
      <c r="Y1186" s="52"/>
      <c r="Z1186" s="52"/>
      <c r="AA1186" s="47" t="e">
        <f>INDEX(VISITORS[INSECT ORDER], MATCH(X1186,VISITORS[NAME USED],0))</f>
        <v>#N/A</v>
      </c>
      <c r="AB1186" s="47" t="e">
        <f t="shared" si="560"/>
        <v>#N/A</v>
      </c>
      <c r="AC1186" s="53" t="e">
        <f t="shared" si="561"/>
        <v>#VALUE!</v>
      </c>
      <c r="AD1186" s="54" t="str">
        <f t="shared" si="562"/>
        <v/>
      </c>
      <c r="AE1186" s="54"/>
      <c r="AF1186" s="54"/>
      <c r="AG1186" s="55" t="str">
        <f t="shared" si="563"/>
        <v/>
      </c>
      <c r="AH1186" s="56" t="str">
        <f t="shared" si="564"/>
        <v/>
      </c>
      <c r="AI1186" s="55"/>
      <c r="AJ1186" s="56" t="str">
        <f t="shared" si="565"/>
        <v/>
      </c>
      <c r="AK1186" s="55"/>
      <c r="AL1186" s="56" t="str">
        <f t="shared" si="566"/>
        <v/>
      </c>
      <c r="AM1186" s="55"/>
      <c r="AN1186" s="56" t="str">
        <f t="shared" si="567"/>
        <v/>
      </c>
      <c r="AO1186" s="55"/>
      <c r="AP1186" s="56" t="str">
        <f t="shared" si="568"/>
        <v/>
      </c>
      <c r="AQ1186" s="55"/>
      <c r="AR1186" s="56" t="str">
        <f t="shared" si="569"/>
        <v/>
      </c>
      <c r="AS1186" s="57"/>
      <c r="AT1186" s="58"/>
      <c r="AU1186" s="58"/>
      <c r="AV1186" s="59"/>
      <c r="AW1186" s="60" t="str">
        <f t="shared" si="547"/>
        <v/>
      </c>
      <c r="AX1186" s="61" t="str">
        <f t="shared" si="548"/>
        <v/>
      </c>
      <c r="AY1186" s="60" t="str">
        <f t="shared" si="549"/>
        <v/>
      </c>
      <c r="AZ1186" s="61" t="str">
        <f t="shared" si="550"/>
        <v/>
      </c>
    </row>
    <row r="1187" spans="1:52" s="3" customFormat="1" hidden="1" x14ac:dyDescent="0.35">
      <c r="A1187" s="72">
        <f t="shared" si="551"/>
        <v>2021</v>
      </c>
      <c r="B1187" s="72" t="str">
        <f t="shared" si="552"/>
        <v>Nov</v>
      </c>
      <c r="C1187" s="73">
        <f t="shared" si="570"/>
        <v>15</v>
      </c>
      <c r="D1187" s="74">
        <f t="shared" si="553"/>
        <v>11</v>
      </c>
      <c r="E1187" s="75">
        <f t="shared" si="554"/>
        <v>43</v>
      </c>
      <c r="F1187" s="79"/>
      <c r="G1187" s="82"/>
      <c r="H1187" s="68" t="str">
        <f t="shared" si="571"/>
        <v>Clesim6_20211115_11_00</v>
      </c>
      <c r="I1187" s="69">
        <f t="shared" si="573"/>
        <v>1</v>
      </c>
      <c r="J1187" s="76" t="str">
        <f t="shared" si="573"/>
        <v>Clematis</v>
      </c>
      <c r="K1187" s="76" t="str">
        <f t="shared" si="573"/>
        <v>simense</v>
      </c>
      <c r="L1187" s="77">
        <f t="shared" si="573"/>
        <v>6</v>
      </c>
      <c r="M1187" s="77">
        <f t="shared" si="573"/>
        <v>20</v>
      </c>
      <c r="N1187" s="71">
        <f t="shared" si="573"/>
        <v>0</v>
      </c>
      <c r="O1187" s="44"/>
      <c r="P1187" s="45" t="str">
        <f t="shared" si="555"/>
        <v/>
      </c>
      <c r="Q1187" s="46" t="str">
        <f t="shared" si="556"/>
        <v/>
      </c>
      <c r="R1187" s="47" t="e">
        <f t="shared" si="557"/>
        <v>#VALUE!</v>
      </c>
      <c r="S1187" s="48" t="e">
        <f t="shared" si="546"/>
        <v>#VALUE!</v>
      </c>
      <c r="T1187" s="47" t="str">
        <f t="shared" si="558"/>
        <v/>
      </c>
      <c r="U1187" s="49"/>
      <c r="V1187" s="50"/>
      <c r="W1187" s="51" t="e">
        <f t="shared" si="559"/>
        <v>#VALUE!</v>
      </c>
      <c r="X1187" s="52"/>
      <c r="Y1187" s="52"/>
      <c r="Z1187" s="52"/>
      <c r="AA1187" s="47" t="e">
        <f>INDEX(VISITORS[INSECT ORDER], MATCH(X1187,VISITORS[NAME USED],0))</f>
        <v>#N/A</v>
      </c>
      <c r="AB1187" s="47" t="e">
        <f t="shared" si="560"/>
        <v>#N/A</v>
      </c>
      <c r="AC1187" s="53" t="e">
        <f t="shared" si="561"/>
        <v>#VALUE!</v>
      </c>
      <c r="AD1187" s="54" t="str">
        <f t="shared" si="562"/>
        <v/>
      </c>
      <c r="AE1187" s="54"/>
      <c r="AF1187" s="54"/>
      <c r="AG1187" s="55" t="str">
        <f t="shared" si="563"/>
        <v/>
      </c>
      <c r="AH1187" s="56" t="str">
        <f t="shared" si="564"/>
        <v/>
      </c>
      <c r="AI1187" s="55"/>
      <c r="AJ1187" s="56" t="str">
        <f t="shared" si="565"/>
        <v/>
      </c>
      <c r="AK1187" s="55"/>
      <c r="AL1187" s="56" t="str">
        <f t="shared" si="566"/>
        <v/>
      </c>
      <c r="AM1187" s="55"/>
      <c r="AN1187" s="56" t="str">
        <f t="shared" si="567"/>
        <v/>
      </c>
      <c r="AO1187" s="55"/>
      <c r="AP1187" s="56" t="str">
        <f t="shared" si="568"/>
        <v/>
      </c>
      <c r="AQ1187" s="55"/>
      <c r="AR1187" s="56" t="str">
        <f t="shared" si="569"/>
        <v/>
      </c>
      <c r="AS1187" s="57"/>
      <c r="AT1187" s="58"/>
      <c r="AU1187" s="58"/>
      <c r="AV1187" s="59"/>
      <c r="AW1187" s="60" t="str">
        <f t="shared" si="547"/>
        <v/>
      </c>
      <c r="AX1187" s="61" t="str">
        <f t="shared" si="548"/>
        <v/>
      </c>
      <c r="AY1187" s="60" t="str">
        <f t="shared" si="549"/>
        <v/>
      </c>
      <c r="AZ1187" s="61" t="str">
        <f t="shared" si="550"/>
        <v/>
      </c>
    </row>
    <row r="1188" spans="1:52" s="3" customFormat="1" hidden="1" x14ac:dyDescent="0.35">
      <c r="A1188" s="72">
        <f t="shared" si="551"/>
        <v>2021</v>
      </c>
      <c r="B1188" s="72" t="str">
        <f t="shared" si="552"/>
        <v>Nov</v>
      </c>
      <c r="C1188" s="73">
        <f t="shared" si="570"/>
        <v>15</v>
      </c>
      <c r="D1188" s="74">
        <f t="shared" si="553"/>
        <v>11</v>
      </c>
      <c r="E1188" s="75">
        <f t="shared" si="554"/>
        <v>44</v>
      </c>
      <c r="F1188" s="79"/>
      <c r="G1188" s="82"/>
      <c r="H1188" s="68" t="str">
        <f t="shared" si="571"/>
        <v>Clesim6_20211115_11_00</v>
      </c>
      <c r="I1188" s="69">
        <f t="shared" si="573"/>
        <v>1</v>
      </c>
      <c r="J1188" s="76" t="str">
        <f t="shared" si="573"/>
        <v>Clematis</v>
      </c>
      <c r="K1188" s="76" t="str">
        <f t="shared" si="573"/>
        <v>simense</v>
      </c>
      <c r="L1188" s="77">
        <f t="shared" si="573"/>
        <v>6</v>
      </c>
      <c r="M1188" s="77">
        <f t="shared" si="573"/>
        <v>20</v>
      </c>
      <c r="N1188" s="71">
        <f t="shared" si="573"/>
        <v>0</v>
      </c>
      <c r="O1188" s="44"/>
      <c r="P1188" s="45" t="str">
        <f t="shared" si="555"/>
        <v/>
      </c>
      <c r="Q1188" s="46" t="str">
        <f t="shared" si="556"/>
        <v/>
      </c>
      <c r="R1188" s="47" t="e">
        <f t="shared" si="557"/>
        <v>#VALUE!</v>
      </c>
      <c r="S1188" s="48" t="e">
        <f t="shared" si="546"/>
        <v>#VALUE!</v>
      </c>
      <c r="T1188" s="47" t="str">
        <f t="shared" si="558"/>
        <v/>
      </c>
      <c r="U1188" s="49"/>
      <c r="V1188" s="50"/>
      <c r="W1188" s="51" t="e">
        <f t="shared" si="559"/>
        <v>#VALUE!</v>
      </c>
      <c r="X1188" s="52"/>
      <c r="Y1188" s="52"/>
      <c r="Z1188" s="52"/>
      <c r="AA1188" s="47" t="e">
        <f>INDEX(VISITORS[INSECT ORDER], MATCH(X1188,VISITORS[NAME USED],0))</f>
        <v>#N/A</v>
      </c>
      <c r="AB1188" s="47" t="e">
        <f t="shared" si="560"/>
        <v>#N/A</v>
      </c>
      <c r="AC1188" s="53" t="e">
        <f t="shared" si="561"/>
        <v>#VALUE!</v>
      </c>
      <c r="AD1188" s="54" t="str">
        <f t="shared" si="562"/>
        <v/>
      </c>
      <c r="AE1188" s="54"/>
      <c r="AF1188" s="54"/>
      <c r="AG1188" s="55" t="str">
        <f t="shared" si="563"/>
        <v/>
      </c>
      <c r="AH1188" s="56" t="str">
        <f t="shared" si="564"/>
        <v/>
      </c>
      <c r="AI1188" s="55"/>
      <c r="AJ1188" s="56" t="str">
        <f t="shared" si="565"/>
        <v/>
      </c>
      <c r="AK1188" s="55"/>
      <c r="AL1188" s="56" t="str">
        <f t="shared" si="566"/>
        <v/>
      </c>
      <c r="AM1188" s="55"/>
      <c r="AN1188" s="56" t="str">
        <f t="shared" si="567"/>
        <v/>
      </c>
      <c r="AO1188" s="55"/>
      <c r="AP1188" s="56" t="str">
        <f t="shared" si="568"/>
        <v/>
      </c>
      <c r="AQ1188" s="55"/>
      <c r="AR1188" s="56" t="str">
        <f t="shared" si="569"/>
        <v/>
      </c>
      <c r="AS1188" s="57"/>
      <c r="AT1188" s="58"/>
      <c r="AU1188" s="58"/>
      <c r="AV1188" s="59"/>
      <c r="AW1188" s="60" t="str">
        <f t="shared" si="547"/>
        <v/>
      </c>
      <c r="AX1188" s="61" t="str">
        <f t="shared" si="548"/>
        <v/>
      </c>
      <c r="AY1188" s="60" t="str">
        <f t="shared" si="549"/>
        <v/>
      </c>
      <c r="AZ1188" s="61" t="str">
        <f t="shared" si="550"/>
        <v/>
      </c>
    </row>
    <row r="1189" spans="1:52" s="3" customFormat="1" hidden="1" x14ac:dyDescent="0.35">
      <c r="A1189" s="72">
        <f t="shared" si="551"/>
        <v>2021</v>
      </c>
      <c r="B1189" s="72" t="str">
        <f t="shared" si="552"/>
        <v>Nov</v>
      </c>
      <c r="C1189" s="73">
        <f t="shared" si="570"/>
        <v>15</v>
      </c>
      <c r="D1189" s="74">
        <f t="shared" si="553"/>
        <v>11</v>
      </c>
      <c r="E1189" s="75">
        <f t="shared" si="554"/>
        <v>45</v>
      </c>
      <c r="F1189" s="79"/>
      <c r="G1189" s="82"/>
      <c r="H1189" s="68" t="str">
        <f t="shared" si="571"/>
        <v>Clesim6_20211115_11_00</v>
      </c>
      <c r="I1189" s="69">
        <f t="shared" si="573"/>
        <v>1</v>
      </c>
      <c r="J1189" s="76" t="str">
        <f t="shared" si="573"/>
        <v>Clematis</v>
      </c>
      <c r="K1189" s="76" t="str">
        <f t="shared" si="573"/>
        <v>simense</v>
      </c>
      <c r="L1189" s="77">
        <f t="shared" si="573"/>
        <v>6</v>
      </c>
      <c r="M1189" s="77">
        <f t="shared" si="573"/>
        <v>20</v>
      </c>
      <c r="N1189" s="71">
        <f t="shared" si="573"/>
        <v>0</v>
      </c>
      <c r="O1189" s="44"/>
      <c r="P1189" s="45" t="str">
        <f t="shared" si="555"/>
        <v/>
      </c>
      <c r="Q1189" s="46" t="str">
        <f t="shared" si="556"/>
        <v/>
      </c>
      <c r="R1189" s="47" t="e">
        <f t="shared" si="557"/>
        <v>#VALUE!</v>
      </c>
      <c r="S1189" s="48" t="e">
        <f t="shared" si="546"/>
        <v>#VALUE!</v>
      </c>
      <c r="T1189" s="47" t="str">
        <f t="shared" si="558"/>
        <v/>
      </c>
      <c r="U1189" s="49"/>
      <c r="V1189" s="50"/>
      <c r="W1189" s="51" t="e">
        <f t="shared" si="559"/>
        <v>#VALUE!</v>
      </c>
      <c r="X1189" s="52"/>
      <c r="Y1189" s="52"/>
      <c r="Z1189" s="52"/>
      <c r="AA1189" s="47" t="e">
        <f>INDEX(VISITORS[INSECT ORDER], MATCH(X1189,VISITORS[NAME USED],0))</f>
        <v>#N/A</v>
      </c>
      <c r="AB1189" s="47" t="e">
        <f t="shared" si="560"/>
        <v>#N/A</v>
      </c>
      <c r="AC1189" s="53" t="e">
        <f t="shared" si="561"/>
        <v>#VALUE!</v>
      </c>
      <c r="AD1189" s="54" t="str">
        <f t="shared" si="562"/>
        <v/>
      </c>
      <c r="AE1189" s="54"/>
      <c r="AF1189" s="54"/>
      <c r="AG1189" s="55" t="str">
        <f t="shared" si="563"/>
        <v/>
      </c>
      <c r="AH1189" s="56" t="str">
        <f t="shared" si="564"/>
        <v/>
      </c>
      <c r="AI1189" s="55"/>
      <c r="AJ1189" s="56" t="str">
        <f t="shared" si="565"/>
        <v/>
      </c>
      <c r="AK1189" s="55"/>
      <c r="AL1189" s="56" t="str">
        <f t="shared" si="566"/>
        <v/>
      </c>
      <c r="AM1189" s="55"/>
      <c r="AN1189" s="56" t="str">
        <f t="shared" si="567"/>
        <v/>
      </c>
      <c r="AO1189" s="55"/>
      <c r="AP1189" s="56" t="str">
        <f t="shared" si="568"/>
        <v/>
      </c>
      <c r="AQ1189" s="55"/>
      <c r="AR1189" s="56" t="str">
        <f t="shared" si="569"/>
        <v/>
      </c>
      <c r="AS1189" s="57"/>
      <c r="AT1189" s="58"/>
      <c r="AU1189" s="58"/>
      <c r="AV1189" s="59"/>
      <c r="AW1189" s="60" t="str">
        <f t="shared" si="547"/>
        <v/>
      </c>
      <c r="AX1189" s="61" t="str">
        <f t="shared" si="548"/>
        <v/>
      </c>
      <c r="AY1189" s="60" t="str">
        <f t="shared" si="549"/>
        <v/>
      </c>
      <c r="AZ1189" s="61" t="str">
        <f t="shared" si="550"/>
        <v/>
      </c>
    </row>
    <row r="1190" spans="1:52" s="3" customFormat="1" hidden="1" x14ac:dyDescent="0.35">
      <c r="A1190" s="72">
        <f t="shared" si="551"/>
        <v>2021</v>
      </c>
      <c r="B1190" s="72" t="str">
        <f t="shared" si="552"/>
        <v>Nov</v>
      </c>
      <c r="C1190" s="73">
        <f t="shared" si="570"/>
        <v>15</v>
      </c>
      <c r="D1190" s="74">
        <f t="shared" si="553"/>
        <v>11</v>
      </c>
      <c r="E1190" s="75">
        <f t="shared" si="554"/>
        <v>46</v>
      </c>
      <c r="F1190" s="79"/>
      <c r="G1190" s="82"/>
      <c r="H1190" s="68" t="str">
        <f t="shared" si="571"/>
        <v>Clesim6_20211115_11_00</v>
      </c>
      <c r="I1190" s="69">
        <f t="shared" ref="I1190:N1205" si="574">I1189</f>
        <v>1</v>
      </c>
      <c r="J1190" s="76" t="str">
        <f t="shared" si="574"/>
        <v>Clematis</v>
      </c>
      <c r="K1190" s="76" t="str">
        <f t="shared" si="574"/>
        <v>simense</v>
      </c>
      <c r="L1190" s="77">
        <f t="shared" si="574"/>
        <v>6</v>
      </c>
      <c r="M1190" s="77">
        <f t="shared" si="574"/>
        <v>20</v>
      </c>
      <c r="N1190" s="71">
        <f t="shared" si="574"/>
        <v>0</v>
      </c>
      <c r="O1190" s="44"/>
      <c r="P1190" s="45" t="str">
        <f t="shared" si="555"/>
        <v/>
      </c>
      <c r="Q1190" s="46" t="str">
        <f t="shared" si="556"/>
        <v/>
      </c>
      <c r="R1190" s="47" t="e">
        <f t="shared" si="557"/>
        <v>#VALUE!</v>
      </c>
      <c r="S1190" s="48" t="e">
        <f t="shared" si="546"/>
        <v>#VALUE!</v>
      </c>
      <c r="T1190" s="47" t="str">
        <f t="shared" si="558"/>
        <v/>
      </c>
      <c r="U1190" s="49"/>
      <c r="V1190" s="50"/>
      <c r="W1190" s="51" t="e">
        <f t="shared" si="559"/>
        <v>#VALUE!</v>
      </c>
      <c r="X1190" s="52"/>
      <c r="Y1190" s="52"/>
      <c r="Z1190" s="52"/>
      <c r="AA1190" s="47" t="e">
        <f>INDEX(VISITORS[INSECT ORDER], MATCH(X1190,VISITORS[NAME USED],0))</f>
        <v>#N/A</v>
      </c>
      <c r="AB1190" s="47" t="e">
        <f t="shared" si="560"/>
        <v>#N/A</v>
      </c>
      <c r="AC1190" s="53" t="e">
        <f t="shared" si="561"/>
        <v>#VALUE!</v>
      </c>
      <c r="AD1190" s="54" t="str">
        <f t="shared" si="562"/>
        <v/>
      </c>
      <c r="AE1190" s="54"/>
      <c r="AF1190" s="54"/>
      <c r="AG1190" s="55" t="str">
        <f t="shared" si="563"/>
        <v/>
      </c>
      <c r="AH1190" s="56" t="str">
        <f t="shared" si="564"/>
        <v/>
      </c>
      <c r="AI1190" s="55"/>
      <c r="AJ1190" s="56" t="str">
        <f t="shared" si="565"/>
        <v/>
      </c>
      <c r="AK1190" s="55"/>
      <c r="AL1190" s="56" t="str">
        <f t="shared" si="566"/>
        <v/>
      </c>
      <c r="AM1190" s="55"/>
      <c r="AN1190" s="56" t="str">
        <f t="shared" si="567"/>
        <v/>
      </c>
      <c r="AO1190" s="55"/>
      <c r="AP1190" s="56" t="str">
        <f t="shared" si="568"/>
        <v/>
      </c>
      <c r="AQ1190" s="55"/>
      <c r="AR1190" s="56" t="str">
        <f t="shared" si="569"/>
        <v/>
      </c>
      <c r="AS1190" s="57"/>
      <c r="AT1190" s="58"/>
      <c r="AU1190" s="58"/>
      <c r="AV1190" s="59"/>
      <c r="AW1190" s="60" t="str">
        <f t="shared" si="547"/>
        <v/>
      </c>
      <c r="AX1190" s="61" t="str">
        <f t="shared" si="548"/>
        <v/>
      </c>
      <c r="AY1190" s="60" t="str">
        <f t="shared" si="549"/>
        <v/>
      </c>
      <c r="AZ1190" s="61" t="str">
        <f t="shared" si="550"/>
        <v/>
      </c>
    </row>
    <row r="1191" spans="1:52" s="3" customFormat="1" hidden="1" x14ac:dyDescent="0.35">
      <c r="A1191" s="72">
        <f t="shared" si="551"/>
        <v>2021</v>
      </c>
      <c r="B1191" s="72" t="str">
        <f t="shared" si="552"/>
        <v>Nov</v>
      </c>
      <c r="C1191" s="73">
        <f t="shared" si="570"/>
        <v>15</v>
      </c>
      <c r="D1191" s="74">
        <f t="shared" si="553"/>
        <v>11</v>
      </c>
      <c r="E1191" s="75">
        <f t="shared" si="554"/>
        <v>47</v>
      </c>
      <c r="F1191" s="79"/>
      <c r="G1191" s="82"/>
      <c r="H1191" s="68" t="str">
        <f t="shared" si="571"/>
        <v>Clesim6_20211115_11_00</v>
      </c>
      <c r="I1191" s="69">
        <f t="shared" si="574"/>
        <v>1</v>
      </c>
      <c r="J1191" s="76" t="str">
        <f t="shared" si="574"/>
        <v>Clematis</v>
      </c>
      <c r="K1191" s="76" t="str">
        <f t="shared" si="574"/>
        <v>simense</v>
      </c>
      <c r="L1191" s="77">
        <f t="shared" si="574"/>
        <v>6</v>
      </c>
      <c r="M1191" s="77">
        <f t="shared" si="574"/>
        <v>20</v>
      </c>
      <c r="N1191" s="71">
        <f t="shared" si="574"/>
        <v>0</v>
      </c>
      <c r="O1191" s="44"/>
      <c r="P1191" s="45" t="str">
        <f t="shared" si="555"/>
        <v/>
      </c>
      <c r="Q1191" s="46" t="str">
        <f t="shared" si="556"/>
        <v/>
      </c>
      <c r="R1191" s="47" t="e">
        <f t="shared" si="557"/>
        <v>#VALUE!</v>
      </c>
      <c r="S1191" s="48" t="e">
        <f t="shared" si="546"/>
        <v>#VALUE!</v>
      </c>
      <c r="T1191" s="47" t="str">
        <f t="shared" si="558"/>
        <v/>
      </c>
      <c r="U1191" s="49"/>
      <c r="V1191" s="50"/>
      <c r="W1191" s="51" t="e">
        <f t="shared" si="559"/>
        <v>#VALUE!</v>
      </c>
      <c r="X1191" s="52"/>
      <c r="Y1191" s="52"/>
      <c r="Z1191" s="52"/>
      <c r="AA1191" s="47" t="e">
        <f>INDEX(VISITORS[INSECT ORDER], MATCH(X1191,VISITORS[NAME USED],0))</f>
        <v>#N/A</v>
      </c>
      <c r="AB1191" s="47" t="e">
        <f t="shared" si="560"/>
        <v>#N/A</v>
      </c>
      <c r="AC1191" s="53" t="e">
        <f t="shared" si="561"/>
        <v>#VALUE!</v>
      </c>
      <c r="AD1191" s="54" t="str">
        <f t="shared" si="562"/>
        <v/>
      </c>
      <c r="AE1191" s="54"/>
      <c r="AF1191" s="54"/>
      <c r="AG1191" s="55" t="str">
        <f t="shared" si="563"/>
        <v/>
      </c>
      <c r="AH1191" s="56" t="str">
        <f t="shared" si="564"/>
        <v/>
      </c>
      <c r="AI1191" s="55"/>
      <c r="AJ1191" s="56" t="str">
        <f t="shared" si="565"/>
        <v/>
      </c>
      <c r="AK1191" s="55"/>
      <c r="AL1191" s="56" t="str">
        <f t="shared" si="566"/>
        <v/>
      </c>
      <c r="AM1191" s="55"/>
      <c r="AN1191" s="56" t="str">
        <f t="shared" si="567"/>
        <v/>
      </c>
      <c r="AO1191" s="55"/>
      <c r="AP1191" s="56" t="str">
        <f t="shared" si="568"/>
        <v/>
      </c>
      <c r="AQ1191" s="55"/>
      <c r="AR1191" s="56" t="str">
        <f t="shared" si="569"/>
        <v/>
      </c>
      <c r="AS1191" s="57"/>
      <c r="AT1191" s="58"/>
      <c r="AU1191" s="58"/>
      <c r="AV1191" s="59"/>
      <c r="AW1191" s="60" t="str">
        <f t="shared" si="547"/>
        <v/>
      </c>
      <c r="AX1191" s="61" t="str">
        <f t="shared" si="548"/>
        <v/>
      </c>
      <c r="AY1191" s="60" t="str">
        <f t="shared" si="549"/>
        <v/>
      </c>
      <c r="AZ1191" s="61" t="str">
        <f t="shared" si="550"/>
        <v/>
      </c>
    </row>
    <row r="1192" spans="1:52" s="3" customFormat="1" hidden="1" x14ac:dyDescent="0.35">
      <c r="A1192" s="72">
        <f t="shared" si="551"/>
        <v>2021</v>
      </c>
      <c r="B1192" s="72" t="str">
        <f t="shared" si="552"/>
        <v>Nov</v>
      </c>
      <c r="C1192" s="73">
        <f t="shared" si="570"/>
        <v>15</v>
      </c>
      <c r="D1192" s="74">
        <f t="shared" si="553"/>
        <v>11</v>
      </c>
      <c r="E1192" s="75">
        <f t="shared" si="554"/>
        <v>48</v>
      </c>
      <c r="F1192" s="79"/>
      <c r="G1192" s="82"/>
      <c r="H1192" s="68" t="str">
        <f t="shared" si="571"/>
        <v>Clesim6_20211115_11_00</v>
      </c>
      <c r="I1192" s="69">
        <f t="shared" si="574"/>
        <v>1</v>
      </c>
      <c r="J1192" s="76" t="str">
        <f t="shared" si="574"/>
        <v>Clematis</v>
      </c>
      <c r="K1192" s="76" t="str">
        <f t="shared" si="574"/>
        <v>simense</v>
      </c>
      <c r="L1192" s="77">
        <f t="shared" si="574"/>
        <v>6</v>
      </c>
      <c r="M1192" s="77">
        <f t="shared" si="574"/>
        <v>20</v>
      </c>
      <c r="N1192" s="71">
        <f t="shared" si="574"/>
        <v>0</v>
      </c>
      <c r="O1192" s="44"/>
      <c r="P1192" s="45" t="str">
        <f t="shared" si="555"/>
        <v/>
      </c>
      <c r="Q1192" s="46" t="str">
        <f t="shared" si="556"/>
        <v/>
      </c>
      <c r="R1192" s="47" t="e">
        <f t="shared" si="557"/>
        <v>#VALUE!</v>
      </c>
      <c r="S1192" s="48" t="e">
        <f t="shared" si="546"/>
        <v>#VALUE!</v>
      </c>
      <c r="T1192" s="47" t="str">
        <f t="shared" si="558"/>
        <v/>
      </c>
      <c r="U1192" s="49"/>
      <c r="V1192" s="50"/>
      <c r="W1192" s="51" t="e">
        <f t="shared" si="559"/>
        <v>#VALUE!</v>
      </c>
      <c r="X1192" s="52"/>
      <c r="Y1192" s="52"/>
      <c r="Z1192" s="52"/>
      <c r="AA1192" s="47" t="e">
        <f>INDEX(VISITORS[INSECT ORDER], MATCH(X1192,VISITORS[NAME USED],0))</f>
        <v>#N/A</v>
      </c>
      <c r="AB1192" s="47" t="e">
        <f t="shared" si="560"/>
        <v>#N/A</v>
      </c>
      <c r="AC1192" s="53" t="e">
        <f t="shared" si="561"/>
        <v>#VALUE!</v>
      </c>
      <c r="AD1192" s="54" t="str">
        <f t="shared" si="562"/>
        <v/>
      </c>
      <c r="AE1192" s="54"/>
      <c r="AF1192" s="54"/>
      <c r="AG1192" s="55" t="str">
        <f t="shared" si="563"/>
        <v/>
      </c>
      <c r="AH1192" s="56" t="str">
        <f t="shared" si="564"/>
        <v/>
      </c>
      <c r="AI1192" s="55"/>
      <c r="AJ1192" s="56" t="str">
        <f t="shared" si="565"/>
        <v/>
      </c>
      <c r="AK1192" s="55"/>
      <c r="AL1192" s="56" t="str">
        <f t="shared" si="566"/>
        <v/>
      </c>
      <c r="AM1192" s="55"/>
      <c r="AN1192" s="56" t="str">
        <f t="shared" si="567"/>
        <v/>
      </c>
      <c r="AO1192" s="55"/>
      <c r="AP1192" s="56" t="str">
        <f t="shared" si="568"/>
        <v/>
      </c>
      <c r="AQ1192" s="55"/>
      <c r="AR1192" s="56" t="str">
        <f t="shared" si="569"/>
        <v/>
      </c>
      <c r="AS1192" s="57"/>
      <c r="AT1192" s="58"/>
      <c r="AU1192" s="58"/>
      <c r="AV1192" s="59"/>
      <c r="AW1192" s="60" t="str">
        <f t="shared" si="547"/>
        <v/>
      </c>
      <c r="AX1192" s="61" t="str">
        <f t="shared" si="548"/>
        <v/>
      </c>
      <c r="AY1192" s="60" t="str">
        <f t="shared" si="549"/>
        <v/>
      </c>
      <c r="AZ1192" s="61" t="str">
        <f t="shared" si="550"/>
        <v/>
      </c>
    </row>
    <row r="1193" spans="1:52" s="3" customFormat="1" hidden="1" x14ac:dyDescent="0.35">
      <c r="A1193" s="72">
        <f t="shared" si="551"/>
        <v>2021</v>
      </c>
      <c r="B1193" s="72" t="str">
        <f t="shared" si="552"/>
        <v>Nov</v>
      </c>
      <c r="C1193" s="73">
        <f t="shared" si="570"/>
        <v>15</v>
      </c>
      <c r="D1193" s="74">
        <f t="shared" si="553"/>
        <v>11</v>
      </c>
      <c r="E1193" s="75">
        <f t="shared" si="554"/>
        <v>49</v>
      </c>
      <c r="F1193" s="79"/>
      <c r="G1193" s="82"/>
      <c r="H1193" s="68" t="str">
        <f t="shared" si="571"/>
        <v>Clesim6_20211115_11_00</v>
      </c>
      <c r="I1193" s="69">
        <f t="shared" si="574"/>
        <v>1</v>
      </c>
      <c r="J1193" s="76" t="str">
        <f t="shared" si="574"/>
        <v>Clematis</v>
      </c>
      <c r="K1193" s="76" t="str">
        <f t="shared" si="574"/>
        <v>simense</v>
      </c>
      <c r="L1193" s="77">
        <f t="shared" si="574"/>
        <v>6</v>
      </c>
      <c r="M1193" s="77">
        <f t="shared" si="574"/>
        <v>20</v>
      </c>
      <c r="N1193" s="71">
        <f t="shared" si="574"/>
        <v>0</v>
      </c>
      <c r="O1193" s="44"/>
      <c r="P1193" s="45" t="str">
        <f t="shared" si="555"/>
        <v/>
      </c>
      <c r="Q1193" s="46" t="str">
        <f t="shared" si="556"/>
        <v/>
      </c>
      <c r="R1193" s="47" t="e">
        <f t="shared" si="557"/>
        <v>#VALUE!</v>
      </c>
      <c r="S1193" s="48" t="e">
        <f t="shared" si="546"/>
        <v>#VALUE!</v>
      </c>
      <c r="T1193" s="47" t="str">
        <f t="shared" si="558"/>
        <v/>
      </c>
      <c r="U1193" s="49"/>
      <c r="V1193" s="50"/>
      <c r="W1193" s="51" t="e">
        <f t="shared" si="559"/>
        <v>#VALUE!</v>
      </c>
      <c r="X1193" s="52"/>
      <c r="Y1193" s="52"/>
      <c r="Z1193" s="52"/>
      <c r="AA1193" s="47" t="e">
        <f>INDEX(VISITORS[INSECT ORDER], MATCH(X1193,VISITORS[NAME USED],0))</f>
        <v>#N/A</v>
      </c>
      <c r="AB1193" s="47" t="e">
        <f t="shared" si="560"/>
        <v>#N/A</v>
      </c>
      <c r="AC1193" s="53" t="e">
        <f t="shared" si="561"/>
        <v>#VALUE!</v>
      </c>
      <c r="AD1193" s="54" t="str">
        <f t="shared" si="562"/>
        <v/>
      </c>
      <c r="AE1193" s="54"/>
      <c r="AF1193" s="54"/>
      <c r="AG1193" s="55" t="str">
        <f t="shared" si="563"/>
        <v/>
      </c>
      <c r="AH1193" s="56" t="str">
        <f t="shared" si="564"/>
        <v/>
      </c>
      <c r="AI1193" s="55"/>
      <c r="AJ1193" s="56" t="str">
        <f t="shared" si="565"/>
        <v/>
      </c>
      <c r="AK1193" s="55"/>
      <c r="AL1193" s="56" t="str">
        <f t="shared" si="566"/>
        <v/>
      </c>
      <c r="AM1193" s="55"/>
      <c r="AN1193" s="56" t="str">
        <f t="shared" si="567"/>
        <v/>
      </c>
      <c r="AO1193" s="55"/>
      <c r="AP1193" s="56" t="str">
        <f t="shared" si="568"/>
        <v/>
      </c>
      <c r="AQ1193" s="55"/>
      <c r="AR1193" s="56" t="str">
        <f t="shared" si="569"/>
        <v/>
      </c>
      <c r="AS1193" s="57"/>
      <c r="AT1193" s="58"/>
      <c r="AU1193" s="58"/>
      <c r="AV1193" s="59"/>
      <c r="AW1193" s="60" t="str">
        <f t="shared" si="547"/>
        <v/>
      </c>
      <c r="AX1193" s="61" t="str">
        <f t="shared" si="548"/>
        <v/>
      </c>
      <c r="AY1193" s="60" t="str">
        <f t="shared" si="549"/>
        <v/>
      </c>
      <c r="AZ1193" s="61" t="str">
        <f t="shared" si="550"/>
        <v/>
      </c>
    </row>
    <row r="1194" spans="1:52" s="3" customFormat="1" hidden="1" x14ac:dyDescent="0.35">
      <c r="A1194" s="72">
        <f t="shared" si="551"/>
        <v>2021</v>
      </c>
      <c r="B1194" s="72" t="str">
        <f t="shared" si="552"/>
        <v>Nov</v>
      </c>
      <c r="C1194" s="73">
        <f t="shared" si="570"/>
        <v>15</v>
      </c>
      <c r="D1194" s="74">
        <f t="shared" si="553"/>
        <v>11</v>
      </c>
      <c r="E1194" s="75">
        <f t="shared" si="554"/>
        <v>50</v>
      </c>
      <c r="F1194" s="79"/>
      <c r="G1194" s="82"/>
      <c r="H1194" s="68" t="str">
        <f t="shared" si="571"/>
        <v>Clesim6_20211115_11_00</v>
      </c>
      <c r="I1194" s="69">
        <f t="shared" si="574"/>
        <v>1</v>
      </c>
      <c r="J1194" s="76" t="str">
        <f t="shared" si="574"/>
        <v>Clematis</v>
      </c>
      <c r="K1194" s="76" t="str">
        <f t="shared" si="574"/>
        <v>simense</v>
      </c>
      <c r="L1194" s="77">
        <f t="shared" si="574"/>
        <v>6</v>
      </c>
      <c r="M1194" s="77">
        <f t="shared" si="574"/>
        <v>20</v>
      </c>
      <c r="N1194" s="71">
        <f t="shared" si="574"/>
        <v>0</v>
      </c>
      <c r="O1194" s="44"/>
      <c r="P1194" s="45" t="str">
        <f t="shared" si="555"/>
        <v/>
      </c>
      <c r="Q1194" s="46" t="str">
        <f t="shared" si="556"/>
        <v/>
      </c>
      <c r="R1194" s="47" t="e">
        <f t="shared" si="557"/>
        <v>#VALUE!</v>
      </c>
      <c r="S1194" s="48" t="e">
        <f t="shared" si="546"/>
        <v>#VALUE!</v>
      </c>
      <c r="T1194" s="47" t="str">
        <f t="shared" si="558"/>
        <v/>
      </c>
      <c r="U1194" s="49"/>
      <c r="V1194" s="50"/>
      <c r="W1194" s="51" t="e">
        <f t="shared" si="559"/>
        <v>#VALUE!</v>
      </c>
      <c r="X1194" s="52"/>
      <c r="Y1194" s="52"/>
      <c r="Z1194" s="52"/>
      <c r="AA1194" s="47" t="e">
        <f>INDEX(VISITORS[INSECT ORDER], MATCH(X1194,VISITORS[NAME USED],0))</f>
        <v>#N/A</v>
      </c>
      <c r="AB1194" s="47" t="e">
        <f t="shared" si="560"/>
        <v>#N/A</v>
      </c>
      <c r="AC1194" s="53" t="e">
        <f t="shared" si="561"/>
        <v>#VALUE!</v>
      </c>
      <c r="AD1194" s="54" t="str">
        <f t="shared" si="562"/>
        <v/>
      </c>
      <c r="AE1194" s="54"/>
      <c r="AF1194" s="54"/>
      <c r="AG1194" s="55" t="str">
        <f t="shared" si="563"/>
        <v/>
      </c>
      <c r="AH1194" s="56" t="str">
        <f t="shared" si="564"/>
        <v/>
      </c>
      <c r="AI1194" s="55"/>
      <c r="AJ1194" s="56" t="str">
        <f t="shared" si="565"/>
        <v/>
      </c>
      <c r="AK1194" s="55"/>
      <c r="AL1194" s="56" t="str">
        <f t="shared" si="566"/>
        <v/>
      </c>
      <c r="AM1194" s="55"/>
      <c r="AN1194" s="56" t="str">
        <f t="shared" si="567"/>
        <v/>
      </c>
      <c r="AO1194" s="55"/>
      <c r="AP1194" s="56" t="str">
        <f t="shared" si="568"/>
        <v/>
      </c>
      <c r="AQ1194" s="55"/>
      <c r="AR1194" s="56" t="str">
        <f t="shared" si="569"/>
        <v/>
      </c>
      <c r="AS1194" s="57"/>
      <c r="AT1194" s="58"/>
      <c r="AU1194" s="58"/>
      <c r="AV1194" s="59"/>
      <c r="AW1194" s="60" t="str">
        <f t="shared" si="547"/>
        <v/>
      </c>
      <c r="AX1194" s="61" t="str">
        <f t="shared" si="548"/>
        <v/>
      </c>
      <c r="AY1194" s="60" t="str">
        <f t="shared" si="549"/>
        <v/>
      </c>
      <c r="AZ1194" s="61" t="str">
        <f t="shared" si="550"/>
        <v/>
      </c>
    </row>
    <row r="1195" spans="1:52" s="3" customFormat="1" hidden="1" x14ac:dyDescent="0.35">
      <c r="A1195" s="72">
        <f t="shared" si="551"/>
        <v>2021</v>
      </c>
      <c r="B1195" s="72" t="str">
        <f t="shared" si="552"/>
        <v>Nov</v>
      </c>
      <c r="C1195" s="73">
        <f t="shared" si="570"/>
        <v>15</v>
      </c>
      <c r="D1195" s="74">
        <f t="shared" si="553"/>
        <v>11</v>
      </c>
      <c r="E1195" s="75">
        <f t="shared" si="554"/>
        <v>51</v>
      </c>
      <c r="F1195" s="79"/>
      <c r="G1195" s="82"/>
      <c r="H1195" s="68" t="str">
        <f t="shared" si="571"/>
        <v>Clesim6_20211115_11_00</v>
      </c>
      <c r="I1195" s="69">
        <f t="shared" si="574"/>
        <v>1</v>
      </c>
      <c r="J1195" s="76" t="str">
        <f t="shared" si="574"/>
        <v>Clematis</v>
      </c>
      <c r="K1195" s="76" t="str">
        <f t="shared" si="574"/>
        <v>simense</v>
      </c>
      <c r="L1195" s="77">
        <f t="shared" si="574"/>
        <v>6</v>
      </c>
      <c r="M1195" s="77">
        <f t="shared" si="574"/>
        <v>20</v>
      </c>
      <c r="N1195" s="71">
        <f t="shared" si="574"/>
        <v>0</v>
      </c>
      <c r="O1195" s="44"/>
      <c r="P1195" s="45" t="str">
        <f t="shared" si="555"/>
        <v/>
      </c>
      <c r="Q1195" s="46" t="str">
        <f t="shared" si="556"/>
        <v/>
      </c>
      <c r="R1195" s="47" t="e">
        <f t="shared" si="557"/>
        <v>#VALUE!</v>
      </c>
      <c r="S1195" s="48" t="e">
        <f t="shared" si="546"/>
        <v>#VALUE!</v>
      </c>
      <c r="T1195" s="47" t="str">
        <f t="shared" si="558"/>
        <v/>
      </c>
      <c r="U1195" s="49"/>
      <c r="V1195" s="50"/>
      <c r="W1195" s="51" t="e">
        <f t="shared" si="559"/>
        <v>#VALUE!</v>
      </c>
      <c r="X1195" s="52"/>
      <c r="Y1195" s="52"/>
      <c r="Z1195" s="52"/>
      <c r="AA1195" s="47" t="e">
        <f>INDEX(VISITORS[INSECT ORDER], MATCH(X1195,VISITORS[NAME USED],0))</f>
        <v>#N/A</v>
      </c>
      <c r="AB1195" s="47" t="e">
        <f t="shared" si="560"/>
        <v>#N/A</v>
      </c>
      <c r="AC1195" s="53" t="e">
        <f t="shared" si="561"/>
        <v>#VALUE!</v>
      </c>
      <c r="AD1195" s="54" t="str">
        <f t="shared" si="562"/>
        <v/>
      </c>
      <c r="AE1195" s="54"/>
      <c r="AF1195" s="54"/>
      <c r="AG1195" s="55" t="str">
        <f t="shared" si="563"/>
        <v/>
      </c>
      <c r="AH1195" s="56" t="str">
        <f t="shared" si="564"/>
        <v/>
      </c>
      <c r="AI1195" s="55"/>
      <c r="AJ1195" s="56" t="str">
        <f t="shared" si="565"/>
        <v/>
      </c>
      <c r="AK1195" s="55"/>
      <c r="AL1195" s="56" t="str">
        <f t="shared" si="566"/>
        <v/>
      </c>
      <c r="AM1195" s="55"/>
      <c r="AN1195" s="56" t="str">
        <f t="shared" si="567"/>
        <v/>
      </c>
      <c r="AO1195" s="55"/>
      <c r="AP1195" s="56" t="str">
        <f t="shared" si="568"/>
        <v/>
      </c>
      <c r="AQ1195" s="55"/>
      <c r="AR1195" s="56" t="str">
        <f t="shared" si="569"/>
        <v/>
      </c>
      <c r="AS1195" s="57"/>
      <c r="AT1195" s="58"/>
      <c r="AU1195" s="58"/>
      <c r="AV1195" s="59"/>
      <c r="AW1195" s="60" t="str">
        <f t="shared" si="547"/>
        <v/>
      </c>
      <c r="AX1195" s="61" t="str">
        <f t="shared" si="548"/>
        <v/>
      </c>
      <c r="AY1195" s="60" t="str">
        <f t="shared" si="549"/>
        <v/>
      </c>
      <c r="AZ1195" s="61" t="str">
        <f t="shared" si="550"/>
        <v/>
      </c>
    </row>
    <row r="1196" spans="1:52" s="3" customFormat="1" hidden="1" x14ac:dyDescent="0.35">
      <c r="A1196" s="72">
        <f t="shared" si="551"/>
        <v>2021</v>
      </c>
      <c r="B1196" s="72" t="str">
        <f t="shared" si="552"/>
        <v>Nov</v>
      </c>
      <c r="C1196" s="73">
        <f t="shared" si="570"/>
        <v>15</v>
      </c>
      <c r="D1196" s="74">
        <f t="shared" si="553"/>
        <v>11</v>
      </c>
      <c r="E1196" s="75">
        <f t="shared" si="554"/>
        <v>52</v>
      </c>
      <c r="F1196" s="79"/>
      <c r="G1196" s="82"/>
      <c r="H1196" s="68" t="str">
        <f t="shared" si="571"/>
        <v>Clesim6_20211115_11_00</v>
      </c>
      <c r="I1196" s="69">
        <f t="shared" si="574"/>
        <v>1</v>
      </c>
      <c r="J1196" s="76" t="str">
        <f t="shared" si="574"/>
        <v>Clematis</v>
      </c>
      <c r="K1196" s="76" t="str">
        <f t="shared" si="574"/>
        <v>simense</v>
      </c>
      <c r="L1196" s="77">
        <f t="shared" si="574"/>
        <v>6</v>
      </c>
      <c r="M1196" s="77">
        <f t="shared" si="574"/>
        <v>20</v>
      </c>
      <c r="N1196" s="71">
        <f t="shared" si="574"/>
        <v>0</v>
      </c>
      <c r="O1196" s="44"/>
      <c r="P1196" s="45" t="str">
        <f t="shared" si="555"/>
        <v/>
      </c>
      <c r="Q1196" s="46" t="str">
        <f t="shared" si="556"/>
        <v/>
      </c>
      <c r="R1196" s="47" t="e">
        <f t="shared" si="557"/>
        <v>#VALUE!</v>
      </c>
      <c r="S1196" s="48" t="e">
        <f t="shared" si="546"/>
        <v>#VALUE!</v>
      </c>
      <c r="T1196" s="47" t="str">
        <f t="shared" si="558"/>
        <v/>
      </c>
      <c r="U1196" s="49"/>
      <c r="V1196" s="50"/>
      <c r="W1196" s="51" t="e">
        <f t="shared" si="559"/>
        <v>#VALUE!</v>
      </c>
      <c r="X1196" s="52"/>
      <c r="Y1196" s="52"/>
      <c r="Z1196" s="52"/>
      <c r="AA1196" s="47" t="e">
        <f>INDEX(VISITORS[INSECT ORDER], MATCH(X1196,VISITORS[NAME USED],0))</f>
        <v>#N/A</v>
      </c>
      <c r="AB1196" s="47" t="e">
        <f t="shared" si="560"/>
        <v>#N/A</v>
      </c>
      <c r="AC1196" s="53" t="e">
        <f t="shared" si="561"/>
        <v>#VALUE!</v>
      </c>
      <c r="AD1196" s="54" t="str">
        <f t="shared" si="562"/>
        <v/>
      </c>
      <c r="AE1196" s="54"/>
      <c r="AF1196" s="54"/>
      <c r="AG1196" s="55" t="str">
        <f t="shared" si="563"/>
        <v/>
      </c>
      <c r="AH1196" s="56" t="str">
        <f t="shared" si="564"/>
        <v/>
      </c>
      <c r="AI1196" s="55"/>
      <c r="AJ1196" s="56" t="str">
        <f t="shared" si="565"/>
        <v/>
      </c>
      <c r="AK1196" s="55"/>
      <c r="AL1196" s="56" t="str">
        <f t="shared" si="566"/>
        <v/>
      </c>
      <c r="AM1196" s="55"/>
      <c r="AN1196" s="56" t="str">
        <f t="shared" si="567"/>
        <v/>
      </c>
      <c r="AO1196" s="55"/>
      <c r="AP1196" s="56" t="str">
        <f t="shared" si="568"/>
        <v/>
      </c>
      <c r="AQ1196" s="55"/>
      <c r="AR1196" s="56" t="str">
        <f t="shared" si="569"/>
        <v/>
      </c>
      <c r="AS1196" s="57"/>
      <c r="AT1196" s="58"/>
      <c r="AU1196" s="58"/>
      <c r="AV1196" s="59"/>
      <c r="AW1196" s="60" t="str">
        <f t="shared" si="547"/>
        <v/>
      </c>
      <c r="AX1196" s="61" t="str">
        <f t="shared" si="548"/>
        <v/>
      </c>
      <c r="AY1196" s="60" t="str">
        <f t="shared" si="549"/>
        <v/>
      </c>
      <c r="AZ1196" s="61" t="str">
        <f t="shared" si="550"/>
        <v/>
      </c>
    </row>
    <row r="1197" spans="1:52" s="3" customFormat="1" hidden="1" x14ac:dyDescent="0.35">
      <c r="A1197" s="72">
        <f t="shared" si="551"/>
        <v>2021</v>
      </c>
      <c r="B1197" s="72" t="str">
        <f t="shared" si="552"/>
        <v>Nov</v>
      </c>
      <c r="C1197" s="73">
        <f t="shared" si="570"/>
        <v>15</v>
      </c>
      <c r="D1197" s="74">
        <f t="shared" si="553"/>
        <v>11</v>
      </c>
      <c r="E1197" s="75">
        <f t="shared" si="554"/>
        <v>53</v>
      </c>
      <c r="F1197" s="79"/>
      <c r="G1197" s="82"/>
      <c r="H1197" s="68" t="str">
        <f t="shared" si="571"/>
        <v>Clesim6_20211115_11_00</v>
      </c>
      <c r="I1197" s="69">
        <f t="shared" si="574"/>
        <v>1</v>
      </c>
      <c r="J1197" s="76" t="str">
        <f t="shared" si="574"/>
        <v>Clematis</v>
      </c>
      <c r="K1197" s="76" t="str">
        <f t="shared" si="574"/>
        <v>simense</v>
      </c>
      <c r="L1197" s="77">
        <f t="shared" si="574"/>
        <v>6</v>
      </c>
      <c r="M1197" s="77">
        <f t="shared" si="574"/>
        <v>20</v>
      </c>
      <c r="N1197" s="71">
        <f t="shared" si="574"/>
        <v>0</v>
      </c>
      <c r="O1197" s="44"/>
      <c r="P1197" s="45" t="str">
        <f t="shared" si="555"/>
        <v/>
      </c>
      <c r="Q1197" s="46" t="str">
        <f t="shared" si="556"/>
        <v/>
      </c>
      <c r="R1197" s="47" t="e">
        <f t="shared" si="557"/>
        <v>#VALUE!</v>
      </c>
      <c r="S1197" s="48" t="e">
        <f t="shared" si="546"/>
        <v>#VALUE!</v>
      </c>
      <c r="T1197" s="47" t="str">
        <f t="shared" si="558"/>
        <v/>
      </c>
      <c r="U1197" s="49"/>
      <c r="V1197" s="50"/>
      <c r="W1197" s="51" t="e">
        <f t="shared" si="559"/>
        <v>#VALUE!</v>
      </c>
      <c r="X1197" s="52"/>
      <c r="Y1197" s="52"/>
      <c r="Z1197" s="52"/>
      <c r="AA1197" s="47" t="e">
        <f>INDEX(VISITORS[INSECT ORDER], MATCH(X1197,VISITORS[NAME USED],0))</f>
        <v>#N/A</v>
      </c>
      <c r="AB1197" s="47" t="e">
        <f t="shared" si="560"/>
        <v>#N/A</v>
      </c>
      <c r="AC1197" s="53" t="e">
        <f t="shared" si="561"/>
        <v>#VALUE!</v>
      </c>
      <c r="AD1197" s="54" t="str">
        <f t="shared" si="562"/>
        <v/>
      </c>
      <c r="AE1197" s="54"/>
      <c r="AF1197" s="54"/>
      <c r="AG1197" s="55" t="str">
        <f t="shared" si="563"/>
        <v/>
      </c>
      <c r="AH1197" s="56" t="str">
        <f t="shared" si="564"/>
        <v/>
      </c>
      <c r="AI1197" s="55"/>
      <c r="AJ1197" s="56" t="str">
        <f t="shared" si="565"/>
        <v/>
      </c>
      <c r="AK1197" s="55"/>
      <c r="AL1197" s="56" t="str">
        <f t="shared" si="566"/>
        <v/>
      </c>
      <c r="AM1197" s="55"/>
      <c r="AN1197" s="56" t="str">
        <f t="shared" si="567"/>
        <v/>
      </c>
      <c r="AO1197" s="55"/>
      <c r="AP1197" s="56" t="str">
        <f t="shared" si="568"/>
        <v/>
      </c>
      <c r="AQ1197" s="55"/>
      <c r="AR1197" s="56" t="str">
        <f t="shared" si="569"/>
        <v/>
      </c>
      <c r="AS1197" s="57"/>
      <c r="AT1197" s="58"/>
      <c r="AU1197" s="58"/>
      <c r="AV1197" s="59"/>
      <c r="AW1197" s="60" t="str">
        <f t="shared" si="547"/>
        <v/>
      </c>
      <c r="AX1197" s="61" t="str">
        <f t="shared" si="548"/>
        <v/>
      </c>
      <c r="AY1197" s="60" t="str">
        <f t="shared" si="549"/>
        <v/>
      </c>
      <c r="AZ1197" s="61" t="str">
        <f t="shared" si="550"/>
        <v/>
      </c>
    </row>
    <row r="1198" spans="1:52" s="3" customFormat="1" hidden="1" x14ac:dyDescent="0.35">
      <c r="A1198" s="72">
        <f t="shared" si="551"/>
        <v>2021</v>
      </c>
      <c r="B1198" s="72" t="str">
        <f t="shared" si="552"/>
        <v>Nov</v>
      </c>
      <c r="C1198" s="73">
        <f t="shared" si="570"/>
        <v>15</v>
      </c>
      <c r="D1198" s="74">
        <f t="shared" si="553"/>
        <v>11</v>
      </c>
      <c r="E1198" s="75">
        <f t="shared" si="554"/>
        <v>54</v>
      </c>
      <c r="F1198" s="79"/>
      <c r="G1198" s="82"/>
      <c r="H1198" s="68" t="str">
        <f t="shared" si="571"/>
        <v>Clesim6_20211115_11_00</v>
      </c>
      <c r="I1198" s="69">
        <f t="shared" si="574"/>
        <v>1</v>
      </c>
      <c r="J1198" s="76" t="str">
        <f t="shared" si="574"/>
        <v>Clematis</v>
      </c>
      <c r="K1198" s="76" t="str">
        <f t="shared" si="574"/>
        <v>simense</v>
      </c>
      <c r="L1198" s="77">
        <f t="shared" si="574"/>
        <v>6</v>
      </c>
      <c r="M1198" s="77">
        <f t="shared" si="574"/>
        <v>20</v>
      </c>
      <c r="N1198" s="71">
        <f t="shared" si="574"/>
        <v>0</v>
      </c>
      <c r="O1198" s="44"/>
      <c r="P1198" s="45" t="str">
        <f t="shared" si="555"/>
        <v/>
      </c>
      <c r="Q1198" s="46" t="str">
        <f t="shared" si="556"/>
        <v/>
      </c>
      <c r="R1198" s="47" t="e">
        <f t="shared" si="557"/>
        <v>#VALUE!</v>
      </c>
      <c r="S1198" s="48" t="e">
        <f t="shared" si="546"/>
        <v>#VALUE!</v>
      </c>
      <c r="T1198" s="47" t="str">
        <f t="shared" si="558"/>
        <v/>
      </c>
      <c r="U1198" s="49"/>
      <c r="V1198" s="50"/>
      <c r="W1198" s="51" t="e">
        <f t="shared" si="559"/>
        <v>#VALUE!</v>
      </c>
      <c r="X1198" s="52"/>
      <c r="Y1198" s="52"/>
      <c r="Z1198" s="52"/>
      <c r="AA1198" s="47" t="e">
        <f>INDEX(VISITORS[INSECT ORDER], MATCH(X1198,VISITORS[NAME USED],0))</f>
        <v>#N/A</v>
      </c>
      <c r="AB1198" s="47" t="e">
        <f t="shared" si="560"/>
        <v>#N/A</v>
      </c>
      <c r="AC1198" s="53" t="e">
        <f t="shared" si="561"/>
        <v>#VALUE!</v>
      </c>
      <c r="AD1198" s="54" t="str">
        <f t="shared" si="562"/>
        <v/>
      </c>
      <c r="AE1198" s="54"/>
      <c r="AF1198" s="54"/>
      <c r="AG1198" s="55" t="str">
        <f t="shared" si="563"/>
        <v/>
      </c>
      <c r="AH1198" s="56" t="str">
        <f t="shared" si="564"/>
        <v/>
      </c>
      <c r="AI1198" s="55"/>
      <c r="AJ1198" s="56" t="str">
        <f t="shared" si="565"/>
        <v/>
      </c>
      <c r="AK1198" s="55"/>
      <c r="AL1198" s="56" t="str">
        <f t="shared" si="566"/>
        <v/>
      </c>
      <c r="AM1198" s="55"/>
      <c r="AN1198" s="56" t="str">
        <f t="shared" si="567"/>
        <v/>
      </c>
      <c r="AO1198" s="55"/>
      <c r="AP1198" s="56" t="str">
        <f t="shared" si="568"/>
        <v/>
      </c>
      <c r="AQ1198" s="55"/>
      <c r="AR1198" s="56" t="str">
        <f t="shared" si="569"/>
        <v/>
      </c>
      <c r="AS1198" s="57"/>
      <c r="AT1198" s="58"/>
      <c r="AU1198" s="58"/>
      <c r="AV1198" s="59"/>
      <c r="AW1198" s="60" t="str">
        <f t="shared" si="547"/>
        <v/>
      </c>
      <c r="AX1198" s="61" t="str">
        <f t="shared" si="548"/>
        <v/>
      </c>
      <c r="AY1198" s="60" t="str">
        <f t="shared" si="549"/>
        <v/>
      </c>
      <c r="AZ1198" s="61" t="str">
        <f t="shared" si="550"/>
        <v/>
      </c>
    </row>
    <row r="1199" spans="1:52" s="3" customFormat="1" hidden="1" x14ac:dyDescent="0.35">
      <c r="A1199" s="72">
        <f t="shared" si="551"/>
        <v>2021</v>
      </c>
      <c r="B1199" s="72" t="str">
        <f t="shared" si="552"/>
        <v>Nov</v>
      </c>
      <c r="C1199" s="73">
        <f t="shared" si="570"/>
        <v>15</v>
      </c>
      <c r="D1199" s="74">
        <f t="shared" si="553"/>
        <v>11</v>
      </c>
      <c r="E1199" s="75">
        <f t="shared" si="554"/>
        <v>55</v>
      </c>
      <c r="F1199" s="79"/>
      <c r="G1199" s="82"/>
      <c r="H1199" s="68" t="str">
        <f t="shared" si="571"/>
        <v>Clesim6_20211115_11_00</v>
      </c>
      <c r="I1199" s="69">
        <f t="shared" si="574"/>
        <v>1</v>
      </c>
      <c r="J1199" s="76" t="str">
        <f t="shared" si="574"/>
        <v>Clematis</v>
      </c>
      <c r="K1199" s="76" t="str">
        <f t="shared" si="574"/>
        <v>simense</v>
      </c>
      <c r="L1199" s="77">
        <f t="shared" si="574"/>
        <v>6</v>
      </c>
      <c r="M1199" s="77">
        <f t="shared" si="574"/>
        <v>20</v>
      </c>
      <c r="N1199" s="71">
        <f t="shared" si="574"/>
        <v>0</v>
      </c>
      <c r="O1199" s="44"/>
      <c r="P1199" s="45" t="str">
        <f t="shared" si="555"/>
        <v/>
      </c>
      <c r="Q1199" s="46" t="str">
        <f t="shared" si="556"/>
        <v/>
      </c>
      <c r="R1199" s="47" t="e">
        <f t="shared" si="557"/>
        <v>#VALUE!</v>
      </c>
      <c r="S1199" s="48" t="e">
        <f t="shared" si="546"/>
        <v>#VALUE!</v>
      </c>
      <c r="T1199" s="47" t="str">
        <f t="shared" si="558"/>
        <v/>
      </c>
      <c r="U1199" s="49"/>
      <c r="V1199" s="50"/>
      <c r="W1199" s="51" t="e">
        <f t="shared" si="559"/>
        <v>#VALUE!</v>
      </c>
      <c r="X1199" s="52"/>
      <c r="Y1199" s="52"/>
      <c r="Z1199" s="52"/>
      <c r="AA1199" s="47" t="e">
        <f>INDEX(VISITORS[INSECT ORDER], MATCH(X1199,VISITORS[NAME USED],0))</f>
        <v>#N/A</v>
      </c>
      <c r="AB1199" s="47" t="e">
        <f t="shared" si="560"/>
        <v>#N/A</v>
      </c>
      <c r="AC1199" s="53" t="e">
        <f t="shared" si="561"/>
        <v>#VALUE!</v>
      </c>
      <c r="AD1199" s="54" t="str">
        <f t="shared" si="562"/>
        <v/>
      </c>
      <c r="AE1199" s="54"/>
      <c r="AF1199" s="54"/>
      <c r="AG1199" s="55" t="str">
        <f t="shared" si="563"/>
        <v/>
      </c>
      <c r="AH1199" s="56" t="str">
        <f t="shared" si="564"/>
        <v/>
      </c>
      <c r="AI1199" s="55"/>
      <c r="AJ1199" s="56" t="str">
        <f t="shared" si="565"/>
        <v/>
      </c>
      <c r="AK1199" s="55"/>
      <c r="AL1199" s="56" t="str">
        <f t="shared" si="566"/>
        <v/>
      </c>
      <c r="AM1199" s="55"/>
      <c r="AN1199" s="56" t="str">
        <f t="shared" si="567"/>
        <v/>
      </c>
      <c r="AO1199" s="55"/>
      <c r="AP1199" s="56" t="str">
        <f t="shared" si="568"/>
        <v/>
      </c>
      <c r="AQ1199" s="55"/>
      <c r="AR1199" s="56" t="str">
        <f t="shared" si="569"/>
        <v/>
      </c>
      <c r="AS1199" s="57"/>
      <c r="AT1199" s="58"/>
      <c r="AU1199" s="58"/>
      <c r="AV1199" s="59"/>
      <c r="AW1199" s="60" t="str">
        <f t="shared" si="547"/>
        <v/>
      </c>
      <c r="AX1199" s="61" t="str">
        <f t="shared" si="548"/>
        <v/>
      </c>
      <c r="AY1199" s="60" t="str">
        <f t="shared" si="549"/>
        <v/>
      </c>
      <c r="AZ1199" s="61" t="str">
        <f t="shared" si="550"/>
        <v/>
      </c>
    </row>
    <row r="1200" spans="1:52" s="3" customFormat="1" hidden="1" x14ac:dyDescent="0.35">
      <c r="A1200" s="72">
        <f t="shared" si="551"/>
        <v>2021</v>
      </c>
      <c r="B1200" s="72" t="str">
        <f t="shared" si="552"/>
        <v>Nov</v>
      </c>
      <c r="C1200" s="73">
        <f t="shared" si="570"/>
        <v>15</v>
      </c>
      <c r="D1200" s="74">
        <f t="shared" si="553"/>
        <v>11</v>
      </c>
      <c r="E1200" s="75">
        <f t="shared" si="554"/>
        <v>56</v>
      </c>
      <c r="F1200" s="79"/>
      <c r="G1200" s="82"/>
      <c r="H1200" s="68" t="str">
        <f t="shared" si="571"/>
        <v>Clesim6_20211115_11_00</v>
      </c>
      <c r="I1200" s="69">
        <f t="shared" si="574"/>
        <v>1</v>
      </c>
      <c r="J1200" s="76" t="str">
        <f t="shared" si="574"/>
        <v>Clematis</v>
      </c>
      <c r="K1200" s="76" t="str">
        <f t="shared" si="574"/>
        <v>simense</v>
      </c>
      <c r="L1200" s="77">
        <f t="shared" si="574"/>
        <v>6</v>
      </c>
      <c r="M1200" s="77">
        <f t="shared" si="574"/>
        <v>20</v>
      </c>
      <c r="N1200" s="71">
        <f t="shared" si="574"/>
        <v>0</v>
      </c>
      <c r="O1200" s="44"/>
      <c r="P1200" s="45" t="str">
        <f t="shared" si="555"/>
        <v/>
      </c>
      <c r="Q1200" s="46" t="str">
        <f t="shared" si="556"/>
        <v/>
      </c>
      <c r="R1200" s="47" t="e">
        <f t="shared" si="557"/>
        <v>#VALUE!</v>
      </c>
      <c r="S1200" s="48" t="e">
        <f t="shared" si="546"/>
        <v>#VALUE!</v>
      </c>
      <c r="T1200" s="47" t="str">
        <f t="shared" si="558"/>
        <v/>
      </c>
      <c r="U1200" s="49"/>
      <c r="V1200" s="50"/>
      <c r="W1200" s="51" t="e">
        <f t="shared" si="559"/>
        <v>#VALUE!</v>
      </c>
      <c r="X1200" s="52"/>
      <c r="Y1200" s="52"/>
      <c r="Z1200" s="52"/>
      <c r="AA1200" s="47" t="e">
        <f>INDEX(VISITORS[INSECT ORDER], MATCH(X1200,VISITORS[NAME USED],0))</f>
        <v>#N/A</v>
      </c>
      <c r="AB1200" s="47" t="e">
        <f t="shared" si="560"/>
        <v>#N/A</v>
      </c>
      <c r="AC1200" s="53" t="e">
        <f t="shared" si="561"/>
        <v>#VALUE!</v>
      </c>
      <c r="AD1200" s="54" t="str">
        <f t="shared" si="562"/>
        <v/>
      </c>
      <c r="AE1200" s="54"/>
      <c r="AF1200" s="54"/>
      <c r="AG1200" s="55" t="str">
        <f t="shared" si="563"/>
        <v/>
      </c>
      <c r="AH1200" s="56" t="str">
        <f t="shared" si="564"/>
        <v/>
      </c>
      <c r="AI1200" s="55"/>
      <c r="AJ1200" s="56" t="str">
        <f t="shared" si="565"/>
        <v/>
      </c>
      <c r="AK1200" s="55"/>
      <c r="AL1200" s="56" t="str">
        <f t="shared" si="566"/>
        <v/>
      </c>
      <c r="AM1200" s="55"/>
      <c r="AN1200" s="56" t="str">
        <f t="shared" si="567"/>
        <v/>
      </c>
      <c r="AO1200" s="55"/>
      <c r="AP1200" s="56" t="str">
        <f t="shared" si="568"/>
        <v/>
      </c>
      <c r="AQ1200" s="55"/>
      <c r="AR1200" s="56" t="str">
        <f t="shared" si="569"/>
        <v/>
      </c>
      <c r="AS1200" s="57"/>
      <c r="AT1200" s="58"/>
      <c r="AU1200" s="58"/>
      <c r="AV1200" s="59"/>
      <c r="AW1200" s="60" t="str">
        <f t="shared" si="547"/>
        <v/>
      </c>
      <c r="AX1200" s="61" t="str">
        <f t="shared" si="548"/>
        <v/>
      </c>
      <c r="AY1200" s="60" t="str">
        <f t="shared" si="549"/>
        <v/>
      </c>
      <c r="AZ1200" s="61" t="str">
        <f t="shared" si="550"/>
        <v/>
      </c>
    </row>
    <row r="1201" spans="1:52" s="3" customFormat="1" hidden="1" x14ac:dyDescent="0.35">
      <c r="A1201" s="72">
        <f t="shared" si="551"/>
        <v>2021</v>
      </c>
      <c r="B1201" s="72" t="str">
        <f t="shared" si="552"/>
        <v>Nov</v>
      </c>
      <c r="C1201" s="73">
        <f t="shared" si="570"/>
        <v>15</v>
      </c>
      <c r="D1201" s="74">
        <f t="shared" si="553"/>
        <v>11</v>
      </c>
      <c r="E1201" s="75">
        <f t="shared" si="554"/>
        <v>57</v>
      </c>
      <c r="F1201" s="79"/>
      <c r="G1201" s="82"/>
      <c r="H1201" s="68" t="str">
        <f t="shared" si="571"/>
        <v>Clesim6_20211115_11_00</v>
      </c>
      <c r="I1201" s="69">
        <f t="shared" si="574"/>
        <v>1</v>
      </c>
      <c r="J1201" s="76" t="str">
        <f t="shared" si="574"/>
        <v>Clematis</v>
      </c>
      <c r="K1201" s="76" t="str">
        <f t="shared" si="574"/>
        <v>simense</v>
      </c>
      <c r="L1201" s="77">
        <f t="shared" si="574"/>
        <v>6</v>
      </c>
      <c r="M1201" s="77">
        <f t="shared" si="574"/>
        <v>20</v>
      </c>
      <c r="N1201" s="71">
        <f t="shared" si="574"/>
        <v>0</v>
      </c>
      <c r="O1201" s="44"/>
      <c r="P1201" s="45" t="str">
        <f t="shared" si="555"/>
        <v/>
      </c>
      <c r="Q1201" s="46" t="str">
        <f t="shared" si="556"/>
        <v/>
      </c>
      <c r="R1201" s="47" t="e">
        <f t="shared" si="557"/>
        <v>#VALUE!</v>
      </c>
      <c r="S1201" s="48" t="e">
        <f t="shared" si="546"/>
        <v>#VALUE!</v>
      </c>
      <c r="T1201" s="47" t="str">
        <f t="shared" si="558"/>
        <v/>
      </c>
      <c r="U1201" s="49"/>
      <c r="V1201" s="50"/>
      <c r="W1201" s="51" t="e">
        <f t="shared" si="559"/>
        <v>#VALUE!</v>
      </c>
      <c r="X1201" s="52"/>
      <c r="Y1201" s="52"/>
      <c r="Z1201" s="52"/>
      <c r="AA1201" s="47" t="e">
        <f>INDEX(VISITORS[INSECT ORDER], MATCH(X1201,VISITORS[NAME USED],0))</f>
        <v>#N/A</v>
      </c>
      <c r="AB1201" s="47" t="e">
        <f t="shared" si="560"/>
        <v>#N/A</v>
      </c>
      <c r="AC1201" s="53" t="e">
        <f t="shared" si="561"/>
        <v>#VALUE!</v>
      </c>
      <c r="AD1201" s="54" t="str">
        <f t="shared" si="562"/>
        <v/>
      </c>
      <c r="AE1201" s="54"/>
      <c r="AF1201" s="54"/>
      <c r="AG1201" s="55" t="str">
        <f t="shared" si="563"/>
        <v/>
      </c>
      <c r="AH1201" s="56" t="str">
        <f t="shared" si="564"/>
        <v/>
      </c>
      <c r="AI1201" s="55"/>
      <c r="AJ1201" s="56" t="str">
        <f t="shared" si="565"/>
        <v/>
      </c>
      <c r="AK1201" s="55"/>
      <c r="AL1201" s="56" t="str">
        <f t="shared" si="566"/>
        <v/>
      </c>
      <c r="AM1201" s="55"/>
      <c r="AN1201" s="56" t="str">
        <f t="shared" si="567"/>
        <v/>
      </c>
      <c r="AO1201" s="55"/>
      <c r="AP1201" s="56" t="str">
        <f t="shared" si="568"/>
        <v/>
      </c>
      <c r="AQ1201" s="55"/>
      <c r="AR1201" s="56" t="str">
        <f t="shared" si="569"/>
        <v/>
      </c>
      <c r="AS1201" s="57"/>
      <c r="AT1201" s="58"/>
      <c r="AU1201" s="58"/>
      <c r="AV1201" s="59"/>
      <c r="AW1201" s="60" t="str">
        <f t="shared" si="547"/>
        <v/>
      </c>
      <c r="AX1201" s="61" t="str">
        <f t="shared" si="548"/>
        <v/>
      </c>
      <c r="AY1201" s="60" t="str">
        <f t="shared" si="549"/>
        <v/>
      </c>
      <c r="AZ1201" s="61" t="str">
        <f t="shared" si="550"/>
        <v/>
      </c>
    </row>
    <row r="1202" spans="1:52" s="3" customFormat="1" hidden="1" x14ac:dyDescent="0.35">
      <c r="A1202" s="72">
        <f t="shared" si="551"/>
        <v>2021</v>
      </c>
      <c r="B1202" s="72" t="str">
        <f t="shared" si="552"/>
        <v>Nov</v>
      </c>
      <c r="C1202" s="73">
        <f t="shared" si="570"/>
        <v>15</v>
      </c>
      <c r="D1202" s="74">
        <f t="shared" si="553"/>
        <v>11</v>
      </c>
      <c r="E1202" s="75">
        <f t="shared" si="554"/>
        <v>58</v>
      </c>
      <c r="F1202" s="79"/>
      <c r="G1202" s="82"/>
      <c r="H1202" s="68" t="str">
        <f t="shared" si="571"/>
        <v>Clesim6_20211115_11_00</v>
      </c>
      <c r="I1202" s="69">
        <f t="shared" si="574"/>
        <v>1</v>
      </c>
      <c r="J1202" s="76" t="str">
        <f t="shared" si="574"/>
        <v>Clematis</v>
      </c>
      <c r="K1202" s="76" t="str">
        <f t="shared" si="574"/>
        <v>simense</v>
      </c>
      <c r="L1202" s="77">
        <f t="shared" si="574"/>
        <v>6</v>
      </c>
      <c r="M1202" s="77">
        <f t="shared" si="574"/>
        <v>20</v>
      </c>
      <c r="N1202" s="71">
        <f t="shared" si="574"/>
        <v>0</v>
      </c>
      <c r="O1202" s="44"/>
      <c r="P1202" s="45" t="str">
        <f t="shared" si="555"/>
        <v/>
      </c>
      <c r="Q1202" s="46" t="str">
        <f t="shared" si="556"/>
        <v/>
      </c>
      <c r="R1202" s="47" t="e">
        <f t="shared" si="557"/>
        <v>#VALUE!</v>
      </c>
      <c r="S1202" s="48" t="e">
        <f t="shared" si="546"/>
        <v>#VALUE!</v>
      </c>
      <c r="T1202" s="47" t="str">
        <f t="shared" si="558"/>
        <v/>
      </c>
      <c r="U1202" s="49"/>
      <c r="V1202" s="50"/>
      <c r="W1202" s="51" t="e">
        <f t="shared" si="559"/>
        <v>#VALUE!</v>
      </c>
      <c r="X1202" s="52"/>
      <c r="Y1202" s="52"/>
      <c r="Z1202" s="52"/>
      <c r="AA1202" s="47" t="e">
        <f>INDEX(VISITORS[INSECT ORDER], MATCH(X1202,VISITORS[NAME USED],0))</f>
        <v>#N/A</v>
      </c>
      <c r="AB1202" s="47" t="e">
        <f t="shared" si="560"/>
        <v>#N/A</v>
      </c>
      <c r="AC1202" s="53" t="e">
        <f t="shared" si="561"/>
        <v>#VALUE!</v>
      </c>
      <c r="AD1202" s="54" t="str">
        <f t="shared" si="562"/>
        <v/>
      </c>
      <c r="AE1202" s="54"/>
      <c r="AF1202" s="54"/>
      <c r="AG1202" s="55" t="str">
        <f t="shared" si="563"/>
        <v/>
      </c>
      <c r="AH1202" s="56" t="str">
        <f t="shared" si="564"/>
        <v/>
      </c>
      <c r="AI1202" s="55"/>
      <c r="AJ1202" s="56" t="str">
        <f t="shared" si="565"/>
        <v/>
      </c>
      <c r="AK1202" s="55"/>
      <c r="AL1202" s="56" t="str">
        <f t="shared" si="566"/>
        <v/>
      </c>
      <c r="AM1202" s="55"/>
      <c r="AN1202" s="56" t="str">
        <f t="shared" si="567"/>
        <v/>
      </c>
      <c r="AO1202" s="55"/>
      <c r="AP1202" s="56" t="str">
        <f t="shared" si="568"/>
        <v/>
      </c>
      <c r="AQ1202" s="55"/>
      <c r="AR1202" s="56" t="str">
        <f t="shared" si="569"/>
        <v/>
      </c>
      <c r="AS1202" s="57"/>
      <c r="AT1202" s="58"/>
      <c r="AU1202" s="58"/>
      <c r="AV1202" s="59"/>
      <c r="AW1202" s="60" t="str">
        <f t="shared" si="547"/>
        <v/>
      </c>
      <c r="AX1202" s="61" t="str">
        <f t="shared" si="548"/>
        <v/>
      </c>
      <c r="AY1202" s="60" t="str">
        <f t="shared" si="549"/>
        <v/>
      </c>
      <c r="AZ1202" s="61" t="str">
        <f t="shared" si="550"/>
        <v/>
      </c>
    </row>
    <row r="1203" spans="1:52" s="3" customFormat="1" hidden="1" x14ac:dyDescent="0.35">
      <c r="A1203" s="72">
        <f t="shared" si="551"/>
        <v>2021</v>
      </c>
      <c r="B1203" s="72" t="str">
        <f t="shared" si="552"/>
        <v>Nov</v>
      </c>
      <c r="C1203" s="73">
        <f t="shared" si="570"/>
        <v>15</v>
      </c>
      <c r="D1203" s="74">
        <f t="shared" si="553"/>
        <v>11</v>
      </c>
      <c r="E1203" s="75">
        <f t="shared" si="554"/>
        <v>59</v>
      </c>
      <c r="F1203" s="79"/>
      <c r="G1203" s="82"/>
      <c r="H1203" s="68" t="str">
        <f t="shared" si="571"/>
        <v>Clesim6_20211115_11_00</v>
      </c>
      <c r="I1203" s="69">
        <f t="shared" si="574"/>
        <v>1</v>
      </c>
      <c r="J1203" s="76" t="str">
        <f t="shared" si="574"/>
        <v>Clematis</v>
      </c>
      <c r="K1203" s="76" t="str">
        <f t="shared" si="574"/>
        <v>simense</v>
      </c>
      <c r="L1203" s="77">
        <f t="shared" si="574"/>
        <v>6</v>
      </c>
      <c r="M1203" s="77">
        <f t="shared" si="574"/>
        <v>20</v>
      </c>
      <c r="N1203" s="71">
        <f t="shared" si="574"/>
        <v>0</v>
      </c>
      <c r="O1203" s="44"/>
      <c r="P1203" s="45" t="str">
        <f t="shared" si="555"/>
        <v/>
      </c>
      <c r="Q1203" s="46" t="str">
        <f t="shared" si="556"/>
        <v/>
      </c>
      <c r="R1203" s="47" t="e">
        <f t="shared" si="557"/>
        <v>#VALUE!</v>
      </c>
      <c r="S1203" s="48" t="e">
        <f t="shared" si="546"/>
        <v>#VALUE!</v>
      </c>
      <c r="T1203" s="47" t="str">
        <f t="shared" si="558"/>
        <v/>
      </c>
      <c r="U1203" s="49"/>
      <c r="V1203" s="50"/>
      <c r="W1203" s="51" t="e">
        <f t="shared" si="559"/>
        <v>#VALUE!</v>
      </c>
      <c r="X1203" s="52"/>
      <c r="Y1203" s="52"/>
      <c r="Z1203" s="52"/>
      <c r="AA1203" s="47" t="e">
        <f>INDEX(VISITORS[INSECT ORDER], MATCH(X1203,VISITORS[NAME USED],0))</f>
        <v>#N/A</v>
      </c>
      <c r="AB1203" s="47" t="e">
        <f t="shared" si="560"/>
        <v>#N/A</v>
      </c>
      <c r="AC1203" s="53" t="e">
        <f t="shared" si="561"/>
        <v>#VALUE!</v>
      </c>
      <c r="AD1203" s="54" t="str">
        <f t="shared" si="562"/>
        <v/>
      </c>
      <c r="AE1203" s="54"/>
      <c r="AF1203" s="54"/>
      <c r="AG1203" s="55" t="str">
        <f t="shared" si="563"/>
        <v/>
      </c>
      <c r="AH1203" s="56" t="str">
        <f t="shared" si="564"/>
        <v/>
      </c>
      <c r="AI1203" s="55"/>
      <c r="AJ1203" s="56" t="str">
        <f t="shared" si="565"/>
        <v/>
      </c>
      <c r="AK1203" s="55"/>
      <c r="AL1203" s="56" t="str">
        <f t="shared" si="566"/>
        <v/>
      </c>
      <c r="AM1203" s="55"/>
      <c r="AN1203" s="56" t="str">
        <f t="shared" si="567"/>
        <v/>
      </c>
      <c r="AO1203" s="55"/>
      <c r="AP1203" s="56" t="str">
        <f t="shared" si="568"/>
        <v/>
      </c>
      <c r="AQ1203" s="55"/>
      <c r="AR1203" s="56" t="str">
        <f t="shared" si="569"/>
        <v/>
      </c>
      <c r="AS1203" s="57"/>
      <c r="AT1203" s="58"/>
      <c r="AU1203" s="58"/>
      <c r="AV1203" s="59"/>
      <c r="AW1203" s="60" t="str">
        <f t="shared" si="547"/>
        <v/>
      </c>
      <c r="AX1203" s="61" t="str">
        <f t="shared" si="548"/>
        <v/>
      </c>
      <c r="AY1203" s="60" t="str">
        <f t="shared" si="549"/>
        <v/>
      </c>
      <c r="AZ1203" s="61" t="str">
        <f t="shared" si="550"/>
        <v/>
      </c>
    </row>
    <row r="1204" spans="1:52" s="3" customFormat="1" hidden="1" x14ac:dyDescent="0.35">
      <c r="A1204" s="72">
        <f t="shared" si="551"/>
        <v>2021</v>
      </c>
      <c r="B1204" s="72" t="str">
        <f t="shared" si="552"/>
        <v>Nov</v>
      </c>
      <c r="C1204" s="73">
        <f t="shared" si="570"/>
        <v>15</v>
      </c>
      <c r="D1204" s="74">
        <f t="shared" si="553"/>
        <v>12</v>
      </c>
      <c r="E1204" s="75">
        <f t="shared" si="554"/>
        <v>0</v>
      </c>
      <c r="F1204" s="79"/>
      <c r="G1204" s="82"/>
      <c r="H1204" s="68" t="str">
        <f t="shared" si="571"/>
        <v>Clesim6_20211115_12_00</v>
      </c>
      <c r="I1204" s="69">
        <f t="shared" si="574"/>
        <v>1</v>
      </c>
      <c r="J1204" s="76" t="str">
        <f t="shared" si="574"/>
        <v>Clematis</v>
      </c>
      <c r="K1204" s="76" t="str">
        <f t="shared" si="574"/>
        <v>simense</v>
      </c>
      <c r="L1204" s="77">
        <f t="shared" si="574"/>
        <v>6</v>
      </c>
      <c r="M1204" s="77">
        <f t="shared" si="574"/>
        <v>20</v>
      </c>
      <c r="N1204" s="71">
        <f t="shared" si="574"/>
        <v>0</v>
      </c>
      <c r="O1204" s="44"/>
      <c r="P1204" s="45" t="str">
        <f t="shared" si="555"/>
        <v/>
      </c>
      <c r="Q1204" s="46" t="str">
        <f t="shared" si="556"/>
        <v/>
      </c>
      <c r="R1204" s="47" t="e">
        <f t="shared" si="557"/>
        <v>#VALUE!</v>
      </c>
      <c r="S1204" s="48" t="e">
        <f t="shared" si="546"/>
        <v>#VALUE!</v>
      </c>
      <c r="T1204" s="47" t="str">
        <f t="shared" si="558"/>
        <v/>
      </c>
      <c r="U1204" s="49"/>
      <c r="V1204" s="50"/>
      <c r="W1204" s="51" t="e">
        <f t="shared" si="559"/>
        <v>#VALUE!</v>
      </c>
      <c r="X1204" s="52"/>
      <c r="Y1204" s="52"/>
      <c r="Z1204" s="52"/>
      <c r="AA1204" s="47" t="e">
        <f>INDEX(VISITORS[INSECT ORDER], MATCH(X1204,VISITORS[NAME USED],0))</f>
        <v>#N/A</v>
      </c>
      <c r="AB1204" s="47" t="e">
        <f t="shared" si="560"/>
        <v>#N/A</v>
      </c>
      <c r="AC1204" s="53" t="e">
        <f t="shared" si="561"/>
        <v>#VALUE!</v>
      </c>
      <c r="AD1204" s="54" t="str">
        <f t="shared" si="562"/>
        <v/>
      </c>
      <c r="AE1204" s="54"/>
      <c r="AF1204" s="54"/>
      <c r="AG1204" s="55" t="str">
        <f t="shared" si="563"/>
        <v/>
      </c>
      <c r="AH1204" s="56" t="str">
        <f t="shared" si="564"/>
        <v/>
      </c>
      <c r="AI1204" s="55"/>
      <c r="AJ1204" s="56" t="str">
        <f t="shared" si="565"/>
        <v/>
      </c>
      <c r="AK1204" s="55"/>
      <c r="AL1204" s="56" t="str">
        <f t="shared" si="566"/>
        <v/>
      </c>
      <c r="AM1204" s="55"/>
      <c r="AN1204" s="56" t="str">
        <f t="shared" si="567"/>
        <v/>
      </c>
      <c r="AO1204" s="55"/>
      <c r="AP1204" s="56" t="str">
        <f t="shared" si="568"/>
        <v/>
      </c>
      <c r="AQ1204" s="55"/>
      <c r="AR1204" s="56" t="str">
        <f t="shared" si="569"/>
        <v/>
      </c>
      <c r="AS1204" s="57"/>
      <c r="AT1204" s="58"/>
      <c r="AU1204" s="58"/>
      <c r="AV1204" s="59"/>
      <c r="AW1204" s="60" t="str">
        <f t="shared" si="547"/>
        <v/>
      </c>
      <c r="AX1204" s="61" t="str">
        <f t="shared" si="548"/>
        <v/>
      </c>
      <c r="AY1204" s="60" t="str">
        <f t="shared" si="549"/>
        <v/>
      </c>
      <c r="AZ1204" s="61" t="str">
        <f t="shared" si="550"/>
        <v/>
      </c>
    </row>
    <row r="1205" spans="1:52" s="3" customFormat="1" hidden="1" x14ac:dyDescent="0.35">
      <c r="A1205" s="72">
        <f t="shared" si="551"/>
        <v>2021</v>
      </c>
      <c r="B1205" s="72" t="str">
        <f t="shared" si="552"/>
        <v>Nov</v>
      </c>
      <c r="C1205" s="73">
        <f t="shared" si="570"/>
        <v>15</v>
      </c>
      <c r="D1205" s="74">
        <f t="shared" si="553"/>
        <v>12</v>
      </c>
      <c r="E1205" s="75">
        <f t="shared" si="554"/>
        <v>1</v>
      </c>
      <c r="F1205" s="79"/>
      <c r="G1205" s="82"/>
      <c r="H1205" s="68" t="str">
        <f t="shared" si="571"/>
        <v>Clesim6_20211115_12_00</v>
      </c>
      <c r="I1205" s="69">
        <f t="shared" si="574"/>
        <v>1</v>
      </c>
      <c r="J1205" s="76" t="str">
        <f t="shared" si="574"/>
        <v>Clematis</v>
      </c>
      <c r="K1205" s="76" t="str">
        <f t="shared" si="574"/>
        <v>simense</v>
      </c>
      <c r="L1205" s="77">
        <f t="shared" si="574"/>
        <v>6</v>
      </c>
      <c r="M1205" s="77">
        <f t="shared" si="574"/>
        <v>20</v>
      </c>
      <c r="N1205" s="71">
        <f t="shared" si="574"/>
        <v>0</v>
      </c>
      <c r="O1205" s="44"/>
      <c r="P1205" s="45" t="str">
        <f t="shared" si="555"/>
        <v/>
      </c>
      <c r="Q1205" s="46" t="str">
        <f t="shared" si="556"/>
        <v/>
      </c>
      <c r="R1205" s="47" t="e">
        <f t="shared" si="557"/>
        <v>#VALUE!</v>
      </c>
      <c r="S1205" s="48" t="e">
        <f t="shared" si="546"/>
        <v>#VALUE!</v>
      </c>
      <c r="T1205" s="47" t="str">
        <f t="shared" si="558"/>
        <v/>
      </c>
      <c r="U1205" s="49"/>
      <c r="V1205" s="50"/>
      <c r="W1205" s="51" t="e">
        <f t="shared" si="559"/>
        <v>#VALUE!</v>
      </c>
      <c r="X1205" s="52"/>
      <c r="Y1205" s="52"/>
      <c r="Z1205" s="52"/>
      <c r="AA1205" s="47" t="e">
        <f>INDEX(VISITORS[INSECT ORDER], MATCH(X1205,VISITORS[NAME USED],0))</f>
        <v>#N/A</v>
      </c>
      <c r="AB1205" s="47" t="e">
        <f t="shared" si="560"/>
        <v>#N/A</v>
      </c>
      <c r="AC1205" s="53" t="e">
        <f t="shared" si="561"/>
        <v>#VALUE!</v>
      </c>
      <c r="AD1205" s="54" t="str">
        <f t="shared" si="562"/>
        <v/>
      </c>
      <c r="AE1205" s="54"/>
      <c r="AF1205" s="54"/>
      <c r="AG1205" s="55" t="str">
        <f t="shared" si="563"/>
        <v/>
      </c>
      <c r="AH1205" s="56" t="str">
        <f t="shared" si="564"/>
        <v/>
      </c>
      <c r="AI1205" s="55"/>
      <c r="AJ1205" s="56" t="str">
        <f t="shared" si="565"/>
        <v/>
      </c>
      <c r="AK1205" s="55"/>
      <c r="AL1205" s="56" t="str">
        <f t="shared" si="566"/>
        <v/>
      </c>
      <c r="AM1205" s="55"/>
      <c r="AN1205" s="56" t="str">
        <f t="shared" si="567"/>
        <v/>
      </c>
      <c r="AO1205" s="55"/>
      <c r="AP1205" s="56" t="str">
        <f t="shared" si="568"/>
        <v/>
      </c>
      <c r="AQ1205" s="55"/>
      <c r="AR1205" s="56" t="str">
        <f t="shared" si="569"/>
        <v/>
      </c>
      <c r="AS1205" s="57"/>
      <c r="AT1205" s="58"/>
      <c r="AU1205" s="58"/>
      <c r="AV1205" s="59"/>
      <c r="AW1205" s="60" t="str">
        <f t="shared" si="547"/>
        <v/>
      </c>
      <c r="AX1205" s="61" t="str">
        <f t="shared" si="548"/>
        <v/>
      </c>
      <c r="AY1205" s="60" t="str">
        <f t="shared" si="549"/>
        <v/>
      </c>
      <c r="AZ1205" s="61" t="str">
        <f t="shared" si="550"/>
        <v/>
      </c>
    </row>
    <row r="1206" spans="1:52" s="3" customFormat="1" hidden="1" x14ac:dyDescent="0.35">
      <c r="A1206" s="72">
        <f t="shared" si="551"/>
        <v>2021</v>
      </c>
      <c r="B1206" s="72" t="str">
        <f t="shared" si="552"/>
        <v>Nov</v>
      </c>
      <c r="C1206" s="73">
        <f t="shared" si="570"/>
        <v>15</v>
      </c>
      <c r="D1206" s="74">
        <f t="shared" si="553"/>
        <v>12</v>
      </c>
      <c r="E1206" s="75">
        <f t="shared" si="554"/>
        <v>2</v>
      </c>
      <c r="F1206" s="79"/>
      <c r="G1206" s="82"/>
      <c r="H1206" s="68" t="str">
        <f t="shared" si="571"/>
        <v>Clesim6_20211115_12_00</v>
      </c>
      <c r="I1206" s="69">
        <f t="shared" ref="I1206:N1221" si="575">I1205</f>
        <v>1</v>
      </c>
      <c r="J1206" s="76" t="str">
        <f t="shared" si="575"/>
        <v>Clematis</v>
      </c>
      <c r="K1206" s="76" t="str">
        <f t="shared" si="575"/>
        <v>simense</v>
      </c>
      <c r="L1206" s="77">
        <f t="shared" si="575"/>
        <v>6</v>
      </c>
      <c r="M1206" s="77">
        <f t="shared" si="575"/>
        <v>20</v>
      </c>
      <c r="N1206" s="71">
        <f t="shared" si="575"/>
        <v>0</v>
      </c>
      <c r="O1206" s="44"/>
      <c r="P1206" s="45" t="str">
        <f t="shared" si="555"/>
        <v/>
      </c>
      <c r="Q1206" s="46" t="str">
        <f t="shared" si="556"/>
        <v/>
      </c>
      <c r="R1206" s="47" t="e">
        <f t="shared" si="557"/>
        <v>#VALUE!</v>
      </c>
      <c r="S1206" s="48" t="e">
        <f t="shared" si="546"/>
        <v>#VALUE!</v>
      </c>
      <c r="T1206" s="47" t="str">
        <f t="shared" si="558"/>
        <v/>
      </c>
      <c r="U1206" s="49"/>
      <c r="V1206" s="50"/>
      <c r="W1206" s="51" t="e">
        <f t="shared" si="559"/>
        <v>#VALUE!</v>
      </c>
      <c r="X1206" s="52"/>
      <c r="Y1206" s="52"/>
      <c r="Z1206" s="52"/>
      <c r="AA1206" s="47" t="e">
        <f>INDEX(VISITORS[INSECT ORDER], MATCH(X1206,VISITORS[NAME USED],0))</f>
        <v>#N/A</v>
      </c>
      <c r="AB1206" s="47" t="e">
        <f t="shared" si="560"/>
        <v>#N/A</v>
      </c>
      <c r="AC1206" s="53" t="e">
        <f t="shared" si="561"/>
        <v>#VALUE!</v>
      </c>
      <c r="AD1206" s="54" t="str">
        <f t="shared" si="562"/>
        <v/>
      </c>
      <c r="AE1206" s="54"/>
      <c r="AF1206" s="54"/>
      <c r="AG1206" s="55" t="str">
        <f t="shared" si="563"/>
        <v/>
      </c>
      <c r="AH1206" s="56" t="str">
        <f t="shared" si="564"/>
        <v/>
      </c>
      <c r="AI1206" s="55"/>
      <c r="AJ1206" s="56" t="str">
        <f t="shared" si="565"/>
        <v/>
      </c>
      <c r="AK1206" s="55"/>
      <c r="AL1206" s="56" t="str">
        <f t="shared" si="566"/>
        <v/>
      </c>
      <c r="AM1206" s="55"/>
      <c r="AN1206" s="56" t="str">
        <f t="shared" si="567"/>
        <v/>
      </c>
      <c r="AO1206" s="55"/>
      <c r="AP1206" s="56" t="str">
        <f t="shared" si="568"/>
        <v/>
      </c>
      <c r="AQ1206" s="55"/>
      <c r="AR1206" s="56" t="str">
        <f t="shared" si="569"/>
        <v/>
      </c>
      <c r="AS1206" s="57"/>
      <c r="AT1206" s="58"/>
      <c r="AU1206" s="58"/>
      <c r="AV1206" s="59"/>
      <c r="AW1206" s="60" t="str">
        <f t="shared" si="547"/>
        <v/>
      </c>
      <c r="AX1206" s="61" t="str">
        <f t="shared" si="548"/>
        <v/>
      </c>
      <c r="AY1206" s="60" t="str">
        <f t="shared" si="549"/>
        <v/>
      </c>
      <c r="AZ1206" s="61" t="str">
        <f t="shared" si="550"/>
        <v/>
      </c>
    </row>
    <row r="1207" spans="1:52" s="3" customFormat="1" hidden="1" x14ac:dyDescent="0.35">
      <c r="A1207" s="72">
        <f t="shared" si="551"/>
        <v>2021</v>
      </c>
      <c r="B1207" s="72" t="str">
        <f t="shared" si="552"/>
        <v>Nov</v>
      </c>
      <c r="C1207" s="73">
        <f t="shared" si="570"/>
        <v>15</v>
      </c>
      <c r="D1207" s="74">
        <f t="shared" si="553"/>
        <v>12</v>
      </c>
      <c r="E1207" s="75">
        <f t="shared" si="554"/>
        <v>3</v>
      </c>
      <c r="F1207" s="79"/>
      <c r="G1207" s="82"/>
      <c r="H1207" s="68" t="str">
        <f t="shared" si="571"/>
        <v>Clesim6_20211115_12_00</v>
      </c>
      <c r="I1207" s="69">
        <f t="shared" si="575"/>
        <v>1</v>
      </c>
      <c r="J1207" s="76" t="str">
        <f t="shared" si="575"/>
        <v>Clematis</v>
      </c>
      <c r="K1207" s="76" t="str">
        <f t="shared" si="575"/>
        <v>simense</v>
      </c>
      <c r="L1207" s="77">
        <f t="shared" si="575"/>
        <v>6</v>
      </c>
      <c r="M1207" s="77">
        <f t="shared" si="575"/>
        <v>20</v>
      </c>
      <c r="N1207" s="71">
        <f t="shared" si="575"/>
        <v>0</v>
      </c>
      <c r="O1207" s="44"/>
      <c r="P1207" s="45" t="str">
        <f t="shared" si="555"/>
        <v/>
      </c>
      <c r="Q1207" s="46" t="str">
        <f t="shared" si="556"/>
        <v/>
      </c>
      <c r="R1207" s="47" t="e">
        <f t="shared" si="557"/>
        <v>#VALUE!</v>
      </c>
      <c r="S1207" s="48" t="e">
        <f t="shared" si="546"/>
        <v>#VALUE!</v>
      </c>
      <c r="T1207" s="47" t="str">
        <f t="shared" si="558"/>
        <v/>
      </c>
      <c r="U1207" s="49"/>
      <c r="V1207" s="50"/>
      <c r="W1207" s="51" t="e">
        <f t="shared" si="559"/>
        <v>#VALUE!</v>
      </c>
      <c r="X1207" s="52"/>
      <c r="Y1207" s="52"/>
      <c r="Z1207" s="52"/>
      <c r="AA1207" s="47" t="e">
        <f>INDEX(VISITORS[INSECT ORDER], MATCH(X1207,VISITORS[NAME USED],0))</f>
        <v>#N/A</v>
      </c>
      <c r="AB1207" s="47" t="e">
        <f t="shared" si="560"/>
        <v>#N/A</v>
      </c>
      <c r="AC1207" s="53" t="e">
        <f t="shared" si="561"/>
        <v>#VALUE!</v>
      </c>
      <c r="AD1207" s="54" t="str">
        <f t="shared" si="562"/>
        <v/>
      </c>
      <c r="AE1207" s="54"/>
      <c r="AF1207" s="54"/>
      <c r="AG1207" s="55" t="str">
        <f t="shared" si="563"/>
        <v/>
      </c>
      <c r="AH1207" s="56" t="str">
        <f t="shared" si="564"/>
        <v/>
      </c>
      <c r="AI1207" s="55"/>
      <c r="AJ1207" s="56" t="str">
        <f t="shared" si="565"/>
        <v/>
      </c>
      <c r="AK1207" s="55"/>
      <c r="AL1207" s="56" t="str">
        <f t="shared" si="566"/>
        <v/>
      </c>
      <c r="AM1207" s="55"/>
      <c r="AN1207" s="56" t="str">
        <f t="shared" si="567"/>
        <v/>
      </c>
      <c r="AO1207" s="55"/>
      <c r="AP1207" s="56" t="str">
        <f t="shared" si="568"/>
        <v/>
      </c>
      <c r="AQ1207" s="55"/>
      <c r="AR1207" s="56" t="str">
        <f t="shared" si="569"/>
        <v/>
      </c>
      <c r="AS1207" s="57"/>
      <c r="AT1207" s="58"/>
      <c r="AU1207" s="58"/>
      <c r="AV1207" s="59"/>
      <c r="AW1207" s="60" t="str">
        <f t="shared" si="547"/>
        <v/>
      </c>
      <c r="AX1207" s="61" t="str">
        <f t="shared" si="548"/>
        <v/>
      </c>
      <c r="AY1207" s="60" t="str">
        <f t="shared" si="549"/>
        <v/>
      </c>
      <c r="AZ1207" s="61" t="str">
        <f t="shared" si="550"/>
        <v/>
      </c>
    </row>
    <row r="1208" spans="1:52" s="3" customFormat="1" hidden="1" x14ac:dyDescent="0.35">
      <c r="A1208" s="72">
        <f t="shared" si="551"/>
        <v>2021</v>
      </c>
      <c r="B1208" s="72" t="str">
        <f t="shared" si="552"/>
        <v>Nov</v>
      </c>
      <c r="C1208" s="73">
        <f t="shared" si="570"/>
        <v>15</v>
      </c>
      <c r="D1208" s="74">
        <f t="shared" si="553"/>
        <v>12</v>
      </c>
      <c r="E1208" s="75">
        <f t="shared" si="554"/>
        <v>4</v>
      </c>
      <c r="F1208" s="79"/>
      <c r="G1208" s="82"/>
      <c r="H1208" s="68" t="str">
        <f t="shared" si="571"/>
        <v>Clesim6_20211115_12_00</v>
      </c>
      <c r="I1208" s="69">
        <f t="shared" si="575"/>
        <v>1</v>
      </c>
      <c r="J1208" s="76" t="str">
        <f t="shared" si="575"/>
        <v>Clematis</v>
      </c>
      <c r="K1208" s="76" t="str">
        <f t="shared" si="575"/>
        <v>simense</v>
      </c>
      <c r="L1208" s="77">
        <f t="shared" si="575"/>
        <v>6</v>
      </c>
      <c r="M1208" s="77">
        <f t="shared" si="575"/>
        <v>20</v>
      </c>
      <c r="N1208" s="71">
        <f t="shared" si="575"/>
        <v>0</v>
      </c>
      <c r="O1208" s="44"/>
      <c r="P1208" s="45" t="str">
        <f t="shared" si="555"/>
        <v/>
      </c>
      <c r="Q1208" s="46" t="str">
        <f t="shared" si="556"/>
        <v/>
      </c>
      <c r="R1208" s="47" t="e">
        <f t="shared" si="557"/>
        <v>#VALUE!</v>
      </c>
      <c r="S1208" s="48" t="e">
        <f t="shared" si="546"/>
        <v>#VALUE!</v>
      </c>
      <c r="T1208" s="47" t="str">
        <f t="shared" si="558"/>
        <v/>
      </c>
      <c r="U1208" s="49"/>
      <c r="V1208" s="50"/>
      <c r="W1208" s="51" t="e">
        <f t="shared" si="559"/>
        <v>#VALUE!</v>
      </c>
      <c r="X1208" s="52"/>
      <c r="Y1208" s="52"/>
      <c r="Z1208" s="52"/>
      <c r="AA1208" s="47" t="e">
        <f>INDEX(VISITORS[INSECT ORDER], MATCH(X1208,VISITORS[NAME USED],0))</f>
        <v>#N/A</v>
      </c>
      <c r="AB1208" s="47" t="e">
        <f t="shared" si="560"/>
        <v>#N/A</v>
      </c>
      <c r="AC1208" s="53" t="e">
        <f t="shared" si="561"/>
        <v>#VALUE!</v>
      </c>
      <c r="AD1208" s="54" t="str">
        <f t="shared" si="562"/>
        <v/>
      </c>
      <c r="AE1208" s="54"/>
      <c r="AF1208" s="54"/>
      <c r="AG1208" s="55" t="str">
        <f t="shared" si="563"/>
        <v/>
      </c>
      <c r="AH1208" s="56" t="str">
        <f t="shared" si="564"/>
        <v/>
      </c>
      <c r="AI1208" s="55"/>
      <c r="AJ1208" s="56" t="str">
        <f t="shared" si="565"/>
        <v/>
      </c>
      <c r="AK1208" s="55"/>
      <c r="AL1208" s="56" t="str">
        <f t="shared" si="566"/>
        <v/>
      </c>
      <c r="AM1208" s="55"/>
      <c r="AN1208" s="56" t="str">
        <f t="shared" si="567"/>
        <v/>
      </c>
      <c r="AO1208" s="55"/>
      <c r="AP1208" s="56" t="str">
        <f t="shared" si="568"/>
        <v/>
      </c>
      <c r="AQ1208" s="55"/>
      <c r="AR1208" s="56" t="str">
        <f t="shared" si="569"/>
        <v/>
      </c>
      <c r="AS1208" s="57"/>
      <c r="AT1208" s="58"/>
      <c r="AU1208" s="58"/>
      <c r="AV1208" s="59"/>
      <c r="AW1208" s="60" t="str">
        <f t="shared" si="547"/>
        <v/>
      </c>
      <c r="AX1208" s="61" t="str">
        <f t="shared" si="548"/>
        <v/>
      </c>
      <c r="AY1208" s="60" t="str">
        <f t="shared" si="549"/>
        <v/>
      </c>
      <c r="AZ1208" s="61" t="str">
        <f t="shared" si="550"/>
        <v/>
      </c>
    </row>
    <row r="1209" spans="1:52" s="3" customFormat="1" hidden="1" x14ac:dyDescent="0.35">
      <c r="A1209" s="72">
        <f t="shared" si="551"/>
        <v>2021</v>
      </c>
      <c r="B1209" s="72" t="str">
        <f t="shared" si="552"/>
        <v>Nov</v>
      </c>
      <c r="C1209" s="73">
        <f t="shared" si="570"/>
        <v>15</v>
      </c>
      <c r="D1209" s="74">
        <f t="shared" si="553"/>
        <v>12</v>
      </c>
      <c r="E1209" s="75">
        <f t="shared" si="554"/>
        <v>5</v>
      </c>
      <c r="F1209" s="79"/>
      <c r="G1209" s="82"/>
      <c r="H1209" s="68" t="str">
        <f t="shared" si="571"/>
        <v>Clesim6_20211115_12_00</v>
      </c>
      <c r="I1209" s="69">
        <f t="shared" si="575"/>
        <v>1</v>
      </c>
      <c r="J1209" s="76" t="str">
        <f t="shared" si="575"/>
        <v>Clematis</v>
      </c>
      <c r="K1209" s="76" t="str">
        <f t="shared" si="575"/>
        <v>simense</v>
      </c>
      <c r="L1209" s="77">
        <f t="shared" si="575"/>
        <v>6</v>
      </c>
      <c r="M1209" s="77">
        <f t="shared" si="575"/>
        <v>20</v>
      </c>
      <c r="N1209" s="71">
        <f t="shared" si="575"/>
        <v>0</v>
      </c>
      <c r="O1209" s="44"/>
      <c r="P1209" s="45" t="str">
        <f t="shared" si="555"/>
        <v/>
      </c>
      <c r="Q1209" s="46" t="str">
        <f t="shared" si="556"/>
        <v/>
      </c>
      <c r="R1209" s="47" t="e">
        <f t="shared" si="557"/>
        <v>#VALUE!</v>
      </c>
      <c r="S1209" s="48" t="e">
        <f t="shared" si="546"/>
        <v>#VALUE!</v>
      </c>
      <c r="T1209" s="47" t="str">
        <f t="shared" si="558"/>
        <v/>
      </c>
      <c r="U1209" s="49"/>
      <c r="V1209" s="50"/>
      <c r="W1209" s="51" t="e">
        <f t="shared" si="559"/>
        <v>#VALUE!</v>
      </c>
      <c r="X1209" s="52"/>
      <c r="Y1209" s="52"/>
      <c r="Z1209" s="52"/>
      <c r="AA1209" s="47" t="e">
        <f>INDEX(VISITORS[INSECT ORDER], MATCH(X1209,VISITORS[NAME USED],0))</f>
        <v>#N/A</v>
      </c>
      <c r="AB1209" s="47" t="e">
        <f t="shared" si="560"/>
        <v>#N/A</v>
      </c>
      <c r="AC1209" s="53" t="e">
        <f t="shared" si="561"/>
        <v>#VALUE!</v>
      </c>
      <c r="AD1209" s="54" t="str">
        <f t="shared" si="562"/>
        <v/>
      </c>
      <c r="AE1209" s="54"/>
      <c r="AF1209" s="54"/>
      <c r="AG1209" s="55" t="str">
        <f t="shared" si="563"/>
        <v/>
      </c>
      <c r="AH1209" s="56" t="str">
        <f t="shared" si="564"/>
        <v/>
      </c>
      <c r="AI1209" s="55"/>
      <c r="AJ1209" s="56" t="str">
        <f t="shared" si="565"/>
        <v/>
      </c>
      <c r="AK1209" s="55"/>
      <c r="AL1209" s="56" t="str">
        <f t="shared" si="566"/>
        <v/>
      </c>
      <c r="AM1209" s="55"/>
      <c r="AN1209" s="56" t="str">
        <f t="shared" si="567"/>
        <v/>
      </c>
      <c r="AO1209" s="55"/>
      <c r="AP1209" s="56" t="str">
        <f t="shared" si="568"/>
        <v/>
      </c>
      <c r="AQ1209" s="55"/>
      <c r="AR1209" s="56" t="str">
        <f t="shared" si="569"/>
        <v/>
      </c>
      <c r="AS1209" s="57"/>
      <c r="AT1209" s="58"/>
      <c r="AU1209" s="58"/>
      <c r="AV1209" s="59"/>
      <c r="AW1209" s="60" t="str">
        <f t="shared" si="547"/>
        <v/>
      </c>
      <c r="AX1209" s="61" t="str">
        <f t="shared" si="548"/>
        <v/>
      </c>
      <c r="AY1209" s="60" t="str">
        <f t="shared" si="549"/>
        <v/>
      </c>
      <c r="AZ1209" s="61" t="str">
        <f t="shared" si="550"/>
        <v/>
      </c>
    </row>
    <row r="1210" spans="1:52" s="3" customFormat="1" hidden="1" x14ac:dyDescent="0.35">
      <c r="A1210" s="72">
        <f t="shared" si="551"/>
        <v>2021</v>
      </c>
      <c r="B1210" s="72" t="str">
        <f t="shared" si="552"/>
        <v>Nov</v>
      </c>
      <c r="C1210" s="73">
        <f t="shared" si="570"/>
        <v>15</v>
      </c>
      <c r="D1210" s="74">
        <f t="shared" si="553"/>
        <v>12</v>
      </c>
      <c r="E1210" s="75">
        <f t="shared" si="554"/>
        <v>6</v>
      </c>
      <c r="F1210" s="79"/>
      <c r="G1210" s="82"/>
      <c r="H1210" s="68" t="str">
        <f t="shared" si="571"/>
        <v>Clesim6_20211115_12_00</v>
      </c>
      <c r="I1210" s="69">
        <f t="shared" si="575"/>
        <v>1</v>
      </c>
      <c r="J1210" s="76" t="str">
        <f t="shared" si="575"/>
        <v>Clematis</v>
      </c>
      <c r="K1210" s="76" t="str">
        <f t="shared" si="575"/>
        <v>simense</v>
      </c>
      <c r="L1210" s="77">
        <f t="shared" si="575"/>
        <v>6</v>
      </c>
      <c r="M1210" s="77">
        <f t="shared" si="575"/>
        <v>20</v>
      </c>
      <c r="N1210" s="71">
        <f t="shared" si="575"/>
        <v>0</v>
      </c>
      <c r="O1210" s="44"/>
      <c r="P1210" s="45" t="str">
        <f t="shared" si="555"/>
        <v/>
      </c>
      <c r="Q1210" s="46" t="str">
        <f t="shared" si="556"/>
        <v/>
      </c>
      <c r="R1210" s="47" t="e">
        <f t="shared" si="557"/>
        <v>#VALUE!</v>
      </c>
      <c r="S1210" s="48" t="e">
        <f t="shared" si="546"/>
        <v>#VALUE!</v>
      </c>
      <c r="T1210" s="47" t="str">
        <f t="shared" si="558"/>
        <v/>
      </c>
      <c r="U1210" s="49"/>
      <c r="V1210" s="50"/>
      <c r="W1210" s="51" t="e">
        <f t="shared" si="559"/>
        <v>#VALUE!</v>
      </c>
      <c r="X1210" s="52"/>
      <c r="Y1210" s="52"/>
      <c r="Z1210" s="52"/>
      <c r="AA1210" s="47" t="e">
        <f>INDEX(VISITORS[INSECT ORDER], MATCH(X1210,VISITORS[NAME USED],0))</f>
        <v>#N/A</v>
      </c>
      <c r="AB1210" s="47" t="e">
        <f t="shared" si="560"/>
        <v>#N/A</v>
      </c>
      <c r="AC1210" s="53" t="e">
        <f t="shared" si="561"/>
        <v>#VALUE!</v>
      </c>
      <c r="AD1210" s="54" t="str">
        <f t="shared" si="562"/>
        <v/>
      </c>
      <c r="AE1210" s="54"/>
      <c r="AF1210" s="54"/>
      <c r="AG1210" s="55" t="str">
        <f t="shared" si="563"/>
        <v/>
      </c>
      <c r="AH1210" s="56" t="str">
        <f t="shared" si="564"/>
        <v/>
      </c>
      <c r="AI1210" s="55"/>
      <c r="AJ1210" s="56" t="str">
        <f t="shared" si="565"/>
        <v/>
      </c>
      <c r="AK1210" s="55"/>
      <c r="AL1210" s="56" t="str">
        <f t="shared" si="566"/>
        <v/>
      </c>
      <c r="AM1210" s="55"/>
      <c r="AN1210" s="56" t="str">
        <f t="shared" si="567"/>
        <v/>
      </c>
      <c r="AO1210" s="55"/>
      <c r="AP1210" s="56" t="str">
        <f t="shared" si="568"/>
        <v/>
      </c>
      <c r="AQ1210" s="55"/>
      <c r="AR1210" s="56" t="str">
        <f t="shared" si="569"/>
        <v/>
      </c>
      <c r="AS1210" s="57"/>
      <c r="AT1210" s="58"/>
      <c r="AU1210" s="58"/>
      <c r="AV1210" s="59"/>
      <c r="AW1210" s="60" t="str">
        <f t="shared" si="547"/>
        <v/>
      </c>
      <c r="AX1210" s="61" t="str">
        <f t="shared" si="548"/>
        <v/>
      </c>
      <c r="AY1210" s="60" t="str">
        <f t="shared" si="549"/>
        <v/>
      </c>
      <c r="AZ1210" s="61" t="str">
        <f t="shared" si="550"/>
        <v/>
      </c>
    </row>
    <row r="1211" spans="1:52" s="3" customFormat="1" x14ac:dyDescent="0.35">
      <c r="A1211" s="72">
        <f t="shared" si="551"/>
        <v>2021</v>
      </c>
      <c r="B1211" s="72" t="str">
        <f t="shared" si="552"/>
        <v>Nov</v>
      </c>
      <c r="C1211" s="73">
        <f t="shared" si="570"/>
        <v>15</v>
      </c>
      <c r="D1211" s="74">
        <f t="shared" si="553"/>
        <v>12</v>
      </c>
      <c r="E1211" s="75">
        <f t="shared" si="554"/>
        <v>7</v>
      </c>
      <c r="F1211" s="79">
        <v>9</v>
      </c>
      <c r="G1211" s="82"/>
      <c r="H1211" s="68" t="str">
        <f t="shared" si="571"/>
        <v>Clesim6_20211115_12_00</v>
      </c>
      <c r="I1211" s="69">
        <f t="shared" si="575"/>
        <v>1</v>
      </c>
      <c r="J1211" s="76" t="str">
        <f t="shared" si="575"/>
        <v>Clematis</v>
      </c>
      <c r="K1211" s="76" t="str">
        <f t="shared" si="575"/>
        <v>simense</v>
      </c>
      <c r="L1211" s="77">
        <f t="shared" si="575"/>
        <v>6</v>
      </c>
      <c r="M1211" s="77">
        <f t="shared" si="575"/>
        <v>20</v>
      </c>
      <c r="N1211" s="71">
        <f t="shared" si="575"/>
        <v>0</v>
      </c>
      <c r="O1211" s="44"/>
      <c r="P1211" s="45">
        <f t="shared" si="555"/>
        <v>1</v>
      </c>
      <c r="Q1211" s="46" t="str">
        <f t="shared" si="556"/>
        <v>12:07:09</v>
      </c>
      <c r="R1211" s="47" t="str">
        <f t="shared" si="557"/>
        <v>07:09</v>
      </c>
      <c r="S1211" s="48">
        <f t="shared" si="546"/>
        <v>257</v>
      </c>
      <c r="T1211" s="47" t="str">
        <f t="shared" si="558"/>
        <v>12</v>
      </c>
      <c r="U1211" s="49">
        <v>11</v>
      </c>
      <c r="V1211" s="50">
        <v>26</v>
      </c>
      <c r="W1211" s="51" t="str">
        <f t="shared" si="559"/>
        <v>11:26</v>
      </c>
      <c r="X1211" s="123" t="s">
        <v>66</v>
      </c>
      <c r="Y1211" s="52" t="s">
        <v>70</v>
      </c>
      <c r="Z1211" s="52" t="s">
        <v>87</v>
      </c>
      <c r="AA1211" s="47" t="s">
        <v>67</v>
      </c>
      <c r="AB1211" s="47" t="str">
        <f t="shared" si="560"/>
        <v>NA</v>
      </c>
      <c r="AC1211" s="53" t="str">
        <f t="shared" si="561"/>
        <v/>
      </c>
      <c r="AD1211" s="54">
        <v>7</v>
      </c>
      <c r="AE1211" s="54"/>
      <c r="AF1211" s="54"/>
      <c r="AG1211" s="55" t="str">
        <f t="shared" si="563"/>
        <v/>
      </c>
      <c r="AH1211" s="56" t="str">
        <f t="shared" si="564"/>
        <v/>
      </c>
      <c r="AI1211" s="55"/>
      <c r="AJ1211" s="56" t="str">
        <f t="shared" si="565"/>
        <v/>
      </c>
      <c r="AK1211" s="55"/>
      <c r="AL1211" s="56" t="str">
        <f t="shared" si="566"/>
        <v/>
      </c>
      <c r="AM1211" s="55"/>
      <c r="AN1211" s="56" t="str">
        <f t="shared" si="567"/>
        <v/>
      </c>
      <c r="AO1211" s="55"/>
      <c r="AP1211" s="56" t="str">
        <f t="shared" si="568"/>
        <v/>
      </c>
      <c r="AQ1211" s="55"/>
      <c r="AR1211" s="56" t="str">
        <f t="shared" si="569"/>
        <v/>
      </c>
      <c r="AS1211" s="57"/>
      <c r="AT1211" s="58"/>
      <c r="AU1211" s="58"/>
      <c r="AV1211" s="59"/>
      <c r="AW1211" s="60">
        <f t="shared" si="547"/>
        <v>0</v>
      </c>
      <c r="AX1211" s="61" t="str">
        <f t="shared" si="548"/>
        <v/>
      </c>
      <c r="AY1211" s="60">
        <f t="shared" si="549"/>
        <v>0</v>
      </c>
      <c r="AZ1211" s="61" t="str">
        <f t="shared" si="550"/>
        <v/>
      </c>
    </row>
    <row r="1212" spans="1:52" s="3" customFormat="1" hidden="1" x14ac:dyDescent="0.35">
      <c r="A1212" s="72">
        <f t="shared" si="551"/>
        <v>2021</v>
      </c>
      <c r="B1212" s="72" t="str">
        <f t="shared" si="552"/>
        <v>Nov</v>
      </c>
      <c r="C1212" s="73">
        <f t="shared" si="570"/>
        <v>15</v>
      </c>
      <c r="D1212" s="74">
        <f t="shared" si="553"/>
        <v>12</v>
      </c>
      <c r="E1212" s="75">
        <f t="shared" si="554"/>
        <v>8</v>
      </c>
      <c r="F1212" s="79"/>
      <c r="G1212" s="82"/>
      <c r="H1212" s="68" t="str">
        <f t="shared" si="571"/>
        <v>Clesim6_20211115_12_00</v>
      </c>
      <c r="I1212" s="69">
        <f t="shared" si="575"/>
        <v>1</v>
      </c>
      <c r="J1212" s="76" t="str">
        <f t="shared" si="575"/>
        <v>Clematis</v>
      </c>
      <c r="K1212" s="76" t="str">
        <f t="shared" si="575"/>
        <v>simense</v>
      </c>
      <c r="L1212" s="77">
        <f t="shared" si="575"/>
        <v>6</v>
      </c>
      <c r="M1212" s="77">
        <f t="shared" si="575"/>
        <v>20</v>
      </c>
      <c r="N1212" s="71">
        <f t="shared" si="575"/>
        <v>0</v>
      </c>
      <c r="O1212" s="44"/>
      <c r="P1212" s="45" t="str">
        <f t="shared" si="555"/>
        <v/>
      </c>
      <c r="Q1212" s="46" t="str">
        <f t="shared" si="556"/>
        <v/>
      </c>
      <c r="R1212" s="47" t="e">
        <f t="shared" si="557"/>
        <v>#VALUE!</v>
      </c>
      <c r="S1212" s="48" t="e">
        <f t="shared" si="546"/>
        <v>#VALUE!</v>
      </c>
      <c r="T1212" s="47" t="str">
        <f t="shared" si="558"/>
        <v/>
      </c>
      <c r="U1212" s="49"/>
      <c r="V1212" s="50"/>
      <c r="W1212" s="51" t="e">
        <f t="shared" si="559"/>
        <v>#VALUE!</v>
      </c>
      <c r="X1212" s="52"/>
      <c r="Y1212" s="52"/>
      <c r="Z1212" s="52"/>
      <c r="AA1212" s="47" t="e">
        <f>INDEX(VISITORS[INSECT ORDER], MATCH(X1212,VISITORS[NAME USED],0))</f>
        <v>#N/A</v>
      </c>
      <c r="AB1212" s="47" t="e">
        <f t="shared" si="560"/>
        <v>#N/A</v>
      </c>
      <c r="AC1212" s="53" t="e">
        <f t="shared" si="561"/>
        <v>#VALUE!</v>
      </c>
      <c r="AD1212" s="54" t="str">
        <f t="shared" si="562"/>
        <v/>
      </c>
      <c r="AE1212" s="54"/>
      <c r="AF1212" s="54"/>
      <c r="AG1212" s="55" t="str">
        <f t="shared" si="563"/>
        <v/>
      </c>
      <c r="AH1212" s="56" t="str">
        <f t="shared" si="564"/>
        <v/>
      </c>
      <c r="AI1212" s="55"/>
      <c r="AJ1212" s="56" t="str">
        <f t="shared" si="565"/>
        <v/>
      </c>
      <c r="AK1212" s="55"/>
      <c r="AL1212" s="56" t="str">
        <f t="shared" si="566"/>
        <v/>
      </c>
      <c r="AM1212" s="55"/>
      <c r="AN1212" s="56" t="str">
        <f t="shared" si="567"/>
        <v/>
      </c>
      <c r="AO1212" s="55"/>
      <c r="AP1212" s="56" t="str">
        <f t="shared" si="568"/>
        <v/>
      </c>
      <c r="AQ1212" s="55"/>
      <c r="AR1212" s="56" t="str">
        <f t="shared" si="569"/>
        <v/>
      </c>
      <c r="AS1212" s="57"/>
      <c r="AT1212" s="58"/>
      <c r="AU1212" s="58"/>
      <c r="AV1212" s="59"/>
      <c r="AW1212" s="60" t="str">
        <f t="shared" si="547"/>
        <v/>
      </c>
      <c r="AX1212" s="61" t="str">
        <f t="shared" si="548"/>
        <v/>
      </c>
      <c r="AY1212" s="60" t="str">
        <f t="shared" si="549"/>
        <v/>
      </c>
      <c r="AZ1212" s="61" t="str">
        <f t="shared" si="550"/>
        <v/>
      </c>
    </row>
    <row r="1213" spans="1:52" s="3" customFormat="1" hidden="1" x14ac:dyDescent="0.35">
      <c r="A1213" s="72">
        <f t="shared" si="551"/>
        <v>2021</v>
      </c>
      <c r="B1213" s="72" t="str">
        <f t="shared" si="552"/>
        <v>Nov</v>
      </c>
      <c r="C1213" s="73">
        <f t="shared" si="570"/>
        <v>15</v>
      </c>
      <c r="D1213" s="74">
        <f t="shared" si="553"/>
        <v>12</v>
      </c>
      <c r="E1213" s="75">
        <f t="shared" si="554"/>
        <v>9</v>
      </c>
      <c r="F1213" s="79"/>
      <c r="G1213" s="82"/>
      <c r="H1213" s="68" t="str">
        <f t="shared" si="571"/>
        <v>Clesim6_20211115_12_00</v>
      </c>
      <c r="I1213" s="69">
        <f t="shared" si="575"/>
        <v>1</v>
      </c>
      <c r="J1213" s="76" t="str">
        <f t="shared" si="575"/>
        <v>Clematis</v>
      </c>
      <c r="K1213" s="76" t="str">
        <f t="shared" si="575"/>
        <v>simense</v>
      </c>
      <c r="L1213" s="77">
        <f t="shared" si="575"/>
        <v>6</v>
      </c>
      <c r="M1213" s="77">
        <f t="shared" si="575"/>
        <v>20</v>
      </c>
      <c r="N1213" s="71">
        <f t="shared" si="575"/>
        <v>0</v>
      </c>
      <c r="O1213" s="44"/>
      <c r="P1213" s="45" t="str">
        <f t="shared" si="555"/>
        <v/>
      </c>
      <c r="Q1213" s="46" t="str">
        <f t="shared" si="556"/>
        <v/>
      </c>
      <c r="R1213" s="47" t="e">
        <f t="shared" si="557"/>
        <v>#VALUE!</v>
      </c>
      <c r="S1213" s="48" t="e">
        <f t="shared" si="546"/>
        <v>#VALUE!</v>
      </c>
      <c r="T1213" s="47" t="str">
        <f t="shared" si="558"/>
        <v/>
      </c>
      <c r="U1213" s="49"/>
      <c r="V1213" s="50"/>
      <c r="W1213" s="51" t="e">
        <f t="shared" si="559"/>
        <v>#VALUE!</v>
      </c>
      <c r="X1213" s="52"/>
      <c r="Y1213" s="52"/>
      <c r="Z1213" s="52"/>
      <c r="AA1213" s="47" t="e">
        <f>INDEX(VISITORS[INSECT ORDER], MATCH(X1213,VISITORS[NAME USED],0))</f>
        <v>#N/A</v>
      </c>
      <c r="AB1213" s="47" t="e">
        <f t="shared" si="560"/>
        <v>#N/A</v>
      </c>
      <c r="AC1213" s="53" t="e">
        <f t="shared" si="561"/>
        <v>#VALUE!</v>
      </c>
      <c r="AD1213" s="54" t="str">
        <f t="shared" si="562"/>
        <v/>
      </c>
      <c r="AE1213" s="54"/>
      <c r="AF1213" s="54"/>
      <c r="AG1213" s="55" t="str">
        <f t="shared" si="563"/>
        <v/>
      </c>
      <c r="AH1213" s="56" t="str">
        <f t="shared" si="564"/>
        <v/>
      </c>
      <c r="AI1213" s="55"/>
      <c r="AJ1213" s="56" t="str">
        <f t="shared" si="565"/>
        <v/>
      </c>
      <c r="AK1213" s="55"/>
      <c r="AL1213" s="56" t="str">
        <f t="shared" si="566"/>
        <v/>
      </c>
      <c r="AM1213" s="55"/>
      <c r="AN1213" s="56" t="str">
        <f t="shared" si="567"/>
        <v/>
      </c>
      <c r="AO1213" s="55"/>
      <c r="AP1213" s="56" t="str">
        <f t="shared" si="568"/>
        <v/>
      </c>
      <c r="AQ1213" s="55"/>
      <c r="AR1213" s="56" t="str">
        <f t="shared" si="569"/>
        <v/>
      </c>
      <c r="AS1213" s="57"/>
      <c r="AT1213" s="58"/>
      <c r="AU1213" s="58"/>
      <c r="AV1213" s="59"/>
      <c r="AW1213" s="60" t="str">
        <f t="shared" si="547"/>
        <v/>
      </c>
      <c r="AX1213" s="61" t="str">
        <f t="shared" si="548"/>
        <v/>
      </c>
      <c r="AY1213" s="60" t="str">
        <f t="shared" si="549"/>
        <v/>
      </c>
      <c r="AZ1213" s="61" t="str">
        <f t="shared" si="550"/>
        <v/>
      </c>
    </row>
    <row r="1214" spans="1:52" s="3" customFormat="1" hidden="1" x14ac:dyDescent="0.35">
      <c r="A1214" s="72">
        <f t="shared" si="551"/>
        <v>2021</v>
      </c>
      <c r="B1214" s="72" t="str">
        <f t="shared" si="552"/>
        <v>Nov</v>
      </c>
      <c r="C1214" s="73">
        <f t="shared" si="570"/>
        <v>15</v>
      </c>
      <c r="D1214" s="74">
        <f t="shared" si="553"/>
        <v>12</v>
      </c>
      <c r="E1214" s="75">
        <f t="shared" si="554"/>
        <v>10</v>
      </c>
      <c r="F1214" s="79"/>
      <c r="G1214" s="82"/>
      <c r="H1214" s="68" t="str">
        <f t="shared" si="571"/>
        <v>Clesim6_20211115_12_00</v>
      </c>
      <c r="I1214" s="69">
        <f t="shared" si="575"/>
        <v>1</v>
      </c>
      <c r="J1214" s="76" t="str">
        <f t="shared" si="575"/>
        <v>Clematis</v>
      </c>
      <c r="K1214" s="76" t="str">
        <f t="shared" si="575"/>
        <v>simense</v>
      </c>
      <c r="L1214" s="77">
        <f t="shared" si="575"/>
        <v>6</v>
      </c>
      <c r="M1214" s="77">
        <f t="shared" si="575"/>
        <v>20</v>
      </c>
      <c r="N1214" s="71">
        <f t="shared" si="575"/>
        <v>0</v>
      </c>
      <c r="O1214" s="44"/>
      <c r="P1214" s="45" t="str">
        <f t="shared" si="555"/>
        <v/>
      </c>
      <c r="Q1214" s="46" t="str">
        <f t="shared" si="556"/>
        <v/>
      </c>
      <c r="R1214" s="47" t="e">
        <f t="shared" si="557"/>
        <v>#VALUE!</v>
      </c>
      <c r="S1214" s="48" t="e">
        <f t="shared" si="546"/>
        <v>#VALUE!</v>
      </c>
      <c r="T1214" s="47" t="str">
        <f t="shared" si="558"/>
        <v/>
      </c>
      <c r="U1214" s="49"/>
      <c r="V1214" s="50"/>
      <c r="W1214" s="51" t="e">
        <f t="shared" si="559"/>
        <v>#VALUE!</v>
      </c>
      <c r="X1214" s="52"/>
      <c r="Y1214" s="52"/>
      <c r="Z1214" s="52"/>
      <c r="AA1214" s="47" t="e">
        <f>INDEX(VISITORS[INSECT ORDER], MATCH(X1214,VISITORS[NAME USED],0))</f>
        <v>#N/A</v>
      </c>
      <c r="AB1214" s="47" t="e">
        <f t="shared" si="560"/>
        <v>#N/A</v>
      </c>
      <c r="AC1214" s="53" t="e">
        <f t="shared" si="561"/>
        <v>#VALUE!</v>
      </c>
      <c r="AD1214" s="54" t="str">
        <f t="shared" si="562"/>
        <v/>
      </c>
      <c r="AE1214" s="54"/>
      <c r="AF1214" s="54"/>
      <c r="AG1214" s="55" t="str">
        <f t="shared" si="563"/>
        <v/>
      </c>
      <c r="AH1214" s="56" t="str">
        <f t="shared" si="564"/>
        <v/>
      </c>
      <c r="AI1214" s="55"/>
      <c r="AJ1214" s="56" t="str">
        <f t="shared" si="565"/>
        <v/>
      </c>
      <c r="AK1214" s="55"/>
      <c r="AL1214" s="56" t="str">
        <f t="shared" si="566"/>
        <v/>
      </c>
      <c r="AM1214" s="55"/>
      <c r="AN1214" s="56" t="str">
        <f t="shared" si="567"/>
        <v/>
      </c>
      <c r="AO1214" s="55"/>
      <c r="AP1214" s="56" t="str">
        <f t="shared" si="568"/>
        <v/>
      </c>
      <c r="AQ1214" s="55"/>
      <c r="AR1214" s="56" t="str">
        <f t="shared" si="569"/>
        <v/>
      </c>
      <c r="AS1214" s="57"/>
      <c r="AT1214" s="58"/>
      <c r="AU1214" s="58"/>
      <c r="AV1214" s="59"/>
      <c r="AW1214" s="60" t="str">
        <f t="shared" si="547"/>
        <v/>
      </c>
      <c r="AX1214" s="61" t="str">
        <f t="shared" si="548"/>
        <v/>
      </c>
      <c r="AY1214" s="60" t="str">
        <f t="shared" si="549"/>
        <v/>
      </c>
      <c r="AZ1214" s="61" t="str">
        <f t="shared" si="550"/>
        <v/>
      </c>
    </row>
    <row r="1215" spans="1:52" s="3" customFormat="1" hidden="1" x14ac:dyDescent="0.35">
      <c r="A1215" s="72">
        <f t="shared" si="551"/>
        <v>2021</v>
      </c>
      <c r="B1215" s="72" t="str">
        <f t="shared" si="552"/>
        <v>Nov</v>
      </c>
      <c r="C1215" s="73">
        <f t="shared" si="570"/>
        <v>15</v>
      </c>
      <c r="D1215" s="74">
        <f t="shared" si="553"/>
        <v>12</v>
      </c>
      <c r="E1215" s="75">
        <f t="shared" si="554"/>
        <v>11</v>
      </c>
      <c r="F1215" s="79"/>
      <c r="G1215" s="82"/>
      <c r="H1215" s="68" t="str">
        <f t="shared" si="571"/>
        <v>Clesim6_20211115_12_00</v>
      </c>
      <c r="I1215" s="69">
        <f t="shared" si="575"/>
        <v>1</v>
      </c>
      <c r="J1215" s="76" t="str">
        <f t="shared" si="575"/>
        <v>Clematis</v>
      </c>
      <c r="K1215" s="76" t="str">
        <f t="shared" si="575"/>
        <v>simense</v>
      </c>
      <c r="L1215" s="77">
        <f t="shared" si="575"/>
        <v>6</v>
      </c>
      <c r="M1215" s="77">
        <f t="shared" si="575"/>
        <v>20</v>
      </c>
      <c r="N1215" s="71">
        <f t="shared" si="575"/>
        <v>0</v>
      </c>
      <c r="O1215" s="44"/>
      <c r="P1215" s="45" t="str">
        <f t="shared" si="555"/>
        <v/>
      </c>
      <c r="Q1215" s="46" t="str">
        <f t="shared" si="556"/>
        <v/>
      </c>
      <c r="R1215" s="47" t="e">
        <f t="shared" si="557"/>
        <v>#VALUE!</v>
      </c>
      <c r="S1215" s="48" t="e">
        <f t="shared" si="546"/>
        <v>#VALUE!</v>
      </c>
      <c r="T1215" s="47" t="str">
        <f t="shared" si="558"/>
        <v/>
      </c>
      <c r="U1215" s="49"/>
      <c r="V1215" s="50"/>
      <c r="W1215" s="51" t="e">
        <f t="shared" si="559"/>
        <v>#VALUE!</v>
      </c>
      <c r="X1215" s="52"/>
      <c r="Y1215" s="52"/>
      <c r="Z1215" s="52"/>
      <c r="AA1215" s="47" t="e">
        <f>INDEX(VISITORS[INSECT ORDER], MATCH(X1215,VISITORS[NAME USED],0))</f>
        <v>#N/A</v>
      </c>
      <c r="AB1215" s="47" t="e">
        <f t="shared" si="560"/>
        <v>#N/A</v>
      </c>
      <c r="AC1215" s="53" t="e">
        <f t="shared" si="561"/>
        <v>#VALUE!</v>
      </c>
      <c r="AD1215" s="54" t="str">
        <f t="shared" si="562"/>
        <v/>
      </c>
      <c r="AE1215" s="54"/>
      <c r="AF1215" s="54"/>
      <c r="AG1215" s="55" t="str">
        <f t="shared" si="563"/>
        <v/>
      </c>
      <c r="AH1215" s="56" t="str">
        <f t="shared" si="564"/>
        <v/>
      </c>
      <c r="AI1215" s="55"/>
      <c r="AJ1215" s="56" t="str">
        <f t="shared" si="565"/>
        <v/>
      </c>
      <c r="AK1215" s="55"/>
      <c r="AL1215" s="56" t="str">
        <f t="shared" si="566"/>
        <v/>
      </c>
      <c r="AM1215" s="55"/>
      <c r="AN1215" s="56" t="str">
        <f t="shared" si="567"/>
        <v/>
      </c>
      <c r="AO1215" s="55"/>
      <c r="AP1215" s="56" t="str">
        <f t="shared" si="568"/>
        <v/>
      </c>
      <c r="AQ1215" s="55"/>
      <c r="AR1215" s="56" t="str">
        <f t="shared" si="569"/>
        <v/>
      </c>
      <c r="AS1215" s="57"/>
      <c r="AT1215" s="58"/>
      <c r="AU1215" s="58"/>
      <c r="AV1215" s="59"/>
      <c r="AW1215" s="60" t="str">
        <f t="shared" si="547"/>
        <v/>
      </c>
      <c r="AX1215" s="61" t="str">
        <f t="shared" si="548"/>
        <v/>
      </c>
      <c r="AY1215" s="60" t="str">
        <f t="shared" si="549"/>
        <v/>
      </c>
      <c r="AZ1215" s="61" t="str">
        <f t="shared" si="550"/>
        <v/>
      </c>
    </row>
    <row r="1216" spans="1:52" s="3" customFormat="1" hidden="1" x14ac:dyDescent="0.35">
      <c r="A1216" s="72">
        <f t="shared" si="551"/>
        <v>2021</v>
      </c>
      <c r="B1216" s="72" t="str">
        <f t="shared" si="552"/>
        <v>Nov</v>
      </c>
      <c r="C1216" s="73">
        <f t="shared" si="570"/>
        <v>15</v>
      </c>
      <c r="D1216" s="74">
        <f t="shared" si="553"/>
        <v>12</v>
      </c>
      <c r="E1216" s="75">
        <f t="shared" si="554"/>
        <v>12</v>
      </c>
      <c r="F1216" s="79"/>
      <c r="G1216" s="82"/>
      <c r="H1216" s="68" t="str">
        <f t="shared" si="571"/>
        <v>Clesim6_20211115_12_00</v>
      </c>
      <c r="I1216" s="69">
        <f t="shared" si="575"/>
        <v>1</v>
      </c>
      <c r="J1216" s="76" t="str">
        <f t="shared" si="575"/>
        <v>Clematis</v>
      </c>
      <c r="K1216" s="76" t="str">
        <f t="shared" si="575"/>
        <v>simense</v>
      </c>
      <c r="L1216" s="77">
        <f t="shared" si="575"/>
        <v>6</v>
      </c>
      <c r="M1216" s="77">
        <f t="shared" si="575"/>
        <v>20</v>
      </c>
      <c r="N1216" s="71">
        <f t="shared" si="575"/>
        <v>0</v>
      </c>
      <c r="O1216" s="44"/>
      <c r="P1216" s="45" t="str">
        <f t="shared" si="555"/>
        <v/>
      </c>
      <c r="Q1216" s="46" t="str">
        <f t="shared" si="556"/>
        <v/>
      </c>
      <c r="R1216" s="47" t="e">
        <f t="shared" si="557"/>
        <v>#VALUE!</v>
      </c>
      <c r="S1216" s="48" t="e">
        <f t="shared" si="546"/>
        <v>#VALUE!</v>
      </c>
      <c r="T1216" s="47" t="str">
        <f t="shared" si="558"/>
        <v/>
      </c>
      <c r="U1216" s="49"/>
      <c r="V1216" s="50"/>
      <c r="W1216" s="51" t="e">
        <f t="shared" si="559"/>
        <v>#VALUE!</v>
      </c>
      <c r="X1216" s="52"/>
      <c r="Y1216" s="52"/>
      <c r="Z1216" s="52"/>
      <c r="AA1216" s="47" t="e">
        <f>INDEX(VISITORS[INSECT ORDER], MATCH(X1216,VISITORS[NAME USED],0))</f>
        <v>#N/A</v>
      </c>
      <c r="AB1216" s="47" t="e">
        <f t="shared" si="560"/>
        <v>#N/A</v>
      </c>
      <c r="AC1216" s="53" t="e">
        <f t="shared" si="561"/>
        <v>#VALUE!</v>
      </c>
      <c r="AD1216" s="54" t="str">
        <f t="shared" si="562"/>
        <v/>
      </c>
      <c r="AE1216" s="54"/>
      <c r="AF1216" s="54"/>
      <c r="AG1216" s="55" t="str">
        <f t="shared" si="563"/>
        <v/>
      </c>
      <c r="AH1216" s="56" t="str">
        <f t="shared" si="564"/>
        <v/>
      </c>
      <c r="AI1216" s="55"/>
      <c r="AJ1216" s="56" t="str">
        <f t="shared" si="565"/>
        <v/>
      </c>
      <c r="AK1216" s="55"/>
      <c r="AL1216" s="56" t="str">
        <f t="shared" si="566"/>
        <v/>
      </c>
      <c r="AM1216" s="55"/>
      <c r="AN1216" s="56" t="str">
        <f t="shared" si="567"/>
        <v/>
      </c>
      <c r="AO1216" s="55"/>
      <c r="AP1216" s="56" t="str">
        <f t="shared" si="568"/>
        <v/>
      </c>
      <c r="AQ1216" s="55"/>
      <c r="AR1216" s="56" t="str">
        <f t="shared" si="569"/>
        <v/>
      </c>
      <c r="AS1216" s="57"/>
      <c r="AT1216" s="58"/>
      <c r="AU1216" s="58"/>
      <c r="AV1216" s="59"/>
      <c r="AW1216" s="60" t="str">
        <f t="shared" si="547"/>
        <v/>
      </c>
      <c r="AX1216" s="61" t="str">
        <f t="shared" si="548"/>
        <v/>
      </c>
      <c r="AY1216" s="60" t="str">
        <f t="shared" si="549"/>
        <v/>
      </c>
      <c r="AZ1216" s="61" t="str">
        <f t="shared" si="550"/>
        <v/>
      </c>
    </row>
    <row r="1217" spans="1:52" s="3" customFormat="1" hidden="1" x14ac:dyDescent="0.35">
      <c r="A1217" s="72">
        <f t="shared" si="551"/>
        <v>2021</v>
      </c>
      <c r="B1217" s="72" t="str">
        <f t="shared" si="552"/>
        <v>Nov</v>
      </c>
      <c r="C1217" s="73">
        <f t="shared" si="570"/>
        <v>15</v>
      </c>
      <c r="D1217" s="74">
        <f t="shared" si="553"/>
        <v>12</v>
      </c>
      <c r="E1217" s="75">
        <f t="shared" si="554"/>
        <v>13</v>
      </c>
      <c r="F1217" s="79"/>
      <c r="G1217" s="82"/>
      <c r="H1217" s="68" t="str">
        <f t="shared" si="571"/>
        <v>Clesim6_20211115_12_00</v>
      </c>
      <c r="I1217" s="69">
        <f t="shared" si="575"/>
        <v>1</v>
      </c>
      <c r="J1217" s="76" t="str">
        <f t="shared" si="575"/>
        <v>Clematis</v>
      </c>
      <c r="K1217" s="76" t="str">
        <f t="shared" si="575"/>
        <v>simense</v>
      </c>
      <c r="L1217" s="77">
        <f t="shared" si="575"/>
        <v>6</v>
      </c>
      <c r="M1217" s="77">
        <f t="shared" si="575"/>
        <v>20</v>
      </c>
      <c r="N1217" s="71">
        <f t="shared" si="575"/>
        <v>0</v>
      </c>
      <c r="O1217" s="44"/>
      <c r="P1217" s="45" t="str">
        <f t="shared" si="555"/>
        <v/>
      </c>
      <c r="Q1217" s="46" t="str">
        <f t="shared" si="556"/>
        <v/>
      </c>
      <c r="R1217" s="47" t="e">
        <f t="shared" si="557"/>
        <v>#VALUE!</v>
      </c>
      <c r="S1217" s="48" t="e">
        <f t="shared" si="546"/>
        <v>#VALUE!</v>
      </c>
      <c r="T1217" s="47" t="str">
        <f t="shared" si="558"/>
        <v/>
      </c>
      <c r="U1217" s="49"/>
      <c r="V1217" s="50"/>
      <c r="W1217" s="51" t="e">
        <f t="shared" si="559"/>
        <v>#VALUE!</v>
      </c>
      <c r="X1217" s="52"/>
      <c r="Y1217" s="52"/>
      <c r="Z1217" s="52"/>
      <c r="AA1217" s="47" t="e">
        <f>INDEX(VISITORS[INSECT ORDER], MATCH(X1217,VISITORS[NAME USED],0))</f>
        <v>#N/A</v>
      </c>
      <c r="AB1217" s="47" t="e">
        <f t="shared" si="560"/>
        <v>#N/A</v>
      </c>
      <c r="AC1217" s="53" t="e">
        <f t="shared" si="561"/>
        <v>#VALUE!</v>
      </c>
      <c r="AD1217" s="54" t="str">
        <f t="shared" si="562"/>
        <v/>
      </c>
      <c r="AE1217" s="54"/>
      <c r="AF1217" s="54"/>
      <c r="AG1217" s="55" t="str">
        <f t="shared" si="563"/>
        <v/>
      </c>
      <c r="AH1217" s="56" t="str">
        <f t="shared" si="564"/>
        <v/>
      </c>
      <c r="AI1217" s="55"/>
      <c r="AJ1217" s="56" t="str">
        <f t="shared" si="565"/>
        <v/>
      </c>
      <c r="AK1217" s="55"/>
      <c r="AL1217" s="56" t="str">
        <f t="shared" si="566"/>
        <v/>
      </c>
      <c r="AM1217" s="55"/>
      <c r="AN1217" s="56" t="str">
        <f t="shared" si="567"/>
        <v/>
      </c>
      <c r="AO1217" s="55"/>
      <c r="AP1217" s="56" t="str">
        <f t="shared" si="568"/>
        <v/>
      </c>
      <c r="AQ1217" s="55"/>
      <c r="AR1217" s="56" t="str">
        <f t="shared" si="569"/>
        <v/>
      </c>
      <c r="AS1217" s="57"/>
      <c r="AT1217" s="58"/>
      <c r="AU1217" s="58"/>
      <c r="AV1217" s="59"/>
      <c r="AW1217" s="60" t="str">
        <f t="shared" si="547"/>
        <v/>
      </c>
      <c r="AX1217" s="61" t="str">
        <f t="shared" si="548"/>
        <v/>
      </c>
      <c r="AY1217" s="60" t="str">
        <f t="shared" si="549"/>
        <v/>
      </c>
      <c r="AZ1217" s="61" t="str">
        <f t="shared" si="550"/>
        <v/>
      </c>
    </row>
    <row r="1218" spans="1:52" s="3" customFormat="1" hidden="1" x14ac:dyDescent="0.35">
      <c r="A1218" s="72">
        <f t="shared" si="551"/>
        <v>2021</v>
      </c>
      <c r="B1218" s="72" t="str">
        <f t="shared" si="552"/>
        <v>Nov</v>
      </c>
      <c r="C1218" s="73">
        <f t="shared" si="570"/>
        <v>15</v>
      </c>
      <c r="D1218" s="74">
        <f t="shared" si="553"/>
        <v>12</v>
      </c>
      <c r="E1218" s="75">
        <f t="shared" si="554"/>
        <v>14</v>
      </c>
      <c r="F1218" s="79"/>
      <c r="G1218" s="82"/>
      <c r="H1218" s="68" t="str">
        <f t="shared" si="571"/>
        <v>Clesim6_20211115_12_00</v>
      </c>
      <c r="I1218" s="69">
        <f t="shared" si="575"/>
        <v>1</v>
      </c>
      <c r="J1218" s="76" t="str">
        <f t="shared" si="575"/>
        <v>Clematis</v>
      </c>
      <c r="K1218" s="76" t="str">
        <f t="shared" si="575"/>
        <v>simense</v>
      </c>
      <c r="L1218" s="77">
        <f t="shared" si="575"/>
        <v>6</v>
      </c>
      <c r="M1218" s="77">
        <f t="shared" si="575"/>
        <v>20</v>
      </c>
      <c r="N1218" s="71">
        <f t="shared" si="575"/>
        <v>0</v>
      </c>
      <c r="O1218" s="44"/>
      <c r="P1218" s="45" t="str">
        <f t="shared" si="555"/>
        <v/>
      </c>
      <c r="Q1218" s="46" t="str">
        <f t="shared" si="556"/>
        <v/>
      </c>
      <c r="R1218" s="47" t="e">
        <f t="shared" si="557"/>
        <v>#VALUE!</v>
      </c>
      <c r="S1218" s="48" t="e">
        <f t="shared" si="546"/>
        <v>#VALUE!</v>
      </c>
      <c r="T1218" s="47" t="str">
        <f t="shared" si="558"/>
        <v/>
      </c>
      <c r="U1218" s="49"/>
      <c r="V1218" s="50"/>
      <c r="W1218" s="51" t="e">
        <f t="shared" si="559"/>
        <v>#VALUE!</v>
      </c>
      <c r="X1218" s="52"/>
      <c r="Y1218" s="52"/>
      <c r="Z1218" s="52"/>
      <c r="AA1218" s="47" t="e">
        <f>INDEX(VISITORS[INSECT ORDER], MATCH(X1218,VISITORS[NAME USED],0))</f>
        <v>#N/A</v>
      </c>
      <c r="AB1218" s="47" t="e">
        <f t="shared" si="560"/>
        <v>#N/A</v>
      </c>
      <c r="AC1218" s="53" t="e">
        <f t="shared" si="561"/>
        <v>#VALUE!</v>
      </c>
      <c r="AD1218" s="54" t="str">
        <f t="shared" si="562"/>
        <v/>
      </c>
      <c r="AE1218" s="54"/>
      <c r="AF1218" s="54"/>
      <c r="AG1218" s="55" t="str">
        <f t="shared" si="563"/>
        <v/>
      </c>
      <c r="AH1218" s="56" t="str">
        <f t="shared" si="564"/>
        <v/>
      </c>
      <c r="AI1218" s="55"/>
      <c r="AJ1218" s="56" t="str">
        <f t="shared" si="565"/>
        <v/>
      </c>
      <c r="AK1218" s="55"/>
      <c r="AL1218" s="56" t="str">
        <f t="shared" si="566"/>
        <v/>
      </c>
      <c r="AM1218" s="55"/>
      <c r="AN1218" s="56" t="str">
        <f t="shared" si="567"/>
        <v/>
      </c>
      <c r="AO1218" s="55"/>
      <c r="AP1218" s="56" t="str">
        <f t="shared" si="568"/>
        <v/>
      </c>
      <c r="AQ1218" s="55"/>
      <c r="AR1218" s="56" t="str">
        <f t="shared" si="569"/>
        <v/>
      </c>
      <c r="AS1218" s="57"/>
      <c r="AT1218" s="58"/>
      <c r="AU1218" s="58"/>
      <c r="AV1218" s="59"/>
      <c r="AW1218" s="60" t="str">
        <f t="shared" si="547"/>
        <v/>
      </c>
      <c r="AX1218" s="61" t="str">
        <f t="shared" si="548"/>
        <v/>
      </c>
      <c r="AY1218" s="60" t="str">
        <f t="shared" si="549"/>
        <v/>
      </c>
      <c r="AZ1218" s="61" t="str">
        <f t="shared" si="550"/>
        <v/>
      </c>
    </row>
    <row r="1219" spans="1:52" s="3" customFormat="1" hidden="1" x14ac:dyDescent="0.35">
      <c r="A1219" s="72">
        <f t="shared" si="551"/>
        <v>2021</v>
      </c>
      <c r="B1219" s="72" t="str">
        <f t="shared" si="552"/>
        <v>Nov</v>
      </c>
      <c r="C1219" s="73">
        <f t="shared" si="570"/>
        <v>15</v>
      </c>
      <c r="D1219" s="74">
        <f t="shared" si="553"/>
        <v>12</v>
      </c>
      <c r="E1219" s="75">
        <f t="shared" si="554"/>
        <v>15</v>
      </c>
      <c r="F1219" s="79"/>
      <c r="G1219" s="82"/>
      <c r="H1219" s="68" t="str">
        <f t="shared" si="571"/>
        <v>Clesim6_20211115_12_00</v>
      </c>
      <c r="I1219" s="69">
        <f t="shared" si="575"/>
        <v>1</v>
      </c>
      <c r="J1219" s="76" t="str">
        <f t="shared" si="575"/>
        <v>Clematis</v>
      </c>
      <c r="K1219" s="76" t="str">
        <f t="shared" si="575"/>
        <v>simense</v>
      </c>
      <c r="L1219" s="77">
        <f t="shared" si="575"/>
        <v>6</v>
      </c>
      <c r="M1219" s="77">
        <f t="shared" si="575"/>
        <v>20</v>
      </c>
      <c r="N1219" s="71">
        <f t="shared" si="575"/>
        <v>0</v>
      </c>
      <c r="O1219" s="44"/>
      <c r="P1219" s="45" t="str">
        <f t="shared" si="555"/>
        <v/>
      </c>
      <c r="Q1219" s="46" t="str">
        <f t="shared" si="556"/>
        <v/>
      </c>
      <c r="R1219" s="47" t="e">
        <f t="shared" si="557"/>
        <v>#VALUE!</v>
      </c>
      <c r="S1219" s="48" t="e">
        <f t="shared" si="546"/>
        <v>#VALUE!</v>
      </c>
      <c r="T1219" s="47" t="str">
        <f t="shared" si="558"/>
        <v/>
      </c>
      <c r="U1219" s="49"/>
      <c r="V1219" s="50"/>
      <c r="W1219" s="51" t="e">
        <f t="shared" si="559"/>
        <v>#VALUE!</v>
      </c>
      <c r="X1219" s="52"/>
      <c r="Y1219" s="52"/>
      <c r="Z1219" s="52"/>
      <c r="AA1219" s="47" t="e">
        <f>INDEX(VISITORS[INSECT ORDER], MATCH(X1219,VISITORS[NAME USED],0))</f>
        <v>#N/A</v>
      </c>
      <c r="AB1219" s="47" t="e">
        <f t="shared" si="560"/>
        <v>#N/A</v>
      </c>
      <c r="AC1219" s="53" t="e">
        <f t="shared" si="561"/>
        <v>#VALUE!</v>
      </c>
      <c r="AD1219" s="54" t="str">
        <f t="shared" si="562"/>
        <v/>
      </c>
      <c r="AE1219" s="54"/>
      <c r="AF1219" s="54"/>
      <c r="AG1219" s="55" t="str">
        <f t="shared" si="563"/>
        <v/>
      </c>
      <c r="AH1219" s="56" t="str">
        <f t="shared" si="564"/>
        <v/>
      </c>
      <c r="AI1219" s="55"/>
      <c r="AJ1219" s="56" t="str">
        <f t="shared" si="565"/>
        <v/>
      </c>
      <c r="AK1219" s="55"/>
      <c r="AL1219" s="56" t="str">
        <f t="shared" si="566"/>
        <v/>
      </c>
      <c r="AM1219" s="55"/>
      <c r="AN1219" s="56" t="str">
        <f t="shared" si="567"/>
        <v/>
      </c>
      <c r="AO1219" s="55"/>
      <c r="AP1219" s="56" t="str">
        <f t="shared" si="568"/>
        <v/>
      </c>
      <c r="AQ1219" s="55"/>
      <c r="AR1219" s="56" t="str">
        <f t="shared" si="569"/>
        <v/>
      </c>
      <c r="AS1219" s="57"/>
      <c r="AT1219" s="58"/>
      <c r="AU1219" s="58"/>
      <c r="AV1219" s="59"/>
      <c r="AW1219" s="60" t="str">
        <f t="shared" si="547"/>
        <v/>
      </c>
      <c r="AX1219" s="61" t="str">
        <f t="shared" si="548"/>
        <v/>
      </c>
      <c r="AY1219" s="60" t="str">
        <f t="shared" si="549"/>
        <v/>
      </c>
      <c r="AZ1219" s="61" t="str">
        <f t="shared" si="550"/>
        <v/>
      </c>
    </row>
    <row r="1220" spans="1:52" s="3" customFormat="1" x14ac:dyDescent="0.35">
      <c r="A1220" s="72">
        <f t="shared" si="551"/>
        <v>2021</v>
      </c>
      <c r="B1220" s="72" t="str">
        <f t="shared" si="552"/>
        <v>Nov</v>
      </c>
      <c r="C1220" s="73">
        <f t="shared" si="570"/>
        <v>15</v>
      </c>
      <c r="D1220" s="74">
        <f t="shared" si="553"/>
        <v>12</v>
      </c>
      <c r="E1220" s="75">
        <f t="shared" si="554"/>
        <v>16</v>
      </c>
      <c r="F1220" s="79">
        <v>8</v>
      </c>
      <c r="G1220" s="82"/>
      <c r="H1220" s="68" t="str">
        <f t="shared" si="571"/>
        <v>Clesim6_20211115_12_00</v>
      </c>
      <c r="I1220" s="69">
        <f t="shared" si="575"/>
        <v>1</v>
      </c>
      <c r="J1220" s="76" t="str">
        <f t="shared" si="575"/>
        <v>Clematis</v>
      </c>
      <c r="K1220" s="76" t="str">
        <f t="shared" si="575"/>
        <v>simense</v>
      </c>
      <c r="L1220" s="77">
        <f t="shared" si="575"/>
        <v>6</v>
      </c>
      <c r="M1220" s="77">
        <f t="shared" si="575"/>
        <v>20</v>
      </c>
      <c r="N1220" s="71">
        <f t="shared" si="575"/>
        <v>0</v>
      </c>
      <c r="O1220" s="44"/>
      <c r="P1220" s="45">
        <f t="shared" si="555"/>
        <v>1</v>
      </c>
      <c r="Q1220" s="46" t="str">
        <f t="shared" si="556"/>
        <v>12:16:08</v>
      </c>
      <c r="R1220" s="47" t="str">
        <f t="shared" si="557"/>
        <v>16:08</v>
      </c>
      <c r="S1220" s="48">
        <f t="shared" ref="S1220:S1283" si="576">IF(T1220&lt;D1220, (T1220*3600+U1220*60+V1220)+((23*3600+59*60+60)-(D1220*3600+E1220*60+LEFT(F1220,2))), (T1220*3600+U1220*60+V1220)-(D1220*3600+E1220*60+LEFT(F1220,2)))</f>
        <v>202</v>
      </c>
      <c r="T1220" s="47" t="str">
        <f t="shared" si="558"/>
        <v>12</v>
      </c>
      <c r="U1220" s="49">
        <v>19</v>
      </c>
      <c r="V1220" s="50">
        <v>30</v>
      </c>
      <c r="W1220" s="51" t="str">
        <f t="shared" si="559"/>
        <v>19:30</v>
      </c>
      <c r="X1220" s="123" t="s">
        <v>66</v>
      </c>
      <c r="Y1220" s="52" t="s">
        <v>70</v>
      </c>
      <c r="Z1220" s="52" t="s">
        <v>87</v>
      </c>
      <c r="AA1220" s="47" t="s">
        <v>67</v>
      </c>
      <c r="AB1220" s="47" t="str">
        <f t="shared" si="560"/>
        <v>NA</v>
      </c>
      <c r="AC1220" s="53" t="str">
        <f t="shared" si="561"/>
        <v/>
      </c>
      <c r="AD1220" s="54">
        <v>5</v>
      </c>
      <c r="AE1220" s="54"/>
      <c r="AF1220" s="54"/>
      <c r="AG1220" s="55" t="str">
        <f t="shared" si="563"/>
        <v/>
      </c>
      <c r="AH1220" s="56" t="str">
        <f t="shared" si="564"/>
        <v/>
      </c>
      <c r="AI1220" s="55"/>
      <c r="AJ1220" s="56" t="str">
        <f t="shared" si="565"/>
        <v/>
      </c>
      <c r="AK1220" s="55"/>
      <c r="AL1220" s="56" t="str">
        <f t="shared" si="566"/>
        <v/>
      </c>
      <c r="AM1220" s="55"/>
      <c r="AN1220" s="56" t="str">
        <f t="shared" si="567"/>
        <v/>
      </c>
      <c r="AO1220" s="55"/>
      <c r="AP1220" s="56" t="str">
        <f t="shared" si="568"/>
        <v/>
      </c>
      <c r="AQ1220" s="55"/>
      <c r="AR1220" s="56" t="str">
        <f t="shared" si="569"/>
        <v/>
      </c>
      <c r="AS1220" s="57"/>
      <c r="AT1220" s="58"/>
      <c r="AU1220" s="58"/>
      <c r="AV1220" s="59"/>
      <c r="AW1220" s="60">
        <f t="shared" ref="AW1220:AW1283" si="577">IF(P1220=1,0,"")</f>
        <v>0</v>
      </c>
      <c r="AX1220" s="61" t="str">
        <f t="shared" ref="AX1220:AX1283" si="578">IF(AW1220=1,AD1220,"")</f>
        <v/>
      </c>
      <c r="AY1220" s="60">
        <f t="shared" ref="AY1220:AY1283" si="579">IF(P1220=1,0,"")</f>
        <v>0</v>
      </c>
      <c r="AZ1220" s="61" t="str">
        <f t="shared" ref="AZ1220:AZ1283" si="580">IF(AY1220=1,AD1220,"")</f>
        <v/>
      </c>
    </row>
    <row r="1221" spans="1:52" s="3" customFormat="1" hidden="1" x14ac:dyDescent="0.35">
      <c r="A1221" s="72">
        <f t="shared" ref="A1221:A1284" si="581">A1220</f>
        <v>2021</v>
      </c>
      <c r="B1221" s="72" t="str">
        <f t="shared" ref="B1221:B1284" si="582">IF(C1220-C1221&gt;0, TEXT(DATE(2016,(MONTH(DATEVALUE(B1220&amp;"1"))+1),1),"mmm"), B1220)</f>
        <v>Nov</v>
      </c>
      <c r="C1221" s="73">
        <f t="shared" si="570"/>
        <v>15</v>
      </c>
      <c r="D1221" s="74">
        <f t="shared" ref="D1221:D1284" si="583">IF(IF(E1220=59,D1220+1,D1220)=24,0,IF(E1220=59,D1220+1,D1220))</f>
        <v>12</v>
      </c>
      <c r="E1221" s="75">
        <f t="shared" ref="E1221:E1284" si="584">IF(E1220&lt;59,E1220+1,0)</f>
        <v>17</v>
      </c>
      <c r="F1221" s="79"/>
      <c r="G1221" s="82"/>
      <c r="H1221" s="68" t="str">
        <f t="shared" si="571"/>
        <v>Clesim6_20211115_12_00</v>
      </c>
      <c r="I1221" s="69">
        <f t="shared" si="575"/>
        <v>1</v>
      </c>
      <c r="J1221" s="76" t="str">
        <f t="shared" si="575"/>
        <v>Clematis</v>
      </c>
      <c r="K1221" s="76" t="str">
        <f t="shared" si="575"/>
        <v>simense</v>
      </c>
      <c r="L1221" s="77">
        <f t="shared" si="575"/>
        <v>6</v>
      </c>
      <c r="M1221" s="77">
        <f t="shared" si="575"/>
        <v>20</v>
      </c>
      <c r="N1221" s="71">
        <f t="shared" si="575"/>
        <v>0</v>
      </c>
      <c r="O1221" s="44"/>
      <c r="P1221" s="45" t="str">
        <f t="shared" ref="P1221:P1284" si="585">IF(F1221="","",1)</f>
        <v/>
      </c>
      <c r="Q1221" s="46" t="str">
        <f t="shared" ref="Q1221:Q1284" si="586">TEXT(IF(P1221=1,CONCATENATE($D1221,":",$E1221,":",(LEFT($F1221,2))),""),"hh:mm:ss")</f>
        <v/>
      </c>
      <c r="R1221" s="47" t="e">
        <f t="shared" ref="R1221:R1284" si="587">TEXT(Q1221-TIME(0,RIGHT($H1221,2),$G$9)+(Q1221&gt;TIME(0,RIGHT($H1221,2),$G$9)),"mm:ss")</f>
        <v>#VALUE!</v>
      </c>
      <c r="S1221" s="48" t="e">
        <f t="shared" si="576"/>
        <v>#VALUE!</v>
      </c>
      <c r="T1221" s="47" t="str">
        <f t="shared" ref="T1221:T1284" si="588">TEXT(IF(P1221=1,D1221,""),"00")</f>
        <v/>
      </c>
      <c r="U1221" s="49"/>
      <c r="V1221" s="50"/>
      <c r="W1221" s="51" t="e">
        <f t="shared" ref="W1221:W1284" si="589">IF(O1221=0,TEXT(TIME(T1221,U1221,V1221)-TIME(D1221,E1221,RIGHT(F1221,2))+TIME(0,LEFT(R1221,2),RIGHT(R1221,2)),"mm:ss"),TEXT(TIME(T1221,U1221,V1221)-TIME(D1221,E1221,RIGHT(F1221,2))+TIME(0,LEFT(R1221,2),RIGHT(R1221,2))-TIME(0,($G$10*O1221),0),"mm:ss"))</f>
        <v>#VALUE!</v>
      </c>
      <c r="X1221" s="52"/>
      <c r="Y1221" s="52"/>
      <c r="Z1221" s="52"/>
      <c r="AA1221" s="47" t="e">
        <f>INDEX(VISITORS[INSECT ORDER], MATCH(X1221,VISITORS[NAME USED],0))</f>
        <v>#N/A</v>
      </c>
      <c r="AB1221" s="47" t="e">
        <f t="shared" ref="AB1221:AB1284" si="590">IF(AA1221&lt;&gt;0,"NA","")</f>
        <v>#N/A</v>
      </c>
      <c r="AC1221" s="53" t="e">
        <f t="shared" ref="AC1221:AC1284" si="591">IF(SUM(AH1221,AJ1221,AL1221,AN1221,AP1221,AR1221)=S1221,,"")</f>
        <v>#VALUE!</v>
      </c>
      <c r="AD1221" s="54" t="str">
        <f t="shared" ref="AD1221:AD1284" si="592">IF(P1221=1,1,"")</f>
        <v/>
      </c>
      <c r="AE1221" s="54"/>
      <c r="AF1221" s="54"/>
      <c r="AG1221" s="55" t="str">
        <f t="shared" ref="AG1221:AG1284" si="593">IF(OR(X1221="Something small"),1,"")</f>
        <v/>
      </c>
      <c r="AH1221" s="56" t="str">
        <f t="shared" ref="AH1221:AH1284" si="594">IF(AG1221=1,$S1221,"")</f>
        <v/>
      </c>
      <c r="AI1221" s="55"/>
      <c r="AJ1221" s="56" t="str">
        <f t="shared" ref="AJ1221:AJ1284" si="595">IF(AI1221=1,$S1221,"")</f>
        <v/>
      </c>
      <c r="AK1221" s="55"/>
      <c r="AL1221" s="56" t="str">
        <f t="shared" ref="AL1221:AL1284" si="596">IF(AK1221=1,$S1221,"")</f>
        <v/>
      </c>
      <c r="AM1221" s="55"/>
      <c r="AN1221" s="56" t="str">
        <f t="shared" ref="AN1221:AN1284" si="597">IF(AM1221=1,$S1221,"")</f>
        <v/>
      </c>
      <c r="AO1221" s="55"/>
      <c r="AP1221" s="56" t="str">
        <f t="shared" ref="AP1221:AP1284" si="598">IF(AO1221=1,$S1221,"")</f>
        <v/>
      </c>
      <c r="AQ1221" s="55"/>
      <c r="AR1221" s="56" t="str">
        <f t="shared" ref="AR1221:AR1284" si="599">IF(AQ1221=1,$S1221,"")</f>
        <v/>
      </c>
      <c r="AS1221" s="57"/>
      <c r="AT1221" s="58"/>
      <c r="AU1221" s="58"/>
      <c r="AV1221" s="59"/>
      <c r="AW1221" s="60" t="str">
        <f t="shared" si="577"/>
        <v/>
      </c>
      <c r="AX1221" s="61" t="str">
        <f t="shared" si="578"/>
        <v/>
      </c>
      <c r="AY1221" s="60" t="str">
        <f t="shared" si="579"/>
        <v/>
      </c>
      <c r="AZ1221" s="61" t="str">
        <f t="shared" si="580"/>
        <v/>
      </c>
    </row>
    <row r="1222" spans="1:52" s="3" customFormat="1" hidden="1" x14ac:dyDescent="0.35">
      <c r="A1222" s="72">
        <f t="shared" si="581"/>
        <v>2021</v>
      </c>
      <c r="B1222" s="72" t="str">
        <f t="shared" si="582"/>
        <v>Nov</v>
      </c>
      <c r="C1222" s="73">
        <f t="shared" ref="C1222:C1285" si="600">IF(AND(D1222=0, E1222=0), IF(TEXT(C1221,"dd")=TEXT(EOMONTH(DATE(A1221,MONTH(DATEVALUE(B1221&amp;"1")),C1221),0), "dd"), 1, C1221+1), C1221)</f>
        <v>15</v>
      </c>
      <c r="D1222" s="74">
        <f t="shared" si="583"/>
        <v>12</v>
      </c>
      <c r="E1222" s="75">
        <f t="shared" si="584"/>
        <v>18</v>
      </c>
      <c r="F1222" s="79"/>
      <c r="G1222" s="82"/>
      <c r="H1222" s="68" t="str">
        <f t="shared" ref="H1222:H1285" si="601">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Clesim6_20211115_12_00</v>
      </c>
      <c r="I1222" s="69">
        <f t="shared" ref="I1222:N1237" si="602">I1221</f>
        <v>1</v>
      </c>
      <c r="J1222" s="76" t="str">
        <f t="shared" si="602"/>
        <v>Clematis</v>
      </c>
      <c r="K1222" s="76" t="str">
        <f t="shared" si="602"/>
        <v>simense</v>
      </c>
      <c r="L1222" s="77">
        <f t="shared" si="602"/>
        <v>6</v>
      </c>
      <c r="M1222" s="77">
        <f t="shared" si="602"/>
        <v>20</v>
      </c>
      <c r="N1222" s="71">
        <f t="shared" si="602"/>
        <v>0</v>
      </c>
      <c r="O1222" s="44"/>
      <c r="P1222" s="45" t="str">
        <f t="shared" si="585"/>
        <v/>
      </c>
      <c r="Q1222" s="46" t="str">
        <f t="shared" si="586"/>
        <v/>
      </c>
      <c r="R1222" s="47" t="e">
        <f t="shared" si="587"/>
        <v>#VALUE!</v>
      </c>
      <c r="S1222" s="48" t="e">
        <f t="shared" si="576"/>
        <v>#VALUE!</v>
      </c>
      <c r="T1222" s="47" t="str">
        <f t="shared" si="588"/>
        <v/>
      </c>
      <c r="U1222" s="49"/>
      <c r="V1222" s="50"/>
      <c r="W1222" s="51" t="e">
        <f t="shared" si="589"/>
        <v>#VALUE!</v>
      </c>
      <c r="X1222" s="52"/>
      <c r="Y1222" s="52"/>
      <c r="Z1222" s="52"/>
      <c r="AA1222" s="47" t="e">
        <f>INDEX(VISITORS[INSECT ORDER], MATCH(X1222,VISITORS[NAME USED],0))</f>
        <v>#N/A</v>
      </c>
      <c r="AB1222" s="47" t="e">
        <f t="shared" si="590"/>
        <v>#N/A</v>
      </c>
      <c r="AC1222" s="53" t="e">
        <f t="shared" si="591"/>
        <v>#VALUE!</v>
      </c>
      <c r="AD1222" s="54" t="str">
        <f t="shared" si="592"/>
        <v/>
      </c>
      <c r="AE1222" s="54"/>
      <c r="AF1222" s="54"/>
      <c r="AG1222" s="55" t="str">
        <f t="shared" si="593"/>
        <v/>
      </c>
      <c r="AH1222" s="56" t="str">
        <f t="shared" si="594"/>
        <v/>
      </c>
      <c r="AI1222" s="55"/>
      <c r="AJ1222" s="56" t="str">
        <f t="shared" si="595"/>
        <v/>
      </c>
      <c r="AK1222" s="55"/>
      <c r="AL1222" s="56" t="str">
        <f t="shared" si="596"/>
        <v/>
      </c>
      <c r="AM1222" s="55"/>
      <c r="AN1222" s="56" t="str">
        <f t="shared" si="597"/>
        <v/>
      </c>
      <c r="AO1222" s="55"/>
      <c r="AP1222" s="56" t="str">
        <f t="shared" si="598"/>
        <v/>
      </c>
      <c r="AQ1222" s="55"/>
      <c r="AR1222" s="56" t="str">
        <f t="shared" si="599"/>
        <v/>
      </c>
      <c r="AS1222" s="57"/>
      <c r="AT1222" s="58"/>
      <c r="AU1222" s="58"/>
      <c r="AV1222" s="59"/>
      <c r="AW1222" s="60" t="str">
        <f t="shared" si="577"/>
        <v/>
      </c>
      <c r="AX1222" s="61" t="str">
        <f t="shared" si="578"/>
        <v/>
      </c>
      <c r="AY1222" s="60" t="str">
        <f t="shared" si="579"/>
        <v/>
      </c>
      <c r="AZ1222" s="61" t="str">
        <f t="shared" si="580"/>
        <v/>
      </c>
    </row>
    <row r="1223" spans="1:52" s="3" customFormat="1" hidden="1" x14ac:dyDescent="0.35">
      <c r="A1223" s="72">
        <f t="shared" si="581"/>
        <v>2021</v>
      </c>
      <c r="B1223" s="72" t="str">
        <f t="shared" si="582"/>
        <v>Nov</v>
      </c>
      <c r="C1223" s="73">
        <f t="shared" si="600"/>
        <v>15</v>
      </c>
      <c r="D1223" s="74">
        <f t="shared" si="583"/>
        <v>12</v>
      </c>
      <c r="E1223" s="75">
        <f t="shared" si="584"/>
        <v>19</v>
      </c>
      <c r="F1223" s="79"/>
      <c r="G1223" s="82"/>
      <c r="H1223" s="68" t="str">
        <f t="shared" si="601"/>
        <v>Clesim6_20211115_12_00</v>
      </c>
      <c r="I1223" s="69">
        <f t="shared" si="602"/>
        <v>1</v>
      </c>
      <c r="J1223" s="76" t="str">
        <f t="shared" si="602"/>
        <v>Clematis</v>
      </c>
      <c r="K1223" s="76" t="str">
        <f t="shared" si="602"/>
        <v>simense</v>
      </c>
      <c r="L1223" s="77">
        <f t="shared" si="602"/>
        <v>6</v>
      </c>
      <c r="M1223" s="77">
        <f t="shared" si="602"/>
        <v>20</v>
      </c>
      <c r="N1223" s="71">
        <f t="shared" si="602"/>
        <v>0</v>
      </c>
      <c r="O1223" s="44"/>
      <c r="P1223" s="45" t="str">
        <f t="shared" si="585"/>
        <v/>
      </c>
      <c r="Q1223" s="46" t="str">
        <f t="shared" si="586"/>
        <v/>
      </c>
      <c r="R1223" s="47" t="e">
        <f t="shared" si="587"/>
        <v>#VALUE!</v>
      </c>
      <c r="S1223" s="48" t="e">
        <f t="shared" si="576"/>
        <v>#VALUE!</v>
      </c>
      <c r="T1223" s="47" t="str">
        <f t="shared" si="588"/>
        <v/>
      </c>
      <c r="U1223" s="49"/>
      <c r="V1223" s="50"/>
      <c r="W1223" s="51" t="e">
        <f t="shared" si="589"/>
        <v>#VALUE!</v>
      </c>
      <c r="X1223" s="52"/>
      <c r="Y1223" s="52"/>
      <c r="Z1223" s="52"/>
      <c r="AA1223" s="47" t="e">
        <f>INDEX(VISITORS[INSECT ORDER], MATCH(X1223,VISITORS[NAME USED],0))</f>
        <v>#N/A</v>
      </c>
      <c r="AB1223" s="47" t="e">
        <f t="shared" si="590"/>
        <v>#N/A</v>
      </c>
      <c r="AC1223" s="53" t="e">
        <f t="shared" si="591"/>
        <v>#VALUE!</v>
      </c>
      <c r="AD1223" s="54" t="str">
        <f t="shared" si="592"/>
        <v/>
      </c>
      <c r="AE1223" s="54"/>
      <c r="AF1223" s="54"/>
      <c r="AG1223" s="55" t="str">
        <f t="shared" si="593"/>
        <v/>
      </c>
      <c r="AH1223" s="56" t="str">
        <f t="shared" si="594"/>
        <v/>
      </c>
      <c r="AI1223" s="55"/>
      <c r="AJ1223" s="56" t="str">
        <f t="shared" si="595"/>
        <v/>
      </c>
      <c r="AK1223" s="55"/>
      <c r="AL1223" s="56" t="str">
        <f t="shared" si="596"/>
        <v/>
      </c>
      <c r="AM1223" s="55"/>
      <c r="AN1223" s="56" t="str">
        <f t="shared" si="597"/>
        <v/>
      </c>
      <c r="AO1223" s="55"/>
      <c r="AP1223" s="56" t="str">
        <f t="shared" si="598"/>
        <v/>
      </c>
      <c r="AQ1223" s="55"/>
      <c r="AR1223" s="56" t="str">
        <f t="shared" si="599"/>
        <v/>
      </c>
      <c r="AS1223" s="57"/>
      <c r="AT1223" s="58"/>
      <c r="AU1223" s="58"/>
      <c r="AV1223" s="59"/>
      <c r="AW1223" s="60" t="str">
        <f t="shared" si="577"/>
        <v/>
      </c>
      <c r="AX1223" s="61" t="str">
        <f t="shared" si="578"/>
        <v/>
      </c>
      <c r="AY1223" s="60" t="str">
        <f t="shared" si="579"/>
        <v/>
      </c>
      <c r="AZ1223" s="61" t="str">
        <f t="shared" si="580"/>
        <v/>
      </c>
    </row>
    <row r="1224" spans="1:52" s="3" customFormat="1" hidden="1" x14ac:dyDescent="0.35">
      <c r="A1224" s="72">
        <f t="shared" si="581"/>
        <v>2021</v>
      </c>
      <c r="B1224" s="72" t="str">
        <f t="shared" si="582"/>
        <v>Nov</v>
      </c>
      <c r="C1224" s="73">
        <f t="shared" si="600"/>
        <v>15</v>
      </c>
      <c r="D1224" s="74">
        <f t="shared" si="583"/>
        <v>12</v>
      </c>
      <c r="E1224" s="75">
        <f t="shared" si="584"/>
        <v>20</v>
      </c>
      <c r="F1224" s="79"/>
      <c r="G1224" s="82"/>
      <c r="H1224" s="68" t="str">
        <f t="shared" si="601"/>
        <v>Clesim6_20211115_12_00</v>
      </c>
      <c r="I1224" s="69">
        <f t="shared" si="602"/>
        <v>1</v>
      </c>
      <c r="J1224" s="76" t="str">
        <f t="shared" si="602"/>
        <v>Clematis</v>
      </c>
      <c r="K1224" s="76" t="str">
        <f t="shared" si="602"/>
        <v>simense</v>
      </c>
      <c r="L1224" s="77">
        <f t="shared" si="602"/>
        <v>6</v>
      </c>
      <c r="M1224" s="77">
        <f t="shared" si="602"/>
        <v>20</v>
      </c>
      <c r="N1224" s="71">
        <f t="shared" si="602"/>
        <v>0</v>
      </c>
      <c r="O1224" s="44"/>
      <c r="P1224" s="45" t="str">
        <f t="shared" si="585"/>
        <v/>
      </c>
      <c r="Q1224" s="46" t="str">
        <f t="shared" si="586"/>
        <v/>
      </c>
      <c r="R1224" s="47" t="e">
        <f t="shared" si="587"/>
        <v>#VALUE!</v>
      </c>
      <c r="S1224" s="48" t="e">
        <f t="shared" si="576"/>
        <v>#VALUE!</v>
      </c>
      <c r="T1224" s="47" t="str">
        <f t="shared" si="588"/>
        <v/>
      </c>
      <c r="U1224" s="49"/>
      <c r="V1224" s="50"/>
      <c r="W1224" s="51" t="e">
        <f t="shared" si="589"/>
        <v>#VALUE!</v>
      </c>
      <c r="X1224" s="52"/>
      <c r="Y1224" s="52"/>
      <c r="Z1224" s="52"/>
      <c r="AA1224" s="47" t="e">
        <f>INDEX(VISITORS[INSECT ORDER], MATCH(X1224,VISITORS[NAME USED],0))</f>
        <v>#N/A</v>
      </c>
      <c r="AB1224" s="47" t="e">
        <f t="shared" si="590"/>
        <v>#N/A</v>
      </c>
      <c r="AC1224" s="53" t="e">
        <f t="shared" si="591"/>
        <v>#VALUE!</v>
      </c>
      <c r="AD1224" s="54" t="str">
        <f t="shared" si="592"/>
        <v/>
      </c>
      <c r="AE1224" s="54"/>
      <c r="AF1224" s="54"/>
      <c r="AG1224" s="55" t="str">
        <f t="shared" si="593"/>
        <v/>
      </c>
      <c r="AH1224" s="56" t="str">
        <f t="shared" si="594"/>
        <v/>
      </c>
      <c r="AI1224" s="55"/>
      <c r="AJ1224" s="56" t="str">
        <f t="shared" si="595"/>
        <v/>
      </c>
      <c r="AK1224" s="55"/>
      <c r="AL1224" s="56" t="str">
        <f t="shared" si="596"/>
        <v/>
      </c>
      <c r="AM1224" s="55"/>
      <c r="AN1224" s="56" t="str">
        <f t="shared" si="597"/>
        <v/>
      </c>
      <c r="AO1224" s="55"/>
      <c r="AP1224" s="56" t="str">
        <f t="shared" si="598"/>
        <v/>
      </c>
      <c r="AQ1224" s="55"/>
      <c r="AR1224" s="56" t="str">
        <f t="shared" si="599"/>
        <v/>
      </c>
      <c r="AS1224" s="57"/>
      <c r="AT1224" s="58"/>
      <c r="AU1224" s="58"/>
      <c r="AV1224" s="59"/>
      <c r="AW1224" s="60" t="str">
        <f t="shared" si="577"/>
        <v/>
      </c>
      <c r="AX1224" s="61" t="str">
        <f t="shared" si="578"/>
        <v/>
      </c>
      <c r="AY1224" s="60" t="str">
        <f t="shared" si="579"/>
        <v/>
      </c>
      <c r="AZ1224" s="61" t="str">
        <f t="shared" si="580"/>
        <v/>
      </c>
    </row>
    <row r="1225" spans="1:52" s="3" customFormat="1" hidden="1" x14ac:dyDescent="0.35">
      <c r="A1225" s="72">
        <f t="shared" si="581"/>
        <v>2021</v>
      </c>
      <c r="B1225" s="72" t="str">
        <f t="shared" si="582"/>
        <v>Nov</v>
      </c>
      <c r="C1225" s="73">
        <f t="shared" si="600"/>
        <v>15</v>
      </c>
      <c r="D1225" s="74">
        <f t="shared" si="583"/>
        <v>12</v>
      </c>
      <c r="E1225" s="75">
        <f t="shared" si="584"/>
        <v>21</v>
      </c>
      <c r="F1225" s="79"/>
      <c r="G1225" s="82"/>
      <c r="H1225" s="68" t="str">
        <f t="shared" si="601"/>
        <v>Clesim6_20211115_12_00</v>
      </c>
      <c r="I1225" s="69">
        <f t="shared" si="602"/>
        <v>1</v>
      </c>
      <c r="J1225" s="76" t="str">
        <f t="shared" si="602"/>
        <v>Clematis</v>
      </c>
      <c r="K1225" s="76" t="str">
        <f t="shared" si="602"/>
        <v>simense</v>
      </c>
      <c r="L1225" s="77">
        <f t="shared" si="602"/>
        <v>6</v>
      </c>
      <c r="M1225" s="77">
        <f t="shared" si="602"/>
        <v>20</v>
      </c>
      <c r="N1225" s="71">
        <f t="shared" si="602"/>
        <v>0</v>
      </c>
      <c r="O1225" s="44"/>
      <c r="P1225" s="45" t="str">
        <f t="shared" si="585"/>
        <v/>
      </c>
      <c r="Q1225" s="46" t="str">
        <f t="shared" si="586"/>
        <v/>
      </c>
      <c r="R1225" s="47" t="e">
        <f t="shared" si="587"/>
        <v>#VALUE!</v>
      </c>
      <c r="S1225" s="48" t="e">
        <f t="shared" si="576"/>
        <v>#VALUE!</v>
      </c>
      <c r="T1225" s="47" t="str">
        <f t="shared" si="588"/>
        <v/>
      </c>
      <c r="U1225" s="49"/>
      <c r="V1225" s="50"/>
      <c r="W1225" s="51" t="e">
        <f t="shared" si="589"/>
        <v>#VALUE!</v>
      </c>
      <c r="X1225" s="52"/>
      <c r="Y1225" s="52"/>
      <c r="Z1225" s="52"/>
      <c r="AA1225" s="47" t="e">
        <f>INDEX(VISITORS[INSECT ORDER], MATCH(X1225,VISITORS[NAME USED],0))</f>
        <v>#N/A</v>
      </c>
      <c r="AB1225" s="47" t="e">
        <f t="shared" si="590"/>
        <v>#N/A</v>
      </c>
      <c r="AC1225" s="53" t="e">
        <f t="shared" si="591"/>
        <v>#VALUE!</v>
      </c>
      <c r="AD1225" s="54" t="str">
        <f t="shared" si="592"/>
        <v/>
      </c>
      <c r="AE1225" s="54"/>
      <c r="AF1225" s="54"/>
      <c r="AG1225" s="55" t="str">
        <f t="shared" si="593"/>
        <v/>
      </c>
      <c r="AH1225" s="56" t="str">
        <f t="shared" si="594"/>
        <v/>
      </c>
      <c r="AI1225" s="55"/>
      <c r="AJ1225" s="56" t="str">
        <f t="shared" si="595"/>
        <v/>
      </c>
      <c r="AK1225" s="55"/>
      <c r="AL1225" s="56" t="str">
        <f t="shared" si="596"/>
        <v/>
      </c>
      <c r="AM1225" s="55"/>
      <c r="AN1225" s="56" t="str">
        <f t="shared" si="597"/>
        <v/>
      </c>
      <c r="AO1225" s="55"/>
      <c r="AP1225" s="56" t="str">
        <f t="shared" si="598"/>
        <v/>
      </c>
      <c r="AQ1225" s="55"/>
      <c r="AR1225" s="56" t="str">
        <f t="shared" si="599"/>
        <v/>
      </c>
      <c r="AS1225" s="57"/>
      <c r="AT1225" s="58"/>
      <c r="AU1225" s="58"/>
      <c r="AV1225" s="59"/>
      <c r="AW1225" s="60" t="str">
        <f t="shared" si="577"/>
        <v/>
      </c>
      <c r="AX1225" s="61" t="str">
        <f t="shared" si="578"/>
        <v/>
      </c>
      <c r="AY1225" s="60" t="str">
        <f t="shared" si="579"/>
        <v/>
      </c>
      <c r="AZ1225" s="61" t="str">
        <f t="shared" si="580"/>
        <v/>
      </c>
    </row>
    <row r="1226" spans="1:52" s="3" customFormat="1" hidden="1" x14ac:dyDescent="0.35">
      <c r="A1226" s="72">
        <f t="shared" si="581"/>
        <v>2021</v>
      </c>
      <c r="B1226" s="72" t="str">
        <f t="shared" si="582"/>
        <v>Nov</v>
      </c>
      <c r="C1226" s="73">
        <f t="shared" si="600"/>
        <v>15</v>
      </c>
      <c r="D1226" s="74">
        <f t="shared" si="583"/>
        <v>12</v>
      </c>
      <c r="E1226" s="75">
        <f t="shared" si="584"/>
        <v>22</v>
      </c>
      <c r="F1226" s="79"/>
      <c r="G1226" s="82"/>
      <c r="H1226" s="68" t="str">
        <f t="shared" si="601"/>
        <v>Clesim6_20211115_12_00</v>
      </c>
      <c r="I1226" s="69">
        <f t="shared" si="602"/>
        <v>1</v>
      </c>
      <c r="J1226" s="76" t="str">
        <f t="shared" si="602"/>
        <v>Clematis</v>
      </c>
      <c r="K1226" s="76" t="str">
        <f t="shared" si="602"/>
        <v>simense</v>
      </c>
      <c r="L1226" s="77">
        <f t="shared" si="602"/>
        <v>6</v>
      </c>
      <c r="M1226" s="77">
        <f t="shared" si="602"/>
        <v>20</v>
      </c>
      <c r="N1226" s="71">
        <f t="shared" si="602"/>
        <v>0</v>
      </c>
      <c r="O1226" s="44"/>
      <c r="P1226" s="45" t="str">
        <f t="shared" si="585"/>
        <v/>
      </c>
      <c r="Q1226" s="46" t="str">
        <f t="shared" si="586"/>
        <v/>
      </c>
      <c r="R1226" s="47" t="e">
        <f t="shared" si="587"/>
        <v>#VALUE!</v>
      </c>
      <c r="S1226" s="48" t="e">
        <f t="shared" si="576"/>
        <v>#VALUE!</v>
      </c>
      <c r="T1226" s="47" t="str">
        <f t="shared" si="588"/>
        <v/>
      </c>
      <c r="U1226" s="49"/>
      <c r="V1226" s="50"/>
      <c r="W1226" s="51" t="e">
        <f t="shared" si="589"/>
        <v>#VALUE!</v>
      </c>
      <c r="X1226" s="52"/>
      <c r="Y1226" s="52"/>
      <c r="Z1226" s="52"/>
      <c r="AA1226" s="47" t="e">
        <f>INDEX(VISITORS[INSECT ORDER], MATCH(X1226,VISITORS[NAME USED],0))</f>
        <v>#N/A</v>
      </c>
      <c r="AB1226" s="47" t="e">
        <f t="shared" si="590"/>
        <v>#N/A</v>
      </c>
      <c r="AC1226" s="53" t="e">
        <f t="shared" si="591"/>
        <v>#VALUE!</v>
      </c>
      <c r="AD1226" s="54" t="str">
        <f t="shared" si="592"/>
        <v/>
      </c>
      <c r="AE1226" s="54"/>
      <c r="AF1226" s="54"/>
      <c r="AG1226" s="55" t="str">
        <f t="shared" si="593"/>
        <v/>
      </c>
      <c r="AH1226" s="56" t="str">
        <f t="shared" si="594"/>
        <v/>
      </c>
      <c r="AI1226" s="55"/>
      <c r="AJ1226" s="56" t="str">
        <f t="shared" si="595"/>
        <v/>
      </c>
      <c r="AK1226" s="55"/>
      <c r="AL1226" s="56" t="str">
        <f t="shared" si="596"/>
        <v/>
      </c>
      <c r="AM1226" s="55"/>
      <c r="AN1226" s="56" t="str">
        <f t="shared" si="597"/>
        <v/>
      </c>
      <c r="AO1226" s="55"/>
      <c r="AP1226" s="56" t="str">
        <f t="shared" si="598"/>
        <v/>
      </c>
      <c r="AQ1226" s="55"/>
      <c r="AR1226" s="56" t="str">
        <f t="shared" si="599"/>
        <v/>
      </c>
      <c r="AS1226" s="57"/>
      <c r="AT1226" s="58"/>
      <c r="AU1226" s="58"/>
      <c r="AV1226" s="59"/>
      <c r="AW1226" s="60" t="str">
        <f t="shared" si="577"/>
        <v/>
      </c>
      <c r="AX1226" s="61" t="str">
        <f t="shared" si="578"/>
        <v/>
      </c>
      <c r="AY1226" s="60" t="str">
        <f t="shared" si="579"/>
        <v/>
      </c>
      <c r="AZ1226" s="61" t="str">
        <f t="shared" si="580"/>
        <v/>
      </c>
    </row>
    <row r="1227" spans="1:52" s="3" customFormat="1" x14ac:dyDescent="0.35">
      <c r="A1227" s="72">
        <f t="shared" si="581"/>
        <v>2021</v>
      </c>
      <c r="B1227" s="72" t="str">
        <f t="shared" si="582"/>
        <v>Nov</v>
      </c>
      <c r="C1227" s="73">
        <f t="shared" si="600"/>
        <v>15</v>
      </c>
      <c r="D1227" s="74">
        <f t="shared" si="583"/>
        <v>12</v>
      </c>
      <c r="E1227" s="75">
        <f t="shared" si="584"/>
        <v>23</v>
      </c>
      <c r="F1227" s="79">
        <v>7</v>
      </c>
      <c r="G1227" s="82"/>
      <c r="H1227" s="68" t="str">
        <f t="shared" si="601"/>
        <v>Clesim6_20211115_12_00</v>
      </c>
      <c r="I1227" s="69">
        <f t="shared" si="602"/>
        <v>1</v>
      </c>
      <c r="J1227" s="76" t="str">
        <f t="shared" si="602"/>
        <v>Clematis</v>
      </c>
      <c r="K1227" s="76" t="str">
        <f t="shared" si="602"/>
        <v>simense</v>
      </c>
      <c r="L1227" s="77">
        <f t="shared" si="602"/>
        <v>6</v>
      </c>
      <c r="M1227" s="77">
        <f t="shared" si="602"/>
        <v>20</v>
      </c>
      <c r="N1227" s="71">
        <f t="shared" si="602"/>
        <v>0</v>
      </c>
      <c r="O1227" s="44"/>
      <c r="P1227" s="45">
        <f t="shared" si="585"/>
        <v>1</v>
      </c>
      <c r="Q1227" s="46" t="str">
        <f t="shared" si="586"/>
        <v>12:23:07</v>
      </c>
      <c r="R1227" s="47" t="str">
        <f t="shared" si="587"/>
        <v>23:07</v>
      </c>
      <c r="S1227" s="48">
        <f t="shared" si="576"/>
        <v>310</v>
      </c>
      <c r="T1227" s="47" t="str">
        <f t="shared" si="588"/>
        <v>12</v>
      </c>
      <c r="U1227" s="49">
        <v>28</v>
      </c>
      <c r="V1227" s="50">
        <v>17</v>
      </c>
      <c r="W1227" s="51" t="str">
        <f t="shared" si="589"/>
        <v>28:17</v>
      </c>
      <c r="X1227" s="123" t="s">
        <v>66</v>
      </c>
      <c r="Y1227" s="52" t="s">
        <v>84</v>
      </c>
      <c r="Z1227" s="52" t="s">
        <v>87</v>
      </c>
      <c r="AA1227" s="47" t="s">
        <v>67</v>
      </c>
      <c r="AB1227" s="47" t="str">
        <f t="shared" si="590"/>
        <v>NA</v>
      </c>
      <c r="AC1227" s="53" t="str">
        <f t="shared" si="591"/>
        <v/>
      </c>
      <c r="AD1227" s="54">
        <v>3</v>
      </c>
      <c r="AE1227" s="54"/>
      <c r="AF1227" s="54"/>
      <c r="AG1227" s="55" t="str">
        <f t="shared" si="593"/>
        <v/>
      </c>
      <c r="AH1227" s="56" t="str">
        <f t="shared" si="594"/>
        <v/>
      </c>
      <c r="AI1227" s="55"/>
      <c r="AJ1227" s="56" t="str">
        <f t="shared" si="595"/>
        <v/>
      </c>
      <c r="AK1227" s="55"/>
      <c r="AL1227" s="56" t="str">
        <f t="shared" si="596"/>
        <v/>
      </c>
      <c r="AM1227" s="55"/>
      <c r="AN1227" s="56" t="str">
        <f t="shared" si="597"/>
        <v/>
      </c>
      <c r="AO1227" s="55"/>
      <c r="AP1227" s="56" t="str">
        <f t="shared" si="598"/>
        <v/>
      </c>
      <c r="AQ1227" s="55"/>
      <c r="AR1227" s="56" t="str">
        <f t="shared" si="599"/>
        <v/>
      </c>
      <c r="AS1227" s="57"/>
      <c r="AT1227" s="58"/>
      <c r="AU1227" s="58"/>
      <c r="AV1227" s="59"/>
      <c r="AW1227" s="60">
        <f t="shared" si="577"/>
        <v>0</v>
      </c>
      <c r="AX1227" s="61" t="str">
        <f t="shared" si="578"/>
        <v/>
      </c>
      <c r="AY1227" s="60">
        <f t="shared" si="579"/>
        <v>0</v>
      </c>
      <c r="AZ1227" s="61" t="str">
        <f t="shared" si="580"/>
        <v/>
      </c>
    </row>
    <row r="1228" spans="1:52" s="3" customFormat="1" hidden="1" x14ac:dyDescent="0.35">
      <c r="A1228" s="72">
        <f t="shared" si="581"/>
        <v>2021</v>
      </c>
      <c r="B1228" s="72" t="str">
        <f t="shared" si="582"/>
        <v>Nov</v>
      </c>
      <c r="C1228" s="73">
        <f t="shared" si="600"/>
        <v>15</v>
      </c>
      <c r="D1228" s="74">
        <f t="shared" si="583"/>
        <v>12</v>
      </c>
      <c r="E1228" s="75">
        <f t="shared" si="584"/>
        <v>24</v>
      </c>
      <c r="F1228" s="79"/>
      <c r="G1228" s="82"/>
      <c r="H1228" s="68" t="str">
        <f t="shared" si="601"/>
        <v>Clesim6_20211115_12_00</v>
      </c>
      <c r="I1228" s="69">
        <f t="shared" si="602"/>
        <v>1</v>
      </c>
      <c r="J1228" s="76" t="str">
        <f t="shared" si="602"/>
        <v>Clematis</v>
      </c>
      <c r="K1228" s="76" t="str">
        <f t="shared" si="602"/>
        <v>simense</v>
      </c>
      <c r="L1228" s="77">
        <f t="shared" si="602"/>
        <v>6</v>
      </c>
      <c r="M1228" s="77">
        <f t="shared" si="602"/>
        <v>20</v>
      </c>
      <c r="N1228" s="71">
        <f t="shared" si="602"/>
        <v>0</v>
      </c>
      <c r="O1228" s="44"/>
      <c r="P1228" s="45" t="str">
        <f t="shared" si="585"/>
        <v/>
      </c>
      <c r="Q1228" s="46" t="str">
        <f t="shared" si="586"/>
        <v/>
      </c>
      <c r="R1228" s="47" t="e">
        <f t="shared" si="587"/>
        <v>#VALUE!</v>
      </c>
      <c r="S1228" s="48" t="e">
        <f t="shared" si="576"/>
        <v>#VALUE!</v>
      </c>
      <c r="T1228" s="47" t="str">
        <f t="shared" si="588"/>
        <v/>
      </c>
      <c r="U1228" s="49"/>
      <c r="V1228" s="50"/>
      <c r="W1228" s="51" t="e">
        <f t="shared" si="589"/>
        <v>#VALUE!</v>
      </c>
      <c r="X1228" s="52"/>
      <c r="Y1228" s="52"/>
      <c r="Z1228" s="52"/>
      <c r="AA1228" s="47" t="e">
        <f>INDEX(VISITORS[INSECT ORDER], MATCH(X1228,VISITORS[NAME USED],0))</f>
        <v>#N/A</v>
      </c>
      <c r="AB1228" s="47" t="e">
        <f t="shared" si="590"/>
        <v>#N/A</v>
      </c>
      <c r="AC1228" s="53" t="e">
        <f t="shared" si="591"/>
        <v>#VALUE!</v>
      </c>
      <c r="AD1228" s="54" t="str">
        <f t="shared" si="592"/>
        <v/>
      </c>
      <c r="AE1228" s="54"/>
      <c r="AF1228" s="54"/>
      <c r="AG1228" s="55" t="str">
        <f t="shared" si="593"/>
        <v/>
      </c>
      <c r="AH1228" s="56" t="str">
        <f t="shared" si="594"/>
        <v/>
      </c>
      <c r="AI1228" s="55"/>
      <c r="AJ1228" s="56" t="str">
        <f t="shared" si="595"/>
        <v/>
      </c>
      <c r="AK1228" s="55"/>
      <c r="AL1228" s="56" t="str">
        <f t="shared" si="596"/>
        <v/>
      </c>
      <c r="AM1228" s="55"/>
      <c r="AN1228" s="56" t="str">
        <f t="shared" si="597"/>
        <v/>
      </c>
      <c r="AO1228" s="55"/>
      <c r="AP1228" s="56" t="str">
        <f t="shared" si="598"/>
        <v/>
      </c>
      <c r="AQ1228" s="55"/>
      <c r="AR1228" s="56" t="str">
        <f t="shared" si="599"/>
        <v/>
      </c>
      <c r="AS1228" s="57"/>
      <c r="AT1228" s="58"/>
      <c r="AU1228" s="58"/>
      <c r="AV1228" s="59"/>
      <c r="AW1228" s="60" t="str">
        <f t="shared" si="577"/>
        <v/>
      </c>
      <c r="AX1228" s="61" t="str">
        <f t="shared" si="578"/>
        <v/>
      </c>
      <c r="AY1228" s="60" t="str">
        <f t="shared" si="579"/>
        <v/>
      </c>
      <c r="AZ1228" s="61" t="str">
        <f t="shared" si="580"/>
        <v/>
      </c>
    </row>
    <row r="1229" spans="1:52" s="3" customFormat="1" hidden="1" x14ac:dyDescent="0.35">
      <c r="A1229" s="72">
        <f t="shared" si="581"/>
        <v>2021</v>
      </c>
      <c r="B1229" s="72" t="str">
        <f t="shared" si="582"/>
        <v>Nov</v>
      </c>
      <c r="C1229" s="73">
        <f t="shared" si="600"/>
        <v>15</v>
      </c>
      <c r="D1229" s="74">
        <f t="shared" si="583"/>
        <v>12</v>
      </c>
      <c r="E1229" s="75">
        <f t="shared" si="584"/>
        <v>25</v>
      </c>
      <c r="F1229" s="79"/>
      <c r="G1229" s="82"/>
      <c r="H1229" s="68" t="str">
        <f t="shared" si="601"/>
        <v>Clesim6_20211115_12_00</v>
      </c>
      <c r="I1229" s="69">
        <f t="shared" si="602"/>
        <v>1</v>
      </c>
      <c r="J1229" s="76" t="str">
        <f t="shared" si="602"/>
        <v>Clematis</v>
      </c>
      <c r="K1229" s="76" t="str">
        <f t="shared" si="602"/>
        <v>simense</v>
      </c>
      <c r="L1229" s="77">
        <f t="shared" si="602"/>
        <v>6</v>
      </c>
      <c r="M1229" s="77">
        <f t="shared" si="602"/>
        <v>20</v>
      </c>
      <c r="N1229" s="71">
        <f t="shared" si="602"/>
        <v>0</v>
      </c>
      <c r="O1229" s="44"/>
      <c r="P1229" s="45" t="str">
        <f t="shared" si="585"/>
        <v/>
      </c>
      <c r="Q1229" s="46" t="str">
        <f t="shared" si="586"/>
        <v/>
      </c>
      <c r="R1229" s="47" t="e">
        <f t="shared" si="587"/>
        <v>#VALUE!</v>
      </c>
      <c r="S1229" s="48" t="e">
        <f t="shared" si="576"/>
        <v>#VALUE!</v>
      </c>
      <c r="T1229" s="47" t="str">
        <f t="shared" si="588"/>
        <v/>
      </c>
      <c r="U1229" s="49"/>
      <c r="V1229" s="50"/>
      <c r="W1229" s="51" t="e">
        <f t="shared" si="589"/>
        <v>#VALUE!</v>
      </c>
      <c r="X1229" s="52"/>
      <c r="Y1229" s="52"/>
      <c r="Z1229" s="52"/>
      <c r="AA1229" s="47" t="e">
        <f>INDEX(VISITORS[INSECT ORDER], MATCH(X1229,VISITORS[NAME USED],0))</f>
        <v>#N/A</v>
      </c>
      <c r="AB1229" s="47" t="e">
        <f t="shared" si="590"/>
        <v>#N/A</v>
      </c>
      <c r="AC1229" s="53" t="e">
        <f t="shared" si="591"/>
        <v>#VALUE!</v>
      </c>
      <c r="AD1229" s="54" t="str">
        <f t="shared" si="592"/>
        <v/>
      </c>
      <c r="AE1229" s="54"/>
      <c r="AF1229" s="54"/>
      <c r="AG1229" s="55" t="str">
        <f t="shared" si="593"/>
        <v/>
      </c>
      <c r="AH1229" s="56" t="str">
        <f t="shared" si="594"/>
        <v/>
      </c>
      <c r="AI1229" s="55"/>
      <c r="AJ1229" s="56" t="str">
        <f t="shared" si="595"/>
        <v/>
      </c>
      <c r="AK1229" s="55"/>
      <c r="AL1229" s="56" t="str">
        <f t="shared" si="596"/>
        <v/>
      </c>
      <c r="AM1229" s="55"/>
      <c r="AN1229" s="56" t="str">
        <f t="shared" si="597"/>
        <v/>
      </c>
      <c r="AO1229" s="55"/>
      <c r="AP1229" s="56" t="str">
        <f t="shared" si="598"/>
        <v/>
      </c>
      <c r="AQ1229" s="55"/>
      <c r="AR1229" s="56" t="str">
        <f t="shared" si="599"/>
        <v/>
      </c>
      <c r="AS1229" s="57"/>
      <c r="AT1229" s="58"/>
      <c r="AU1229" s="58"/>
      <c r="AV1229" s="59"/>
      <c r="AW1229" s="60" t="str">
        <f t="shared" si="577"/>
        <v/>
      </c>
      <c r="AX1229" s="61" t="str">
        <f t="shared" si="578"/>
        <v/>
      </c>
      <c r="AY1229" s="60" t="str">
        <f t="shared" si="579"/>
        <v/>
      </c>
      <c r="AZ1229" s="61" t="str">
        <f t="shared" si="580"/>
        <v/>
      </c>
    </row>
    <row r="1230" spans="1:52" s="3" customFormat="1" hidden="1" x14ac:dyDescent="0.35">
      <c r="A1230" s="72">
        <f t="shared" si="581"/>
        <v>2021</v>
      </c>
      <c r="B1230" s="72" t="str">
        <f t="shared" si="582"/>
        <v>Nov</v>
      </c>
      <c r="C1230" s="73">
        <f t="shared" si="600"/>
        <v>15</v>
      </c>
      <c r="D1230" s="74">
        <f t="shared" si="583"/>
        <v>12</v>
      </c>
      <c r="E1230" s="75">
        <f t="shared" si="584"/>
        <v>26</v>
      </c>
      <c r="F1230" s="79"/>
      <c r="G1230" s="82"/>
      <c r="H1230" s="68" t="str">
        <f t="shared" si="601"/>
        <v>Clesim6_20211115_12_00</v>
      </c>
      <c r="I1230" s="69">
        <f t="shared" si="602"/>
        <v>1</v>
      </c>
      <c r="J1230" s="76" t="str">
        <f t="shared" si="602"/>
        <v>Clematis</v>
      </c>
      <c r="K1230" s="76" t="str">
        <f t="shared" si="602"/>
        <v>simense</v>
      </c>
      <c r="L1230" s="77">
        <f t="shared" si="602"/>
        <v>6</v>
      </c>
      <c r="M1230" s="77">
        <f t="shared" si="602"/>
        <v>20</v>
      </c>
      <c r="N1230" s="71">
        <f t="shared" si="602"/>
        <v>0</v>
      </c>
      <c r="O1230" s="44"/>
      <c r="P1230" s="45" t="str">
        <f t="shared" si="585"/>
        <v/>
      </c>
      <c r="Q1230" s="46" t="str">
        <f t="shared" si="586"/>
        <v/>
      </c>
      <c r="R1230" s="47" t="e">
        <f t="shared" si="587"/>
        <v>#VALUE!</v>
      </c>
      <c r="S1230" s="48" t="e">
        <f t="shared" si="576"/>
        <v>#VALUE!</v>
      </c>
      <c r="T1230" s="47" t="str">
        <f t="shared" si="588"/>
        <v/>
      </c>
      <c r="U1230" s="49"/>
      <c r="V1230" s="50"/>
      <c r="W1230" s="51" t="e">
        <f t="shared" si="589"/>
        <v>#VALUE!</v>
      </c>
      <c r="X1230" s="52"/>
      <c r="Y1230" s="52"/>
      <c r="Z1230" s="52"/>
      <c r="AA1230" s="47" t="e">
        <f>INDEX(VISITORS[INSECT ORDER], MATCH(X1230,VISITORS[NAME USED],0))</f>
        <v>#N/A</v>
      </c>
      <c r="AB1230" s="47" t="e">
        <f t="shared" si="590"/>
        <v>#N/A</v>
      </c>
      <c r="AC1230" s="53" t="e">
        <f t="shared" si="591"/>
        <v>#VALUE!</v>
      </c>
      <c r="AD1230" s="54" t="str">
        <f t="shared" si="592"/>
        <v/>
      </c>
      <c r="AE1230" s="54"/>
      <c r="AF1230" s="54"/>
      <c r="AG1230" s="55" t="str">
        <f t="shared" si="593"/>
        <v/>
      </c>
      <c r="AH1230" s="56" t="str">
        <f t="shared" si="594"/>
        <v/>
      </c>
      <c r="AI1230" s="55"/>
      <c r="AJ1230" s="56" t="str">
        <f t="shared" si="595"/>
        <v/>
      </c>
      <c r="AK1230" s="55"/>
      <c r="AL1230" s="56" t="str">
        <f t="shared" si="596"/>
        <v/>
      </c>
      <c r="AM1230" s="55"/>
      <c r="AN1230" s="56" t="str">
        <f t="shared" si="597"/>
        <v/>
      </c>
      <c r="AO1230" s="55"/>
      <c r="AP1230" s="56" t="str">
        <f t="shared" si="598"/>
        <v/>
      </c>
      <c r="AQ1230" s="55"/>
      <c r="AR1230" s="56" t="str">
        <f t="shared" si="599"/>
        <v/>
      </c>
      <c r="AS1230" s="57"/>
      <c r="AT1230" s="58"/>
      <c r="AU1230" s="58"/>
      <c r="AV1230" s="59"/>
      <c r="AW1230" s="60" t="str">
        <f t="shared" si="577"/>
        <v/>
      </c>
      <c r="AX1230" s="61" t="str">
        <f t="shared" si="578"/>
        <v/>
      </c>
      <c r="AY1230" s="60" t="str">
        <f t="shared" si="579"/>
        <v/>
      </c>
      <c r="AZ1230" s="61" t="str">
        <f t="shared" si="580"/>
        <v/>
      </c>
    </row>
    <row r="1231" spans="1:52" s="3" customFormat="1" hidden="1" x14ac:dyDescent="0.35">
      <c r="A1231" s="72">
        <f t="shared" si="581"/>
        <v>2021</v>
      </c>
      <c r="B1231" s="72" t="str">
        <f t="shared" si="582"/>
        <v>Nov</v>
      </c>
      <c r="C1231" s="73">
        <f t="shared" si="600"/>
        <v>15</v>
      </c>
      <c r="D1231" s="74">
        <f t="shared" si="583"/>
        <v>12</v>
      </c>
      <c r="E1231" s="75">
        <f t="shared" si="584"/>
        <v>27</v>
      </c>
      <c r="F1231" s="79"/>
      <c r="G1231" s="82"/>
      <c r="H1231" s="68" t="str">
        <f t="shared" si="601"/>
        <v>Clesim6_20211115_12_00</v>
      </c>
      <c r="I1231" s="69">
        <f t="shared" si="602"/>
        <v>1</v>
      </c>
      <c r="J1231" s="76" t="str">
        <f t="shared" si="602"/>
        <v>Clematis</v>
      </c>
      <c r="K1231" s="76" t="str">
        <f t="shared" si="602"/>
        <v>simense</v>
      </c>
      <c r="L1231" s="77">
        <f t="shared" si="602"/>
        <v>6</v>
      </c>
      <c r="M1231" s="77">
        <f t="shared" si="602"/>
        <v>20</v>
      </c>
      <c r="N1231" s="71">
        <f t="shared" si="602"/>
        <v>0</v>
      </c>
      <c r="O1231" s="44"/>
      <c r="P1231" s="45" t="str">
        <f t="shared" si="585"/>
        <v/>
      </c>
      <c r="Q1231" s="46" t="str">
        <f t="shared" si="586"/>
        <v/>
      </c>
      <c r="R1231" s="47" t="e">
        <f t="shared" si="587"/>
        <v>#VALUE!</v>
      </c>
      <c r="S1231" s="48" t="e">
        <f t="shared" si="576"/>
        <v>#VALUE!</v>
      </c>
      <c r="T1231" s="47" t="str">
        <f t="shared" si="588"/>
        <v/>
      </c>
      <c r="U1231" s="49"/>
      <c r="V1231" s="50"/>
      <c r="W1231" s="51" t="e">
        <f t="shared" si="589"/>
        <v>#VALUE!</v>
      </c>
      <c r="X1231" s="52"/>
      <c r="Y1231" s="52"/>
      <c r="Z1231" s="52"/>
      <c r="AA1231" s="47" t="e">
        <f>INDEX(VISITORS[INSECT ORDER], MATCH(X1231,VISITORS[NAME USED],0))</f>
        <v>#N/A</v>
      </c>
      <c r="AB1231" s="47" t="e">
        <f t="shared" si="590"/>
        <v>#N/A</v>
      </c>
      <c r="AC1231" s="53" t="e">
        <f t="shared" si="591"/>
        <v>#VALUE!</v>
      </c>
      <c r="AD1231" s="54" t="str">
        <f t="shared" si="592"/>
        <v/>
      </c>
      <c r="AE1231" s="54"/>
      <c r="AF1231" s="54"/>
      <c r="AG1231" s="55" t="str">
        <f t="shared" si="593"/>
        <v/>
      </c>
      <c r="AH1231" s="56" t="str">
        <f t="shared" si="594"/>
        <v/>
      </c>
      <c r="AI1231" s="55"/>
      <c r="AJ1231" s="56" t="str">
        <f t="shared" si="595"/>
        <v/>
      </c>
      <c r="AK1231" s="55"/>
      <c r="AL1231" s="56" t="str">
        <f t="shared" si="596"/>
        <v/>
      </c>
      <c r="AM1231" s="55"/>
      <c r="AN1231" s="56" t="str">
        <f t="shared" si="597"/>
        <v/>
      </c>
      <c r="AO1231" s="55"/>
      <c r="AP1231" s="56" t="str">
        <f t="shared" si="598"/>
        <v/>
      </c>
      <c r="AQ1231" s="55"/>
      <c r="AR1231" s="56" t="str">
        <f t="shared" si="599"/>
        <v/>
      </c>
      <c r="AS1231" s="57"/>
      <c r="AT1231" s="58"/>
      <c r="AU1231" s="58"/>
      <c r="AV1231" s="59"/>
      <c r="AW1231" s="60" t="str">
        <f t="shared" si="577"/>
        <v/>
      </c>
      <c r="AX1231" s="61" t="str">
        <f t="shared" si="578"/>
        <v/>
      </c>
      <c r="AY1231" s="60" t="str">
        <f t="shared" si="579"/>
        <v/>
      </c>
      <c r="AZ1231" s="61" t="str">
        <f t="shared" si="580"/>
        <v/>
      </c>
    </row>
    <row r="1232" spans="1:52" s="3" customFormat="1" hidden="1" x14ac:dyDescent="0.35">
      <c r="A1232" s="72">
        <f t="shared" si="581"/>
        <v>2021</v>
      </c>
      <c r="B1232" s="72" t="str">
        <f t="shared" si="582"/>
        <v>Nov</v>
      </c>
      <c r="C1232" s="73">
        <f t="shared" si="600"/>
        <v>15</v>
      </c>
      <c r="D1232" s="74">
        <f t="shared" si="583"/>
        <v>12</v>
      </c>
      <c r="E1232" s="75">
        <f t="shared" si="584"/>
        <v>28</v>
      </c>
      <c r="F1232" s="79"/>
      <c r="G1232" s="82"/>
      <c r="H1232" s="68" t="str">
        <f t="shared" si="601"/>
        <v>Clesim6_20211115_12_00</v>
      </c>
      <c r="I1232" s="69">
        <f t="shared" si="602"/>
        <v>1</v>
      </c>
      <c r="J1232" s="76" t="str">
        <f t="shared" si="602"/>
        <v>Clematis</v>
      </c>
      <c r="K1232" s="76" t="str">
        <f t="shared" si="602"/>
        <v>simense</v>
      </c>
      <c r="L1232" s="77">
        <f t="shared" si="602"/>
        <v>6</v>
      </c>
      <c r="M1232" s="77">
        <f t="shared" si="602"/>
        <v>20</v>
      </c>
      <c r="N1232" s="71">
        <f t="shared" si="602"/>
        <v>0</v>
      </c>
      <c r="O1232" s="44"/>
      <c r="P1232" s="45" t="str">
        <f t="shared" si="585"/>
        <v/>
      </c>
      <c r="Q1232" s="46" t="str">
        <f t="shared" si="586"/>
        <v/>
      </c>
      <c r="R1232" s="47" t="e">
        <f t="shared" si="587"/>
        <v>#VALUE!</v>
      </c>
      <c r="S1232" s="48" t="e">
        <f t="shared" si="576"/>
        <v>#VALUE!</v>
      </c>
      <c r="T1232" s="47" t="str">
        <f t="shared" si="588"/>
        <v/>
      </c>
      <c r="U1232" s="49"/>
      <c r="V1232" s="50"/>
      <c r="W1232" s="51" t="e">
        <f t="shared" si="589"/>
        <v>#VALUE!</v>
      </c>
      <c r="X1232" s="52"/>
      <c r="Y1232" s="52"/>
      <c r="Z1232" s="52"/>
      <c r="AA1232" s="47" t="e">
        <f>INDEX(VISITORS[INSECT ORDER], MATCH(X1232,VISITORS[NAME USED],0))</f>
        <v>#N/A</v>
      </c>
      <c r="AB1232" s="47" t="e">
        <f t="shared" si="590"/>
        <v>#N/A</v>
      </c>
      <c r="AC1232" s="53" t="e">
        <f t="shared" si="591"/>
        <v>#VALUE!</v>
      </c>
      <c r="AD1232" s="54" t="str">
        <f t="shared" si="592"/>
        <v/>
      </c>
      <c r="AE1232" s="54"/>
      <c r="AF1232" s="54"/>
      <c r="AG1232" s="55" t="str">
        <f t="shared" si="593"/>
        <v/>
      </c>
      <c r="AH1232" s="56" t="str">
        <f t="shared" si="594"/>
        <v/>
      </c>
      <c r="AI1232" s="55"/>
      <c r="AJ1232" s="56" t="str">
        <f t="shared" si="595"/>
        <v/>
      </c>
      <c r="AK1232" s="55"/>
      <c r="AL1232" s="56" t="str">
        <f t="shared" si="596"/>
        <v/>
      </c>
      <c r="AM1232" s="55"/>
      <c r="AN1232" s="56" t="str">
        <f t="shared" si="597"/>
        <v/>
      </c>
      <c r="AO1232" s="55"/>
      <c r="AP1232" s="56" t="str">
        <f t="shared" si="598"/>
        <v/>
      </c>
      <c r="AQ1232" s="55"/>
      <c r="AR1232" s="56" t="str">
        <f t="shared" si="599"/>
        <v/>
      </c>
      <c r="AS1232" s="57"/>
      <c r="AT1232" s="58"/>
      <c r="AU1232" s="58"/>
      <c r="AV1232" s="59"/>
      <c r="AW1232" s="60" t="str">
        <f t="shared" si="577"/>
        <v/>
      </c>
      <c r="AX1232" s="61" t="str">
        <f t="shared" si="578"/>
        <v/>
      </c>
      <c r="AY1232" s="60" t="str">
        <f t="shared" si="579"/>
        <v/>
      </c>
      <c r="AZ1232" s="61" t="str">
        <f t="shared" si="580"/>
        <v/>
      </c>
    </row>
    <row r="1233" spans="1:52" s="3" customFormat="1" hidden="1" x14ac:dyDescent="0.35">
      <c r="A1233" s="72">
        <f t="shared" si="581"/>
        <v>2021</v>
      </c>
      <c r="B1233" s="72" t="str">
        <f t="shared" si="582"/>
        <v>Nov</v>
      </c>
      <c r="C1233" s="73">
        <f t="shared" si="600"/>
        <v>15</v>
      </c>
      <c r="D1233" s="74">
        <f t="shared" si="583"/>
        <v>12</v>
      </c>
      <c r="E1233" s="75">
        <f t="shared" si="584"/>
        <v>29</v>
      </c>
      <c r="F1233" s="79"/>
      <c r="G1233" s="82"/>
      <c r="H1233" s="68" t="str">
        <f t="shared" si="601"/>
        <v>Clesim6_20211115_12_00</v>
      </c>
      <c r="I1233" s="69">
        <f t="shared" si="602"/>
        <v>1</v>
      </c>
      <c r="J1233" s="76" t="str">
        <f t="shared" si="602"/>
        <v>Clematis</v>
      </c>
      <c r="K1233" s="76" t="str">
        <f t="shared" si="602"/>
        <v>simense</v>
      </c>
      <c r="L1233" s="77">
        <f t="shared" si="602"/>
        <v>6</v>
      </c>
      <c r="M1233" s="77">
        <f t="shared" si="602"/>
        <v>20</v>
      </c>
      <c r="N1233" s="71">
        <f t="shared" si="602"/>
        <v>0</v>
      </c>
      <c r="O1233" s="44"/>
      <c r="P1233" s="45" t="str">
        <f t="shared" si="585"/>
        <v/>
      </c>
      <c r="Q1233" s="46" t="str">
        <f t="shared" si="586"/>
        <v/>
      </c>
      <c r="R1233" s="47" t="e">
        <f t="shared" si="587"/>
        <v>#VALUE!</v>
      </c>
      <c r="S1233" s="48" t="e">
        <f t="shared" si="576"/>
        <v>#VALUE!</v>
      </c>
      <c r="T1233" s="47" t="str">
        <f t="shared" si="588"/>
        <v/>
      </c>
      <c r="U1233" s="49"/>
      <c r="V1233" s="50"/>
      <c r="W1233" s="51" t="e">
        <f t="shared" si="589"/>
        <v>#VALUE!</v>
      </c>
      <c r="X1233" s="52"/>
      <c r="Y1233" s="52"/>
      <c r="Z1233" s="52"/>
      <c r="AA1233" s="47" t="e">
        <f>INDEX(VISITORS[INSECT ORDER], MATCH(X1233,VISITORS[NAME USED],0))</f>
        <v>#N/A</v>
      </c>
      <c r="AB1233" s="47" t="e">
        <f t="shared" si="590"/>
        <v>#N/A</v>
      </c>
      <c r="AC1233" s="53" t="e">
        <f t="shared" si="591"/>
        <v>#VALUE!</v>
      </c>
      <c r="AD1233" s="54" t="str">
        <f t="shared" si="592"/>
        <v/>
      </c>
      <c r="AE1233" s="54"/>
      <c r="AF1233" s="54"/>
      <c r="AG1233" s="55" t="str">
        <f t="shared" si="593"/>
        <v/>
      </c>
      <c r="AH1233" s="56" t="str">
        <f t="shared" si="594"/>
        <v/>
      </c>
      <c r="AI1233" s="55"/>
      <c r="AJ1233" s="56" t="str">
        <f t="shared" si="595"/>
        <v/>
      </c>
      <c r="AK1233" s="55"/>
      <c r="AL1233" s="56" t="str">
        <f t="shared" si="596"/>
        <v/>
      </c>
      <c r="AM1233" s="55"/>
      <c r="AN1233" s="56" t="str">
        <f t="shared" si="597"/>
        <v/>
      </c>
      <c r="AO1233" s="55"/>
      <c r="AP1233" s="56" t="str">
        <f t="shared" si="598"/>
        <v/>
      </c>
      <c r="AQ1233" s="55"/>
      <c r="AR1233" s="56" t="str">
        <f t="shared" si="599"/>
        <v/>
      </c>
      <c r="AS1233" s="57"/>
      <c r="AT1233" s="58"/>
      <c r="AU1233" s="58"/>
      <c r="AV1233" s="59"/>
      <c r="AW1233" s="60" t="str">
        <f t="shared" si="577"/>
        <v/>
      </c>
      <c r="AX1233" s="61" t="str">
        <f t="shared" si="578"/>
        <v/>
      </c>
      <c r="AY1233" s="60" t="str">
        <f t="shared" si="579"/>
        <v/>
      </c>
      <c r="AZ1233" s="61" t="str">
        <f t="shared" si="580"/>
        <v/>
      </c>
    </row>
    <row r="1234" spans="1:52" s="3" customFormat="1" hidden="1" x14ac:dyDescent="0.35">
      <c r="A1234" s="72">
        <f t="shared" si="581"/>
        <v>2021</v>
      </c>
      <c r="B1234" s="72" t="str">
        <f t="shared" si="582"/>
        <v>Nov</v>
      </c>
      <c r="C1234" s="73">
        <f t="shared" si="600"/>
        <v>15</v>
      </c>
      <c r="D1234" s="74">
        <f t="shared" si="583"/>
        <v>12</v>
      </c>
      <c r="E1234" s="75">
        <f t="shared" si="584"/>
        <v>30</v>
      </c>
      <c r="F1234" s="79"/>
      <c r="G1234" s="82"/>
      <c r="H1234" s="68" t="str">
        <f t="shared" si="601"/>
        <v>Clesim6_20211115_12_00</v>
      </c>
      <c r="I1234" s="69">
        <f t="shared" si="602"/>
        <v>1</v>
      </c>
      <c r="J1234" s="76" t="str">
        <f t="shared" si="602"/>
        <v>Clematis</v>
      </c>
      <c r="K1234" s="76" t="str">
        <f t="shared" si="602"/>
        <v>simense</v>
      </c>
      <c r="L1234" s="77">
        <f t="shared" si="602"/>
        <v>6</v>
      </c>
      <c r="M1234" s="77">
        <f t="shared" si="602"/>
        <v>20</v>
      </c>
      <c r="N1234" s="71">
        <f t="shared" si="602"/>
        <v>0</v>
      </c>
      <c r="O1234" s="44"/>
      <c r="P1234" s="45" t="str">
        <f t="shared" si="585"/>
        <v/>
      </c>
      <c r="Q1234" s="46" t="str">
        <f t="shared" si="586"/>
        <v/>
      </c>
      <c r="R1234" s="47" t="e">
        <f t="shared" si="587"/>
        <v>#VALUE!</v>
      </c>
      <c r="S1234" s="48" t="e">
        <f t="shared" si="576"/>
        <v>#VALUE!</v>
      </c>
      <c r="T1234" s="47" t="str">
        <f t="shared" si="588"/>
        <v/>
      </c>
      <c r="U1234" s="49"/>
      <c r="V1234" s="50"/>
      <c r="W1234" s="51" t="e">
        <f t="shared" si="589"/>
        <v>#VALUE!</v>
      </c>
      <c r="X1234" s="52"/>
      <c r="Y1234" s="52"/>
      <c r="Z1234" s="52"/>
      <c r="AA1234" s="47" t="e">
        <f>INDEX(VISITORS[INSECT ORDER], MATCH(X1234,VISITORS[NAME USED],0))</f>
        <v>#N/A</v>
      </c>
      <c r="AB1234" s="47" t="e">
        <f t="shared" si="590"/>
        <v>#N/A</v>
      </c>
      <c r="AC1234" s="53" t="e">
        <f t="shared" si="591"/>
        <v>#VALUE!</v>
      </c>
      <c r="AD1234" s="54" t="str">
        <f t="shared" si="592"/>
        <v/>
      </c>
      <c r="AE1234" s="54"/>
      <c r="AF1234" s="54"/>
      <c r="AG1234" s="55" t="str">
        <f t="shared" si="593"/>
        <v/>
      </c>
      <c r="AH1234" s="56" t="str">
        <f t="shared" si="594"/>
        <v/>
      </c>
      <c r="AI1234" s="55"/>
      <c r="AJ1234" s="56" t="str">
        <f t="shared" si="595"/>
        <v/>
      </c>
      <c r="AK1234" s="55"/>
      <c r="AL1234" s="56" t="str">
        <f t="shared" si="596"/>
        <v/>
      </c>
      <c r="AM1234" s="55"/>
      <c r="AN1234" s="56" t="str">
        <f t="shared" si="597"/>
        <v/>
      </c>
      <c r="AO1234" s="55"/>
      <c r="AP1234" s="56" t="str">
        <f t="shared" si="598"/>
        <v/>
      </c>
      <c r="AQ1234" s="55"/>
      <c r="AR1234" s="56" t="str">
        <f t="shared" si="599"/>
        <v/>
      </c>
      <c r="AS1234" s="57"/>
      <c r="AT1234" s="58"/>
      <c r="AU1234" s="58"/>
      <c r="AV1234" s="59"/>
      <c r="AW1234" s="60" t="str">
        <f t="shared" si="577"/>
        <v/>
      </c>
      <c r="AX1234" s="61" t="str">
        <f t="shared" si="578"/>
        <v/>
      </c>
      <c r="AY1234" s="60" t="str">
        <f t="shared" si="579"/>
        <v/>
      </c>
      <c r="AZ1234" s="61" t="str">
        <f t="shared" si="580"/>
        <v/>
      </c>
    </row>
    <row r="1235" spans="1:52" s="3" customFormat="1" hidden="1" x14ac:dyDescent="0.35">
      <c r="A1235" s="72">
        <f t="shared" si="581"/>
        <v>2021</v>
      </c>
      <c r="B1235" s="72" t="str">
        <f t="shared" si="582"/>
        <v>Nov</v>
      </c>
      <c r="C1235" s="73">
        <f t="shared" si="600"/>
        <v>15</v>
      </c>
      <c r="D1235" s="74">
        <f t="shared" si="583"/>
        <v>12</v>
      </c>
      <c r="E1235" s="75">
        <f t="shared" si="584"/>
        <v>31</v>
      </c>
      <c r="F1235" s="79"/>
      <c r="G1235" s="82"/>
      <c r="H1235" s="68" t="str">
        <f t="shared" si="601"/>
        <v>Clesim6_20211115_12_00</v>
      </c>
      <c r="I1235" s="69">
        <f t="shared" si="602"/>
        <v>1</v>
      </c>
      <c r="J1235" s="76" t="str">
        <f t="shared" si="602"/>
        <v>Clematis</v>
      </c>
      <c r="K1235" s="76" t="str">
        <f t="shared" si="602"/>
        <v>simense</v>
      </c>
      <c r="L1235" s="77">
        <f t="shared" si="602"/>
        <v>6</v>
      </c>
      <c r="M1235" s="77">
        <f t="shared" si="602"/>
        <v>20</v>
      </c>
      <c r="N1235" s="71">
        <f t="shared" si="602"/>
        <v>0</v>
      </c>
      <c r="O1235" s="44"/>
      <c r="P1235" s="45" t="str">
        <f t="shared" si="585"/>
        <v/>
      </c>
      <c r="Q1235" s="46" t="str">
        <f t="shared" si="586"/>
        <v/>
      </c>
      <c r="R1235" s="47" t="e">
        <f t="shared" si="587"/>
        <v>#VALUE!</v>
      </c>
      <c r="S1235" s="48" t="e">
        <f t="shared" si="576"/>
        <v>#VALUE!</v>
      </c>
      <c r="T1235" s="47" t="str">
        <f t="shared" si="588"/>
        <v/>
      </c>
      <c r="U1235" s="49"/>
      <c r="V1235" s="50"/>
      <c r="W1235" s="51" t="e">
        <f t="shared" si="589"/>
        <v>#VALUE!</v>
      </c>
      <c r="X1235" s="52"/>
      <c r="Y1235" s="52"/>
      <c r="Z1235" s="52"/>
      <c r="AA1235" s="47" t="e">
        <f>INDEX(VISITORS[INSECT ORDER], MATCH(X1235,VISITORS[NAME USED],0))</f>
        <v>#N/A</v>
      </c>
      <c r="AB1235" s="47" t="e">
        <f t="shared" si="590"/>
        <v>#N/A</v>
      </c>
      <c r="AC1235" s="53" t="e">
        <f t="shared" si="591"/>
        <v>#VALUE!</v>
      </c>
      <c r="AD1235" s="54" t="str">
        <f t="shared" si="592"/>
        <v/>
      </c>
      <c r="AE1235" s="54"/>
      <c r="AF1235" s="54"/>
      <c r="AG1235" s="55" t="str">
        <f t="shared" si="593"/>
        <v/>
      </c>
      <c r="AH1235" s="56" t="str">
        <f t="shared" si="594"/>
        <v/>
      </c>
      <c r="AI1235" s="55"/>
      <c r="AJ1235" s="56" t="str">
        <f t="shared" si="595"/>
        <v/>
      </c>
      <c r="AK1235" s="55"/>
      <c r="AL1235" s="56" t="str">
        <f t="shared" si="596"/>
        <v/>
      </c>
      <c r="AM1235" s="55"/>
      <c r="AN1235" s="56" t="str">
        <f t="shared" si="597"/>
        <v/>
      </c>
      <c r="AO1235" s="55"/>
      <c r="AP1235" s="56" t="str">
        <f t="shared" si="598"/>
        <v/>
      </c>
      <c r="AQ1235" s="55"/>
      <c r="AR1235" s="56" t="str">
        <f t="shared" si="599"/>
        <v/>
      </c>
      <c r="AS1235" s="57"/>
      <c r="AT1235" s="58"/>
      <c r="AU1235" s="58"/>
      <c r="AV1235" s="59"/>
      <c r="AW1235" s="60" t="str">
        <f t="shared" si="577"/>
        <v/>
      </c>
      <c r="AX1235" s="61" t="str">
        <f t="shared" si="578"/>
        <v/>
      </c>
      <c r="AY1235" s="60" t="str">
        <f t="shared" si="579"/>
        <v/>
      </c>
      <c r="AZ1235" s="61" t="str">
        <f t="shared" si="580"/>
        <v/>
      </c>
    </row>
    <row r="1236" spans="1:52" s="3" customFormat="1" hidden="1" x14ac:dyDescent="0.35">
      <c r="A1236" s="72">
        <f t="shared" si="581"/>
        <v>2021</v>
      </c>
      <c r="B1236" s="72" t="str">
        <f t="shared" si="582"/>
        <v>Nov</v>
      </c>
      <c r="C1236" s="73">
        <f t="shared" si="600"/>
        <v>15</v>
      </c>
      <c r="D1236" s="74">
        <f t="shared" si="583"/>
        <v>12</v>
      </c>
      <c r="E1236" s="75">
        <f t="shared" si="584"/>
        <v>32</v>
      </c>
      <c r="F1236" s="79"/>
      <c r="G1236" s="82"/>
      <c r="H1236" s="68" t="str">
        <f t="shared" si="601"/>
        <v>Clesim6_20211115_12_00</v>
      </c>
      <c r="I1236" s="69">
        <f t="shared" si="602"/>
        <v>1</v>
      </c>
      <c r="J1236" s="76" t="str">
        <f t="shared" si="602"/>
        <v>Clematis</v>
      </c>
      <c r="K1236" s="76" t="str">
        <f t="shared" si="602"/>
        <v>simense</v>
      </c>
      <c r="L1236" s="77">
        <f t="shared" si="602"/>
        <v>6</v>
      </c>
      <c r="M1236" s="77">
        <f t="shared" si="602"/>
        <v>20</v>
      </c>
      <c r="N1236" s="71">
        <f t="shared" si="602"/>
        <v>0</v>
      </c>
      <c r="O1236" s="44"/>
      <c r="P1236" s="45" t="str">
        <f t="shared" si="585"/>
        <v/>
      </c>
      <c r="Q1236" s="46" t="str">
        <f t="shared" si="586"/>
        <v/>
      </c>
      <c r="R1236" s="47" t="e">
        <f t="shared" si="587"/>
        <v>#VALUE!</v>
      </c>
      <c r="S1236" s="48" t="e">
        <f t="shared" si="576"/>
        <v>#VALUE!</v>
      </c>
      <c r="T1236" s="47" t="str">
        <f t="shared" si="588"/>
        <v/>
      </c>
      <c r="U1236" s="49"/>
      <c r="V1236" s="50"/>
      <c r="W1236" s="51" t="e">
        <f t="shared" si="589"/>
        <v>#VALUE!</v>
      </c>
      <c r="X1236" s="52"/>
      <c r="Y1236" s="52"/>
      <c r="Z1236" s="52"/>
      <c r="AA1236" s="47" t="e">
        <f>INDEX(VISITORS[INSECT ORDER], MATCH(X1236,VISITORS[NAME USED],0))</f>
        <v>#N/A</v>
      </c>
      <c r="AB1236" s="47" t="e">
        <f t="shared" si="590"/>
        <v>#N/A</v>
      </c>
      <c r="AC1236" s="53" t="e">
        <f t="shared" si="591"/>
        <v>#VALUE!</v>
      </c>
      <c r="AD1236" s="54" t="str">
        <f t="shared" si="592"/>
        <v/>
      </c>
      <c r="AE1236" s="54"/>
      <c r="AF1236" s="54"/>
      <c r="AG1236" s="55" t="str">
        <f t="shared" si="593"/>
        <v/>
      </c>
      <c r="AH1236" s="56" t="str">
        <f t="shared" si="594"/>
        <v/>
      </c>
      <c r="AI1236" s="55"/>
      <c r="AJ1236" s="56" t="str">
        <f t="shared" si="595"/>
        <v/>
      </c>
      <c r="AK1236" s="55"/>
      <c r="AL1236" s="56" t="str">
        <f t="shared" si="596"/>
        <v/>
      </c>
      <c r="AM1236" s="55"/>
      <c r="AN1236" s="56" t="str">
        <f t="shared" si="597"/>
        <v/>
      </c>
      <c r="AO1236" s="55"/>
      <c r="AP1236" s="56" t="str">
        <f t="shared" si="598"/>
        <v/>
      </c>
      <c r="AQ1236" s="55"/>
      <c r="AR1236" s="56" t="str">
        <f t="shared" si="599"/>
        <v/>
      </c>
      <c r="AS1236" s="57"/>
      <c r="AT1236" s="58"/>
      <c r="AU1236" s="58"/>
      <c r="AV1236" s="59"/>
      <c r="AW1236" s="60" t="str">
        <f t="shared" si="577"/>
        <v/>
      </c>
      <c r="AX1236" s="61" t="str">
        <f t="shared" si="578"/>
        <v/>
      </c>
      <c r="AY1236" s="60" t="str">
        <f t="shared" si="579"/>
        <v/>
      </c>
      <c r="AZ1236" s="61" t="str">
        <f t="shared" si="580"/>
        <v/>
      </c>
    </row>
    <row r="1237" spans="1:52" s="3" customFormat="1" hidden="1" x14ac:dyDescent="0.35">
      <c r="A1237" s="72">
        <f t="shared" si="581"/>
        <v>2021</v>
      </c>
      <c r="B1237" s="72" t="str">
        <f t="shared" si="582"/>
        <v>Nov</v>
      </c>
      <c r="C1237" s="73">
        <f t="shared" si="600"/>
        <v>15</v>
      </c>
      <c r="D1237" s="74">
        <f t="shared" si="583"/>
        <v>12</v>
      </c>
      <c r="E1237" s="75">
        <f t="shared" si="584"/>
        <v>33</v>
      </c>
      <c r="F1237" s="79"/>
      <c r="G1237" s="82"/>
      <c r="H1237" s="68" t="str">
        <f t="shared" si="601"/>
        <v>Clesim6_20211115_12_00</v>
      </c>
      <c r="I1237" s="69">
        <f t="shared" si="602"/>
        <v>1</v>
      </c>
      <c r="J1237" s="76" t="str">
        <f t="shared" si="602"/>
        <v>Clematis</v>
      </c>
      <c r="K1237" s="76" t="str">
        <f t="shared" si="602"/>
        <v>simense</v>
      </c>
      <c r="L1237" s="77">
        <f t="shared" si="602"/>
        <v>6</v>
      </c>
      <c r="M1237" s="77">
        <f t="shared" si="602"/>
        <v>20</v>
      </c>
      <c r="N1237" s="71">
        <f t="shared" si="602"/>
        <v>0</v>
      </c>
      <c r="O1237" s="44"/>
      <c r="P1237" s="45" t="str">
        <f t="shared" si="585"/>
        <v/>
      </c>
      <c r="Q1237" s="46" t="str">
        <f t="shared" si="586"/>
        <v/>
      </c>
      <c r="R1237" s="47" t="e">
        <f t="shared" si="587"/>
        <v>#VALUE!</v>
      </c>
      <c r="S1237" s="48" t="e">
        <f t="shared" si="576"/>
        <v>#VALUE!</v>
      </c>
      <c r="T1237" s="47" t="str">
        <f t="shared" si="588"/>
        <v/>
      </c>
      <c r="U1237" s="49"/>
      <c r="V1237" s="50"/>
      <c r="W1237" s="51" t="e">
        <f t="shared" si="589"/>
        <v>#VALUE!</v>
      </c>
      <c r="X1237" s="52"/>
      <c r="Y1237" s="52"/>
      <c r="Z1237" s="52"/>
      <c r="AA1237" s="47" t="e">
        <f>INDEX(VISITORS[INSECT ORDER], MATCH(X1237,VISITORS[NAME USED],0))</f>
        <v>#N/A</v>
      </c>
      <c r="AB1237" s="47" t="e">
        <f t="shared" si="590"/>
        <v>#N/A</v>
      </c>
      <c r="AC1237" s="53" t="e">
        <f t="shared" si="591"/>
        <v>#VALUE!</v>
      </c>
      <c r="AD1237" s="54" t="str">
        <f t="shared" si="592"/>
        <v/>
      </c>
      <c r="AE1237" s="54"/>
      <c r="AF1237" s="54"/>
      <c r="AG1237" s="55" t="str">
        <f t="shared" si="593"/>
        <v/>
      </c>
      <c r="AH1237" s="56" t="str">
        <f t="shared" si="594"/>
        <v/>
      </c>
      <c r="AI1237" s="55"/>
      <c r="AJ1237" s="56" t="str">
        <f t="shared" si="595"/>
        <v/>
      </c>
      <c r="AK1237" s="55"/>
      <c r="AL1237" s="56" t="str">
        <f t="shared" si="596"/>
        <v/>
      </c>
      <c r="AM1237" s="55"/>
      <c r="AN1237" s="56" t="str">
        <f t="shared" si="597"/>
        <v/>
      </c>
      <c r="AO1237" s="55"/>
      <c r="AP1237" s="56" t="str">
        <f t="shared" si="598"/>
        <v/>
      </c>
      <c r="AQ1237" s="55"/>
      <c r="AR1237" s="56" t="str">
        <f t="shared" si="599"/>
        <v/>
      </c>
      <c r="AS1237" s="57"/>
      <c r="AT1237" s="58"/>
      <c r="AU1237" s="58"/>
      <c r="AV1237" s="59"/>
      <c r="AW1237" s="60" t="str">
        <f t="shared" si="577"/>
        <v/>
      </c>
      <c r="AX1237" s="61" t="str">
        <f t="shared" si="578"/>
        <v/>
      </c>
      <c r="AY1237" s="60" t="str">
        <f t="shared" si="579"/>
        <v/>
      </c>
      <c r="AZ1237" s="61" t="str">
        <f t="shared" si="580"/>
        <v/>
      </c>
    </row>
    <row r="1238" spans="1:52" s="3" customFormat="1" hidden="1" x14ac:dyDescent="0.35">
      <c r="A1238" s="72">
        <f t="shared" si="581"/>
        <v>2021</v>
      </c>
      <c r="B1238" s="72" t="str">
        <f t="shared" si="582"/>
        <v>Nov</v>
      </c>
      <c r="C1238" s="73">
        <f t="shared" si="600"/>
        <v>15</v>
      </c>
      <c r="D1238" s="74">
        <f t="shared" si="583"/>
        <v>12</v>
      </c>
      <c r="E1238" s="75">
        <f t="shared" si="584"/>
        <v>34</v>
      </c>
      <c r="F1238" s="79"/>
      <c r="G1238" s="82"/>
      <c r="H1238" s="68" t="str">
        <f t="shared" si="601"/>
        <v>Clesim6_20211115_12_00</v>
      </c>
      <c r="I1238" s="69">
        <f t="shared" ref="I1238:N1253" si="603">I1237</f>
        <v>1</v>
      </c>
      <c r="J1238" s="76" t="str">
        <f t="shared" si="603"/>
        <v>Clematis</v>
      </c>
      <c r="K1238" s="76" t="str">
        <f t="shared" si="603"/>
        <v>simense</v>
      </c>
      <c r="L1238" s="77">
        <f t="shared" si="603"/>
        <v>6</v>
      </c>
      <c r="M1238" s="77">
        <f t="shared" si="603"/>
        <v>20</v>
      </c>
      <c r="N1238" s="71">
        <f t="shared" si="603"/>
        <v>0</v>
      </c>
      <c r="O1238" s="44"/>
      <c r="P1238" s="45" t="str">
        <f t="shared" si="585"/>
        <v/>
      </c>
      <c r="Q1238" s="46" t="str">
        <f t="shared" si="586"/>
        <v/>
      </c>
      <c r="R1238" s="47" t="e">
        <f t="shared" si="587"/>
        <v>#VALUE!</v>
      </c>
      <c r="S1238" s="48" t="e">
        <f t="shared" si="576"/>
        <v>#VALUE!</v>
      </c>
      <c r="T1238" s="47" t="str">
        <f t="shared" si="588"/>
        <v/>
      </c>
      <c r="U1238" s="49"/>
      <c r="V1238" s="50"/>
      <c r="W1238" s="51" t="e">
        <f t="shared" si="589"/>
        <v>#VALUE!</v>
      </c>
      <c r="X1238" s="52"/>
      <c r="Y1238" s="52"/>
      <c r="Z1238" s="52"/>
      <c r="AA1238" s="47" t="e">
        <f>INDEX(VISITORS[INSECT ORDER], MATCH(X1238,VISITORS[NAME USED],0))</f>
        <v>#N/A</v>
      </c>
      <c r="AB1238" s="47" t="e">
        <f t="shared" si="590"/>
        <v>#N/A</v>
      </c>
      <c r="AC1238" s="53" t="e">
        <f t="shared" si="591"/>
        <v>#VALUE!</v>
      </c>
      <c r="AD1238" s="54" t="str">
        <f t="shared" si="592"/>
        <v/>
      </c>
      <c r="AE1238" s="54"/>
      <c r="AF1238" s="54"/>
      <c r="AG1238" s="55" t="str">
        <f t="shared" si="593"/>
        <v/>
      </c>
      <c r="AH1238" s="56" t="str">
        <f t="shared" si="594"/>
        <v/>
      </c>
      <c r="AI1238" s="55"/>
      <c r="AJ1238" s="56" t="str">
        <f t="shared" si="595"/>
        <v/>
      </c>
      <c r="AK1238" s="55"/>
      <c r="AL1238" s="56" t="str">
        <f t="shared" si="596"/>
        <v/>
      </c>
      <c r="AM1238" s="55"/>
      <c r="AN1238" s="56" t="str">
        <f t="shared" si="597"/>
        <v/>
      </c>
      <c r="AO1238" s="55"/>
      <c r="AP1238" s="56" t="str">
        <f t="shared" si="598"/>
        <v/>
      </c>
      <c r="AQ1238" s="55"/>
      <c r="AR1238" s="56" t="str">
        <f t="shared" si="599"/>
        <v/>
      </c>
      <c r="AS1238" s="57"/>
      <c r="AT1238" s="58"/>
      <c r="AU1238" s="58"/>
      <c r="AV1238" s="59"/>
      <c r="AW1238" s="60" t="str">
        <f t="shared" si="577"/>
        <v/>
      </c>
      <c r="AX1238" s="61" t="str">
        <f t="shared" si="578"/>
        <v/>
      </c>
      <c r="AY1238" s="60" t="str">
        <f t="shared" si="579"/>
        <v/>
      </c>
      <c r="AZ1238" s="61" t="str">
        <f t="shared" si="580"/>
        <v/>
      </c>
    </row>
    <row r="1239" spans="1:52" s="3" customFormat="1" hidden="1" x14ac:dyDescent="0.35">
      <c r="A1239" s="72">
        <f t="shared" si="581"/>
        <v>2021</v>
      </c>
      <c r="B1239" s="72" t="str">
        <f t="shared" si="582"/>
        <v>Nov</v>
      </c>
      <c r="C1239" s="73">
        <f t="shared" si="600"/>
        <v>15</v>
      </c>
      <c r="D1239" s="74">
        <f t="shared" si="583"/>
        <v>12</v>
      </c>
      <c r="E1239" s="75">
        <f t="shared" si="584"/>
        <v>35</v>
      </c>
      <c r="F1239" s="79"/>
      <c r="G1239" s="82"/>
      <c r="H1239" s="68" t="str">
        <f t="shared" si="601"/>
        <v>Clesim6_20211115_12_00</v>
      </c>
      <c r="I1239" s="69">
        <f t="shared" si="603"/>
        <v>1</v>
      </c>
      <c r="J1239" s="76" t="str">
        <f t="shared" si="603"/>
        <v>Clematis</v>
      </c>
      <c r="K1239" s="76" t="str">
        <f t="shared" si="603"/>
        <v>simense</v>
      </c>
      <c r="L1239" s="77">
        <f t="shared" si="603"/>
        <v>6</v>
      </c>
      <c r="M1239" s="77">
        <f t="shared" si="603"/>
        <v>20</v>
      </c>
      <c r="N1239" s="71">
        <f t="shared" si="603"/>
        <v>0</v>
      </c>
      <c r="O1239" s="44"/>
      <c r="P1239" s="45" t="str">
        <f t="shared" si="585"/>
        <v/>
      </c>
      <c r="Q1239" s="46" t="str">
        <f t="shared" si="586"/>
        <v/>
      </c>
      <c r="R1239" s="47" t="e">
        <f t="shared" si="587"/>
        <v>#VALUE!</v>
      </c>
      <c r="S1239" s="48" t="e">
        <f t="shared" si="576"/>
        <v>#VALUE!</v>
      </c>
      <c r="T1239" s="47" t="str">
        <f t="shared" si="588"/>
        <v/>
      </c>
      <c r="U1239" s="49"/>
      <c r="V1239" s="50"/>
      <c r="W1239" s="51" t="e">
        <f t="shared" si="589"/>
        <v>#VALUE!</v>
      </c>
      <c r="X1239" s="52"/>
      <c r="Y1239" s="52"/>
      <c r="Z1239" s="52"/>
      <c r="AA1239" s="47" t="e">
        <f>INDEX(VISITORS[INSECT ORDER], MATCH(X1239,VISITORS[NAME USED],0))</f>
        <v>#N/A</v>
      </c>
      <c r="AB1239" s="47" t="e">
        <f t="shared" si="590"/>
        <v>#N/A</v>
      </c>
      <c r="AC1239" s="53" t="e">
        <f t="shared" si="591"/>
        <v>#VALUE!</v>
      </c>
      <c r="AD1239" s="54" t="str">
        <f t="shared" si="592"/>
        <v/>
      </c>
      <c r="AE1239" s="54"/>
      <c r="AF1239" s="54"/>
      <c r="AG1239" s="55" t="str">
        <f t="shared" si="593"/>
        <v/>
      </c>
      <c r="AH1239" s="56" t="str">
        <f t="shared" si="594"/>
        <v/>
      </c>
      <c r="AI1239" s="55"/>
      <c r="AJ1239" s="56" t="str">
        <f t="shared" si="595"/>
        <v/>
      </c>
      <c r="AK1239" s="55"/>
      <c r="AL1239" s="56" t="str">
        <f t="shared" si="596"/>
        <v/>
      </c>
      <c r="AM1239" s="55"/>
      <c r="AN1239" s="56" t="str">
        <f t="shared" si="597"/>
        <v/>
      </c>
      <c r="AO1239" s="55"/>
      <c r="AP1239" s="56" t="str">
        <f t="shared" si="598"/>
        <v/>
      </c>
      <c r="AQ1239" s="55"/>
      <c r="AR1239" s="56" t="str">
        <f t="shared" si="599"/>
        <v/>
      </c>
      <c r="AS1239" s="57"/>
      <c r="AT1239" s="58"/>
      <c r="AU1239" s="58"/>
      <c r="AV1239" s="59"/>
      <c r="AW1239" s="60" t="str">
        <f t="shared" si="577"/>
        <v/>
      </c>
      <c r="AX1239" s="61" t="str">
        <f t="shared" si="578"/>
        <v/>
      </c>
      <c r="AY1239" s="60" t="str">
        <f t="shared" si="579"/>
        <v/>
      </c>
      <c r="AZ1239" s="61" t="str">
        <f t="shared" si="580"/>
        <v/>
      </c>
    </row>
    <row r="1240" spans="1:52" s="3" customFormat="1" hidden="1" x14ac:dyDescent="0.35">
      <c r="A1240" s="72">
        <f t="shared" si="581"/>
        <v>2021</v>
      </c>
      <c r="B1240" s="72" t="str">
        <f t="shared" si="582"/>
        <v>Nov</v>
      </c>
      <c r="C1240" s="73">
        <f t="shared" si="600"/>
        <v>15</v>
      </c>
      <c r="D1240" s="74">
        <f t="shared" si="583"/>
        <v>12</v>
      </c>
      <c r="E1240" s="75">
        <f t="shared" si="584"/>
        <v>36</v>
      </c>
      <c r="F1240" s="79"/>
      <c r="G1240" s="82"/>
      <c r="H1240" s="68" t="str">
        <f t="shared" si="601"/>
        <v>Clesim6_20211115_12_00</v>
      </c>
      <c r="I1240" s="69">
        <f t="shared" si="603"/>
        <v>1</v>
      </c>
      <c r="J1240" s="76" t="str">
        <f t="shared" si="603"/>
        <v>Clematis</v>
      </c>
      <c r="K1240" s="76" t="str">
        <f t="shared" si="603"/>
        <v>simense</v>
      </c>
      <c r="L1240" s="77">
        <f t="shared" si="603"/>
        <v>6</v>
      </c>
      <c r="M1240" s="77">
        <f t="shared" si="603"/>
        <v>20</v>
      </c>
      <c r="N1240" s="71">
        <f t="shared" si="603"/>
        <v>0</v>
      </c>
      <c r="O1240" s="44"/>
      <c r="P1240" s="45" t="str">
        <f t="shared" si="585"/>
        <v/>
      </c>
      <c r="Q1240" s="46" t="str">
        <f t="shared" si="586"/>
        <v/>
      </c>
      <c r="R1240" s="47" t="e">
        <f t="shared" si="587"/>
        <v>#VALUE!</v>
      </c>
      <c r="S1240" s="48" t="e">
        <f t="shared" si="576"/>
        <v>#VALUE!</v>
      </c>
      <c r="T1240" s="47" t="str">
        <f t="shared" si="588"/>
        <v/>
      </c>
      <c r="U1240" s="49"/>
      <c r="V1240" s="50"/>
      <c r="W1240" s="51" t="e">
        <f t="shared" si="589"/>
        <v>#VALUE!</v>
      </c>
      <c r="X1240" s="52"/>
      <c r="Y1240" s="52"/>
      <c r="Z1240" s="52"/>
      <c r="AA1240" s="47" t="e">
        <f>INDEX(VISITORS[INSECT ORDER], MATCH(X1240,VISITORS[NAME USED],0))</f>
        <v>#N/A</v>
      </c>
      <c r="AB1240" s="47" t="e">
        <f t="shared" si="590"/>
        <v>#N/A</v>
      </c>
      <c r="AC1240" s="53" t="e">
        <f t="shared" si="591"/>
        <v>#VALUE!</v>
      </c>
      <c r="AD1240" s="54" t="str">
        <f t="shared" si="592"/>
        <v/>
      </c>
      <c r="AE1240" s="54"/>
      <c r="AF1240" s="54"/>
      <c r="AG1240" s="55" t="str">
        <f t="shared" si="593"/>
        <v/>
      </c>
      <c r="AH1240" s="56" t="str">
        <f t="shared" si="594"/>
        <v/>
      </c>
      <c r="AI1240" s="55"/>
      <c r="AJ1240" s="56" t="str">
        <f t="shared" si="595"/>
        <v/>
      </c>
      <c r="AK1240" s="55"/>
      <c r="AL1240" s="56" t="str">
        <f t="shared" si="596"/>
        <v/>
      </c>
      <c r="AM1240" s="55"/>
      <c r="AN1240" s="56" t="str">
        <f t="shared" si="597"/>
        <v/>
      </c>
      <c r="AO1240" s="55"/>
      <c r="AP1240" s="56" t="str">
        <f t="shared" si="598"/>
        <v/>
      </c>
      <c r="AQ1240" s="55"/>
      <c r="AR1240" s="56" t="str">
        <f t="shared" si="599"/>
        <v/>
      </c>
      <c r="AS1240" s="57"/>
      <c r="AT1240" s="58"/>
      <c r="AU1240" s="58"/>
      <c r="AV1240" s="59"/>
      <c r="AW1240" s="60" t="str">
        <f t="shared" si="577"/>
        <v/>
      </c>
      <c r="AX1240" s="61" t="str">
        <f t="shared" si="578"/>
        <v/>
      </c>
      <c r="AY1240" s="60" t="str">
        <f t="shared" si="579"/>
        <v/>
      </c>
      <c r="AZ1240" s="61" t="str">
        <f t="shared" si="580"/>
        <v/>
      </c>
    </row>
    <row r="1241" spans="1:52" s="3" customFormat="1" hidden="1" x14ac:dyDescent="0.35">
      <c r="A1241" s="72">
        <f t="shared" si="581"/>
        <v>2021</v>
      </c>
      <c r="B1241" s="72" t="str">
        <f t="shared" si="582"/>
        <v>Nov</v>
      </c>
      <c r="C1241" s="73">
        <f t="shared" si="600"/>
        <v>15</v>
      </c>
      <c r="D1241" s="74">
        <f t="shared" si="583"/>
        <v>12</v>
      </c>
      <c r="E1241" s="75">
        <f t="shared" si="584"/>
        <v>37</v>
      </c>
      <c r="F1241" s="79"/>
      <c r="G1241" s="82"/>
      <c r="H1241" s="68" t="str">
        <f t="shared" si="601"/>
        <v>Clesim6_20211115_12_00</v>
      </c>
      <c r="I1241" s="69">
        <f t="shared" si="603"/>
        <v>1</v>
      </c>
      <c r="J1241" s="76" t="str">
        <f t="shared" si="603"/>
        <v>Clematis</v>
      </c>
      <c r="K1241" s="76" t="str">
        <f t="shared" si="603"/>
        <v>simense</v>
      </c>
      <c r="L1241" s="77">
        <f t="shared" si="603"/>
        <v>6</v>
      </c>
      <c r="M1241" s="77">
        <f t="shared" si="603"/>
        <v>20</v>
      </c>
      <c r="N1241" s="71">
        <f t="shared" si="603"/>
        <v>0</v>
      </c>
      <c r="O1241" s="44"/>
      <c r="P1241" s="45" t="str">
        <f t="shared" si="585"/>
        <v/>
      </c>
      <c r="Q1241" s="46" t="str">
        <f t="shared" si="586"/>
        <v/>
      </c>
      <c r="R1241" s="47" t="e">
        <f t="shared" si="587"/>
        <v>#VALUE!</v>
      </c>
      <c r="S1241" s="48" t="e">
        <f t="shared" si="576"/>
        <v>#VALUE!</v>
      </c>
      <c r="T1241" s="47" t="str">
        <f t="shared" si="588"/>
        <v/>
      </c>
      <c r="U1241" s="49"/>
      <c r="V1241" s="50"/>
      <c r="W1241" s="51" t="e">
        <f t="shared" si="589"/>
        <v>#VALUE!</v>
      </c>
      <c r="X1241" s="52"/>
      <c r="Y1241" s="52"/>
      <c r="Z1241" s="52"/>
      <c r="AA1241" s="47" t="e">
        <f>INDEX(VISITORS[INSECT ORDER], MATCH(X1241,VISITORS[NAME USED],0))</f>
        <v>#N/A</v>
      </c>
      <c r="AB1241" s="47" t="e">
        <f t="shared" si="590"/>
        <v>#N/A</v>
      </c>
      <c r="AC1241" s="53" t="e">
        <f t="shared" si="591"/>
        <v>#VALUE!</v>
      </c>
      <c r="AD1241" s="54" t="str">
        <f t="shared" si="592"/>
        <v/>
      </c>
      <c r="AE1241" s="54"/>
      <c r="AF1241" s="54"/>
      <c r="AG1241" s="55" t="str">
        <f t="shared" si="593"/>
        <v/>
      </c>
      <c r="AH1241" s="56" t="str">
        <f t="shared" si="594"/>
        <v/>
      </c>
      <c r="AI1241" s="55"/>
      <c r="AJ1241" s="56" t="str">
        <f t="shared" si="595"/>
        <v/>
      </c>
      <c r="AK1241" s="55"/>
      <c r="AL1241" s="56" t="str">
        <f t="shared" si="596"/>
        <v/>
      </c>
      <c r="AM1241" s="55"/>
      <c r="AN1241" s="56" t="str">
        <f t="shared" si="597"/>
        <v/>
      </c>
      <c r="AO1241" s="55"/>
      <c r="AP1241" s="56" t="str">
        <f t="shared" si="598"/>
        <v/>
      </c>
      <c r="AQ1241" s="55"/>
      <c r="AR1241" s="56" t="str">
        <f t="shared" si="599"/>
        <v/>
      </c>
      <c r="AS1241" s="57"/>
      <c r="AT1241" s="58"/>
      <c r="AU1241" s="58"/>
      <c r="AV1241" s="59"/>
      <c r="AW1241" s="60" t="str">
        <f t="shared" si="577"/>
        <v/>
      </c>
      <c r="AX1241" s="61" t="str">
        <f t="shared" si="578"/>
        <v/>
      </c>
      <c r="AY1241" s="60" t="str">
        <f t="shared" si="579"/>
        <v/>
      </c>
      <c r="AZ1241" s="61" t="str">
        <f t="shared" si="580"/>
        <v/>
      </c>
    </row>
    <row r="1242" spans="1:52" s="3" customFormat="1" hidden="1" x14ac:dyDescent="0.35">
      <c r="A1242" s="72">
        <f t="shared" si="581"/>
        <v>2021</v>
      </c>
      <c r="B1242" s="72" t="str">
        <f t="shared" si="582"/>
        <v>Nov</v>
      </c>
      <c r="C1242" s="73">
        <f t="shared" si="600"/>
        <v>15</v>
      </c>
      <c r="D1242" s="74">
        <f t="shared" si="583"/>
        <v>12</v>
      </c>
      <c r="E1242" s="75">
        <f t="shared" si="584"/>
        <v>38</v>
      </c>
      <c r="F1242" s="79"/>
      <c r="G1242" s="82"/>
      <c r="H1242" s="68" t="str">
        <f t="shared" si="601"/>
        <v>Clesim6_20211115_12_00</v>
      </c>
      <c r="I1242" s="69">
        <f t="shared" si="603"/>
        <v>1</v>
      </c>
      <c r="J1242" s="76" t="str">
        <f t="shared" si="603"/>
        <v>Clematis</v>
      </c>
      <c r="K1242" s="76" t="str">
        <f t="shared" si="603"/>
        <v>simense</v>
      </c>
      <c r="L1242" s="77">
        <f t="shared" si="603"/>
        <v>6</v>
      </c>
      <c r="M1242" s="77">
        <f t="shared" si="603"/>
        <v>20</v>
      </c>
      <c r="N1242" s="71">
        <f t="shared" si="603"/>
        <v>0</v>
      </c>
      <c r="O1242" s="44"/>
      <c r="P1242" s="45" t="str">
        <f t="shared" si="585"/>
        <v/>
      </c>
      <c r="Q1242" s="46" t="str">
        <f t="shared" si="586"/>
        <v/>
      </c>
      <c r="R1242" s="47" t="e">
        <f t="shared" si="587"/>
        <v>#VALUE!</v>
      </c>
      <c r="S1242" s="48" t="e">
        <f t="shared" si="576"/>
        <v>#VALUE!</v>
      </c>
      <c r="T1242" s="47" t="str">
        <f t="shared" si="588"/>
        <v/>
      </c>
      <c r="U1242" s="49"/>
      <c r="V1242" s="50"/>
      <c r="W1242" s="51" t="e">
        <f t="shared" si="589"/>
        <v>#VALUE!</v>
      </c>
      <c r="X1242" s="52"/>
      <c r="Y1242" s="52"/>
      <c r="Z1242" s="52"/>
      <c r="AA1242" s="47" t="e">
        <f>INDEX(VISITORS[INSECT ORDER], MATCH(X1242,VISITORS[NAME USED],0))</f>
        <v>#N/A</v>
      </c>
      <c r="AB1242" s="47" t="e">
        <f t="shared" si="590"/>
        <v>#N/A</v>
      </c>
      <c r="AC1242" s="53" t="e">
        <f t="shared" si="591"/>
        <v>#VALUE!</v>
      </c>
      <c r="AD1242" s="54" t="str">
        <f t="shared" si="592"/>
        <v/>
      </c>
      <c r="AE1242" s="54"/>
      <c r="AF1242" s="54"/>
      <c r="AG1242" s="55" t="str">
        <f t="shared" si="593"/>
        <v/>
      </c>
      <c r="AH1242" s="56" t="str">
        <f t="shared" si="594"/>
        <v/>
      </c>
      <c r="AI1242" s="55"/>
      <c r="AJ1242" s="56" t="str">
        <f t="shared" si="595"/>
        <v/>
      </c>
      <c r="AK1242" s="55"/>
      <c r="AL1242" s="56" t="str">
        <f t="shared" si="596"/>
        <v/>
      </c>
      <c r="AM1242" s="55"/>
      <c r="AN1242" s="56" t="str">
        <f t="shared" si="597"/>
        <v/>
      </c>
      <c r="AO1242" s="55"/>
      <c r="AP1242" s="56" t="str">
        <f t="shared" si="598"/>
        <v/>
      </c>
      <c r="AQ1242" s="55"/>
      <c r="AR1242" s="56" t="str">
        <f t="shared" si="599"/>
        <v/>
      </c>
      <c r="AS1242" s="57"/>
      <c r="AT1242" s="58"/>
      <c r="AU1242" s="58"/>
      <c r="AV1242" s="59"/>
      <c r="AW1242" s="60" t="str">
        <f t="shared" si="577"/>
        <v/>
      </c>
      <c r="AX1242" s="61" t="str">
        <f t="shared" si="578"/>
        <v/>
      </c>
      <c r="AY1242" s="60" t="str">
        <f t="shared" si="579"/>
        <v/>
      </c>
      <c r="AZ1242" s="61" t="str">
        <f t="shared" si="580"/>
        <v/>
      </c>
    </row>
    <row r="1243" spans="1:52" s="3" customFormat="1" hidden="1" x14ac:dyDescent="0.35">
      <c r="A1243" s="72">
        <f t="shared" si="581"/>
        <v>2021</v>
      </c>
      <c r="B1243" s="72" t="str">
        <f t="shared" si="582"/>
        <v>Nov</v>
      </c>
      <c r="C1243" s="73">
        <f t="shared" si="600"/>
        <v>15</v>
      </c>
      <c r="D1243" s="74">
        <f t="shared" si="583"/>
        <v>12</v>
      </c>
      <c r="E1243" s="75">
        <f t="shared" si="584"/>
        <v>39</v>
      </c>
      <c r="F1243" s="79"/>
      <c r="G1243" s="82"/>
      <c r="H1243" s="68" t="str">
        <f t="shared" si="601"/>
        <v>Clesim6_20211115_12_00</v>
      </c>
      <c r="I1243" s="69">
        <f t="shared" si="603"/>
        <v>1</v>
      </c>
      <c r="J1243" s="76" t="str">
        <f t="shared" si="603"/>
        <v>Clematis</v>
      </c>
      <c r="K1243" s="76" t="str">
        <f t="shared" si="603"/>
        <v>simense</v>
      </c>
      <c r="L1243" s="77">
        <f t="shared" si="603"/>
        <v>6</v>
      </c>
      <c r="M1243" s="77">
        <f t="shared" si="603"/>
        <v>20</v>
      </c>
      <c r="N1243" s="71">
        <f t="shared" si="603"/>
        <v>0</v>
      </c>
      <c r="O1243" s="44"/>
      <c r="P1243" s="45" t="str">
        <f t="shared" si="585"/>
        <v/>
      </c>
      <c r="Q1243" s="46" t="str">
        <f t="shared" si="586"/>
        <v/>
      </c>
      <c r="R1243" s="47" t="e">
        <f t="shared" si="587"/>
        <v>#VALUE!</v>
      </c>
      <c r="S1243" s="48" t="e">
        <f t="shared" si="576"/>
        <v>#VALUE!</v>
      </c>
      <c r="T1243" s="47" t="str">
        <f t="shared" si="588"/>
        <v/>
      </c>
      <c r="U1243" s="49"/>
      <c r="V1243" s="50"/>
      <c r="W1243" s="51" t="e">
        <f t="shared" si="589"/>
        <v>#VALUE!</v>
      </c>
      <c r="X1243" s="52"/>
      <c r="Y1243" s="52"/>
      <c r="Z1243" s="52"/>
      <c r="AA1243" s="47" t="e">
        <f>INDEX(VISITORS[INSECT ORDER], MATCH(X1243,VISITORS[NAME USED],0))</f>
        <v>#N/A</v>
      </c>
      <c r="AB1243" s="47" t="e">
        <f t="shared" si="590"/>
        <v>#N/A</v>
      </c>
      <c r="AC1243" s="53" t="e">
        <f t="shared" si="591"/>
        <v>#VALUE!</v>
      </c>
      <c r="AD1243" s="54" t="str">
        <f t="shared" si="592"/>
        <v/>
      </c>
      <c r="AE1243" s="54"/>
      <c r="AF1243" s="54"/>
      <c r="AG1243" s="55" t="str">
        <f t="shared" si="593"/>
        <v/>
      </c>
      <c r="AH1243" s="56" t="str">
        <f t="shared" si="594"/>
        <v/>
      </c>
      <c r="AI1243" s="55"/>
      <c r="AJ1243" s="56" t="str">
        <f t="shared" si="595"/>
        <v/>
      </c>
      <c r="AK1243" s="55"/>
      <c r="AL1243" s="56" t="str">
        <f t="shared" si="596"/>
        <v/>
      </c>
      <c r="AM1243" s="55"/>
      <c r="AN1243" s="56" t="str">
        <f t="shared" si="597"/>
        <v/>
      </c>
      <c r="AO1243" s="55"/>
      <c r="AP1243" s="56" t="str">
        <f t="shared" si="598"/>
        <v/>
      </c>
      <c r="AQ1243" s="55"/>
      <c r="AR1243" s="56" t="str">
        <f t="shared" si="599"/>
        <v/>
      </c>
      <c r="AS1243" s="57"/>
      <c r="AT1243" s="58"/>
      <c r="AU1243" s="58"/>
      <c r="AV1243" s="59"/>
      <c r="AW1243" s="60" t="str">
        <f t="shared" si="577"/>
        <v/>
      </c>
      <c r="AX1243" s="61" t="str">
        <f t="shared" si="578"/>
        <v/>
      </c>
      <c r="AY1243" s="60" t="str">
        <f t="shared" si="579"/>
        <v/>
      </c>
      <c r="AZ1243" s="61" t="str">
        <f t="shared" si="580"/>
        <v/>
      </c>
    </row>
    <row r="1244" spans="1:52" s="3" customFormat="1" hidden="1" x14ac:dyDescent="0.35">
      <c r="A1244" s="72">
        <f t="shared" si="581"/>
        <v>2021</v>
      </c>
      <c r="B1244" s="72" t="str">
        <f t="shared" si="582"/>
        <v>Nov</v>
      </c>
      <c r="C1244" s="73">
        <f t="shared" si="600"/>
        <v>15</v>
      </c>
      <c r="D1244" s="74">
        <f t="shared" si="583"/>
        <v>12</v>
      </c>
      <c r="E1244" s="75">
        <f t="shared" si="584"/>
        <v>40</v>
      </c>
      <c r="F1244" s="79"/>
      <c r="G1244" s="82"/>
      <c r="H1244" s="68" t="str">
        <f t="shared" si="601"/>
        <v>Clesim6_20211115_12_00</v>
      </c>
      <c r="I1244" s="69">
        <f t="shared" si="603"/>
        <v>1</v>
      </c>
      <c r="J1244" s="76" t="str">
        <f t="shared" si="603"/>
        <v>Clematis</v>
      </c>
      <c r="K1244" s="76" t="str">
        <f t="shared" si="603"/>
        <v>simense</v>
      </c>
      <c r="L1244" s="77">
        <f t="shared" si="603"/>
        <v>6</v>
      </c>
      <c r="M1244" s="77">
        <f t="shared" si="603"/>
        <v>20</v>
      </c>
      <c r="N1244" s="71">
        <f t="shared" si="603"/>
        <v>0</v>
      </c>
      <c r="O1244" s="44"/>
      <c r="P1244" s="45" t="str">
        <f t="shared" si="585"/>
        <v/>
      </c>
      <c r="Q1244" s="46" t="str">
        <f t="shared" si="586"/>
        <v/>
      </c>
      <c r="R1244" s="47" t="e">
        <f t="shared" si="587"/>
        <v>#VALUE!</v>
      </c>
      <c r="S1244" s="48" t="e">
        <f t="shared" si="576"/>
        <v>#VALUE!</v>
      </c>
      <c r="T1244" s="47" t="str">
        <f t="shared" si="588"/>
        <v/>
      </c>
      <c r="U1244" s="49"/>
      <c r="V1244" s="50"/>
      <c r="W1244" s="51" t="e">
        <f t="shared" si="589"/>
        <v>#VALUE!</v>
      </c>
      <c r="X1244" s="52"/>
      <c r="Y1244" s="52"/>
      <c r="Z1244" s="52"/>
      <c r="AA1244" s="47" t="e">
        <f>INDEX(VISITORS[INSECT ORDER], MATCH(X1244,VISITORS[NAME USED],0))</f>
        <v>#N/A</v>
      </c>
      <c r="AB1244" s="47" t="e">
        <f t="shared" si="590"/>
        <v>#N/A</v>
      </c>
      <c r="AC1244" s="53" t="e">
        <f t="shared" si="591"/>
        <v>#VALUE!</v>
      </c>
      <c r="AD1244" s="54" t="str">
        <f t="shared" si="592"/>
        <v/>
      </c>
      <c r="AE1244" s="54"/>
      <c r="AF1244" s="54"/>
      <c r="AG1244" s="55" t="str">
        <f t="shared" si="593"/>
        <v/>
      </c>
      <c r="AH1244" s="56" t="str">
        <f t="shared" si="594"/>
        <v/>
      </c>
      <c r="AI1244" s="55"/>
      <c r="AJ1244" s="56" t="str">
        <f t="shared" si="595"/>
        <v/>
      </c>
      <c r="AK1244" s="55"/>
      <c r="AL1244" s="56" t="str">
        <f t="shared" si="596"/>
        <v/>
      </c>
      <c r="AM1244" s="55"/>
      <c r="AN1244" s="56" t="str">
        <f t="shared" si="597"/>
        <v/>
      </c>
      <c r="AO1244" s="55"/>
      <c r="AP1244" s="56" t="str">
        <f t="shared" si="598"/>
        <v/>
      </c>
      <c r="AQ1244" s="55"/>
      <c r="AR1244" s="56" t="str">
        <f t="shared" si="599"/>
        <v/>
      </c>
      <c r="AS1244" s="57"/>
      <c r="AT1244" s="58"/>
      <c r="AU1244" s="58"/>
      <c r="AV1244" s="59"/>
      <c r="AW1244" s="60" t="str">
        <f t="shared" si="577"/>
        <v/>
      </c>
      <c r="AX1244" s="61" t="str">
        <f t="shared" si="578"/>
        <v/>
      </c>
      <c r="AY1244" s="60" t="str">
        <f t="shared" si="579"/>
        <v/>
      </c>
      <c r="AZ1244" s="61" t="str">
        <f t="shared" si="580"/>
        <v/>
      </c>
    </row>
    <row r="1245" spans="1:52" s="3" customFormat="1" x14ac:dyDescent="0.35">
      <c r="A1245" s="72">
        <f t="shared" si="581"/>
        <v>2021</v>
      </c>
      <c r="B1245" s="72" t="str">
        <f t="shared" si="582"/>
        <v>Nov</v>
      </c>
      <c r="C1245" s="73">
        <f t="shared" si="600"/>
        <v>15</v>
      </c>
      <c r="D1245" s="74">
        <f t="shared" si="583"/>
        <v>12</v>
      </c>
      <c r="E1245" s="75">
        <f t="shared" si="584"/>
        <v>41</v>
      </c>
      <c r="F1245" s="79">
        <v>40</v>
      </c>
      <c r="G1245" s="82"/>
      <c r="H1245" s="68" t="str">
        <f t="shared" si="601"/>
        <v>Clesim6_20211115_12_00</v>
      </c>
      <c r="I1245" s="69">
        <f t="shared" si="603"/>
        <v>1</v>
      </c>
      <c r="J1245" s="76" t="str">
        <f t="shared" si="603"/>
        <v>Clematis</v>
      </c>
      <c r="K1245" s="76" t="str">
        <f t="shared" si="603"/>
        <v>simense</v>
      </c>
      <c r="L1245" s="77">
        <f t="shared" si="603"/>
        <v>6</v>
      </c>
      <c r="M1245" s="77">
        <f t="shared" si="603"/>
        <v>20</v>
      </c>
      <c r="N1245" s="71">
        <f t="shared" si="603"/>
        <v>0</v>
      </c>
      <c r="O1245" s="44"/>
      <c r="P1245" s="45">
        <f t="shared" si="585"/>
        <v>1</v>
      </c>
      <c r="Q1245" s="46" t="str">
        <f t="shared" si="586"/>
        <v>12:41:40</v>
      </c>
      <c r="R1245" s="47" t="str">
        <f t="shared" si="587"/>
        <v>41:40</v>
      </c>
      <c r="S1245" s="48">
        <f t="shared" si="576"/>
        <v>166</v>
      </c>
      <c r="T1245" s="47" t="str">
        <f t="shared" si="588"/>
        <v>12</v>
      </c>
      <c r="U1245" s="49">
        <v>44</v>
      </c>
      <c r="V1245" s="50">
        <v>26</v>
      </c>
      <c r="W1245" s="51" t="str">
        <f t="shared" si="589"/>
        <v>44:26</v>
      </c>
      <c r="X1245" s="123" t="s">
        <v>66</v>
      </c>
      <c r="Y1245" s="52" t="s">
        <v>70</v>
      </c>
      <c r="Z1245" s="52" t="s">
        <v>87</v>
      </c>
      <c r="AA1245" s="47" t="s">
        <v>67</v>
      </c>
      <c r="AB1245" s="47" t="str">
        <f t="shared" si="590"/>
        <v>NA</v>
      </c>
      <c r="AC1245" s="53" t="str">
        <f t="shared" si="591"/>
        <v/>
      </c>
      <c r="AD1245" s="54">
        <v>7</v>
      </c>
      <c r="AE1245" s="54"/>
      <c r="AF1245" s="54"/>
      <c r="AG1245" s="55" t="str">
        <f t="shared" si="593"/>
        <v/>
      </c>
      <c r="AH1245" s="56" t="str">
        <f t="shared" si="594"/>
        <v/>
      </c>
      <c r="AI1245" s="55"/>
      <c r="AJ1245" s="56" t="str">
        <f t="shared" si="595"/>
        <v/>
      </c>
      <c r="AK1245" s="55"/>
      <c r="AL1245" s="56" t="str">
        <f t="shared" si="596"/>
        <v/>
      </c>
      <c r="AM1245" s="55"/>
      <c r="AN1245" s="56" t="str">
        <f t="shared" si="597"/>
        <v/>
      </c>
      <c r="AO1245" s="55"/>
      <c r="AP1245" s="56" t="str">
        <f t="shared" si="598"/>
        <v/>
      </c>
      <c r="AQ1245" s="55"/>
      <c r="AR1245" s="56" t="str">
        <f t="shared" si="599"/>
        <v/>
      </c>
      <c r="AS1245" s="57"/>
      <c r="AT1245" s="58"/>
      <c r="AU1245" s="58"/>
      <c r="AV1245" s="59"/>
      <c r="AW1245" s="60">
        <f t="shared" si="577"/>
        <v>0</v>
      </c>
      <c r="AX1245" s="61" t="str">
        <f t="shared" si="578"/>
        <v/>
      </c>
      <c r="AY1245" s="60">
        <f t="shared" si="579"/>
        <v>0</v>
      </c>
      <c r="AZ1245" s="61" t="str">
        <f t="shared" si="580"/>
        <v/>
      </c>
    </row>
    <row r="1246" spans="1:52" s="3" customFormat="1" hidden="1" x14ac:dyDescent="0.35">
      <c r="A1246" s="72">
        <f t="shared" si="581"/>
        <v>2021</v>
      </c>
      <c r="B1246" s="72" t="str">
        <f t="shared" si="582"/>
        <v>Nov</v>
      </c>
      <c r="C1246" s="73">
        <f t="shared" si="600"/>
        <v>15</v>
      </c>
      <c r="D1246" s="74">
        <f t="shared" si="583"/>
        <v>12</v>
      </c>
      <c r="E1246" s="75">
        <f t="shared" si="584"/>
        <v>42</v>
      </c>
      <c r="F1246" s="79"/>
      <c r="G1246" s="82"/>
      <c r="H1246" s="68" t="str">
        <f t="shared" si="601"/>
        <v>Clesim6_20211115_12_00</v>
      </c>
      <c r="I1246" s="69">
        <f t="shared" si="603"/>
        <v>1</v>
      </c>
      <c r="J1246" s="76" t="str">
        <f t="shared" si="603"/>
        <v>Clematis</v>
      </c>
      <c r="K1246" s="76" t="str">
        <f t="shared" si="603"/>
        <v>simense</v>
      </c>
      <c r="L1246" s="77">
        <f t="shared" si="603"/>
        <v>6</v>
      </c>
      <c r="M1246" s="77">
        <f t="shared" si="603"/>
        <v>20</v>
      </c>
      <c r="N1246" s="71">
        <f t="shared" si="603"/>
        <v>0</v>
      </c>
      <c r="O1246" s="44"/>
      <c r="P1246" s="45" t="str">
        <f t="shared" si="585"/>
        <v/>
      </c>
      <c r="Q1246" s="46" t="str">
        <f t="shared" si="586"/>
        <v/>
      </c>
      <c r="R1246" s="47" t="e">
        <f t="shared" si="587"/>
        <v>#VALUE!</v>
      </c>
      <c r="S1246" s="48" t="e">
        <f t="shared" si="576"/>
        <v>#VALUE!</v>
      </c>
      <c r="T1246" s="47" t="str">
        <f t="shared" si="588"/>
        <v/>
      </c>
      <c r="U1246" s="49"/>
      <c r="V1246" s="50"/>
      <c r="W1246" s="51" t="e">
        <f t="shared" si="589"/>
        <v>#VALUE!</v>
      </c>
      <c r="X1246" s="52"/>
      <c r="Y1246" s="52"/>
      <c r="Z1246" s="52"/>
      <c r="AA1246" s="47" t="e">
        <f>INDEX(VISITORS[INSECT ORDER], MATCH(X1246,VISITORS[NAME USED],0))</f>
        <v>#N/A</v>
      </c>
      <c r="AB1246" s="47" t="e">
        <f t="shared" si="590"/>
        <v>#N/A</v>
      </c>
      <c r="AC1246" s="53" t="e">
        <f t="shared" si="591"/>
        <v>#VALUE!</v>
      </c>
      <c r="AD1246" s="54" t="str">
        <f t="shared" si="592"/>
        <v/>
      </c>
      <c r="AE1246" s="54"/>
      <c r="AF1246" s="54"/>
      <c r="AG1246" s="55" t="str">
        <f t="shared" si="593"/>
        <v/>
      </c>
      <c r="AH1246" s="56" t="str">
        <f t="shared" si="594"/>
        <v/>
      </c>
      <c r="AI1246" s="55"/>
      <c r="AJ1246" s="56" t="str">
        <f t="shared" si="595"/>
        <v/>
      </c>
      <c r="AK1246" s="55"/>
      <c r="AL1246" s="56" t="str">
        <f t="shared" si="596"/>
        <v/>
      </c>
      <c r="AM1246" s="55"/>
      <c r="AN1246" s="56" t="str">
        <f t="shared" si="597"/>
        <v/>
      </c>
      <c r="AO1246" s="55"/>
      <c r="AP1246" s="56" t="str">
        <f t="shared" si="598"/>
        <v/>
      </c>
      <c r="AQ1246" s="55"/>
      <c r="AR1246" s="56" t="str">
        <f t="shared" si="599"/>
        <v/>
      </c>
      <c r="AS1246" s="57"/>
      <c r="AT1246" s="58"/>
      <c r="AU1246" s="58"/>
      <c r="AV1246" s="59"/>
      <c r="AW1246" s="60" t="str">
        <f t="shared" si="577"/>
        <v/>
      </c>
      <c r="AX1246" s="61" t="str">
        <f t="shared" si="578"/>
        <v/>
      </c>
      <c r="AY1246" s="60" t="str">
        <f t="shared" si="579"/>
        <v/>
      </c>
      <c r="AZ1246" s="61" t="str">
        <f t="shared" si="580"/>
        <v/>
      </c>
    </row>
    <row r="1247" spans="1:52" s="3" customFormat="1" hidden="1" x14ac:dyDescent="0.35">
      <c r="A1247" s="72">
        <f t="shared" si="581"/>
        <v>2021</v>
      </c>
      <c r="B1247" s="72" t="str">
        <f t="shared" si="582"/>
        <v>Nov</v>
      </c>
      <c r="C1247" s="73">
        <f t="shared" si="600"/>
        <v>15</v>
      </c>
      <c r="D1247" s="74">
        <f t="shared" si="583"/>
        <v>12</v>
      </c>
      <c r="E1247" s="75">
        <f t="shared" si="584"/>
        <v>43</v>
      </c>
      <c r="F1247" s="79"/>
      <c r="G1247" s="82"/>
      <c r="H1247" s="68" t="str">
        <f t="shared" si="601"/>
        <v>Clesim6_20211115_12_00</v>
      </c>
      <c r="I1247" s="69">
        <f t="shared" si="603"/>
        <v>1</v>
      </c>
      <c r="J1247" s="76" t="str">
        <f t="shared" si="603"/>
        <v>Clematis</v>
      </c>
      <c r="K1247" s="76" t="str">
        <f t="shared" si="603"/>
        <v>simense</v>
      </c>
      <c r="L1247" s="77">
        <f t="shared" si="603"/>
        <v>6</v>
      </c>
      <c r="M1247" s="77">
        <f t="shared" si="603"/>
        <v>20</v>
      </c>
      <c r="N1247" s="71">
        <f t="shared" si="603"/>
        <v>0</v>
      </c>
      <c r="O1247" s="44"/>
      <c r="P1247" s="45" t="str">
        <f t="shared" si="585"/>
        <v/>
      </c>
      <c r="Q1247" s="46" t="str">
        <f t="shared" si="586"/>
        <v/>
      </c>
      <c r="R1247" s="47" t="e">
        <f t="shared" si="587"/>
        <v>#VALUE!</v>
      </c>
      <c r="S1247" s="48" t="e">
        <f t="shared" si="576"/>
        <v>#VALUE!</v>
      </c>
      <c r="T1247" s="47" t="str">
        <f t="shared" si="588"/>
        <v/>
      </c>
      <c r="U1247" s="49"/>
      <c r="V1247" s="50"/>
      <c r="W1247" s="51" t="e">
        <f t="shared" si="589"/>
        <v>#VALUE!</v>
      </c>
      <c r="X1247" s="52"/>
      <c r="Y1247" s="52"/>
      <c r="Z1247" s="52"/>
      <c r="AA1247" s="47" t="e">
        <f>INDEX(VISITORS[INSECT ORDER], MATCH(X1247,VISITORS[NAME USED],0))</f>
        <v>#N/A</v>
      </c>
      <c r="AB1247" s="47" t="e">
        <f t="shared" si="590"/>
        <v>#N/A</v>
      </c>
      <c r="AC1247" s="53" t="e">
        <f t="shared" si="591"/>
        <v>#VALUE!</v>
      </c>
      <c r="AD1247" s="54" t="str">
        <f t="shared" si="592"/>
        <v/>
      </c>
      <c r="AE1247" s="54"/>
      <c r="AF1247" s="54"/>
      <c r="AG1247" s="55" t="str">
        <f t="shared" si="593"/>
        <v/>
      </c>
      <c r="AH1247" s="56" t="str">
        <f t="shared" si="594"/>
        <v/>
      </c>
      <c r="AI1247" s="55"/>
      <c r="AJ1247" s="56" t="str">
        <f t="shared" si="595"/>
        <v/>
      </c>
      <c r="AK1247" s="55"/>
      <c r="AL1247" s="56" t="str">
        <f t="shared" si="596"/>
        <v/>
      </c>
      <c r="AM1247" s="55"/>
      <c r="AN1247" s="56" t="str">
        <f t="shared" si="597"/>
        <v/>
      </c>
      <c r="AO1247" s="55"/>
      <c r="AP1247" s="56" t="str">
        <f t="shared" si="598"/>
        <v/>
      </c>
      <c r="AQ1247" s="55"/>
      <c r="AR1247" s="56" t="str">
        <f t="shared" si="599"/>
        <v/>
      </c>
      <c r="AS1247" s="57"/>
      <c r="AT1247" s="58"/>
      <c r="AU1247" s="58"/>
      <c r="AV1247" s="59"/>
      <c r="AW1247" s="60" t="str">
        <f t="shared" si="577"/>
        <v/>
      </c>
      <c r="AX1247" s="61" t="str">
        <f t="shared" si="578"/>
        <v/>
      </c>
      <c r="AY1247" s="60" t="str">
        <f t="shared" si="579"/>
        <v/>
      </c>
      <c r="AZ1247" s="61" t="str">
        <f t="shared" si="580"/>
        <v/>
      </c>
    </row>
    <row r="1248" spans="1:52" s="3" customFormat="1" hidden="1" x14ac:dyDescent="0.35">
      <c r="A1248" s="72">
        <f t="shared" si="581"/>
        <v>2021</v>
      </c>
      <c r="B1248" s="72" t="str">
        <f t="shared" si="582"/>
        <v>Nov</v>
      </c>
      <c r="C1248" s="73">
        <f t="shared" si="600"/>
        <v>15</v>
      </c>
      <c r="D1248" s="74">
        <f t="shared" si="583"/>
        <v>12</v>
      </c>
      <c r="E1248" s="75">
        <f t="shared" si="584"/>
        <v>44</v>
      </c>
      <c r="F1248" s="79"/>
      <c r="G1248" s="82"/>
      <c r="H1248" s="68" t="str">
        <f t="shared" si="601"/>
        <v>Clesim6_20211115_12_00</v>
      </c>
      <c r="I1248" s="69">
        <f t="shared" si="603"/>
        <v>1</v>
      </c>
      <c r="J1248" s="76" t="str">
        <f t="shared" si="603"/>
        <v>Clematis</v>
      </c>
      <c r="K1248" s="76" t="str">
        <f t="shared" si="603"/>
        <v>simense</v>
      </c>
      <c r="L1248" s="77">
        <f t="shared" si="603"/>
        <v>6</v>
      </c>
      <c r="M1248" s="77">
        <f t="shared" si="603"/>
        <v>20</v>
      </c>
      <c r="N1248" s="71">
        <f t="shared" si="603"/>
        <v>0</v>
      </c>
      <c r="O1248" s="44"/>
      <c r="P1248" s="45" t="str">
        <f t="shared" si="585"/>
        <v/>
      </c>
      <c r="Q1248" s="46" t="str">
        <f t="shared" si="586"/>
        <v/>
      </c>
      <c r="R1248" s="47" t="e">
        <f t="shared" si="587"/>
        <v>#VALUE!</v>
      </c>
      <c r="S1248" s="48" t="e">
        <f t="shared" si="576"/>
        <v>#VALUE!</v>
      </c>
      <c r="T1248" s="47" t="str">
        <f t="shared" si="588"/>
        <v/>
      </c>
      <c r="U1248" s="49"/>
      <c r="V1248" s="50"/>
      <c r="W1248" s="51" t="e">
        <f t="shared" si="589"/>
        <v>#VALUE!</v>
      </c>
      <c r="X1248" s="52"/>
      <c r="Y1248" s="52"/>
      <c r="Z1248" s="52"/>
      <c r="AA1248" s="47" t="e">
        <f>INDEX(VISITORS[INSECT ORDER], MATCH(X1248,VISITORS[NAME USED],0))</f>
        <v>#N/A</v>
      </c>
      <c r="AB1248" s="47" t="e">
        <f t="shared" si="590"/>
        <v>#N/A</v>
      </c>
      <c r="AC1248" s="53" t="e">
        <f t="shared" si="591"/>
        <v>#VALUE!</v>
      </c>
      <c r="AD1248" s="54" t="str">
        <f t="shared" si="592"/>
        <v/>
      </c>
      <c r="AE1248" s="54"/>
      <c r="AF1248" s="54"/>
      <c r="AG1248" s="55" t="str">
        <f t="shared" si="593"/>
        <v/>
      </c>
      <c r="AH1248" s="56" t="str">
        <f t="shared" si="594"/>
        <v/>
      </c>
      <c r="AI1248" s="55"/>
      <c r="AJ1248" s="56" t="str">
        <f t="shared" si="595"/>
        <v/>
      </c>
      <c r="AK1248" s="55"/>
      <c r="AL1248" s="56" t="str">
        <f t="shared" si="596"/>
        <v/>
      </c>
      <c r="AM1248" s="55"/>
      <c r="AN1248" s="56" t="str">
        <f t="shared" si="597"/>
        <v/>
      </c>
      <c r="AO1248" s="55"/>
      <c r="AP1248" s="56" t="str">
        <f t="shared" si="598"/>
        <v/>
      </c>
      <c r="AQ1248" s="55"/>
      <c r="AR1248" s="56" t="str">
        <f t="shared" si="599"/>
        <v/>
      </c>
      <c r="AS1248" s="57"/>
      <c r="AT1248" s="58"/>
      <c r="AU1248" s="58"/>
      <c r="AV1248" s="59"/>
      <c r="AW1248" s="60" t="str">
        <f t="shared" si="577"/>
        <v/>
      </c>
      <c r="AX1248" s="61" t="str">
        <f t="shared" si="578"/>
        <v/>
      </c>
      <c r="AY1248" s="60" t="str">
        <f t="shared" si="579"/>
        <v/>
      </c>
      <c r="AZ1248" s="61" t="str">
        <f t="shared" si="580"/>
        <v/>
      </c>
    </row>
    <row r="1249" spans="1:52" s="3" customFormat="1" hidden="1" x14ac:dyDescent="0.35">
      <c r="A1249" s="72">
        <f t="shared" si="581"/>
        <v>2021</v>
      </c>
      <c r="B1249" s="72" t="str">
        <f t="shared" si="582"/>
        <v>Nov</v>
      </c>
      <c r="C1249" s="73">
        <f t="shared" si="600"/>
        <v>15</v>
      </c>
      <c r="D1249" s="74">
        <f t="shared" si="583"/>
        <v>12</v>
      </c>
      <c r="E1249" s="75">
        <f t="shared" si="584"/>
        <v>45</v>
      </c>
      <c r="F1249" s="79"/>
      <c r="G1249" s="82"/>
      <c r="H1249" s="68" t="str">
        <f t="shared" si="601"/>
        <v>Clesim6_20211115_12_00</v>
      </c>
      <c r="I1249" s="69">
        <f t="shared" si="603"/>
        <v>1</v>
      </c>
      <c r="J1249" s="76" t="str">
        <f t="shared" si="603"/>
        <v>Clematis</v>
      </c>
      <c r="K1249" s="76" t="str">
        <f t="shared" si="603"/>
        <v>simense</v>
      </c>
      <c r="L1249" s="77">
        <f t="shared" si="603"/>
        <v>6</v>
      </c>
      <c r="M1249" s="77">
        <f t="shared" si="603"/>
        <v>20</v>
      </c>
      <c r="N1249" s="71">
        <f t="shared" si="603"/>
        <v>0</v>
      </c>
      <c r="O1249" s="44"/>
      <c r="P1249" s="45" t="str">
        <f t="shared" si="585"/>
        <v/>
      </c>
      <c r="Q1249" s="46" t="str">
        <f t="shared" si="586"/>
        <v/>
      </c>
      <c r="R1249" s="47" t="e">
        <f t="shared" si="587"/>
        <v>#VALUE!</v>
      </c>
      <c r="S1249" s="48" t="e">
        <f t="shared" si="576"/>
        <v>#VALUE!</v>
      </c>
      <c r="T1249" s="47" t="str">
        <f t="shared" si="588"/>
        <v/>
      </c>
      <c r="U1249" s="49"/>
      <c r="V1249" s="50"/>
      <c r="W1249" s="51" t="e">
        <f t="shared" si="589"/>
        <v>#VALUE!</v>
      </c>
      <c r="X1249" s="52"/>
      <c r="Y1249" s="52"/>
      <c r="Z1249" s="52"/>
      <c r="AA1249" s="47" t="e">
        <f>INDEX(VISITORS[INSECT ORDER], MATCH(X1249,VISITORS[NAME USED],0))</f>
        <v>#N/A</v>
      </c>
      <c r="AB1249" s="47" t="e">
        <f t="shared" si="590"/>
        <v>#N/A</v>
      </c>
      <c r="AC1249" s="53" t="e">
        <f t="shared" si="591"/>
        <v>#VALUE!</v>
      </c>
      <c r="AD1249" s="54" t="str">
        <f t="shared" si="592"/>
        <v/>
      </c>
      <c r="AE1249" s="54"/>
      <c r="AF1249" s="54"/>
      <c r="AG1249" s="55" t="str">
        <f t="shared" si="593"/>
        <v/>
      </c>
      <c r="AH1249" s="56" t="str">
        <f t="shared" si="594"/>
        <v/>
      </c>
      <c r="AI1249" s="55"/>
      <c r="AJ1249" s="56" t="str">
        <f t="shared" si="595"/>
        <v/>
      </c>
      <c r="AK1249" s="55"/>
      <c r="AL1249" s="56" t="str">
        <f t="shared" si="596"/>
        <v/>
      </c>
      <c r="AM1249" s="55"/>
      <c r="AN1249" s="56" t="str">
        <f t="shared" si="597"/>
        <v/>
      </c>
      <c r="AO1249" s="55"/>
      <c r="AP1249" s="56" t="str">
        <f t="shared" si="598"/>
        <v/>
      </c>
      <c r="AQ1249" s="55"/>
      <c r="AR1249" s="56" t="str">
        <f t="shared" si="599"/>
        <v/>
      </c>
      <c r="AS1249" s="57"/>
      <c r="AT1249" s="58"/>
      <c r="AU1249" s="58"/>
      <c r="AV1249" s="59"/>
      <c r="AW1249" s="60" t="str">
        <f t="shared" si="577"/>
        <v/>
      </c>
      <c r="AX1249" s="61" t="str">
        <f t="shared" si="578"/>
        <v/>
      </c>
      <c r="AY1249" s="60" t="str">
        <f t="shared" si="579"/>
        <v/>
      </c>
      <c r="AZ1249" s="61" t="str">
        <f t="shared" si="580"/>
        <v/>
      </c>
    </row>
    <row r="1250" spans="1:52" s="3" customFormat="1" hidden="1" x14ac:dyDescent="0.35">
      <c r="A1250" s="72">
        <f t="shared" si="581"/>
        <v>2021</v>
      </c>
      <c r="B1250" s="72" t="str">
        <f t="shared" si="582"/>
        <v>Nov</v>
      </c>
      <c r="C1250" s="73">
        <f t="shared" si="600"/>
        <v>15</v>
      </c>
      <c r="D1250" s="74">
        <f t="shared" si="583"/>
        <v>12</v>
      </c>
      <c r="E1250" s="75">
        <f t="shared" si="584"/>
        <v>46</v>
      </c>
      <c r="F1250" s="79"/>
      <c r="G1250" s="82"/>
      <c r="H1250" s="68" t="str">
        <f t="shared" si="601"/>
        <v>Clesim6_20211115_12_00</v>
      </c>
      <c r="I1250" s="69">
        <f t="shared" si="603"/>
        <v>1</v>
      </c>
      <c r="J1250" s="76" t="str">
        <f t="shared" si="603"/>
        <v>Clematis</v>
      </c>
      <c r="K1250" s="76" t="str">
        <f t="shared" si="603"/>
        <v>simense</v>
      </c>
      <c r="L1250" s="77">
        <f t="shared" si="603"/>
        <v>6</v>
      </c>
      <c r="M1250" s="77">
        <f t="shared" si="603"/>
        <v>20</v>
      </c>
      <c r="N1250" s="71">
        <f t="shared" si="603"/>
        <v>0</v>
      </c>
      <c r="O1250" s="44"/>
      <c r="P1250" s="45" t="str">
        <f t="shared" si="585"/>
        <v/>
      </c>
      <c r="Q1250" s="46" t="str">
        <f t="shared" si="586"/>
        <v/>
      </c>
      <c r="R1250" s="47" t="e">
        <f t="shared" si="587"/>
        <v>#VALUE!</v>
      </c>
      <c r="S1250" s="48" t="e">
        <f t="shared" si="576"/>
        <v>#VALUE!</v>
      </c>
      <c r="T1250" s="47" t="str">
        <f t="shared" si="588"/>
        <v/>
      </c>
      <c r="U1250" s="49"/>
      <c r="V1250" s="50"/>
      <c r="W1250" s="51" t="e">
        <f t="shared" si="589"/>
        <v>#VALUE!</v>
      </c>
      <c r="X1250" s="52"/>
      <c r="Y1250" s="52"/>
      <c r="Z1250" s="52"/>
      <c r="AA1250" s="47" t="e">
        <f>INDEX(VISITORS[INSECT ORDER], MATCH(X1250,VISITORS[NAME USED],0))</f>
        <v>#N/A</v>
      </c>
      <c r="AB1250" s="47" t="e">
        <f t="shared" si="590"/>
        <v>#N/A</v>
      </c>
      <c r="AC1250" s="53" t="e">
        <f t="shared" si="591"/>
        <v>#VALUE!</v>
      </c>
      <c r="AD1250" s="54" t="str">
        <f t="shared" si="592"/>
        <v/>
      </c>
      <c r="AE1250" s="54"/>
      <c r="AF1250" s="54"/>
      <c r="AG1250" s="55" t="str">
        <f t="shared" si="593"/>
        <v/>
      </c>
      <c r="AH1250" s="56" t="str">
        <f t="shared" si="594"/>
        <v/>
      </c>
      <c r="AI1250" s="55"/>
      <c r="AJ1250" s="56" t="str">
        <f t="shared" si="595"/>
        <v/>
      </c>
      <c r="AK1250" s="55"/>
      <c r="AL1250" s="56" t="str">
        <f t="shared" si="596"/>
        <v/>
      </c>
      <c r="AM1250" s="55"/>
      <c r="AN1250" s="56" t="str">
        <f t="shared" si="597"/>
        <v/>
      </c>
      <c r="AO1250" s="55"/>
      <c r="AP1250" s="56" t="str">
        <f t="shared" si="598"/>
        <v/>
      </c>
      <c r="AQ1250" s="55"/>
      <c r="AR1250" s="56" t="str">
        <f t="shared" si="599"/>
        <v/>
      </c>
      <c r="AS1250" s="57"/>
      <c r="AT1250" s="58"/>
      <c r="AU1250" s="58"/>
      <c r="AV1250" s="59"/>
      <c r="AW1250" s="60" t="str">
        <f t="shared" si="577"/>
        <v/>
      </c>
      <c r="AX1250" s="61" t="str">
        <f t="shared" si="578"/>
        <v/>
      </c>
      <c r="AY1250" s="60" t="str">
        <f t="shared" si="579"/>
        <v/>
      </c>
      <c r="AZ1250" s="61" t="str">
        <f t="shared" si="580"/>
        <v/>
      </c>
    </row>
    <row r="1251" spans="1:52" s="3" customFormat="1" hidden="1" x14ac:dyDescent="0.35">
      <c r="A1251" s="72">
        <f t="shared" si="581"/>
        <v>2021</v>
      </c>
      <c r="B1251" s="72" t="str">
        <f t="shared" si="582"/>
        <v>Nov</v>
      </c>
      <c r="C1251" s="73">
        <f t="shared" si="600"/>
        <v>15</v>
      </c>
      <c r="D1251" s="74">
        <f t="shared" si="583"/>
        <v>12</v>
      </c>
      <c r="E1251" s="75">
        <f t="shared" si="584"/>
        <v>47</v>
      </c>
      <c r="F1251" s="79"/>
      <c r="G1251" s="82"/>
      <c r="H1251" s="68" t="str">
        <f t="shared" si="601"/>
        <v>Clesim6_20211115_12_00</v>
      </c>
      <c r="I1251" s="69">
        <f t="shared" si="603"/>
        <v>1</v>
      </c>
      <c r="J1251" s="76" t="str">
        <f t="shared" si="603"/>
        <v>Clematis</v>
      </c>
      <c r="K1251" s="76" t="str">
        <f t="shared" si="603"/>
        <v>simense</v>
      </c>
      <c r="L1251" s="77">
        <f t="shared" si="603"/>
        <v>6</v>
      </c>
      <c r="M1251" s="77">
        <f t="shared" si="603"/>
        <v>20</v>
      </c>
      <c r="N1251" s="71">
        <f t="shared" si="603"/>
        <v>0</v>
      </c>
      <c r="O1251" s="44"/>
      <c r="P1251" s="45" t="str">
        <f t="shared" si="585"/>
        <v/>
      </c>
      <c r="Q1251" s="46" t="str">
        <f t="shared" si="586"/>
        <v/>
      </c>
      <c r="R1251" s="47" t="e">
        <f t="shared" si="587"/>
        <v>#VALUE!</v>
      </c>
      <c r="S1251" s="48" t="e">
        <f t="shared" si="576"/>
        <v>#VALUE!</v>
      </c>
      <c r="T1251" s="47" t="str">
        <f t="shared" si="588"/>
        <v/>
      </c>
      <c r="U1251" s="49"/>
      <c r="V1251" s="50"/>
      <c r="W1251" s="51" t="e">
        <f t="shared" si="589"/>
        <v>#VALUE!</v>
      </c>
      <c r="X1251" s="52"/>
      <c r="Y1251" s="52"/>
      <c r="Z1251" s="52"/>
      <c r="AA1251" s="47" t="e">
        <f>INDEX(VISITORS[INSECT ORDER], MATCH(X1251,VISITORS[NAME USED],0))</f>
        <v>#N/A</v>
      </c>
      <c r="AB1251" s="47" t="e">
        <f t="shared" si="590"/>
        <v>#N/A</v>
      </c>
      <c r="AC1251" s="53" t="e">
        <f t="shared" si="591"/>
        <v>#VALUE!</v>
      </c>
      <c r="AD1251" s="54" t="str">
        <f t="shared" si="592"/>
        <v/>
      </c>
      <c r="AE1251" s="54"/>
      <c r="AF1251" s="54"/>
      <c r="AG1251" s="55" t="str">
        <f t="shared" si="593"/>
        <v/>
      </c>
      <c r="AH1251" s="56" t="str">
        <f t="shared" si="594"/>
        <v/>
      </c>
      <c r="AI1251" s="55"/>
      <c r="AJ1251" s="56" t="str">
        <f t="shared" si="595"/>
        <v/>
      </c>
      <c r="AK1251" s="55"/>
      <c r="AL1251" s="56" t="str">
        <f t="shared" si="596"/>
        <v/>
      </c>
      <c r="AM1251" s="55"/>
      <c r="AN1251" s="56" t="str">
        <f t="shared" si="597"/>
        <v/>
      </c>
      <c r="AO1251" s="55"/>
      <c r="AP1251" s="56" t="str">
        <f t="shared" si="598"/>
        <v/>
      </c>
      <c r="AQ1251" s="55"/>
      <c r="AR1251" s="56" t="str">
        <f t="shared" si="599"/>
        <v/>
      </c>
      <c r="AS1251" s="57"/>
      <c r="AT1251" s="58"/>
      <c r="AU1251" s="58"/>
      <c r="AV1251" s="59"/>
      <c r="AW1251" s="60" t="str">
        <f t="shared" si="577"/>
        <v/>
      </c>
      <c r="AX1251" s="61" t="str">
        <f t="shared" si="578"/>
        <v/>
      </c>
      <c r="AY1251" s="60" t="str">
        <f t="shared" si="579"/>
        <v/>
      </c>
      <c r="AZ1251" s="61" t="str">
        <f t="shared" si="580"/>
        <v/>
      </c>
    </row>
    <row r="1252" spans="1:52" s="3" customFormat="1" hidden="1" x14ac:dyDescent="0.35">
      <c r="A1252" s="72">
        <f t="shared" si="581"/>
        <v>2021</v>
      </c>
      <c r="B1252" s="72" t="str">
        <f t="shared" si="582"/>
        <v>Nov</v>
      </c>
      <c r="C1252" s="73">
        <f t="shared" si="600"/>
        <v>15</v>
      </c>
      <c r="D1252" s="74">
        <f t="shared" si="583"/>
        <v>12</v>
      </c>
      <c r="E1252" s="75">
        <f t="shared" si="584"/>
        <v>48</v>
      </c>
      <c r="F1252" s="79"/>
      <c r="G1252" s="82"/>
      <c r="H1252" s="68" t="str">
        <f t="shared" si="601"/>
        <v>Clesim6_20211115_12_00</v>
      </c>
      <c r="I1252" s="69">
        <f t="shared" si="603"/>
        <v>1</v>
      </c>
      <c r="J1252" s="76" t="str">
        <f t="shared" si="603"/>
        <v>Clematis</v>
      </c>
      <c r="K1252" s="76" t="str">
        <f t="shared" si="603"/>
        <v>simense</v>
      </c>
      <c r="L1252" s="77">
        <f t="shared" si="603"/>
        <v>6</v>
      </c>
      <c r="M1252" s="77">
        <f t="shared" si="603"/>
        <v>20</v>
      </c>
      <c r="N1252" s="71">
        <f t="shared" si="603"/>
        <v>0</v>
      </c>
      <c r="O1252" s="44"/>
      <c r="P1252" s="45" t="str">
        <f t="shared" si="585"/>
        <v/>
      </c>
      <c r="Q1252" s="46" t="str">
        <f t="shared" si="586"/>
        <v/>
      </c>
      <c r="R1252" s="47" t="e">
        <f t="shared" si="587"/>
        <v>#VALUE!</v>
      </c>
      <c r="S1252" s="48" t="e">
        <f t="shared" si="576"/>
        <v>#VALUE!</v>
      </c>
      <c r="T1252" s="47" t="str">
        <f t="shared" si="588"/>
        <v/>
      </c>
      <c r="U1252" s="49"/>
      <c r="V1252" s="50"/>
      <c r="W1252" s="51" t="e">
        <f t="shared" si="589"/>
        <v>#VALUE!</v>
      </c>
      <c r="X1252" s="52"/>
      <c r="Y1252" s="52"/>
      <c r="Z1252" s="52"/>
      <c r="AA1252" s="47" t="e">
        <f>INDEX(VISITORS[INSECT ORDER], MATCH(X1252,VISITORS[NAME USED],0))</f>
        <v>#N/A</v>
      </c>
      <c r="AB1252" s="47" t="e">
        <f t="shared" si="590"/>
        <v>#N/A</v>
      </c>
      <c r="AC1252" s="53" t="e">
        <f t="shared" si="591"/>
        <v>#VALUE!</v>
      </c>
      <c r="AD1252" s="54" t="str">
        <f t="shared" si="592"/>
        <v/>
      </c>
      <c r="AE1252" s="54"/>
      <c r="AF1252" s="54"/>
      <c r="AG1252" s="55" t="str">
        <f t="shared" si="593"/>
        <v/>
      </c>
      <c r="AH1252" s="56" t="str">
        <f t="shared" si="594"/>
        <v/>
      </c>
      <c r="AI1252" s="55"/>
      <c r="AJ1252" s="56" t="str">
        <f t="shared" si="595"/>
        <v/>
      </c>
      <c r="AK1252" s="55"/>
      <c r="AL1252" s="56" t="str">
        <f t="shared" si="596"/>
        <v/>
      </c>
      <c r="AM1252" s="55"/>
      <c r="AN1252" s="56" t="str">
        <f t="shared" si="597"/>
        <v/>
      </c>
      <c r="AO1252" s="55"/>
      <c r="AP1252" s="56" t="str">
        <f t="shared" si="598"/>
        <v/>
      </c>
      <c r="AQ1252" s="55"/>
      <c r="AR1252" s="56" t="str">
        <f t="shared" si="599"/>
        <v/>
      </c>
      <c r="AS1252" s="57"/>
      <c r="AT1252" s="58"/>
      <c r="AU1252" s="58"/>
      <c r="AV1252" s="59"/>
      <c r="AW1252" s="60" t="str">
        <f t="shared" si="577"/>
        <v/>
      </c>
      <c r="AX1252" s="61" t="str">
        <f t="shared" si="578"/>
        <v/>
      </c>
      <c r="AY1252" s="60" t="str">
        <f t="shared" si="579"/>
        <v/>
      </c>
      <c r="AZ1252" s="61" t="str">
        <f t="shared" si="580"/>
        <v/>
      </c>
    </row>
    <row r="1253" spans="1:52" s="3" customFormat="1" x14ac:dyDescent="0.35">
      <c r="A1253" s="72">
        <f t="shared" si="581"/>
        <v>2021</v>
      </c>
      <c r="B1253" s="72" t="str">
        <f t="shared" si="582"/>
        <v>Nov</v>
      </c>
      <c r="C1253" s="73">
        <f t="shared" si="600"/>
        <v>15</v>
      </c>
      <c r="D1253" s="74">
        <f t="shared" si="583"/>
        <v>12</v>
      </c>
      <c r="E1253" s="75">
        <f t="shared" si="584"/>
        <v>49</v>
      </c>
      <c r="F1253" s="79">
        <v>2</v>
      </c>
      <c r="G1253" s="82"/>
      <c r="H1253" s="68" t="str">
        <f t="shared" si="601"/>
        <v>Clesim6_20211115_12_00</v>
      </c>
      <c r="I1253" s="69">
        <f t="shared" si="603"/>
        <v>1</v>
      </c>
      <c r="J1253" s="76" t="str">
        <f t="shared" si="603"/>
        <v>Clematis</v>
      </c>
      <c r="K1253" s="76" t="str">
        <f t="shared" si="603"/>
        <v>simense</v>
      </c>
      <c r="L1253" s="77">
        <f t="shared" si="603"/>
        <v>6</v>
      </c>
      <c r="M1253" s="77">
        <f t="shared" si="603"/>
        <v>20</v>
      </c>
      <c r="N1253" s="71">
        <f t="shared" si="603"/>
        <v>0</v>
      </c>
      <c r="O1253" s="44"/>
      <c r="P1253" s="45">
        <f t="shared" si="585"/>
        <v>1</v>
      </c>
      <c r="Q1253" s="46" t="str">
        <f t="shared" si="586"/>
        <v>12:49:02</v>
      </c>
      <c r="R1253" s="47" t="str">
        <f t="shared" si="587"/>
        <v>49:02</v>
      </c>
      <c r="S1253" s="48">
        <f t="shared" si="576"/>
        <v>57</v>
      </c>
      <c r="T1253" s="47" t="str">
        <f t="shared" si="588"/>
        <v>12</v>
      </c>
      <c r="U1253" s="49">
        <v>49</v>
      </c>
      <c r="V1253" s="50">
        <v>59</v>
      </c>
      <c r="W1253" s="51" t="str">
        <f t="shared" si="589"/>
        <v>49:59</v>
      </c>
      <c r="X1253" s="123" t="s">
        <v>66</v>
      </c>
      <c r="Y1253" s="52" t="s">
        <v>70</v>
      </c>
      <c r="Z1253" s="52" t="s">
        <v>87</v>
      </c>
      <c r="AA1253" s="47" t="s">
        <v>67</v>
      </c>
      <c r="AB1253" s="47" t="str">
        <f t="shared" si="590"/>
        <v>NA</v>
      </c>
      <c r="AC1253" s="53" t="str">
        <f t="shared" si="591"/>
        <v/>
      </c>
      <c r="AD1253" s="54">
        <f t="shared" si="592"/>
        <v>1</v>
      </c>
      <c r="AE1253" s="54"/>
      <c r="AF1253" s="54"/>
      <c r="AG1253" s="55" t="str">
        <f t="shared" si="593"/>
        <v/>
      </c>
      <c r="AH1253" s="56" t="str">
        <f t="shared" si="594"/>
        <v/>
      </c>
      <c r="AI1253" s="55"/>
      <c r="AJ1253" s="56" t="str">
        <f t="shared" si="595"/>
        <v/>
      </c>
      <c r="AK1253" s="55"/>
      <c r="AL1253" s="56" t="str">
        <f t="shared" si="596"/>
        <v/>
      </c>
      <c r="AM1253" s="55"/>
      <c r="AN1253" s="56" t="str">
        <f t="shared" si="597"/>
        <v/>
      </c>
      <c r="AO1253" s="55"/>
      <c r="AP1253" s="56" t="str">
        <f t="shared" si="598"/>
        <v/>
      </c>
      <c r="AQ1253" s="55"/>
      <c r="AR1253" s="56" t="str">
        <f t="shared" si="599"/>
        <v/>
      </c>
      <c r="AS1253" s="57"/>
      <c r="AT1253" s="58"/>
      <c r="AU1253" s="58"/>
      <c r="AV1253" s="59"/>
      <c r="AW1253" s="60">
        <f t="shared" si="577"/>
        <v>0</v>
      </c>
      <c r="AX1253" s="61" t="str">
        <f t="shared" si="578"/>
        <v/>
      </c>
      <c r="AY1253" s="60">
        <f t="shared" si="579"/>
        <v>0</v>
      </c>
      <c r="AZ1253" s="61" t="str">
        <f t="shared" si="580"/>
        <v/>
      </c>
    </row>
    <row r="1254" spans="1:52" s="3" customFormat="1" hidden="1" x14ac:dyDescent="0.35">
      <c r="A1254" s="72">
        <f t="shared" si="581"/>
        <v>2021</v>
      </c>
      <c r="B1254" s="72" t="str">
        <f t="shared" si="582"/>
        <v>Nov</v>
      </c>
      <c r="C1254" s="73">
        <f t="shared" si="600"/>
        <v>15</v>
      </c>
      <c r="D1254" s="74">
        <f t="shared" si="583"/>
        <v>12</v>
      </c>
      <c r="E1254" s="75">
        <f t="shared" si="584"/>
        <v>50</v>
      </c>
      <c r="F1254" s="79"/>
      <c r="G1254" s="82"/>
      <c r="H1254" s="68" t="str">
        <f t="shared" si="601"/>
        <v>Clesim6_20211115_12_00</v>
      </c>
      <c r="I1254" s="69">
        <f t="shared" ref="I1254:N1269" si="604">I1253</f>
        <v>1</v>
      </c>
      <c r="J1254" s="76" t="str">
        <f t="shared" si="604"/>
        <v>Clematis</v>
      </c>
      <c r="K1254" s="76" t="str">
        <f t="shared" si="604"/>
        <v>simense</v>
      </c>
      <c r="L1254" s="77">
        <f t="shared" si="604"/>
        <v>6</v>
      </c>
      <c r="M1254" s="77">
        <f t="shared" si="604"/>
        <v>20</v>
      </c>
      <c r="N1254" s="71">
        <f t="shared" si="604"/>
        <v>0</v>
      </c>
      <c r="O1254" s="44"/>
      <c r="P1254" s="45" t="str">
        <f t="shared" si="585"/>
        <v/>
      </c>
      <c r="Q1254" s="46" t="str">
        <f t="shared" si="586"/>
        <v/>
      </c>
      <c r="R1254" s="47" t="e">
        <f t="shared" si="587"/>
        <v>#VALUE!</v>
      </c>
      <c r="S1254" s="48" t="e">
        <f t="shared" si="576"/>
        <v>#VALUE!</v>
      </c>
      <c r="T1254" s="47" t="str">
        <f t="shared" si="588"/>
        <v/>
      </c>
      <c r="U1254" s="49"/>
      <c r="V1254" s="50"/>
      <c r="W1254" s="51" t="e">
        <f t="shared" si="589"/>
        <v>#VALUE!</v>
      </c>
      <c r="X1254" s="52"/>
      <c r="Y1254" s="52"/>
      <c r="Z1254" s="52"/>
      <c r="AA1254" s="47" t="e">
        <f>INDEX(VISITORS[INSECT ORDER], MATCH(X1254,VISITORS[NAME USED],0))</f>
        <v>#N/A</v>
      </c>
      <c r="AB1254" s="47" t="e">
        <f t="shared" si="590"/>
        <v>#N/A</v>
      </c>
      <c r="AC1254" s="53" t="e">
        <f t="shared" si="591"/>
        <v>#VALUE!</v>
      </c>
      <c r="AD1254" s="54" t="str">
        <f t="shared" si="592"/>
        <v/>
      </c>
      <c r="AE1254" s="54"/>
      <c r="AF1254" s="54"/>
      <c r="AG1254" s="55" t="str">
        <f t="shared" si="593"/>
        <v/>
      </c>
      <c r="AH1254" s="56" t="str">
        <f t="shared" si="594"/>
        <v/>
      </c>
      <c r="AI1254" s="55"/>
      <c r="AJ1254" s="56" t="str">
        <f t="shared" si="595"/>
        <v/>
      </c>
      <c r="AK1254" s="55"/>
      <c r="AL1254" s="56" t="str">
        <f t="shared" si="596"/>
        <v/>
      </c>
      <c r="AM1254" s="55"/>
      <c r="AN1254" s="56" t="str">
        <f t="shared" si="597"/>
        <v/>
      </c>
      <c r="AO1254" s="55"/>
      <c r="AP1254" s="56" t="str">
        <f t="shared" si="598"/>
        <v/>
      </c>
      <c r="AQ1254" s="55"/>
      <c r="AR1254" s="56" t="str">
        <f t="shared" si="599"/>
        <v/>
      </c>
      <c r="AS1254" s="57"/>
      <c r="AT1254" s="58"/>
      <c r="AU1254" s="58"/>
      <c r="AV1254" s="59"/>
      <c r="AW1254" s="60" t="str">
        <f t="shared" si="577"/>
        <v/>
      </c>
      <c r="AX1254" s="61" t="str">
        <f t="shared" si="578"/>
        <v/>
      </c>
      <c r="AY1254" s="60" t="str">
        <f t="shared" si="579"/>
        <v/>
      </c>
      <c r="AZ1254" s="61" t="str">
        <f t="shared" si="580"/>
        <v/>
      </c>
    </row>
    <row r="1255" spans="1:52" s="3" customFormat="1" hidden="1" x14ac:dyDescent="0.35">
      <c r="A1255" s="72">
        <f t="shared" si="581"/>
        <v>2021</v>
      </c>
      <c r="B1255" s="72" t="str">
        <f t="shared" si="582"/>
        <v>Nov</v>
      </c>
      <c r="C1255" s="73">
        <f t="shared" si="600"/>
        <v>15</v>
      </c>
      <c r="D1255" s="74">
        <f t="shared" si="583"/>
        <v>12</v>
      </c>
      <c r="E1255" s="75">
        <f t="shared" si="584"/>
        <v>51</v>
      </c>
      <c r="F1255" s="79"/>
      <c r="G1255" s="82"/>
      <c r="H1255" s="68" t="str">
        <f t="shared" si="601"/>
        <v>Clesim6_20211115_12_00</v>
      </c>
      <c r="I1255" s="69">
        <f t="shared" si="604"/>
        <v>1</v>
      </c>
      <c r="J1255" s="76" t="str">
        <f t="shared" si="604"/>
        <v>Clematis</v>
      </c>
      <c r="K1255" s="76" t="str">
        <f t="shared" si="604"/>
        <v>simense</v>
      </c>
      <c r="L1255" s="77">
        <f t="shared" si="604"/>
        <v>6</v>
      </c>
      <c r="M1255" s="77">
        <f t="shared" si="604"/>
        <v>20</v>
      </c>
      <c r="N1255" s="71">
        <f t="shared" si="604"/>
        <v>0</v>
      </c>
      <c r="O1255" s="44"/>
      <c r="P1255" s="45" t="str">
        <f t="shared" si="585"/>
        <v/>
      </c>
      <c r="Q1255" s="46" t="str">
        <f t="shared" si="586"/>
        <v/>
      </c>
      <c r="R1255" s="47" t="e">
        <f t="shared" si="587"/>
        <v>#VALUE!</v>
      </c>
      <c r="S1255" s="48" t="e">
        <f t="shared" si="576"/>
        <v>#VALUE!</v>
      </c>
      <c r="T1255" s="47" t="str">
        <f t="shared" si="588"/>
        <v/>
      </c>
      <c r="U1255" s="49"/>
      <c r="V1255" s="50"/>
      <c r="W1255" s="51" t="e">
        <f t="shared" si="589"/>
        <v>#VALUE!</v>
      </c>
      <c r="X1255" s="52"/>
      <c r="Y1255" s="52"/>
      <c r="Z1255" s="52"/>
      <c r="AA1255" s="47" t="e">
        <f>INDEX(VISITORS[INSECT ORDER], MATCH(X1255,VISITORS[NAME USED],0))</f>
        <v>#N/A</v>
      </c>
      <c r="AB1255" s="47" t="e">
        <f t="shared" si="590"/>
        <v>#N/A</v>
      </c>
      <c r="AC1255" s="53" t="e">
        <f t="shared" si="591"/>
        <v>#VALUE!</v>
      </c>
      <c r="AD1255" s="54" t="str">
        <f t="shared" si="592"/>
        <v/>
      </c>
      <c r="AE1255" s="54"/>
      <c r="AF1255" s="54"/>
      <c r="AG1255" s="55" t="str">
        <f t="shared" si="593"/>
        <v/>
      </c>
      <c r="AH1255" s="56" t="str">
        <f t="shared" si="594"/>
        <v/>
      </c>
      <c r="AI1255" s="55"/>
      <c r="AJ1255" s="56" t="str">
        <f t="shared" si="595"/>
        <v/>
      </c>
      <c r="AK1255" s="55"/>
      <c r="AL1255" s="56" t="str">
        <f t="shared" si="596"/>
        <v/>
      </c>
      <c r="AM1255" s="55"/>
      <c r="AN1255" s="56" t="str">
        <f t="shared" si="597"/>
        <v/>
      </c>
      <c r="AO1255" s="55"/>
      <c r="AP1255" s="56" t="str">
        <f t="shared" si="598"/>
        <v/>
      </c>
      <c r="AQ1255" s="55"/>
      <c r="AR1255" s="56" t="str">
        <f t="shared" si="599"/>
        <v/>
      </c>
      <c r="AS1255" s="57"/>
      <c r="AT1255" s="58"/>
      <c r="AU1255" s="58"/>
      <c r="AV1255" s="59"/>
      <c r="AW1255" s="60" t="str">
        <f t="shared" si="577"/>
        <v/>
      </c>
      <c r="AX1255" s="61" t="str">
        <f t="shared" si="578"/>
        <v/>
      </c>
      <c r="AY1255" s="60" t="str">
        <f t="shared" si="579"/>
        <v/>
      </c>
      <c r="AZ1255" s="61" t="str">
        <f t="shared" si="580"/>
        <v/>
      </c>
    </row>
    <row r="1256" spans="1:52" s="3" customFormat="1" hidden="1" x14ac:dyDescent="0.35">
      <c r="A1256" s="72">
        <f t="shared" si="581"/>
        <v>2021</v>
      </c>
      <c r="B1256" s="72" t="str">
        <f t="shared" si="582"/>
        <v>Nov</v>
      </c>
      <c r="C1256" s="73">
        <f t="shared" si="600"/>
        <v>15</v>
      </c>
      <c r="D1256" s="74">
        <f t="shared" si="583"/>
        <v>12</v>
      </c>
      <c r="E1256" s="75">
        <f t="shared" si="584"/>
        <v>52</v>
      </c>
      <c r="F1256" s="79"/>
      <c r="G1256" s="82"/>
      <c r="H1256" s="68" t="str">
        <f t="shared" si="601"/>
        <v>Clesim6_20211115_12_00</v>
      </c>
      <c r="I1256" s="69">
        <f t="shared" si="604"/>
        <v>1</v>
      </c>
      <c r="J1256" s="76" t="str">
        <f t="shared" si="604"/>
        <v>Clematis</v>
      </c>
      <c r="K1256" s="76" t="str">
        <f t="shared" si="604"/>
        <v>simense</v>
      </c>
      <c r="L1256" s="77">
        <f t="shared" si="604"/>
        <v>6</v>
      </c>
      <c r="M1256" s="77">
        <f t="shared" si="604"/>
        <v>20</v>
      </c>
      <c r="N1256" s="71">
        <f t="shared" si="604"/>
        <v>0</v>
      </c>
      <c r="O1256" s="44"/>
      <c r="P1256" s="45" t="str">
        <f t="shared" si="585"/>
        <v/>
      </c>
      <c r="Q1256" s="46" t="str">
        <f t="shared" si="586"/>
        <v/>
      </c>
      <c r="R1256" s="47" t="e">
        <f t="shared" si="587"/>
        <v>#VALUE!</v>
      </c>
      <c r="S1256" s="48" t="e">
        <f t="shared" si="576"/>
        <v>#VALUE!</v>
      </c>
      <c r="T1256" s="47" t="str">
        <f t="shared" si="588"/>
        <v/>
      </c>
      <c r="U1256" s="49"/>
      <c r="V1256" s="50"/>
      <c r="W1256" s="51" t="e">
        <f t="shared" si="589"/>
        <v>#VALUE!</v>
      </c>
      <c r="X1256" s="52"/>
      <c r="Y1256" s="52"/>
      <c r="Z1256" s="52"/>
      <c r="AA1256" s="47" t="e">
        <f>INDEX(VISITORS[INSECT ORDER], MATCH(X1256,VISITORS[NAME USED],0))</f>
        <v>#N/A</v>
      </c>
      <c r="AB1256" s="47" t="e">
        <f t="shared" si="590"/>
        <v>#N/A</v>
      </c>
      <c r="AC1256" s="53" t="e">
        <f t="shared" si="591"/>
        <v>#VALUE!</v>
      </c>
      <c r="AD1256" s="54" t="str">
        <f t="shared" si="592"/>
        <v/>
      </c>
      <c r="AE1256" s="54"/>
      <c r="AF1256" s="54"/>
      <c r="AG1256" s="55" t="str">
        <f t="shared" si="593"/>
        <v/>
      </c>
      <c r="AH1256" s="56" t="str">
        <f t="shared" si="594"/>
        <v/>
      </c>
      <c r="AI1256" s="55"/>
      <c r="AJ1256" s="56" t="str">
        <f t="shared" si="595"/>
        <v/>
      </c>
      <c r="AK1256" s="55"/>
      <c r="AL1256" s="56" t="str">
        <f t="shared" si="596"/>
        <v/>
      </c>
      <c r="AM1256" s="55"/>
      <c r="AN1256" s="56" t="str">
        <f t="shared" si="597"/>
        <v/>
      </c>
      <c r="AO1256" s="55"/>
      <c r="AP1256" s="56" t="str">
        <f t="shared" si="598"/>
        <v/>
      </c>
      <c r="AQ1256" s="55"/>
      <c r="AR1256" s="56" t="str">
        <f t="shared" si="599"/>
        <v/>
      </c>
      <c r="AS1256" s="57"/>
      <c r="AT1256" s="58"/>
      <c r="AU1256" s="58"/>
      <c r="AV1256" s="59"/>
      <c r="AW1256" s="60" t="str">
        <f t="shared" si="577"/>
        <v/>
      </c>
      <c r="AX1256" s="61" t="str">
        <f t="shared" si="578"/>
        <v/>
      </c>
      <c r="AY1256" s="60" t="str">
        <f t="shared" si="579"/>
        <v/>
      </c>
      <c r="AZ1256" s="61" t="str">
        <f t="shared" si="580"/>
        <v/>
      </c>
    </row>
    <row r="1257" spans="1:52" s="3" customFormat="1" hidden="1" x14ac:dyDescent="0.35">
      <c r="A1257" s="72">
        <f t="shared" si="581"/>
        <v>2021</v>
      </c>
      <c r="B1257" s="72" t="str">
        <f t="shared" si="582"/>
        <v>Nov</v>
      </c>
      <c r="C1257" s="73">
        <f t="shared" si="600"/>
        <v>15</v>
      </c>
      <c r="D1257" s="74">
        <f t="shared" si="583"/>
        <v>12</v>
      </c>
      <c r="E1257" s="75">
        <f t="shared" si="584"/>
        <v>53</v>
      </c>
      <c r="F1257" s="79"/>
      <c r="G1257" s="82"/>
      <c r="H1257" s="68" t="str">
        <f t="shared" si="601"/>
        <v>Clesim6_20211115_12_00</v>
      </c>
      <c r="I1257" s="69">
        <f t="shared" si="604"/>
        <v>1</v>
      </c>
      <c r="J1257" s="76" t="str">
        <f t="shared" si="604"/>
        <v>Clematis</v>
      </c>
      <c r="K1257" s="76" t="str">
        <f t="shared" si="604"/>
        <v>simense</v>
      </c>
      <c r="L1257" s="77">
        <f t="shared" si="604"/>
        <v>6</v>
      </c>
      <c r="M1257" s="77">
        <f t="shared" si="604"/>
        <v>20</v>
      </c>
      <c r="N1257" s="71">
        <f t="shared" si="604"/>
        <v>0</v>
      </c>
      <c r="O1257" s="44"/>
      <c r="P1257" s="45" t="str">
        <f t="shared" si="585"/>
        <v/>
      </c>
      <c r="Q1257" s="46" t="str">
        <f t="shared" si="586"/>
        <v/>
      </c>
      <c r="R1257" s="47" t="e">
        <f t="shared" si="587"/>
        <v>#VALUE!</v>
      </c>
      <c r="S1257" s="48" t="e">
        <f t="shared" si="576"/>
        <v>#VALUE!</v>
      </c>
      <c r="T1257" s="47" t="str">
        <f t="shared" si="588"/>
        <v/>
      </c>
      <c r="U1257" s="49"/>
      <c r="V1257" s="50"/>
      <c r="W1257" s="51" t="e">
        <f t="shared" si="589"/>
        <v>#VALUE!</v>
      </c>
      <c r="X1257" s="52"/>
      <c r="Y1257" s="52"/>
      <c r="Z1257" s="52"/>
      <c r="AA1257" s="47" t="e">
        <f>INDEX(VISITORS[INSECT ORDER], MATCH(X1257,VISITORS[NAME USED],0))</f>
        <v>#N/A</v>
      </c>
      <c r="AB1257" s="47" t="e">
        <f t="shared" si="590"/>
        <v>#N/A</v>
      </c>
      <c r="AC1257" s="53" t="e">
        <f t="shared" si="591"/>
        <v>#VALUE!</v>
      </c>
      <c r="AD1257" s="54" t="str">
        <f t="shared" si="592"/>
        <v/>
      </c>
      <c r="AE1257" s="54"/>
      <c r="AF1257" s="54"/>
      <c r="AG1257" s="55" t="str">
        <f t="shared" si="593"/>
        <v/>
      </c>
      <c r="AH1257" s="56" t="str">
        <f t="shared" si="594"/>
        <v/>
      </c>
      <c r="AI1257" s="55"/>
      <c r="AJ1257" s="56" t="str">
        <f t="shared" si="595"/>
        <v/>
      </c>
      <c r="AK1257" s="55"/>
      <c r="AL1257" s="56" t="str">
        <f t="shared" si="596"/>
        <v/>
      </c>
      <c r="AM1257" s="55"/>
      <c r="AN1257" s="56" t="str">
        <f t="shared" si="597"/>
        <v/>
      </c>
      <c r="AO1257" s="55"/>
      <c r="AP1257" s="56" t="str">
        <f t="shared" si="598"/>
        <v/>
      </c>
      <c r="AQ1257" s="55"/>
      <c r="AR1257" s="56" t="str">
        <f t="shared" si="599"/>
        <v/>
      </c>
      <c r="AS1257" s="57"/>
      <c r="AT1257" s="58"/>
      <c r="AU1257" s="58"/>
      <c r="AV1257" s="59"/>
      <c r="AW1257" s="60" t="str">
        <f t="shared" si="577"/>
        <v/>
      </c>
      <c r="AX1257" s="61" t="str">
        <f t="shared" si="578"/>
        <v/>
      </c>
      <c r="AY1257" s="60" t="str">
        <f t="shared" si="579"/>
        <v/>
      </c>
      <c r="AZ1257" s="61" t="str">
        <f t="shared" si="580"/>
        <v/>
      </c>
    </row>
    <row r="1258" spans="1:52" s="3" customFormat="1" hidden="1" x14ac:dyDescent="0.35">
      <c r="A1258" s="72">
        <f t="shared" si="581"/>
        <v>2021</v>
      </c>
      <c r="B1258" s="72" t="str">
        <f t="shared" si="582"/>
        <v>Nov</v>
      </c>
      <c r="C1258" s="73">
        <f t="shared" si="600"/>
        <v>15</v>
      </c>
      <c r="D1258" s="74">
        <f t="shared" si="583"/>
        <v>12</v>
      </c>
      <c r="E1258" s="75">
        <f t="shared" si="584"/>
        <v>54</v>
      </c>
      <c r="F1258" s="79"/>
      <c r="G1258" s="82"/>
      <c r="H1258" s="68" t="str">
        <f t="shared" si="601"/>
        <v>Clesim6_20211115_12_00</v>
      </c>
      <c r="I1258" s="69">
        <f t="shared" si="604"/>
        <v>1</v>
      </c>
      <c r="J1258" s="76" t="str">
        <f t="shared" si="604"/>
        <v>Clematis</v>
      </c>
      <c r="K1258" s="76" t="str">
        <f t="shared" si="604"/>
        <v>simense</v>
      </c>
      <c r="L1258" s="77">
        <f t="shared" si="604"/>
        <v>6</v>
      </c>
      <c r="M1258" s="77">
        <f t="shared" si="604"/>
        <v>20</v>
      </c>
      <c r="N1258" s="71">
        <f t="shared" si="604"/>
        <v>0</v>
      </c>
      <c r="O1258" s="44"/>
      <c r="P1258" s="45" t="str">
        <f t="shared" si="585"/>
        <v/>
      </c>
      <c r="Q1258" s="46" t="str">
        <f t="shared" si="586"/>
        <v/>
      </c>
      <c r="R1258" s="47" t="e">
        <f t="shared" si="587"/>
        <v>#VALUE!</v>
      </c>
      <c r="S1258" s="48" t="e">
        <f t="shared" si="576"/>
        <v>#VALUE!</v>
      </c>
      <c r="T1258" s="47" t="str">
        <f t="shared" si="588"/>
        <v/>
      </c>
      <c r="U1258" s="49"/>
      <c r="V1258" s="50"/>
      <c r="W1258" s="51" t="e">
        <f t="shared" si="589"/>
        <v>#VALUE!</v>
      </c>
      <c r="X1258" s="52"/>
      <c r="Y1258" s="52"/>
      <c r="Z1258" s="52"/>
      <c r="AA1258" s="47" t="e">
        <f>INDEX(VISITORS[INSECT ORDER], MATCH(X1258,VISITORS[NAME USED],0))</f>
        <v>#N/A</v>
      </c>
      <c r="AB1258" s="47" t="e">
        <f t="shared" si="590"/>
        <v>#N/A</v>
      </c>
      <c r="AC1258" s="53" t="e">
        <f t="shared" si="591"/>
        <v>#VALUE!</v>
      </c>
      <c r="AD1258" s="54" t="str">
        <f t="shared" si="592"/>
        <v/>
      </c>
      <c r="AE1258" s="54"/>
      <c r="AF1258" s="54"/>
      <c r="AG1258" s="55" t="str">
        <f t="shared" si="593"/>
        <v/>
      </c>
      <c r="AH1258" s="56" t="str">
        <f t="shared" si="594"/>
        <v/>
      </c>
      <c r="AI1258" s="55"/>
      <c r="AJ1258" s="56" t="str">
        <f t="shared" si="595"/>
        <v/>
      </c>
      <c r="AK1258" s="55"/>
      <c r="AL1258" s="56" t="str">
        <f t="shared" si="596"/>
        <v/>
      </c>
      <c r="AM1258" s="55"/>
      <c r="AN1258" s="56" t="str">
        <f t="shared" si="597"/>
        <v/>
      </c>
      <c r="AO1258" s="55"/>
      <c r="AP1258" s="56" t="str">
        <f t="shared" si="598"/>
        <v/>
      </c>
      <c r="AQ1258" s="55"/>
      <c r="AR1258" s="56" t="str">
        <f t="shared" si="599"/>
        <v/>
      </c>
      <c r="AS1258" s="57"/>
      <c r="AT1258" s="58"/>
      <c r="AU1258" s="58"/>
      <c r="AV1258" s="59"/>
      <c r="AW1258" s="60" t="str">
        <f t="shared" si="577"/>
        <v/>
      </c>
      <c r="AX1258" s="61" t="str">
        <f t="shared" si="578"/>
        <v/>
      </c>
      <c r="AY1258" s="60" t="str">
        <f t="shared" si="579"/>
        <v/>
      </c>
      <c r="AZ1258" s="61" t="str">
        <f t="shared" si="580"/>
        <v/>
      </c>
    </row>
    <row r="1259" spans="1:52" s="3" customFormat="1" hidden="1" x14ac:dyDescent="0.35">
      <c r="A1259" s="72">
        <f t="shared" si="581"/>
        <v>2021</v>
      </c>
      <c r="B1259" s="72" t="str">
        <f t="shared" si="582"/>
        <v>Nov</v>
      </c>
      <c r="C1259" s="73">
        <f t="shared" si="600"/>
        <v>15</v>
      </c>
      <c r="D1259" s="74">
        <f t="shared" si="583"/>
        <v>12</v>
      </c>
      <c r="E1259" s="75">
        <f t="shared" si="584"/>
        <v>55</v>
      </c>
      <c r="F1259" s="79"/>
      <c r="G1259" s="82"/>
      <c r="H1259" s="68" t="str">
        <f t="shared" si="601"/>
        <v>Clesim6_20211115_12_00</v>
      </c>
      <c r="I1259" s="69">
        <f t="shared" si="604"/>
        <v>1</v>
      </c>
      <c r="J1259" s="76" t="str">
        <f t="shared" si="604"/>
        <v>Clematis</v>
      </c>
      <c r="K1259" s="76" t="str">
        <f t="shared" si="604"/>
        <v>simense</v>
      </c>
      <c r="L1259" s="77">
        <f t="shared" si="604"/>
        <v>6</v>
      </c>
      <c r="M1259" s="77">
        <f t="shared" si="604"/>
        <v>20</v>
      </c>
      <c r="N1259" s="71">
        <f t="shared" si="604"/>
        <v>0</v>
      </c>
      <c r="O1259" s="44"/>
      <c r="P1259" s="45" t="str">
        <f t="shared" si="585"/>
        <v/>
      </c>
      <c r="Q1259" s="46" t="str">
        <f t="shared" si="586"/>
        <v/>
      </c>
      <c r="R1259" s="47" t="e">
        <f t="shared" si="587"/>
        <v>#VALUE!</v>
      </c>
      <c r="S1259" s="48" t="e">
        <f t="shared" si="576"/>
        <v>#VALUE!</v>
      </c>
      <c r="T1259" s="47" t="str">
        <f t="shared" si="588"/>
        <v/>
      </c>
      <c r="U1259" s="49"/>
      <c r="V1259" s="50"/>
      <c r="W1259" s="51" t="e">
        <f t="shared" si="589"/>
        <v>#VALUE!</v>
      </c>
      <c r="X1259" s="52"/>
      <c r="Y1259" s="52"/>
      <c r="Z1259" s="52"/>
      <c r="AA1259" s="47" t="e">
        <f>INDEX(VISITORS[INSECT ORDER], MATCH(X1259,VISITORS[NAME USED],0))</f>
        <v>#N/A</v>
      </c>
      <c r="AB1259" s="47" t="e">
        <f t="shared" si="590"/>
        <v>#N/A</v>
      </c>
      <c r="AC1259" s="53" t="e">
        <f t="shared" si="591"/>
        <v>#VALUE!</v>
      </c>
      <c r="AD1259" s="54" t="str">
        <f t="shared" si="592"/>
        <v/>
      </c>
      <c r="AE1259" s="54"/>
      <c r="AF1259" s="54"/>
      <c r="AG1259" s="55" t="str">
        <f t="shared" si="593"/>
        <v/>
      </c>
      <c r="AH1259" s="56" t="str">
        <f t="shared" si="594"/>
        <v/>
      </c>
      <c r="AI1259" s="55"/>
      <c r="AJ1259" s="56" t="str">
        <f t="shared" si="595"/>
        <v/>
      </c>
      <c r="AK1259" s="55"/>
      <c r="AL1259" s="56" t="str">
        <f t="shared" si="596"/>
        <v/>
      </c>
      <c r="AM1259" s="55"/>
      <c r="AN1259" s="56" t="str">
        <f t="shared" si="597"/>
        <v/>
      </c>
      <c r="AO1259" s="55"/>
      <c r="AP1259" s="56" t="str">
        <f t="shared" si="598"/>
        <v/>
      </c>
      <c r="AQ1259" s="55"/>
      <c r="AR1259" s="56" t="str">
        <f t="shared" si="599"/>
        <v/>
      </c>
      <c r="AS1259" s="57"/>
      <c r="AT1259" s="58"/>
      <c r="AU1259" s="58"/>
      <c r="AV1259" s="59"/>
      <c r="AW1259" s="60" t="str">
        <f t="shared" si="577"/>
        <v/>
      </c>
      <c r="AX1259" s="61" t="str">
        <f t="shared" si="578"/>
        <v/>
      </c>
      <c r="AY1259" s="60" t="str">
        <f t="shared" si="579"/>
        <v/>
      </c>
      <c r="AZ1259" s="61" t="str">
        <f t="shared" si="580"/>
        <v/>
      </c>
    </row>
    <row r="1260" spans="1:52" s="3" customFormat="1" hidden="1" x14ac:dyDescent="0.35">
      <c r="A1260" s="72">
        <f t="shared" si="581"/>
        <v>2021</v>
      </c>
      <c r="B1260" s="72" t="str">
        <f t="shared" si="582"/>
        <v>Nov</v>
      </c>
      <c r="C1260" s="73">
        <f t="shared" si="600"/>
        <v>15</v>
      </c>
      <c r="D1260" s="74">
        <f t="shared" si="583"/>
        <v>12</v>
      </c>
      <c r="E1260" s="75">
        <f t="shared" si="584"/>
        <v>56</v>
      </c>
      <c r="F1260" s="79"/>
      <c r="G1260" s="82"/>
      <c r="H1260" s="68" t="str">
        <f t="shared" si="601"/>
        <v>Clesim6_20211115_12_00</v>
      </c>
      <c r="I1260" s="69">
        <f t="shared" si="604"/>
        <v>1</v>
      </c>
      <c r="J1260" s="76" t="str">
        <f t="shared" si="604"/>
        <v>Clematis</v>
      </c>
      <c r="K1260" s="76" t="str">
        <f t="shared" si="604"/>
        <v>simense</v>
      </c>
      <c r="L1260" s="77">
        <f t="shared" si="604"/>
        <v>6</v>
      </c>
      <c r="M1260" s="77">
        <f t="shared" si="604"/>
        <v>20</v>
      </c>
      <c r="N1260" s="71">
        <f t="shared" si="604"/>
        <v>0</v>
      </c>
      <c r="O1260" s="44"/>
      <c r="P1260" s="45" t="str">
        <f t="shared" si="585"/>
        <v/>
      </c>
      <c r="Q1260" s="46" t="str">
        <f t="shared" si="586"/>
        <v/>
      </c>
      <c r="R1260" s="47" t="e">
        <f t="shared" si="587"/>
        <v>#VALUE!</v>
      </c>
      <c r="S1260" s="48" t="e">
        <f t="shared" si="576"/>
        <v>#VALUE!</v>
      </c>
      <c r="T1260" s="47" t="str">
        <f t="shared" si="588"/>
        <v/>
      </c>
      <c r="U1260" s="49"/>
      <c r="V1260" s="50"/>
      <c r="W1260" s="51" t="e">
        <f t="shared" si="589"/>
        <v>#VALUE!</v>
      </c>
      <c r="X1260" s="52"/>
      <c r="Y1260" s="52"/>
      <c r="Z1260" s="52"/>
      <c r="AA1260" s="47" t="e">
        <f>INDEX(VISITORS[INSECT ORDER], MATCH(X1260,VISITORS[NAME USED],0))</f>
        <v>#N/A</v>
      </c>
      <c r="AB1260" s="47" t="e">
        <f t="shared" si="590"/>
        <v>#N/A</v>
      </c>
      <c r="AC1260" s="53" t="e">
        <f t="shared" si="591"/>
        <v>#VALUE!</v>
      </c>
      <c r="AD1260" s="54" t="str">
        <f t="shared" si="592"/>
        <v/>
      </c>
      <c r="AE1260" s="54"/>
      <c r="AF1260" s="54"/>
      <c r="AG1260" s="55" t="str">
        <f t="shared" si="593"/>
        <v/>
      </c>
      <c r="AH1260" s="56" t="str">
        <f t="shared" si="594"/>
        <v/>
      </c>
      <c r="AI1260" s="55"/>
      <c r="AJ1260" s="56" t="str">
        <f t="shared" si="595"/>
        <v/>
      </c>
      <c r="AK1260" s="55"/>
      <c r="AL1260" s="56" t="str">
        <f t="shared" si="596"/>
        <v/>
      </c>
      <c r="AM1260" s="55"/>
      <c r="AN1260" s="56" t="str">
        <f t="shared" si="597"/>
        <v/>
      </c>
      <c r="AO1260" s="55"/>
      <c r="AP1260" s="56" t="str">
        <f t="shared" si="598"/>
        <v/>
      </c>
      <c r="AQ1260" s="55"/>
      <c r="AR1260" s="56" t="str">
        <f t="shared" si="599"/>
        <v/>
      </c>
      <c r="AS1260" s="57"/>
      <c r="AT1260" s="58"/>
      <c r="AU1260" s="58"/>
      <c r="AV1260" s="59"/>
      <c r="AW1260" s="60" t="str">
        <f t="shared" si="577"/>
        <v/>
      </c>
      <c r="AX1260" s="61" t="str">
        <f t="shared" si="578"/>
        <v/>
      </c>
      <c r="AY1260" s="60" t="str">
        <f t="shared" si="579"/>
        <v/>
      </c>
      <c r="AZ1260" s="61" t="str">
        <f t="shared" si="580"/>
        <v/>
      </c>
    </row>
    <row r="1261" spans="1:52" s="3" customFormat="1" hidden="1" x14ac:dyDescent="0.35">
      <c r="A1261" s="72">
        <f t="shared" si="581"/>
        <v>2021</v>
      </c>
      <c r="B1261" s="72" t="str">
        <f t="shared" si="582"/>
        <v>Nov</v>
      </c>
      <c r="C1261" s="73">
        <f t="shared" si="600"/>
        <v>15</v>
      </c>
      <c r="D1261" s="74">
        <f t="shared" si="583"/>
        <v>12</v>
      </c>
      <c r="E1261" s="75">
        <f t="shared" si="584"/>
        <v>57</v>
      </c>
      <c r="F1261" s="79"/>
      <c r="G1261" s="82"/>
      <c r="H1261" s="68" t="str">
        <f t="shared" si="601"/>
        <v>Clesim6_20211115_12_00</v>
      </c>
      <c r="I1261" s="69">
        <f t="shared" si="604"/>
        <v>1</v>
      </c>
      <c r="J1261" s="76" t="str">
        <f t="shared" si="604"/>
        <v>Clematis</v>
      </c>
      <c r="K1261" s="76" t="str">
        <f t="shared" si="604"/>
        <v>simense</v>
      </c>
      <c r="L1261" s="77">
        <f t="shared" si="604"/>
        <v>6</v>
      </c>
      <c r="M1261" s="77">
        <f t="shared" si="604"/>
        <v>20</v>
      </c>
      <c r="N1261" s="71">
        <f t="shared" si="604"/>
        <v>0</v>
      </c>
      <c r="O1261" s="44"/>
      <c r="P1261" s="45" t="str">
        <f t="shared" si="585"/>
        <v/>
      </c>
      <c r="Q1261" s="46" t="str">
        <f t="shared" si="586"/>
        <v/>
      </c>
      <c r="R1261" s="47" t="e">
        <f t="shared" si="587"/>
        <v>#VALUE!</v>
      </c>
      <c r="S1261" s="48" t="e">
        <f t="shared" si="576"/>
        <v>#VALUE!</v>
      </c>
      <c r="T1261" s="47" t="str">
        <f t="shared" si="588"/>
        <v/>
      </c>
      <c r="U1261" s="49"/>
      <c r="V1261" s="50"/>
      <c r="W1261" s="51" t="e">
        <f t="shared" si="589"/>
        <v>#VALUE!</v>
      </c>
      <c r="X1261" s="52"/>
      <c r="Y1261" s="52"/>
      <c r="Z1261" s="52"/>
      <c r="AA1261" s="47" t="e">
        <f>INDEX(VISITORS[INSECT ORDER], MATCH(X1261,VISITORS[NAME USED],0))</f>
        <v>#N/A</v>
      </c>
      <c r="AB1261" s="47" t="e">
        <f t="shared" si="590"/>
        <v>#N/A</v>
      </c>
      <c r="AC1261" s="53" t="e">
        <f t="shared" si="591"/>
        <v>#VALUE!</v>
      </c>
      <c r="AD1261" s="54" t="str">
        <f t="shared" si="592"/>
        <v/>
      </c>
      <c r="AE1261" s="54"/>
      <c r="AF1261" s="54"/>
      <c r="AG1261" s="55" t="str">
        <f t="shared" si="593"/>
        <v/>
      </c>
      <c r="AH1261" s="56" t="str">
        <f t="shared" si="594"/>
        <v/>
      </c>
      <c r="AI1261" s="55"/>
      <c r="AJ1261" s="56" t="str">
        <f t="shared" si="595"/>
        <v/>
      </c>
      <c r="AK1261" s="55"/>
      <c r="AL1261" s="56" t="str">
        <f t="shared" si="596"/>
        <v/>
      </c>
      <c r="AM1261" s="55"/>
      <c r="AN1261" s="56" t="str">
        <f t="shared" si="597"/>
        <v/>
      </c>
      <c r="AO1261" s="55"/>
      <c r="AP1261" s="56" t="str">
        <f t="shared" si="598"/>
        <v/>
      </c>
      <c r="AQ1261" s="55"/>
      <c r="AR1261" s="56" t="str">
        <f t="shared" si="599"/>
        <v/>
      </c>
      <c r="AS1261" s="57"/>
      <c r="AT1261" s="58"/>
      <c r="AU1261" s="58"/>
      <c r="AV1261" s="59"/>
      <c r="AW1261" s="60" t="str">
        <f t="shared" si="577"/>
        <v/>
      </c>
      <c r="AX1261" s="61" t="str">
        <f t="shared" si="578"/>
        <v/>
      </c>
      <c r="AY1261" s="60" t="str">
        <f t="shared" si="579"/>
        <v/>
      </c>
      <c r="AZ1261" s="61" t="str">
        <f t="shared" si="580"/>
        <v/>
      </c>
    </row>
    <row r="1262" spans="1:52" s="3" customFormat="1" x14ac:dyDescent="0.35">
      <c r="A1262" s="72">
        <f t="shared" si="581"/>
        <v>2021</v>
      </c>
      <c r="B1262" s="72" t="str">
        <f t="shared" si="582"/>
        <v>Nov</v>
      </c>
      <c r="C1262" s="73">
        <f t="shared" si="600"/>
        <v>15</v>
      </c>
      <c r="D1262" s="74">
        <f t="shared" si="583"/>
        <v>12</v>
      </c>
      <c r="E1262" s="75">
        <f t="shared" si="584"/>
        <v>58</v>
      </c>
      <c r="F1262" s="79">
        <v>9</v>
      </c>
      <c r="G1262" s="82"/>
      <c r="H1262" s="68" t="str">
        <f t="shared" si="601"/>
        <v>Clesim6_20211115_12_00</v>
      </c>
      <c r="I1262" s="69">
        <f t="shared" si="604"/>
        <v>1</v>
      </c>
      <c r="J1262" s="76" t="str">
        <f t="shared" si="604"/>
        <v>Clematis</v>
      </c>
      <c r="K1262" s="76" t="str">
        <f t="shared" si="604"/>
        <v>simense</v>
      </c>
      <c r="L1262" s="77">
        <f t="shared" si="604"/>
        <v>6</v>
      </c>
      <c r="M1262" s="77">
        <f t="shared" si="604"/>
        <v>20</v>
      </c>
      <c r="N1262" s="71">
        <f t="shared" si="604"/>
        <v>0</v>
      </c>
      <c r="O1262" s="44"/>
      <c r="P1262" s="45">
        <f t="shared" si="585"/>
        <v>1</v>
      </c>
      <c r="Q1262" s="46" t="str">
        <f t="shared" si="586"/>
        <v>12:58:09</v>
      </c>
      <c r="R1262" s="47" t="str">
        <f t="shared" si="587"/>
        <v>58:09</v>
      </c>
      <c r="S1262" s="48">
        <f t="shared" si="576"/>
        <v>101</v>
      </c>
      <c r="T1262" s="47" t="str">
        <f t="shared" si="588"/>
        <v>12</v>
      </c>
      <c r="U1262" s="49">
        <v>59</v>
      </c>
      <c r="V1262" s="50">
        <v>50</v>
      </c>
      <c r="W1262" s="51" t="str">
        <f t="shared" si="589"/>
        <v>59:50</v>
      </c>
      <c r="X1262" s="123" t="s">
        <v>66</v>
      </c>
      <c r="Y1262" s="52" t="s">
        <v>70</v>
      </c>
      <c r="Z1262" s="52" t="s">
        <v>87</v>
      </c>
      <c r="AA1262" s="47" t="s">
        <v>67</v>
      </c>
      <c r="AB1262" s="47" t="str">
        <f t="shared" si="590"/>
        <v>NA</v>
      </c>
      <c r="AC1262" s="53" t="str">
        <f t="shared" si="591"/>
        <v/>
      </c>
      <c r="AD1262" s="54">
        <v>2</v>
      </c>
      <c r="AE1262" s="54"/>
      <c r="AF1262" s="54"/>
      <c r="AG1262" s="55" t="str">
        <f t="shared" si="593"/>
        <v/>
      </c>
      <c r="AH1262" s="56" t="str">
        <f t="shared" si="594"/>
        <v/>
      </c>
      <c r="AI1262" s="55"/>
      <c r="AJ1262" s="56" t="str">
        <f t="shared" si="595"/>
        <v/>
      </c>
      <c r="AK1262" s="55"/>
      <c r="AL1262" s="56" t="str">
        <f t="shared" si="596"/>
        <v/>
      </c>
      <c r="AM1262" s="55"/>
      <c r="AN1262" s="56" t="str">
        <f t="shared" si="597"/>
        <v/>
      </c>
      <c r="AO1262" s="55"/>
      <c r="AP1262" s="56" t="str">
        <f t="shared" si="598"/>
        <v/>
      </c>
      <c r="AQ1262" s="55"/>
      <c r="AR1262" s="56" t="str">
        <f t="shared" si="599"/>
        <v/>
      </c>
      <c r="AS1262" s="57"/>
      <c r="AT1262" s="58"/>
      <c r="AU1262" s="58"/>
      <c r="AV1262" s="59"/>
      <c r="AW1262" s="60">
        <f t="shared" si="577"/>
        <v>0</v>
      </c>
      <c r="AX1262" s="61" t="str">
        <f t="shared" si="578"/>
        <v/>
      </c>
      <c r="AY1262" s="60">
        <f t="shared" si="579"/>
        <v>0</v>
      </c>
      <c r="AZ1262" s="61" t="str">
        <f t="shared" si="580"/>
        <v/>
      </c>
    </row>
    <row r="1263" spans="1:52" s="3" customFormat="1" hidden="1" x14ac:dyDescent="0.35">
      <c r="A1263" s="72">
        <f t="shared" si="581"/>
        <v>2021</v>
      </c>
      <c r="B1263" s="72" t="str">
        <f t="shared" si="582"/>
        <v>Nov</v>
      </c>
      <c r="C1263" s="73">
        <f t="shared" si="600"/>
        <v>15</v>
      </c>
      <c r="D1263" s="74">
        <f t="shared" si="583"/>
        <v>12</v>
      </c>
      <c r="E1263" s="75">
        <f t="shared" si="584"/>
        <v>59</v>
      </c>
      <c r="F1263" s="79"/>
      <c r="G1263" s="82"/>
      <c r="H1263" s="68" t="str">
        <f t="shared" si="601"/>
        <v>Clesim6_20211115_12_00</v>
      </c>
      <c r="I1263" s="69">
        <f t="shared" si="604"/>
        <v>1</v>
      </c>
      <c r="J1263" s="76" t="str">
        <f t="shared" si="604"/>
        <v>Clematis</v>
      </c>
      <c r="K1263" s="76" t="str">
        <f t="shared" si="604"/>
        <v>simense</v>
      </c>
      <c r="L1263" s="77">
        <f t="shared" si="604"/>
        <v>6</v>
      </c>
      <c r="M1263" s="77">
        <f t="shared" si="604"/>
        <v>20</v>
      </c>
      <c r="N1263" s="71">
        <f t="shared" si="604"/>
        <v>0</v>
      </c>
      <c r="O1263" s="44"/>
      <c r="P1263" s="45" t="str">
        <f t="shared" si="585"/>
        <v/>
      </c>
      <c r="Q1263" s="46" t="str">
        <f t="shared" si="586"/>
        <v/>
      </c>
      <c r="R1263" s="47" t="e">
        <f t="shared" si="587"/>
        <v>#VALUE!</v>
      </c>
      <c r="S1263" s="48" t="e">
        <f t="shared" si="576"/>
        <v>#VALUE!</v>
      </c>
      <c r="T1263" s="47" t="str">
        <f t="shared" si="588"/>
        <v/>
      </c>
      <c r="U1263" s="49"/>
      <c r="V1263" s="50"/>
      <c r="W1263" s="51" t="e">
        <f t="shared" si="589"/>
        <v>#VALUE!</v>
      </c>
      <c r="X1263" s="52"/>
      <c r="Y1263" s="52"/>
      <c r="Z1263" s="52"/>
      <c r="AA1263" s="47" t="e">
        <f>INDEX(VISITORS[INSECT ORDER], MATCH(X1263,VISITORS[NAME USED],0))</f>
        <v>#N/A</v>
      </c>
      <c r="AB1263" s="47" t="e">
        <f t="shared" si="590"/>
        <v>#N/A</v>
      </c>
      <c r="AC1263" s="53" t="e">
        <f t="shared" si="591"/>
        <v>#VALUE!</v>
      </c>
      <c r="AD1263" s="54" t="str">
        <f t="shared" si="592"/>
        <v/>
      </c>
      <c r="AE1263" s="54"/>
      <c r="AF1263" s="54"/>
      <c r="AG1263" s="55" t="str">
        <f t="shared" si="593"/>
        <v/>
      </c>
      <c r="AH1263" s="56" t="str">
        <f t="shared" si="594"/>
        <v/>
      </c>
      <c r="AI1263" s="55"/>
      <c r="AJ1263" s="56" t="str">
        <f t="shared" si="595"/>
        <v/>
      </c>
      <c r="AK1263" s="55"/>
      <c r="AL1263" s="56" t="str">
        <f t="shared" si="596"/>
        <v/>
      </c>
      <c r="AM1263" s="55"/>
      <c r="AN1263" s="56" t="str">
        <f t="shared" si="597"/>
        <v/>
      </c>
      <c r="AO1263" s="55"/>
      <c r="AP1263" s="56" t="str">
        <f t="shared" si="598"/>
        <v/>
      </c>
      <c r="AQ1263" s="55"/>
      <c r="AR1263" s="56" t="str">
        <f t="shared" si="599"/>
        <v/>
      </c>
      <c r="AS1263" s="57"/>
      <c r="AT1263" s="58"/>
      <c r="AU1263" s="58"/>
      <c r="AV1263" s="59"/>
      <c r="AW1263" s="60" t="str">
        <f t="shared" si="577"/>
        <v/>
      </c>
      <c r="AX1263" s="61" t="str">
        <f t="shared" si="578"/>
        <v/>
      </c>
      <c r="AY1263" s="60" t="str">
        <f t="shared" si="579"/>
        <v/>
      </c>
      <c r="AZ1263" s="61" t="str">
        <f t="shared" si="580"/>
        <v/>
      </c>
    </row>
    <row r="1264" spans="1:52" s="3" customFormat="1" hidden="1" x14ac:dyDescent="0.35">
      <c r="A1264" s="72">
        <f t="shared" si="581"/>
        <v>2021</v>
      </c>
      <c r="B1264" s="72" t="str">
        <f t="shared" si="582"/>
        <v>Nov</v>
      </c>
      <c r="C1264" s="73">
        <f t="shared" si="600"/>
        <v>15</v>
      </c>
      <c r="D1264" s="74">
        <f t="shared" si="583"/>
        <v>13</v>
      </c>
      <c r="E1264" s="75">
        <f t="shared" si="584"/>
        <v>0</v>
      </c>
      <c r="F1264" s="79"/>
      <c r="G1264" s="82"/>
      <c r="H1264" s="68" t="str">
        <f t="shared" si="601"/>
        <v>Clesim6_20211115_13_00</v>
      </c>
      <c r="I1264" s="69">
        <f t="shared" si="604"/>
        <v>1</v>
      </c>
      <c r="J1264" s="76" t="str">
        <f t="shared" si="604"/>
        <v>Clematis</v>
      </c>
      <c r="K1264" s="76" t="str">
        <f t="shared" si="604"/>
        <v>simense</v>
      </c>
      <c r="L1264" s="77">
        <f t="shared" si="604"/>
        <v>6</v>
      </c>
      <c r="M1264" s="77">
        <f t="shared" si="604"/>
        <v>20</v>
      </c>
      <c r="N1264" s="71">
        <f t="shared" si="604"/>
        <v>0</v>
      </c>
      <c r="O1264" s="44"/>
      <c r="P1264" s="45" t="str">
        <f t="shared" si="585"/>
        <v/>
      </c>
      <c r="Q1264" s="46" t="str">
        <f t="shared" si="586"/>
        <v/>
      </c>
      <c r="R1264" s="47" t="e">
        <f t="shared" si="587"/>
        <v>#VALUE!</v>
      </c>
      <c r="S1264" s="48" t="e">
        <f t="shared" si="576"/>
        <v>#VALUE!</v>
      </c>
      <c r="T1264" s="47" t="str">
        <f t="shared" si="588"/>
        <v/>
      </c>
      <c r="U1264" s="49"/>
      <c r="V1264" s="50"/>
      <c r="W1264" s="51" t="e">
        <f t="shared" si="589"/>
        <v>#VALUE!</v>
      </c>
      <c r="X1264" s="52"/>
      <c r="Y1264" s="52"/>
      <c r="Z1264" s="52"/>
      <c r="AA1264" s="47" t="e">
        <f>INDEX(VISITORS[INSECT ORDER], MATCH(X1264,VISITORS[NAME USED],0))</f>
        <v>#N/A</v>
      </c>
      <c r="AB1264" s="47" t="e">
        <f t="shared" si="590"/>
        <v>#N/A</v>
      </c>
      <c r="AC1264" s="53" t="e">
        <f t="shared" si="591"/>
        <v>#VALUE!</v>
      </c>
      <c r="AD1264" s="54" t="str">
        <f t="shared" si="592"/>
        <v/>
      </c>
      <c r="AE1264" s="54"/>
      <c r="AF1264" s="54"/>
      <c r="AG1264" s="55" t="str">
        <f t="shared" si="593"/>
        <v/>
      </c>
      <c r="AH1264" s="56" t="str">
        <f t="shared" si="594"/>
        <v/>
      </c>
      <c r="AI1264" s="55"/>
      <c r="AJ1264" s="56" t="str">
        <f t="shared" si="595"/>
        <v/>
      </c>
      <c r="AK1264" s="55"/>
      <c r="AL1264" s="56" t="str">
        <f t="shared" si="596"/>
        <v/>
      </c>
      <c r="AM1264" s="55"/>
      <c r="AN1264" s="56" t="str">
        <f t="shared" si="597"/>
        <v/>
      </c>
      <c r="AO1264" s="55"/>
      <c r="AP1264" s="56" t="str">
        <f t="shared" si="598"/>
        <v/>
      </c>
      <c r="AQ1264" s="55"/>
      <c r="AR1264" s="56" t="str">
        <f t="shared" si="599"/>
        <v/>
      </c>
      <c r="AS1264" s="57"/>
      <c r="AT1264" s="58"/>
      <c r="AU1264" s="58"/>
      <c r="AV1264" s="59"/>
      <c r="AW1264" s="60" t="str">
        <f t="shared" si="577"/>
        <v/>
      </c>
      <c r="AX1264" s="61" t="str">
        <f t="shared" si="578"/>
        <v/>
      </c>
      <c r="AY1264" s="60" t="str">
        <f t="shared" si="579"/>
        <v/>
      </c>
      <c r="AZ1264" s="61" t="str">
        <f t="shared" si="580"/>
        <v/>
      </c>
    </row>
    <row r="1265" spans="1:52" s="3" customFormat="1" hidden="1" x14ac:dyDescent="0.35">
      <c r="A1265" s="72">
        <f t="shared" si="581"/>
        <v>2021</v>
      </c>
      <c r="B1265" s="72" t="str">
        <f t="shared" si="582"/>
        <v>Nov</v>
      </c>
      <c r="C1265" s="73">
        <f t="shared" si="600"/>
        <v>15</v>
      </c>
      <c r="D1265" s="74">
        <f t="shared" si="583"/>
        <v>13</v>
      </c>
      <c r="E1265" s="75">
        <f t="shared" si="584"/>
        <v>1</v>
      </c>
      <c r="F1265" s="79"/>
      <c r="G1265" s="82"/>
      <c r="H1265" s="68" t="str">
        <f t="shared" si="601"/>
        <v>Clesim6_20211115_13_00</v>
      </c>
      <c r="I1265" s="69">
        <f t="shared" si="604"/>
        <v>1</v>
      </c>
      <c r="J1265" s="76" t="str">
        <f t="shared" si="604"/>
        <v>Clematis</v>
      </c>
      <c r="K1265" s="76" t="str">
        <f t="shared" si="604"/>
        <v>simense</v>
      </c>
      <c r="L1265" s="77">
        <f t="shared" si="604"/>
        <v>6</v>
      </c>
      <c r="M1265" s="77">
        <f t="shared" si="604"/>
        <v>20</v>
      </c>
      <c r="N1265" s="71">
        <f t="shared" si="604"/>
        <v>0</v>
      </c>
      <c r="O1265" s="44"/>
      <c r="P1265" s="45" t="str">
        <f t="shared" si="585"/>
        <v/>
      </c>
      <c r="Q1265" s="46" t="str">
        <f t="shared" si="586"/>
        <v/>
      </c>
      <c r="R1265" s="47" t="e">
        <f t="shared" si="587"/>
        <v>#VALUE!</v>
      </c>
      <c r="S1265" s="48" t="e">
        <f t="shared" si="576"/>
        <v>#VALUE!</v>
      </c>
      <c r="T1265" s="47" t="str">
        <f t="shared" si="588"/>
        <v/>
      </c>
      <c r="U1265" s="49"/>
      <c r="V1265" s="50"/>
      <c r="W1265" s="51" t="e">
        <f t="shared" si="589"/>
        <v>#VALUE!</v>
      </c>
      <c r="X1265" s="52"/>
      <c r="Y1265" s="52"/>
      <c r="Z1265" s="52"/>
      <c r="AA1265" s="47" t="e">
        <f>INDEX(VISITORS[INSECT ORDER], MATCH(X1265,VISITORS[NAME USED],0))</f>
        <v>#N/A</v>
      </c>
      <c r="AB1265" s="47" t="e">
        <f t="shared" si="590"/>
        <v>#N/A</v>
      </c>
      <c r="AC1265" s="53" t="e">
        <f t="shared" si="591"/>
        <v>#VALUE!</v>
      </c>
      <c r="AD1265" s="54" t="str">
        <f t="shared" si="592"/>
        <v/>
      </c>
      <c r="AE1265" s="54"/>
      <c r="AF1265" s="54"/>
      <c r="AG1265" s="55" t="str">
        <f t="shared" si="593"/>
        <v/>
      </c>
      <c r="AH1265" s="56" t="str">
        <f t="shared" si="594"/>
        <v/>
      </c>
      <c r="AI1265" s="55"/>
      <c r="AJ1265" s="56" t="str">
        <f t="shared" si="595"/>
        <v/>
      </c>
      <c r="AK1265" s="55"/>
      <c r="AL1265" s="56" t="str">
        <f t="shared" si="596"/>
        <v/>
      </c>
      <c r="AM1265" s="55"/>
      <c r="AN1265" s="56" t="str">
        <f t="shared" si="597"/>
        <v/>
      </c>
      <c r="AO1265" s="55"/>
      <c r="AP1265" s="56" t="str">
        <f t="shared" si="598"/>
        <v/>
      </c>
      <c r="AQ1265" s="55"/>
      <c r="AR1265" s="56" t="str">
        <f t="shared" si="599"/>
        <v/>
      </c>
      <c r="AS1265" s="57"/>
      <c r="AT1265" s="58"/>
      <c r="AU1265" s="58"/>
      <c r="AV1265" s="59"/>
      <c r="AW1265" s="60" t="str">
        <f t="shared" si="577"/>
        <v/>
      </c>
      <c r="AX1265" s="61" t="str">
        <f t="shared" si="578"/>
        <v/>
      </c>
      <c r="AY1265" s="60" t="str">
        <f t="shared" si="579"/>
        <v/>
      </c>
      <c r="AZ1265" s="61" t="str">
        <f t="shared" si="580"/>
        <v/>
      </c>
    </row>
    <row r="1266" spans="1:52" s="3" customFormat="1" hidden="1" x14ac:dyDescent="0.35">
      <c r="A1266" s="72">
        <f t="shared" si="581"/>
        <v>2021</v>
      </c>
      <c r="B1266" s="72" t="str">
        <f t="shared" si="582"/>
        <v>Nov</v>
      </c>
      <c r="C1266" s="73">
        <f t="shared" si="600"/>
        <v>15</v>
      </c>
      <c r="D1266" s="74">
        <f t="shared" si="583"/>
        <v>13</v>
      </c>
      <c r="E1266" s="75">
        <f t="shared" si="584"/>
        <v>2</v>
      </c>
      <c r="F1266" s="79"/>
      <c r="G1266" s="82"/>
      <c r="H1266" s="68" t="str">
        <f t="shared" si="601"/>
        <v>Clesim6_20211115_13_00</v>
      </c>
      <c r="I1266" s="69">
        <f t="shared" si="604"/>
        <v>1</v>
      </c>
      <c r="J1266" s="76" t="str">
        <f t="shared" si="604"/>
        <v>Clematis</v>
      </c>
      <c r="K1266" s="76" t="str">
        <f t="shared" si="604"/>
        <v>simense</v>
      </c>
      <c r="L1266" s="77">
        <f t="shared" si="604"/>
        <v>6</v>
      </c>
      <c r="M1266" s="77">
        <f t="shared" si="604"/>
        <v>20</v>
      </c>
      <c r="N1266" s="71">
        <f t="shared" si="604"/>
        <v>0</v>
      </c>
      <c r="O1266" s="44"/>
      <c r="P1266" s="45" t="str">
        <f t="shared" si="585"/>
        <v/>
      </c>
      <c r="Q1266" s="46" t="str">
        <f t="shared" si="586"/>
        <v/>
      </c>
      <c r="R1266" s="47" t="e">
        <f t="shared" si="587"/>
        <v>#VALUE!</v>
      </c>
      <c r="S1266" s="48" t="e">
        <f t="shared" si="576"/>
        <v>#VALUE!</v>
      </c>
      <c r="T1266" s="47" t="str">
        <f t="shared" si="588"/>
        <v/>
      </c>
      <c r="U1266" s="49"/>
      <c r="V1266" s="50"/>
      <c r="W1266" s="51" t="e">
        <f t="shared" si="589"/>
        <v>#VALUE!</v>
      </c>
      <c r="X1266" s="52"/>
      <c r="Y1266" s="52"/>
      <c r="Z1266" s="52"/>
      <c r="AA1266" s="47" t="e">
        <f>INDEX(VISITORS[INSECT ORDER], MATCH(X1266,VISITORS[NAME USED],0))</f>
        <v>#N/A</v>
      </c>
      <c r="AB1266" s="47" t="e">
        <f t="shared" si="590"/>
        <v>#N/A</v>
      </c>
      <c r="AC1266" s="53" t="e">
        <f t="shared" si="591"/>
        <v>#VALUE!</v>
      </c>
      <c r="AD1266" s="54" t="str">
        <f t="shared" si="592"/>
        <v/>
      </c>
      <c r="AE1266" s="54"/>
      <c r="AF1266" s="54"/>
      <c r="AG1266" s="55" t="str">
        <f t="shared" si="593"/>
        <v/>
      </c>
      <c r="AH1266" s="56" t="str">
        <f t="shared" si="594"/>
        <v/>
      </c>
      <c r="AI1266" s="55"/>
      <c r="AJ1266" s="56" t="str">
        <f t="shared" si="595"/>
        <v/>
      </c>
      <c r="AK1266" s="55"/>
      <c r="AL1266" s="56" t="str">
        <f t="shared" si="596"/>
        <v/>
      </c>
      <c r="AM1266" s="55"/>
      <c r="AN1266" s="56" t="str">
        <f t="shared" si="597"/>
        <v/>
      </c>
      <c r="AO1266" s="55"/>
      <c r="AP1266" s="56" t="str">
        <f t="shared" si="598"/>
        <v/>
      </c>
      <c r="AQ1266" s="55"/>
      <c r="AR1266" s="56" t="str">
        <f t="shared" si="599"/>
        <v/>
      </c>
      <c r="AS1266" s="57"/>
      <c r="AT1266" s="58"/>
      <c r="AU1266" s="58"/>
      <c r="AV1266" s="59"/>
      <c r="AW1266" s="60" t="str">
        <f t="shared" si="577"/>
        <v/>
      </c>
      <c r="AX1266" s="61" t="str">
        <f t="shared" si="578"/>
        <v/>
      </c>
      <c r="AY1266" s="60" t="str">
        <f t="shared" si="579"/>
        <v/>
      </c>
      <c r="AZ1266" s="61" t="str">
        <f t="shared" si="580"/>
        <v/>
      </c>
    </row>
    <row r="1267" spans="1:52" s="3" customFormat="1" hidden="1" x14ac:dyDescent="0.35">
      <c r="A1267" s="72">
        <f t="shared" si="581"/>
        <v>2021</v>
      </c>
      <c r="B1267" s="72" t="str">
        <f t="shared" si="582"/>
        <v>Nov</v>
      </c>
      <c r="C1267" s="73">
        <f t="shared" si="600"/>
        <v>15</v>
      </c>
      <c r="D1267" s="74">
        <f t="shared" si="583"/>
        <v>13</v>
      </c>
      <c r="E1267" s="75">
        <f t="shared" si="584"/>
        <v>3</v>
      </c>
      <c r="F1267" s="79"/>
      <c r="G1267" s="82"/>
      <c r="H1267" s="68" t="str">
        <f t="shared" si="601"/>
        <v>Clesim6_20211115_13_00</v>
      </c>
      <c r="I1267" s="69">
        <f t="shared" si="604"/>
        <v>1</v>
      </c>
      <c r="J1267" s="76" t="str">
        <f t="shared" si="604"/>
        <v>Clematis</v>
      </c>
      <c r="K1267" s="76" t="str">
        <f t="shared" si="604"/>
        <v>simense</v>
      </c>
      <c r="L1267" s="77">
        <f t="shared" si="604"/>
        <v>6</v>
      </c>
      <c r="M1267" s="77">
        <f t="shared" si="604"/>
        <v>20</v>
      </c>
      <c r="N1267" s="71">
        <f t="shared" si="604"/>
        <v>0</v>
      </c>
      <c r="O1267" s="44"/>
      <c r="P1267" s="45" t="str">
        <f t="shared" si="585"/>
        <v/>
      </c>
      <c r="Q1267" s="46" t="str">
        <f t="shared" si="586"/>
        <v/>
      </c>
      <c r="R1267" s="47" t="e">
        <f t="shared" si="587"/>
        <v>#VALUE!</v>
      </c>
      <c r="S1267" s="48" t="e">
        <f t="shared" si="576"/>
        <v>#VALUE!</v>
      </c>
      <c r="T1267" s="47" t="str">
        <f t="shared" si="588"/>
        <v/>
      </c>
      <c r="U1267" s="49"/>
      <c r="V1267" s="50"/>
      <c r="W1267" s="51" t="e">
        <f t="shared" si="589"/>
        <v>#VALUE!</v>
      </c>
      <c r="X1267" s="52"/>
      <c r="Y1267" s="52"/>
      <c r="Z1267" s="52"/>
      <c r="AA1267" s="47" t="e">
        <f>INDEX(VISITORS[INSECT ORDER], MATCH(X1267,VISITORS[NAME USED],0))</f>
        <v>#N/A</v>
      </c>
      <c r="AB1267" s="47" t="e">
        <f t="shared" si="590"/>
        <v>#N/A</v>
      </c>
      <c r="AC1267" s="53" t="e">
        <f t="shared" si="591"/>
        <v>#VALUE!</v>
      </c>
      <c r="AD1267" s="54" t="str">
        <f t="shared" si="592"/>
        <v/>
      </c>
      <c r="AE1267" s="54"/>
      <c r="AF1267" s="54"/>
      <c r="AG1267" s="55" t="str">
        <f t="shared" si="593"/>
        <v/>
      </c>
      <c r="AH1267" s="56" t="str">
        <f t="shared" si="594"/>
        <v/>
      </c>
      <c r="AI1267" s="55"/>
      <c r="AJ1267" s="56" t="str">
        <f t="shared" si="595"/>
        <v/>
      </c>
      <c r="AK1267" s="55"/>
      <c r="AL1267" s="56" t="str">
        <f t="shared" si="596"/>
        <v/>
      </c>
      <c r="AM1267" s="55"/>
      <c r="AN1267" s="56" t="str">
        <f t="shared" si="597"/>
        <v/>
      </c>
      <c r="AO1267" s="55"/>
      <c r="AP1267" s="56" t="str">
        <f t="shared" si="598"/>
        <v/>
      </c>
      <c r="AQ1267" s="55"/>
      <c r="AR1267" s="56" t="str">
        <f t="shared" si="599"/>
        <v/>
      </c>
      <c r="AS1267" s="57"/>
      <c r="AT1267" s="58"/>
      <c r="AU1267" s="58"/>
      <c r="AV1267" s="59"/>
      <c r="AW1267" s="60" t="str">
        <f t="shared" si="577"/>
        <v/>
      </c>
      <c r="AX1267" s="61" t="str">
        <f t="shared" si="578"/>
        <v/>
      </c>
      <c r="AY1267" s="60" t="str">
        <f t="shared" si="579"/>
        <v/>
      </c>
      <c r="AZ1267" s="61" t="str">
        <f t="shared" si="580"/>
        <v/>
      </c>
    </row>
    <row r="1268" spans="1:52" s="3" customFormat="1" hidden="1" x14ac:dyDescent="0.35">
      <c r="A1268" s="72">
        <f t="shared" si="581"/>
        <v>2021</v>
      </c>
      <c r="B1268" s="72" t="str">
        <f t="shared" si="582"/>
        <v>Nov</v>
      </c>
      <c r="C1268" s="73">
        <f t="shared" si="600"/>
        <v>15</v>
      </c>
      <c r="D1268" s="74">
        <f t="shared" si="583"/>
        <v>13</v>
      </c>
      <c r="E1268" s="75">
        <f t="shared" si="584"/>
        <v>4</v>
      </c>
      <c r="F1268" s="79"/>
      <c r="G1268" s="82"/>
      <c r="H1268" s="68" t="str">
        <f t="shared" si="601"/>
        <v>Clesim6_20211115_13_00</v>
      </c>
      <c r="I1268" s="69">
        <f t="shared" si="604"/>
        <v>1</v>
      </c>
      <c r="J1268" s="76" t="str">
        <f t="shared" si="604"/>
        <v>Clematis</v>
      </c>
      <c r="K1268" s="76" t="str">
        <f t="shared" si="604"/>
        <v>simense</v>
      </c>
      <c r="L1268" s="77">
        <f t="shared" si="604"/>
        <v>6</v>
      </c>
      <c r="M1268" s="77">
        <f t="shared" si="604"/>
        <v>20</v>
      </c>
      <c r="N1268" s="71">
        <f t="shared" si="604"/>
        <v>0</v>
      </c>
      <c r="O1268" s="44"/>
      <c r="P1268" s="45" t="str">
        <f t="shared" si="585"/>
        <v/>
      </c>
      <c r="Q1268" s="46" t="str">
        <f t="shared" si="586"/>
        <v/>
      </c>
      <c r="R1268" s="47" t="e">
        <f t="shared" si="587"/>
        <v>#VALUE!</v>
      </c>
      <c r="S1268" s="48" t="e">
        <f t="shared" si="576"/>
        <v>#VALUE!</v>
      </c>
      <c r="T1268" s="47" t="str">
        <f t="shared" si="588"/>
        <v/>
      </c>
      <c r="U1268" s="49"/>
      <c r="V1268" s="50"/>
      <c r="W1268" s="51" t="e">
        <f t="shared" si="589"/>
        <v>#VALUE!</v>
      </c>
      <c r="X1268" s="52"/>
      <c r="Y1268" s="52"/>
      <c r="Z1268" s="52"/>
      <c r="AA1268" s="47" t="e">
        <f>INDEX(VISITORS[INSECT ORDER], MATCH(X1268,VISITORS[NAME USED],0))</f>
        <v>#N/A</v>
      </c>
      <c r="AB1268" s="47" t="e">
        <f t="shared" si="590"/>
        <v>#N/A</v>
      </c>
      <c r="AC1268" s="53" t="e">
        <f t="shared" si="591"/>
        <v>#VALUE!</v>
      </c>
      <c r="AD1268" s="54" t="str">
        <f t="shared" si="592"/>
        <v/>
      </c>
      <c r="AE1268" s="54"/>
      <c r="AF1268" s="54"/>
      <c r="AG1268" s="55" t="str">
        <f t="shared" si="593"/>
        <v/>
      </c>
      <c r="AH1268" s="56" t="str">
        <f t="shared" si="594"/>
        <v/>
      </c>
      <c r="AI1268" s="55"/>
      <c r="AJ1268" s="56" t="str">
        <f t="shared" si="595"/>
        <v/>
      </c>
      <c r="AK1268" s="55"/>
      <c r="AL1268" s="56" t="str">
        <f t="shared" si="596"/>
        <v/>
      </c>
      <c r="AM1268" s="55"/>
      <c r="AN1268" s="56" t="str">
        <f t="shared" si="597"/>
        <v/>
      </c>
      <c r="AO1268" s="55"/>
      <c r="AP1268" s="56" t="str">
        <f t="shared" si="598"/>
        <v/>
      </c>
      <c r="AQ1268" s="55"/>
      <c r="AR1268" s="56" t="str">
        <f t="shared" si="599"/>
        <v/>
      </c>
      <c r="AS1268" s="57"/>
      <c r="AT1268" s="58"/>
      <c r="AU1268" s="58"/>
      <c r="AV1268" s="59"/>
      <c r="AW1268" s="60" t="str">
        <f t="shared" si="577"/>
        <v/>
      </c>
      <c r="AX1268" s="61" t="str">
        <f t="shared" si="578"/>
        <v/>
      </c>
      <c r="AY1268" s="60" t="str">
        <f t="shared" si="579"/>
        <v/>
      </c>
      <c r="AZ1268" s="61" t="str">
        <f t="shared" si="580"/>
        <v/>
      </c>
    </row>
    <row r="1269" spans="1:52" s="3" customFormat="1" hidden="1" x14ac:dyDescent="0.35">
      <c r="A1269" s="72">
        <f t="shared" si="581"/>
        <v>2021</v>
      </c>
      <c r="B1269" s="72" t="str">
        <f t="shared" si="582"/>
        <v>Nov</v>
      </c>
      <c r="C1269" s="73">
        <f t="shared" si="600"/>
        <v>15</v>
      </c>
      <c r="D1269" s="74">
        <f t="shared" si="583"/>
        <v>13</v>
      </c>
      <c r="E1269" s="75">
        <f t="shared" si="584"/>
        <v>5</v>
      </c>
      <c r="F1269" s="79"/>
      <c r="G1269" s="82"/>
      <c r="H1269" s="68" t="str">
        <f t="shared" si="601"/>
        <v>Clesim6_20211115_13_00</v>
      </c>
      <c r="I1269" s="69">
        <f t="shared" si="604"/>
        <v>1</v>
      </c>
      <c r="J1269" s="76" t="str">
        <f t="shared" si="604"/>
        <v>Clematis</v>
      </c>
      <c r="K1269" s="76" t="str">
        <f t="shared" si="604"/>
        <v>simense</v>
      </c>
      <c r="L1269" s="77">
        <f t="shared" si="604"/>
        <v>6</v>
      </c>
      <c r="M1269" s="77">
        <f t="shared" si="604"/>
        <v>20</v>
      </c>
      <c r="N1269" s="71">
        <f t="shared" si="604"/>
        <v>0</v>
      </c>
      <c r="O1269" s="44"/>
      <c r="P1269" s="45" t="str">
        <f t="shared" si="585"/>
        <v/>
      </c>
      <c r="Q1269" s="46" t="str">
        <f t="shared" si="586"/>
        <v/>
      </c>
      <c r="R1269" s="47" t="e">
        <f t="shared" si="587"/>
        <v>#VALUE!</v>
      </c>
      <c r="S1269" s="48" t="e">
        <f t="shared" si="576"/>
        <v>#VALUE!</v>
      </c>
      <c r="T1269" s="47" t="str">
        <f t="shared" si="588"/>
        <v/>
      </c>
      <c r="U1269" s="49"/>
      <c r="V1269" s="50"/>
      <c r="W1269" s="51" t="e">
        <f t="shared" si="589"/>
        <v>#VALUE!</v>
      </c>
      <c r="X1269" s="52"/>
      <c r="Y1269" s="52"/>
      <c r="Z1269" s="52"/>
      <c r="AA1269" s="47" t="e">
        <f>INDEX(VISITORS[INSECT ORDER], MATCH(X1269,VISITORS[NAME USED],0))</f>
        <v>#N/A</v>
      </c>
      <c r="AB1269" s="47" t="e">
        <f t="shared" si="590"/>
        <v>#N/A</v>
      </c>
      <c r="AC1269" s="53" t="e">
        <f t="shared" si="591"/>
        <v>#VALUE!</v>
      </c>
      <c r="AD1269" s="54" t="str">
        <f t="shared" si="592"/>
        <v/>
      </c>
      <c r="AE1269" s="54"/>
      <c r="AF1269" s="54"/>
      <c r="AG1269" s="55" t="str">
        <f t="shared" si="593"/>
        <v/>
      </c>
      <c r="AH1269" s="56" t="str">
        <f t="shared" si="594"/>
        <v/>
      </c>
      <c r="AI1269" s="55"/>
      <c r="AJ1269" s="56" t="str">
        <f t="shared" si="595"/>
        <v/>
      </c>
      <c r="AK1269" s="55"/>
      <c r="AL1269" s="56" t="str">
        <f t="shared" si="596"/>
        <v/>
      </c>
      <c r="AM1269" s="55"/>
      <c r="AN1269" s="56" t="str">
        <f t="shared" si="597"/>
        <v/>
      </c>
      <c r="AO1269" s="55"/>
      <c r="AP1269" s="56" t="str">
        <f t="shared" si="598"/>
        <v/>
      </c>
      <c r="AQ1269" s="55"/>
      <c r="AR1269" s="56" t="str">
        <f t="shared" si="599"/>
        <v/>
      </c>
      <c r="AS1269" s="57"/>
      <c r="AT1269" s="58"/>
      <c r="AU1269" s="58"/>
      <c r="AV1269" s="59"/>
      <c r="AW1269" s="60" t="str">
        <f t="shared" si="577"/>
        <v/>
      </c>
      <c r="AX1269" s="61" t="str">
        <f t="shared" si="578"/>
        <v/>
      </c>
      <c r="AY1269" s="60" t="str">
        <f t="shared" si="579"/>
        <v/>
      </c>
      <c r="AZ1269" s="61" t="str">
        <f t="shared" si="580"/>
        <v/>
      </c>
    </row>
    <row r="1270" spans="1:52" s="3" customFormat="1" hidden="1" x14ac:dyDescent="0.35">
      <c r="A1270" s="72">
        <f t="shared" si="581"/>
        <v>2021</v>
      </c>
      <c r="B1270" s="72" t="str">
        <f t="shared" si="582"/>
        <v>Nov</v>
      </c>
      <c r="C1270" s="73">
        <f t="shared" si="600"/>
        <v>15</v>
      </c>
      <c r="D1270" s="74">
        <f t="shared" si="583"/>
        <v>13</v>
      </c>
      <c r="E1270" s="75">
        <f t="shared" si="584"/>
        <v>6</v>
      </c>
      <c r="F1270" s="79"/>
      <c r="G1270" s="82"/>
      <c r="H1270" s="68" t="str">
        <f t="shared" si="601"/>
        <v>Clesim6_20211115_13_00</v>
      </c>
      <c r="I1270" s="69">
        <f t="shared" ref="I1270:N1285" si="605">I1269</f>
        <v>1</v>
      </c>
      <c r="J1270" s="76" t="str">
        <f t="shared" si="605"/>
        <v>Clematis</v>
      </c>
      <c r="K1270" s="76" t="str">
        <f t="shared" si="605"/>
        <v>simense</v>
      </c>
      <c r="L1270" s="77">
        <f t="shared" si="605"/>
        <v>6</v>
      </c>
      <c r="M1270" s="77">
        <f t="shared" si="605"/>
        <v>20</v>
      </c>
      <c r="N1270" s="71">
        <f t="shared" si="605"/>
        <v>0</v>
      </c>
      <c r="O1270" s="44"/>
      <c r="P1270" s="45" t="str">
        <f t="shared" si="585"/>
        <v/>
      </c>
      <c r="Q1270" s="46" t="str">
        <f t="shared" si="586"/>
        <v/>
      </c>
      <c r="R1270" s="47" t="e">
        <f t="shared" si="587"/>
        <v>#VALUE!</v>
      </c>
      <c r="S1270" s="48" t="e">
        <f t="shared" si="576"/>
        <v>#VALUE!</v>
      </c>
      <c r="T1270" s="47" t="str">
        <f t="shared" si="588"/>
        <v/>
      </c>
      <c r="U1270" s="49"/>
      <c r="V1270" s="50"/>
      <c r="W1270" s="51" t="e">
        <f t="shared" si="589"/>
        <v>#VALUE!</v>
      </c>
      <c r="X1270" s="52"/>
      <c r="Y1270" s="52"/>
      <c r="Z1270" s="52"/>
      <c r="AA1270" s="47" t="e">
        <f>INDEX(VISITORS[INSECT ORDER], MATCH(X1270,VISITORS[NAME USED],0))</f>
        <v>#N/A</v>
      </c>
      <c r="AB1270" s="47" t="e">
        <f t="shared" si="590"/>
        <v>#N/A</v>
      </c>
      <c r="AC1270" s="53" t="e">
        <f t="shared" si="591"/>
        <v>#VALUE!</v>
      </c>
      <c r="AD1270" s="54" t="str">
        <f t="shared" si="592"/>
        <v/>
      </c>
      <c r="AE1270" s="54"/>
      <c r="AF1270" s="54"/>
      <c r="AG1270" s="55" t="str">
        <f t="shared" si="593"/>
        <v/>
      </c>
      <c r="AH1270" s="56" t="str">
        <f t="shared" si="594"/>
        <v/>
      </c>
      <c r="AI1270" s="55"/>
      <c r="AJ1270" s="56" t="str">
        <f t="shared" si="595"/>
        <v/>
      </c>
      <c r="AK1270" s="55"/>
      <c r="AL1270" s="56" t="str">
        <f t="shared" si="596"/>
        <v/>
      </c>
      <c r="AM1270" s="55"/>
      <c r="AN1270" s="56" t="str">
        <f t="shared" si="597"/>
        <v/>
      </c>
      <c r="AO1270" s="55"/>
      <c r="AP1270" s="56" t="str">
        <f t="shared" si="598"/>
        <v/>
      </c>
      <c r="AQ1270" s="55"/>
      <c r="AR1270" s="56" t="str">
        <f t="shared" si="599"/>
        <v/>
      </c>
      <c r="AS1270" s="57"/>
      <c r="AT1270" s="58"/>
      <c r="AU1270" s="58"/>
      <c r="AV1270" s="59"/>
      <c r="AW1270" s="60" t="str">
        <f t="shared" si="577"/>
        <v/>
      </c>
      <c r="AX1270" s="61" t="str">
        <f t="shared" si="578"/>
        <v/>
      </c>
      <c r="AY1270" s="60" t="str">
        <f t="shared" si="579"/>
        <v/>
      </c>
      <c r="AZ1270" s="61" t="str">
        <f t="shared" si="580"/>
        <v/>
      </c>
    </row>
    <row r="1271" spans="1:52" s="3" customFormat="1" hidden="1" x14ac:dyDescent="0.35">
      <c r="A1271" s="72">
        <f t="shared" si="581"/>
        <v>2021</v>
      </c>
      <c r="B1271" s="72" t="str">
        <f t="shared" si="582"/>
        <v>Nov</v>
      </c>
      <c r="C1271" s="73">
        <f t="shared" si="600"/>
        <v>15</v>
      </c>
      <c r="D1271" s="74">
        <f t="shared" si="583"/>
        <v>13</v>
      </c>
      <c r="E1271" s="75">
        <f t="shared" si="584"/>
        <v>7</v>
      </c>
      <c r="F1271" s="79"/>
      <c r="G1271" s="82"/>
      <c r="H1271" s="68" t="str">
        <f t="shared" si="601"/>
        <v>Clesim6_20211115_13_00</v>
      </c>
      <c r="I1271" s="69">
        <f t="shared" si="605"/>
        <v>1</v>
      </c>
      <c r="J1271" s="76" t="str">
        <f t="shared" si="605"/>
        <v>Clematis</v>
      </c>
      <c r="K1271" s="76" t="str">
        <f t="shared" si="605"/>
        <v>simense</v>
      </c>
      <c r="L1271" s="77">
        <f t="shared" si="605"/>
        <v>6</v>
      </c>
      <c r="M1271" s="77">
        <f t="shared" si="605"/>
        <v>20</v>
      </c>
      <c r="N1271" s="71">
        <f t="shared" si="605"/>
        <v>0</v>
      </c>
      <c r="O1271" s="44"/>
      <c r="P1271" s="45" t="str">
        <f t="shared" si="585"/>
        <v/>
      </c>
      <c r="Q1271" s="46" t="str">
        <f t="shared" si="586"/>
        <v/>
      </c>
      <c r="R1271" s="47" t="e">
        <f t="shared" si="587"/>
        <v>#VALUE!</v>
      </c>
      <c r="S1271" s="48" t="e">
        <f t="shared" si="576"/>
        <v>#VALUE!</v>
      </c>
      <c r="T1271" s="47" t="str">
        <f t="shared" si="588"/>
        <v/>
      </c>
      <c r="U1271" s="49"/>
      <c r="V1271" s="50"/>
      <c r="W1271" s="51" t="e">
        <f t="shared" si="589"/>
        <v>#VALUE!</v>
      </c>
      <c r="X1271" s="52"/>
      <c r="Y1271" s="52"/>
      <c r="Z1271" s="52"/>
      <c r="AA1271" s="47" t="e">
        <f>INDEX(VISITORS[INSECT ORDER], MATCH(X1271,VISITORS[NAME USED],0))</f>
        <v>#N/A</v>
      </c>
      <c r="AB1271" s="47" t="e">
        <f t="shared" si="590"/>
        <v>#N/A</v>
      </c>
      <c r="AC1271" s="53" t="e">
        <f t="shared" si="591"/>
        <v>#VALUE!</v>
      </c>
      <c r="AD1271" s="54" t="str">
        <f t="shared" si="592"/>
        <v/>
      </c>
      <c r="AE1271" s="54"/>
      <c r="AF1271" s="54"/>
      <c r="AG1271" s="55" t="str">
        <f t="shared" si="593"/>
        <v/>
      </c>
      <c r="AH1271" s="56" t="str">
        <f t="shared" si="594"/>
        <v/>
      </c>
      <c r="AI1271" s="55"/>
      <c r="AJ1271" s="56" t="str">
        <f t="shared" si="595"/>
        <v/>
      </c>
      <c r="AK1271" s="55"/>
      <c r="AL1271" s="56" t="str">
        <f t="shared" si="596"/>
        <v/>
      </c>
      <c r="AM1271" s="55"/>
      <c r="AN1271" s="56" t="str">
        <f t="shared" si="597"/>
        <v/>
      </c>
      <c r="AO1271" s="55"/>
      <c r="AP1271" s="56" t="str">
        <f t="shared" si="598"/>
        <v/>
      </c>
      <c r="AQ1271" s="55"/>
      <c r="AR1271" s="56" t="str">
        <f t="shared" si="599"/>
        <v/>
      </c>
      <c r="AS1271" s="57"/>
      <c r="AT1271" s="58"/>
      <c r="AU1271" s="58"/>
      <c r="AV1271" s="59"/>
      <c r="AW1271" s="60" t="str">
        <f t="shared" si="577"/>
        <v/>
      </c>
      <c r="AX1271" s="61" t="str">
        <f t="shared" si="578"/>
        <v/>
      </c>
      <c r="AY1271" s="60" t="str">
        <f t="shared" si="579"/>
        <v/>
      </c>
      <c r="AZ1271" s="61" t="str">
        <f t="shared" si="580"/>
        <v/>
      </c>
    </row>
    <row r="1272" spans="1:52" s="3" customFormat="1" x14ac:dyDescent="0.35">
      <c r="A1272" s="72">
        <f t="shared" si="581"/>
        <v>2021</v>
      </c>
      <c r="B1272" s="72" t="str">
        <f t="shared" si="582"/>
        <v>Nov</v>
      </c>
      <c r="C1272" s="73">
        <f t="shared" si="600"/>
        <v>15</v>
      </c>
      <c r="D1272" s="74">
        <f t="shared" si="583"/>
        <v>13</v>
      </c>
      <c r="E1272" s="75">
        <f t="shared" si="584"/>
        <v>8</v>
      </c>
      <c r="F1272" s="79">
        <v>27</v>
      </c>
      <c r="G1272" s="82"/>
      <c r="H1272" s="68" t="str">
        <f t="shared" si="601"/>
        <v>Clesim6_20211115_13_00</v>
      </c>
      <c r="I1272" s="69">
        <f t="shared" si="605"/>
        <v>1</v>
      </c>
      <c r="J1272" s="76" t="str">
        <f t="shared" si="605"/>
        <v>Clematis</v>
      </c>
      <c r="K1272" s="76" t="str">
        <f t="shared" si="605"/>
        <v>simense</v>
      </c>
      <c r="L1272" s="77">
        <f t="shared" si="605"/>
        <v>6</v>
      </c>
      <c r="M1272" s="77">
        <f t="shared" si="605"/>
        <v>20</v>
      </c>
      <c r="N1272" s="71">
        <f t="shared" si="605"/>
        <v>0</v>
      </c>
      <c r="O1272" s="44"/>
      <c r="P1272" s="45">
        <f t="shared" si="585"/>
        <v>1</v>
      </c>
      <c r="Q1272" s="46" t="str">
        <f t="shared" si="586"/>
        <v>13:08:27</v>
      </c>
      <c r="R1272" s="47" t="str">
        <f t="shared" si="587"/>
        <v>08:27</v>
      </c>
      <c r="S1272" s="48">
        <f t="shared" si="576"/>
        <v>198</v>
      </c>
      <c r="T1272" s="47" t="str">
        <f t="shared" si="588"/>
        <v>13</v>
      </c>
      <c r="U1272" s="49">
        <v>11</v>
      </c>
      <c r="V1272" s="50">
        <v>45</v>
      </c>
      <c r="W1272" s="51" t="str">
        <f t="shared" si="589"/>
        <v>11:45</v>
      </c>
      <c r="X1272" s="123" t="s">
        <v>66</v>
      </c>
      <c r="Y1272" s="52" t="s">
        <v>70</v>
      </c>
      <c r="Z1272" s="52" t="s">
        <v>87</v>
      </c>
      <c r="AA1272" s="47" t="s">
        <v>67</v>
      </c>
      <c r="AB1272" s="47" t="str">
        <f t="shared" si="590"/>
        <v>NA</v>
      </c>
      <c r="AC1272" s="53" t="str">
        <f t="shared" si="591"/>
        <v/>
      </c>
      <c r="AD1272" s="54">
        <v>3</v>
      </c>
      <c r="AE1272" s="54"/>
      <c r="AF1272" s="54"/>
      <c r="AG1272" s="55" t="str">
        <f t="shared" si="593"/>
        <v/>
      </c>
      <c r="AH1272" s="56" t="str">
        <f t="shared" si="594"/>
        <v/>
      </c>
      <c r="AI1272" s="55"/>
      <c r="AJ1272" s="56" t="str">
        <f t="shared" si="595"/>
        <v/>
      </c>
      <c r="AK1272" s="55"/>
      <c r="AL1272" s="56" t="str">
        <f t="shared" si="596"/>
        <v/>
      </c>
      <c r="AM1272" s="55"/>
      <c r="AN1272" s="56" t="str">
        <f t="shared" si="597"/>
        <v/>
      </c>
      <c r="AO1272" s="55"/>
      <c r="AP1272" s="56" t="str">
        <f t="shared" si="598"/>
        <v/>
      </c>
      <c r="AQ1272" s="55"/>
      <c r="AR1272" s="56" t="str">
        <f t="shared" si="599"/>
        <v/>
      </c>
      <c r="AS1272" s="57"/>
      <c r="AT1272" s="58"/>
      <c r="AU1272" s="58"/>
      <c r="AV1272" s="59"/>
      <c r="AW1272" s="60">
        <f t="shared" si="577"/>
        <v>0</v>
      </c>
      <c r="AX1272" s="61" t="str">
        <f t="shared" si="578"/>
        <v/>
      </c>
      <c r="AY1272" s="60">
        <f t="shared" si="579"/>
        <v>0</v>
      </c>
      <c r="AZ1272" s="61" t="str">
        <f t="shared" si="580"/>
        <v/>
      </c>
    </row>
    <row r="1273" spans="1:52" s="3" customFormat="1" hidden="1" x14ac:dyDescent="0.35">
      <c r="A1273" s="72">
        <f t="shared" si="581"/>
        <v>2021</v>
      </c>
      <c r="B1273" s="72" t="str">
        <f t="shared" si="582"/>
        <v>Nov</v>
      </c>
      <c r="C1273" s="73">
        <f t="shared" si="600"/>
        <v>15</v>
      </c>
      <c r="D1273" s="74">
        <f t="shared" si="583"/>
        <v>13</v>
      </c>
      <c r="E1273" s="75">
        <f t="shared" si="584"/>
        <v>9</v>
      </c>
      <c r="F1273" s="79"/>
      <c r="G1273" s="82"/>
      <c r="H1273" s="68" t="str">
        <f t="shared" si="601"/>
        <v>Clesim6_20211115_13_00</v>
      </c>
      <c r="I1273" s="69">
        <f t="shared" si="605"/>
        <v>1</v>
      </c>
      <c r="J1273" s="76" t="str">
        <f t="shared" si="605"/>
        <v>Clematis</v>
      </c>
      <c r="K1273" s="76" t="str">
        <f t="shared" si="605"/>
        <v>simense</v>
      </c>
      <c r="L1273" s="77">
        <f t="shared" si="605"/>
        <v>6</v>
      </c>
      <c r="M1273" s="77">
        <f t="shared" si="605"/>
        <v>20</v>
      </c>
      <c r="N1273" s="71">
        <f t="shared" si="605"/>
        <v>0</v>
      </c>
      <c r="O1273" s="44"/>
      <c r="P1273" s="45" t="str">
        <f t="shared" si="585"/>
        <v/>
      </c>
      <c r="Q1273" s="46" t="str">
        <f t="shared" si="586"/>
        <v/>
      </c>
      <c r="R1273" s="47" t="e">
        <f t="shared" si="587"/>
        <v>#VALUE!</v>
      </c>
      <c r="S1273" s="48" t="e">
        <f t="shared" si="576"/>
        <v>#VALUE!</v>
      </c>
      <c r="T1273" s="47" t="str">
        <f t="shared" si="588"/>
        <v/>
      </c>
      <c r="U1273" s="49"/>
      <c r="V1273" s="50"/>
      <c r="W1273" s="51" t="e">
        <f t="shared" si="589"/>
        <v>#VALUE!</v>
      </c>
      <c r="X1273" s="52"/>
      <c r="Y1273" s="52"/>
      <c r="Z1273" s="52"/>
      <c r="AA1273" s="47" t="e">
        <f>INDEX(VISITORS[INSECT ORDER], MATCH(X1273,VISITORS[NAME USED],0))</f>
        <v>#N/A</v>
      </c>
      <c r="AB1273" s="47" t="e">
        <f t="shared" si="590"/>
        <v>#N/A</v>
      </c>
      <c r="AC1273" s="53" t="e">
        <f t="shared" si="591"/>
        <v>#VALUE!</v>
      </c>
      <c r="AD1273" s="54" t="str">
        <f t="shared" si="592"/>
        <v/>
      </c>
      <c r="AE1273" s="54"/>
      <c r="AF1273" s="54"/>
      <c r="AG1273" s="55" t="str">
        <f t="shared" si="593"/>
        <v/>
      </c>
      <c r="AH1273" s="56" t="str">
        <f t="shared" si="594"/>
        <v/>
      </c>
      <c r="AI1273" s="55"/>
      <c r="AJ1273" s="56" t="str">
        <f t="shared" si="595"/>
        <v/>
      </c>
      <c r="AK1273" s="55"/>
      <c r="AL1273" s="56" t="str">
        <f t="shared" si="596"/>
        <v/>
      </c>
      <c r="AM1273" s="55"/>
      <c r="AN1273" s="56" t="str">
        <f t="shared" si="597"/>
        <v/>
      </c>
      <c r="AO1273" s="55"/>
      <c r="AP1273" s="56" t="str">
        <f t="shared" si="598"/>
        <v/>
      </c>
      <c r="AQ1273" s="55"/>
      <c r="AR1273" s="56" t="str">
        <f t="shared" si="599"/>
        <v/>
      </c>
      <c r="AS1273" s="57"/>
      <c r="AT1273" s="58"/>
      <c r="AU1273" s="58"/>
      <c r="AV1273" s="59"/>
      <c r="AW1273" s="60" t="str">
        <f t="shared" si="577"/>
        <v/>
      </c>
      <c r="AX1273" s="61" t="str">
        <f t="shared" si="578"/>
        <v/>
      </c>
      <c r="AY1273" s="60" t="str">
        <f t="shared" si="579"/>
        <v/>
      </c>
      <c r="AZ1273" s="61" t="str">
        <f t="shared" si="580"/>
        <v/>
      </c>
    </row>
    <row r="1274" spans="1:52" s="3" customFormat="1" hidden="1" x14ac:dyDescent="0.35">
      <c r="A1274" s="72">
        <f t="shared" si="581"/>
        <v>2021</v>
      </c>
      <c r="B1274" s="72" t="str">
        <f t="shared" si="582"/>
        <v>Nov</v>
      </c>
      <c r="C1274" s="73">
        <f t="shared" si="600"/>
        <v>15</v>
      </c>
      <c r="D1274" s="74">
        <f t="shared" si="583"/>
        <v>13</v>
      </c>
      <c r="E1274" s="75">
        <f t="shared" si="584"/>
        <v>10</v>
      </c>
      <c r="F1274" s="79"/>
      <c r="G1274" s="82"/>
      <c r="H1274" s="68" t="str">
        <f t="shared" si="601"/>
        <v>Clesim6_20211115_13_00</v>
      </c>
      <c r="I1274" s="69">
        <f t="shared" si="605"/>
        <v>1</v>
      </c>
      <c r="J1274" s="76" t="str">
        <f t="shared" si="605"/>
        <v>Clematis</v>
      </c>
      <c r="K1274" s="76" t="str">
        <f t="shared" si="605"/>
        <v>simense</v>
      </c>
      <c r="L1274" s="77">
        <f t="shared" si="605"/>
        <v>6</v>
      </c>
      <c r="M1274" s="77">
        <f t="shared" si="605"/>
        <v>20</v>
      </c>
      <c r="N1274" s="71">
        <f t="shared" si="605"/>
        <v>0</v>
      </c>
      <c r="O1274" s="44"/>
      <c r="P1274" s="45" t="str">
        <f t="shared" si="585"/>
        <v/>
      </c>
      <c r="Q1274" s="46" t="str">
        <f t="shared" si="586"/>
        <v/>
      </c>
      <c r="R1274" s="47" t="e">
        <f t="shared" si="587"/>
        <v>#VALUE!</v>
      </c>
      <c r="S1274" s="48" t="e">
        <f t="shared" si="576"/>
        <v>#VALUE!</v>
      </c>
      <c r="T1274" s="47" t="str">
        <f t="shared" si="588"/>
        <v/>
      </c>
      <c r="U1274" s="49"/>
      <c r="V1274" s="50"/>
      <c r="W1274" s="51" t="e">
        <f t="shared" si="589"/>
        <v>#VALUE!</v>
      </c>
      <c r="X1274" s="52"/>
      <c r="Y1274" s="52"/>
      <c r="Z1274" s="52"/>
      <c r="AA1274" s="47" t="e">
        <f>INDEX(VISITORS[INSECT ORDER], MATCH(X1274,VISITORS[NAME USED],0))</f>
        <v>#N/A</v>
      </c>
      <c r="AB1274" s="47" t="e">
        <f t="shared" si="590"/>
        <v>#N/A</v>
      </c>
      <c r="AC1274" s="53" t="e">
        <f t="shared" si="591"/>
        <v>#VALUE!</v>
      </c>
      <c r="AD1274" s="54" t="str">
        <f t="shared" si="592"/>
        <v/>
      </c>
      <c r="AE1274" s="54"/>
      <c r="AF1274" s="54"/>
      <c r="AG1274" s="55" t="str">
        <f t="shared" si="593"/>
        <v/>
      </c>
      <c r="AH1274" s="56" t="str">
        <f t="shared" si="594"/>
        <v/>
      </c>
      <c r="AI1274" s="55"/>
      <c r="AJ1274" s="56" t="str">
        <f t="shared" si="595"/>
        <v/>
      </c>
      <c r="AK1274" s="55"/>
      <c r="AL1274" s="56" t="str">
        <f t="shared" si="596"/>
        <v/>
      </c>
      <c r="AM1274" s="55"/>
      <c r="AN1274" s="56" t="str">
        <f t="shared" si="597"/>
        <v/>
      </c>
      <c r="AO1274" s="55"/>
      <c r="AP1274" s="56" t="str">
        <f t="shared" si="598"/>
        <v/>
      </c>
      <c r="AQ1274" s="55"/>
      <c r="AR1274" s="56" t="str">
        <f t="shared" si="599"/>
        <v/>
      </c>
      <c r="AS1274" s="57"/>
      <c r="AT1274" s="58"/>
      <c r="AU1274" s="58"/>
      <c r="AV1274" s="59"/>
      <c r="AW1274" s="60" t="str">
        <f t="shared" si="577"/>
        <v/>
      </c>
      <c r="AX1274" s="61" t="str">
        <f t="shared" si="578"/>
        <v/>
      </c>
      <c r="AY1274" s="60" t="str">
        <f t="shared" si="579"/>
        <v/>
      </c>
      <c r="AZ1274" s="61" t="str">
        <f t="shared" si="580"/>
        <v/>
      </c>
    </row>
    <row r="1275" spans="1:52" s="3" customFormat="1" hidden="1" x14ac:dyDescent="0.35">
      <c r="A1275" s="72">
        <f t="shared" si="581"/>
        <v>2021</v>
      </c>
      <c r="B1275" s="72" t="str">
        <f t="shared" si="582"/>
        <v>Nov</v>
      </c>
      <c r="C1275" s="73">
        <f t="shared" si="600"/>
        <v>15</v>
      </c>
      <c r="D1275" s="74">
        <f t="shared" si="583"/>
        <v>13</v>
      </c>
      <c r="E1275" s="75">
        <f t="shared" si="584"/>
        <v>11</v>
      </c>
      <c r="F1275" s="79"/>
      <c r="G1275" s="82"/>
      <c r="H1275" s="68" t="str">
        <f t="shared" si="601"/>
        <v>Clesim6_20211115_13_00</v>
      </c>
      <c r="I1275" s="69">
        <f t="shared" si="605"/>
        <v>1</v>
      </c>
      <c r="J1275" s="76" t="str">
        <f t="shared" si="605"/>
        <v>Clematis</v>
      </c>
      <c r="K1275" s="76" t="str">
        <f t="shared" si="605"/>
        <v>simense</v>
      </c>
      <c r="L1275" s="77">
        <f t="shared" si="605"/>
        <v>6</v>
      </c>
      <c r="M1275" s="77">
        <f t="shared" si="605"/>
        <v>20</v>
      </c>
      <c r="N1275" s="71">
        <f t="shared" si="605"/>
        <v>0</v>
      </c>
      <c r="O1275" s="44"/>
      <c r="P1275" s="45" t="str">
        <f t="shared" si="585"/>
        <v/>
      </c>
      <c r="Q1275" s="46" t="str">
        <f t="shared" si="586"/>
        <v/>
      </c>
      <c r="R1275" s="47" t="e">
        <f t="shared" si="587"/>
        <v>#VALUE!</v>
      </c>
      <c r="S1275" s="48" t="e">
        <f t="shared" si="576"/>
        <v>#VALUE!</v>
      </c>
      <c r="T1275" s="47" t="str">
        <f t="shared" si="588"/>
        <v/>
      </c>
      <c r="U1275" s="49"/>
      <c r="V1275" s="50"/>
      <c r="W1275" s="51" t="e">
        <f t="shared" si="589"/>
        <v>#VALUE!</v>
      </c>
      <c r="X1275" s="52"/>
      <c r="Y1275" s="52"/>
      <c r="Z1275" s="52"/>
      <c r="AA1275" s="47" t="e">
        <f>INDEX(VISITORS[INSECT ORDER], MATCH(X1275,VISITORS[NAME USED],0))</f>
        <v>#N/A</v>
      </c>
      <c r="AB1275" s="47" t="e">
        <f t="shared" si="590"/>
        <v>#N/A</v>
      </c>
      <c r="AC1275" s="53" t="e">
        <f t="shared" si="591"/>
        <v>#VALUE!</v>
      </c>
      <c r="AD1275" s="54" t="str">
        <f t="shared" si="592"/>
        <v/>
      </c>
      <c r="AE1275" s="54"/>
      <c r="AF1275" s="54"/>
      <c r="AG1275" s="55" t="str">
        <f t="shared" si="593"/>
        <v/>
      </c>
      <c r="AH1275" s="56" t="str">
        <f t="shared" si="594"/>
        <v/>
      </c>
      <c r="AI1275" s="55"/>
      <c r="AJ1275" s="56" t="str">
        <f t="shared" si="595"/>
        <v/>
      </c>
      <c r="AK1275" s="55"/>
      <c r="AL1275" s="56" t="str">
        <f t="shared" si="596"/>
        <v/>
      </c>
      <c r="AM1275" s="55"/>
      <c r="AN1275" s="56" t="str">
        <f t="shared" si="597"/>
        <v/>
      </c>
      <c r="AO1275" s="55"/>
      <c r="AP1275" s="56" t="str">
        <f t="shared" si="598"/>
        <v/>
      </c>
      <c r="AQ1275" s="55"/>
      <c r="AR1275" s="56" t="str">
        <f t="shared" si="599"/>
        <v/>
      </c>
      <c r="AS1275" s="57"/>
      <c r="AT1275" s="58"/>
      <c r="AU1275" s="58"/>
      <c r="AV1275" s="59"/>
      <c r="AW1275" s="60" t="str">
        <f t="shared" si="577"/>
        <v/>
      </c>
      <c r="AX1275" s="61" t="str">
        <f t="shared" si="578"/>
        <v/>
      </c>
      <c r="AY1275" s="60" t="str">
        <f t="shared" si="579"/>
        <v/>
      </c>
      <c r="AZ1275" s="61" t="str">
        <f t="shared" si="580"/>
        <v/>
      </c>
    </row>
    <row r="1276" spans="1:52" s="3" customFormat="1" hidden="1" x14ac:dyDescent="0.35">
      <c r="A1276" s="72">
        <f t="shared" si="581"/>
        <v>2021</v>
      </c>
      <c r="B1276" s="72" t="str">
        <f t="shared" si="582"/>
        <v>Nov</v>
      </c>
      <c r="C1276" s="73">
        <f t="shared" si="600"/>
        <v>15</v>
      </c>
      <c r="D1276" s="74">
        <f t="shared" si="583"/>
        <v>13</v>
      </c>
      <c r="E1276" s="75">
        <f t="shared" si="584"/>
        <v>12</v>
      </c>
      <c r="F1276" s="79"/>
      <c r="G1276" s="82"/>
      <c r="H1276" s="68" t="str">
        <f t="shared" si="601"/>
        <v>Clesim6_20211115_13_00</v>
      </c>
      <c r="I1276" s="69">
        <f t="shared" si="605"/>
        <v>1</v>
      </c>
      <c r="J1276" s="76" t="str">
        <f t="shared" si="605"/>
        <v>Clematis</v>
      </c>
      <c r="K1276" s="76" t="str">
        <f t="shared" si="605"/>
        <v>simense</v>
      </c>
      <c r="L1276" s="77">
        <f t="shared" si="605"/>
        <v>6</v>
      </c>
      <c r="M1276" s="77">
        <f t="shared" si="605"/>
        <v>20</v>
      </c>
      <c r="N1276" s="71">
        <f t="shared" si="605"/>
        <v>0</v>
      </c>
      <c r="O1276" s="44"/>
      <c r="P1276" s="45" t="str">
        <f t="shared" si="585"/>
        <v/>
      </c>
      <c r="Q1276" s="46" t="str">
        <f t="shared" si="586"/>
        <v/>
      </c>
      <c r="R1276" s="47" t="e">
        <f t="shared" si="587"/>
        <v>#VALUE!</v>
      </c>
      <c r="S1276" s="48" t="e">
        <f t="shared" si="576"/>
        <v>#VALUE!</v>
      </c>
      <c r="T1276" s="47" t="str">
        <f t="shared" si="588"/>
        <v/>
      </c>
      <c r="U1276" s="49"/>
      <c r="V1276" s="50"/>
      <c r="W1276" s="51" t="e">
        <f t="shared" si="589"/>
        <v>#VALUE!</v>
      </c>
      <c r="X1276" s="52"/>
      <c r="Y1276" s="52"/>
      <c r="Z1276" s="52"/>
      <c r="AA1276" s="47" t="e">
        <f>INDEX(VISITORS[INSECT ORDER], MATCH(X1276,VISITORS[NAME USED],0))</f>
        <v>#N/A</v>
      </c>
      <c r="AB1276" s="47" t="e">
        <f t="shared" si="590"/>
        <v>#N/A</v>
      </c>
      <c r="AC1276" s="53" t="e">
        <f t="shared" si="591"/>
        <v>#VALUE!</v>
      </c>
      <c r="AD1276" s="54" t="str">
        <f t="shared" si="592"/>
        <v/>
      </c>
      <c r="AE1276" s="54"/>
      <c r="AF1276" s="54"/>
      <c r="AG1276" s="55" t="str">
        <f t="shared" si="593"/>
        <v/>
      </c>
      <c r="AH1276" s="56" t="str">
        <f t="shared" si="594"/>
        <v/>
      </c>
      <c r="AI1276" s="55"/>
      <c r="AJ1276" s="56" t="str">
        <f t="shared" si="595"/>
        <v/>
      </c>
      <c r="AK1276" s="55"/>
      <c r="AL1276" s="56" t="str">
        <f t="shared" si="596"/>
        <v/>
      </c>
      <c r="AM1276" s="55"/>
      <c r="AN1276" s="56" t="str">
        <f t="shared" si="597"/>
        <v/>
      </c>
      <c r="AO1276" s="55"/>
      <c r="AP1276" s="56" t="str">
        <f t="shared" si="598"/>
        <v/>
      </c>
      <c r="AQ1276" s="55"/>
      <c r="AR1276" s="56" t="str">
        <f t="shared" si="599"/>
        <v/>
      </c>
      <c r="AS1276" s="57"/>
      <c r="AT1276" s="58"/>
      <c r="AU1276" s="58"/>
      <c r="AV1276" s="59"/>
      <c r="AW1276" s="60" t="str">
        <f t="shared" si="577"/>
        <v/>
      </c>
      <c r="AX1276" s="61" t="str">
        <f t="shared" si="578"/>
        <v/>
      </c>
      <c r="AY1276" s="60" t="str">
        <f t="shared" si="579"/>
        <v/>
      </c>
      <c r="AZ1276" s="61" t="str">
        <f t="shared" si="580"/>
        <v/>
      </c>
    </row>
    <row r="1277" spans="1:52" s="3" customFormat="1" hidden="1" x14ac:dyDescent="0.35">
      <c r="A1277" s="72">
        <f t="shared" si="581"/>
        <v>2021</v>
      </c>
      <c r="B1277" s="72" t="str">
        <f t="shared" si="582"/>
        <v>Nov</v>
      </c>
      <c r="C1277" s="73">
        <f t="shared" si="600"/>
        <v>15</v>
      </c>
      <c r="D1277" s="74">
        <f t="shared" si="583"/>
        <v>13</v>
      </c>
      <c r="E1277" s="75">
        <f t="shared" si="584"/>
        <v>13</v>
      </c>
      <c r="F1277" s="79"/>
      <c r="G1277" s="82"/>
      <c r="H1277" s="68" t="str">
        <f t="shared" si="601"/>
        <v>Clesim6_20211115_13_00</v>
      </c>
      <c r="I1277" s="69">
        <f t="shared" si="605"/>
        <v>1</v>
      </c>
      <c r="J1277" s="76" t="str">
        <f t="shared" si="605"/>
        <v>Clematis</v>
      </c>
      <c r="K1277" s="76" t="str">
        <f t="shared" si="605"/>
        <v>simense</v>
      </c>
      <c r="L1277" s="77">
        <f t="shared" si="605"/>
        <v>6</v>
      </c>
      <c r="M1277" s="77">
        <f t="shared" si="605"/>
        <v>20</v>
      </c>
      <c r="N1277" s="71">
        <f t="shared" si="605"/>
        <v>0</v>
      </c>
      <c r="O1277" s="44"/>
      <c r="P1277" s="45" t="str">
        <f t="shared" si="585"/>
        <v/>
      </c>
      <c r="Q1277" s="46" t="str">
        <f t="shared" si="586"/>
        <v/>
      </c>
      <c r="R1277" s="47" t="e">
        <f t="shared" si="587"/>
        <v>#VALUE!</v>
      </c>
      <c r="S1277" s="48" t="e">
        <f t="shared" si="576"/>
        <v>#VALUE!</v>
      </c>
      <c r="T1277" s="47" t="str">
        <f t="shared" si="588"/>
        <v/>
      </c>
      <c r="U1277" s="49"/>
      <c r="V1277" s="50"/>
      <c r="W1277" s="51" t="e">
        <f t="shared" si="589"/>
        <v>#VALUE!</v>
      </c>
      <c r="X1277" s="52"/>
      <c r="Y1277" s="52"/>
      <c r="Z1277" s="52"/>
      <c r="AA1277" s="47" t="e">
        <f>INDEX(VISITORS[INSECT ORDER], MATCH(X1277,VISITORS[NAME USED],0))</f>
        <v>#N/A</v>
      </c>
      <c r="AB1277" s="47" t="e">
        <f t="shared" si="590"/>
        <v>#N/A</v>
      </c>
      <c r="AC1277" s="53" t="e">
        <f t="shared" si="591"/>
        <v>#VALUE!</v>
      </c>
      <c r="AD1277" s="54" t="str">
        <f t="shared" si="592"/>
        <v/>
      </c>
      <c r="AE1277" s="54"/>
      <c r="AF1277" s="54"/>
      <c r="AG1277" s="55" t="str">
        <f t="shared" si="593"/>
        <v/>
      </c>
      <c r="AH1277" s="56" t="str">
        <f t="shared" si="594"/>
        <v/>
      </c>
      <c r="AI1277" s="55"/>
      <c r="AJ1277" s="56" t="str">
        <f t="shared" si="595"/>
        <v/>
      </c>
      <c r="AK1277" s="55"/>
      <c r="AL1277" s="56" t="str">
        <f t="shared" si="596"/>
        <v/>
      </c>
      <c r="AM1277" s="55"/>
      <c r="AN1277" s="56" t="str">
        <f t="shared" si="597"/>
        <v/>
      </c>
      <c r="AO1277" s="55"/>
      <c r="AP1277" s="56" t="str">
        <f t="shared" si="598"/>
        <v/>
      </c>
      <c r="AQ1277" s="55"/>
      <c r="AR1277" s="56" t="str">
        <f t="shared" si="599"/>
        <v/>
      </c>
      <c r="AS1277" s="57"/>
      <c r="AT1277" s="58"/>
      <c r="AU1277" s="58"/>
      <c r="AV1277" s="59"/>
      <c r="AW1277" s="60" t="str">
        <f t="shared" si="577"/>
        <v/>
      </c>
      <c r="AX1277" s="61" t="str">
        <f t="shared" si="578"/>
        <v/>
      </c>
      <c r="AY1277" s="60" t="str">
        <f t="shared" si="579"/>
        <v/>
      </c>
      <c r="AZ1277" s="61" t="str">
        <f t="shared" si="580"/>
        <v/>
      </c>
    </row>
    <row r="1278" spans="1:52" s="3" customFormat="1" hidden="1" x14ac:dyDescent="0.35">
      <c r="A1278" s="72">
        <f t="shared" si="581"/>
        <v>2021</v>
      </c>
      <c r="B1278" s="72" t="str">
        <f t="shared" si="582"/>
        <v>Nov</v>
      </c>
      <c r="C1278" s="73">
        <f t="shared" si="600"/>
        <v>15</v>
      </c>
      <c r="D1278" s="74">
        <f t="shared" si="583"/>
        <v>13</v>
      </c>
      <c r="E1278" s="75">
        <f t="shared" si="584"/>
        <v>14</v>
      </c>
      <c r="F1278" s="79"/>
      <c r="G1278" s="82"/>
      <c r="H1278" s="68" t="str">
        <f t="shared" si="601"/>
        <v>Clesim6_20211115_13_00</v>
      </c>
      <c r="I1278" s="69">
        <f t="shared" si="605"/>
        <v>1</v>
      </c>
      <c r="J1278" s="76" t="str">
        <f t="shared" si="605"/>
        <v>Clematis</v>
      </c>
      <c r="K1278" s="76" t="str">
        <f t="shared" si="605"/>
        <v>simense</v>
      </c>
      <c r="L1278" s="77">
        <f t="shared" si="605"/>
        <v>6</v>
      </c>
      <c r="M1278" s="77">
        <f t="shared" si="605"/>
        <v>20</v>
      </c>
      <c r="N1278" s="71">
        <f t="shared" si="605"/>
        <v>0</v>
      </c>
      <c r="O1278" s="44"/>
      <c r="P1278" s="45" t="str">
        <f t="shared" si="585"/>
        <v/>
      </c>
      <c r="Q1278" s="46" t="str">
        <f t="shared" si="586"/>
        <v/>
      </c>
      <c r="R1278" s="47" t="e">
        <f t="shared" si="587"/>
        <v>#VALUE!</v>
      </c>
      <c r="S1278" s="48" t="e">
        <f t="shared" si="576"/>
        <v>#VALUE!</v>
      </c>
      <c r="T1278" s="47" t="str">
        <f t="shared" si="588"/>
        <v/>
      </c>
      <c r="U1278" s="49"/>
      <c r="V1278" s="50"/>
      <c r="W1278" s="51" t="e">
        <f t="shared" si="589"/>
        <v>#VALUE!</v>
      </c>
      <c r="X1278" s="52"/>
      <c r="Y1278" s="52"/>
      <c r="Z1278" s="52"/>
      <c r="AA1278" s="47" t="e">
        <f>INDEX(VISITORS[INSECT ORDER], MATCH(X1278,VISITORS[NAME USED],0))</f>
        <v>#N/A</v>
      </c>
      <c r="AB1278" s="47" t="e">
        <f t="shared" si="590"/>
        <v>#N/A</v>
      </c>
      <c r="AC1278" s="53" t="e">
        <f t="shared" si="591"/>
        <v>#VALUE!</v>
      </c>
      <c r="AD1278" s="54" t="str">
        <f t="shared" si="592"/>
        <v/>
      </c>
      <c r="AE1278" s="54"/>
      <c r="AF1278" s="54"/>
      <c r="AG1278" s="55" t="str">
        <f t="shared" si="593"/>
        <v/>
      </c>
      <c r="AH1278" s="56" t="str">
        <f t="shared" si="594"/>
        <v/>
      </c>
      <c r="AI1278" s="55"/>
      <c r="AJ1278" s="56" t="str">
        <f t="shared" si="595"/>
        <v/>
      </c>
      <c r="AK1278" s="55"/>
      <c r="AL1278" s="56" t="str">
        <f t="shared" si="596"/>
        <v/>
      </c>
      <c r="AM1278" s="55"/>
      <c r="AN1278" s="56" t="str">
        <f t="shared" si="597"/>
        <v/>
      </c>
      <c r="AO1278" s="55"/>
      <c r="AP1278" s="56" t="str">
        <f t="shared" si="598"/>
        <v/>
      </c>
      <c r="AQ1278" s="55"/>
      <c r="AR1278" s="56" t="str">
        <f t="shared" si="599"/>
        <v/>
      </c>
      <c r="AS1278" s="57"/>
      <c r="AT1278" s="58"/>
      <c r="AU1278" s="58"/>
      <c r="AV1278" s="59"/>
      <c r="AW1278" s="60" t="str">
        <f t="shared" si="577"/>
        <v/>
      </c>
      <c r="AX1278" s="61" t="str">
        <f t="shared" si="578"/>
        <v/>
      </c>
      <c r="AY1278" s="60" t="str">
        <f t="shared" si="579"/>
        <v/>
      </c>
      <c r="AZ1278" s="61" t="str">
        <f t="shared" si="580"/>
        <v/>
      </c>
    </row>
    <row r="1279" spans="1:52" s="3" customFormat="1" hidden="1" x14ac:dyDescent="0.35">
      <c r="A1279" s="72">
        <f t="shared" si="581"/>
        <v>2021</v>
      </c>
      <c r="B1279" s="72" t="str">
        <f t="shared" si="582"/>
        <v>Nov</v>
      </c>
      <c r="C1279" s="73">
        <f t="shared" si="600"/>
        <v>15</v>
      </c>
      <c r="D1279" s="74">
        <f t="shared" si="583"/>
        <v>13</v>
      </c>
      <c r="E1279" s="75">
        <f t="shared" si="584"/>
        <v>15</v>
      </c>
      <c r="F1279" s="79"/>
      <c r="G1279" s="82"/>
      <c r="H1279" s="68" t="str">
        <f t="shared" si="601"/>
        <v>Clesim6_20211115_13_00</v>
      </c>
      <c r="I1279" s="69">
        <f t="shared" si="605"/>
        <v>1</v>
      </c>
      <c r="J1279" s="76" t="str">
        <f t="shared" si="605"/>
        <v>Clematis</v>
      </c>
      <c r="K1279" s="76" t="str">
        <f t="shared" si="605"/>
        <v>simense</v>
      </c>
      <c r="L1279" s="77">
        <f t="shared" si="605"/>
        <v>6</v>
      </c>
      <c r="M1279" s="77">
        <f t="shared" si="605"/>
        <v>20</v>
      </c>
      <c r="N1279" s="71">
        <f t="shared" si="605"/>
        <v>0</v>
      </c>
      <c r="O1279" s="44"/>
      <c r="P1279" s="45" t="str">
        <f t="shared" si="585"/>
        <v/>
      </c>
      <c r="Q1279" s="46" t="str">
        <f t="shared" si="586"/>
        <v/>
      </c>
      <c r="R1279" s="47" t="e">
        <f t="shared" si="587"/>
        <v>#VALUE!</v>
      </c>
      <c r="S1279" s="48" t="e">
        <f t="shared" si="576"/>
        <v>#VALUE!</v>
      </c>
      <c r="T1279" s="47" t="str">
        <f t="shared" si="588"/>
        <v/>
      </c>
      <c r="U1279" s="49"/>
      <c r="V1279" s="50"/>
      <c r="W1279" s="51" t="e">
        <f t="shared" si="589"/>
        <v>#VALUE!</v>
      </c>
      <c r="X1279" s="52"/>
      <c r="Y1279" s="52"/>
      <c r="Z1279" s="52"/>
      <c r="AA1279" s="47" t="e">
        <f>INDEX(VISITORS[INSECT ORDER], MATCH(X1279,VISITORS[NAME USED],0))</f>
        <v>#N/A</v>
      </c>
      <c r="AB1279" s="47" t="e">
        <f t="shared" si="590"/>
        <v>#N/A</v>
      </c>
      <c r="AC1279" s="53" t="e">
        <f t="shared" si="591"/>
        <v>#VALUE!</v>
      </c>
      <c r="AD1279" s="54" t="str">
        <f t="shared" si="592"/>
        <v/>
      </c>
      <c r="AE1279" s="54"/>
      <c r="AF1279" s="54"/>
      <c r="AG1279" s="55" t="str">
        <f t="shared" si="593"/>
        <v/>
      </c>
      <c r="AH1279" s="56" t="str">
        <f t="shared" si="594"/>
        <v/>
      </c>
      <c r="AI1279" s="55"/>
      <c r="AJ1279" s="56" t="str">
        <f t="shared" si="595"/>
        <v/>
      </c>
      <c r="AK1279" s="55"/>
      <c r="AL1279" s="56" t="str">
        <f t="shared" si="596"/>
        <v/>
      </c>
      <c r="AM1279" s="55"/>
      <c r="AN1279" s="56" t="str">
        <f t="shared" si="597"/>
        <v/>
      </c>
      <c r="AO1279" s="55"/>
      <c r="AP1279" s="56" t="str">
        <f t="shared" si="598"/>
        <v/>
      </c>
      <c r="AQ1279" s="55"/>
      <c r="AR1279" s="56" t="str">
        <f t="shared" si="599"/>
        <v/>
      </c>
      <c r="AS1279" s="57"/>
      <c r="AT1279" s="58"/>
      <c r="AU1279" s="58"/>
      <c r="AV1279" s="59"/>
      <c r="AW1279" s="60" t="str">
        <f t="shared" si="577"/>
        <v/>
      </c>
      <c r="AX1279" s="61" t="str">
        <f t="shared" si="578"/>
        <v/>
      </c>
      <c r="AY1279" s="60" t="str">
        <f t="shared" si="579"/>
        <v/>
      </c>
      <c r="AZ1279" s="61" t="str">
        <f t="shared" si="580"/>
        <v/>
      </c>
    </row>
    <row r="1280" spans="1:52" s="3" customFormat="1" hidden="1" x14ac:dyDescent="0.35">
      <c r="A1280" s="72">
        <f t="shared" si="581"/>
        <v>2021</v>
      </c>
      <c r="B1280" s="72" t="str">
        <f t="shared" si="582"/>
        <v>Nov</v>
      </c>
      <c r="C1280" s="73">
        <f t="shared" si="600"/>
        <v>15</v>
      </c>
      <c r="D1280" s="74">
        <f t="shared" si="583"/>
        <v>13</v>
      </c>
      <c r="E1280" s="75">
        <f t="shared" si="584"/>
        <v>16</v>
      </c>
      <c r="F1280" s="79"/>
      <c r="G1280" s="82"/>
      <c r="H1280" s="68" t="str">
        <f t="shared" si="601"/>
        <v>Clesim6_20211115_13_00</v>
      </c>
      <c r="I1280" s="69">
        <f t="shared" si="605"/>
        <v>1</v>
      </c>
      <c r="J1280" s="76" t="str">
        <f t="shared" si="605"/>
        <v>Clematis</v>
      </c>
      <c r="K1280" s="76" t="str">
        <f t="shared" si="605"/>
        <v>simense</v>
      </c>
      <c r="L1280" s="77">
        <f t="shared" si="605"/>
        <v>6</v>
      </c>
      <c r="M1280" s="77">
        <f t="shared" si="605"/>
        <v>20</v>
      </c>
      <c r="N1280" s="71">
        <f t="shared" si="605"/>
        <v>0</v>
      </c>
      <c r="O1280" s="44"/>
      <c r="P1280" s="45" t="str">
        <f t="shared" si="585"/>
        <v/>
      </c>
      <c r="Q1280" s="46" t="str">
        <f t="shared" si="586"/>
        <v/>
      </c>
      <c r="R1280" s="47" t="e">
        <f t="shared" si="587"/>
        <v>#VALUE!</v>
      </c>
      <c r="S1280" s="48" t="e">
        <f t="shared" si="576"/>
        <v>#VALUE!</v>
      </c>
      <c r="T1280" s="47" t="str">
        <f t="shared" si="588"/>
        <v/>
      </c>
      <c r="U1280" s="49"/>
      <c r="V1280" s="50"/>
      <c r="W1280" s="51" t="e">
        <f t="shared" si="589"/>
        <v>#VALUE!</v>
      </c>
      <c r="X1280" s="52"/>
      <c r="Y1280" s="52"/>
      <c r="Z1280" s="52"/>
      <c r="AA1280" s="47" t="e">
        <f>INDEX(VISITORS[INSECT ORDER], MATCH(X1280,VISITORS[NAME USED],0))</f>
        <v>#N/A</v>
      </c>
      <c r="AB1280" s="47" t="e">
        <f t="shared" si="590"/>
        <v>#N/A</v>
      </c>
      <c r="AC1280" s="53" t="e">
        <f t="shared" si="591"/>
        <v>#VALUE!</v>
      </c>
      <c r="AD1280" s="54" t="str">
        <f t="shared" si="592"/>
        <v/>
      </c>
      <c r="AE1280" s="54"/>
      <c r="AF1280" s="54"/>
      <c r="AG1280" s="55" t="str">
        <f t="shared" si="593"/>
        <v/>
      </c>
      <c r="AH1280" s="56" t="str">
        <f t="shared" si="594"/>
        <v/>
      </c>
      <c r="AI1280" s="55"/>
      <c r="AJ1280" s="56" t="str">
        <f t="shared" si="595"/>
        <v/>
      </c>
      <c r="AK1280" s="55"/>
      <c r="AL1280" s="56" t="str">
        <f t="shared" si="596"/>
        <v/>
      </c>
      <c r="AM1280" s="55"/>
      <c r="AN1280" s="56" t="str">
        <f t="shared" si="597"/>
        <v/>
      </c>
      <c r="AO1280" s="55"/>
      <c r="AP1280" s="56" t="str">
        <f t="shared" si="598"/>
        <v/>
      </c>
      <c r="AQ1280" s="55"/>
      <c r="AR1280" s="56" t="str">
        <f t="shared" si="599"/>
        <v/>
      </c>
      <c r="AS1280" s="57"/>
      <c r="AT1280" s="58"/>
      <c r="AU1280" s="58"/>
      <c r="AV1280" s="59"/>
      <c r="AW1280" s="60" t="str">
        <f t="shared" si="577"/>
        <v/>
      </c>
      <c r="AX1280" s="61" t="str">
        <f t="shared" si="578"/>
        <v/>
      </c>
      <c r="AY1280" s="60" t="str">
        <f t="shared" si="579"/>
        <v/>
      </c>
      <c r="AZ1280" s="61" t="str">
        <f t="shared" si="580"/>
        <v/>
      </c>
    </row>
    <row r="1281" spans="1:52" s="3" customFormat="1" hidden="1" x14ac:dyDescent="0.35">
      <c r="A1281" s="72">
        <f t="shared" si="581"/>
        <v>2021</v>
      </c>
      <c r="B1281" s="72" t="str">
        <f t="shared" si="582"/>
        <v>Nov</v>
      </c>
      <c r="C1281" s="73">
        <f t="shared" si="600"/>
        <v>15</v>
      </c>
      <c r="D1281" s="74">
        <f t="shared" si="583"/>
        <v>13</v>
      </c>
      <c r="E1281" s="75">
        <f t="shared" si="584"/>
        <v>17</v>
      </c>
      <c r="F1281" s="79"/>
      <c r="G1281" s="82"/>
      <c r="H1281" s="68" t="str">
        <f t="shared" si="601"/>
        <v>Clesim6_20211115_13_00</v>
      </c>
      <c r="I1281" s="69">
        <f t="shared" si="605"/>
        <v>1</v>
      </c>
      <c r="J1281" s="76" t="str">
        <f t="shared" si="605"/>
        <v>Clematis</v>
      </c>
      <c r="K1281" s="76" t="str">
        <f t="shared" si="605"/>
        <v>simense</v>
      </c>
      <c r="L1281" s="77">
        <f t="shared" si="605"/>
        <v>6</v>
      </c>
      <c r="M1281" s="77">
        <f t="shared" si="605"/>
        <v>20</v>
      </c>
      <c r="N1281" s="71">
        <f t="shared" si="605"/>
        <v>0</v>
      </c>
      <c r="O1281" s="44"/>
      <c r="P1281" s="45" t="str">
        <f t="shared" si="585"/>
        <v/>
      </c>
      <c r="Q1281" s="46" t="str">
        <f t="shared" si="586"/>
        <v/>
      </c>
      <c r="R1281" s="47" t="e">
        <f t="shared" si="587"/>
        <v>#VALUE!</v>
      </c>
      <c r="S1281" s="48" t="e">
        <f t="shared" si="576"/>
        <v>#VALUE!</v>
      </c>
      <c r="T1281" s="47" t="str">
        <f t="shared" si="588"/>
        <v/>
      </c>
      <c r="U1281" s="49"/>
      <c r="V1281" s="50"/>
      <c r="W1281" s="51" t="e">
        <f t="shared" si="589"/>
        <v>#VALUE!</v>
      </c>
      <c r="X1281" s="52"/>
      <c r="Y1281" s="52"/>
      <c r="Z1281" s="52"/>
      <c r="AA1281" s="47" t="e">
        <f>INDEX(VISITORS[INSECT ORDER], MATCH(X1281,VISITORS[NAME USED],0))</f>
        <v>#N/A</v>
      </c>
      <c r="AB1281" s="47" t="e">
        <f t="shared" si="590"/>
        <v>#N/A</v>
      </c>
      <c r="AC1281" s="53" t="e">
        <f t="shared" si="591"/>
        <v>#VALUE!</v>
      </c>
      <c r="AD1281" s="54" t="str">
        <f t="shared" si="592"/>
        <v/>
      </c>
      <c r="AE1281" s="54"/>
      <c r="AF1281" s="54"/>
      <c r="AG1281" s="55" t="str">
        <f t="shared" si="593"/>
        <v/>
      </c>
      <c r="AH1281" s="56" t="str">
        <f t="shared" si="594"/>
        <v/>
      </c>
      <c r="AI1281" s="55"/>
      <c r="AJ1281" s="56" t="str">
        <f t="shared" si="595"/>
        <v/>
      </c>
      <c r="AK1281" s="55"/>
      <c r="AL1281" s="56" t="str">
        <f t="shared" si="596"/>
        <v/>
      </c>
      <c r="AM1281" s="55"/>
      <c r="AN1281" s="56" t="str">
        <f t="shared" si="597"/>
        <v/>
      </c>
      <c r="AO1281" s="55"/>
      <c r="AP1281" s="56" t="str">
        <f t="shared" si="598"/>
        <v/>
      </c>
      <c r="AQ1281" s="55"/>
      <c r="AR1281" s="56" t="str">
        <f t="shared" si="599"/>
        <v/>
      </c>
      <c r="AS1281" s="57"/>
      <c r="AT1281" s="58"/>
      <c r="AU1281" s="58"/>
      <c r="AV1281" s="59"/>
      <c r="AW1281" s="60" t="str">
        <f t="shared" si="577"/>
        <v/>
      </c>
      <c r="AX1281" s="61" t="str">
        <f t="shared" si="578"/>
        <v/>
      </c>
      <c r="AY1281" s="60" t="str">
        <f t="shared" si="579"/>
        <v/>
      </c>
      <c r="AZ1281" s="61" t="str">
        <f t="shared" si="580"/>
        <v/>
      </c>
    </row>
    <row r="1282" spans="1:52" s="3" customFormat="1" hidden="1" x14ac:dyDescent="0.35">
      <c r="A1282" s="72">
        <f t="shared" si="581"/>
        <v>2021</v>
      </c>
      <c r="B1282" s="72" t="str">
        <f t="shared" si="582"/>
        <v>Nov</v>
      </c>
      <c r="C1282" s="73">
        <f t="shared" si="600"/>
        <v>15</v>
      </c>
      <c r="D1282" s="74">
        <f t="shared" si="583"/>
        <v>13</v>
      </c>
      <c r="E1282" s="75">
        <f t="shared" si="584"/>
        <v>18</v>
      </c>
      <c r="F1282" s="79"/>
      <c r="G1282" s="82"/>
      <c r="H1282" s="68" t="str">
        <f t="shared" si="601"/>
        <v>Clesim6_20211115_13_00</v>
      </c>
      <c r="I1282" s="69">
        <f t="shared" si="605"/>
        <v>1</v>
      </c>
      <c r="J1282" s="76" t="str">
        <f t="shared" si="605"/>
        <v>Clematis</v>
      </c>
      <c r="K1282" s="76" t="str">
        <f t="shared" si="605"/>
        <v>simense</v>
      </c>
      <c r="L1282" s="77">
        <f t="shared" si="605"/>
        <v>6</v>
      </c>
      <c r="M1282" s="77">
        <f t="shared" si="605"/>
        <v>20</v>
      </c>
      <c r="N1282" s="71">
        <f t="shared" si="605"/>
        <v>0</v>
      </c>
      <c r="O1282" s="44"/>
      <c r="P1282" s="45" t="str">
        <f t="shared" si="585"/>
        <v/>
      </c>
      <c r="Q1282" s="46" t="str">
        <f t="shared" si="586"/>
        <v/>
      </c>
      <c r="R1282" s="47" t="e">
        <f t="shared" si="587"/>
        <v>#VALUE!</v>
      </c>
      <c r="S1282" s="48" t="e">
        <f t="shared" si="576"/>
        <v>#VALUE!</v>
      </c>
      <c r="T1282" s="47" t="str">
        <f t="shared" si="588"/>
        <v/>
      </c>
      <c r="U1282" s="49"/>
      <c r="V1282" s="50"/>
      <c r="W1282" s="51" t="e">
        <f t="shared" si="589"/>
        <v>#VALUE!</v>
      </c>
      <c r="X1282" s="52"/>
      <c r="Y1282" s="52"/>
      <c r="Z1282" s="52"/>
      <c r="AA1282" s="47" t="e">
        <f>INDEX(VISITORS[INSECT ORDER], MATCH(X1282,VISITORS[NAME USED],0))</f>
        <v>#N/A</v>
      </c>
      <c r="AB1282" s="47" t="e">
        <f t="shared" si="590"/>
        <v>#N/A</v>
      </c>
      <c r="AC1282" s="53" t="e">
        <f t="shared" si="591"/>
        <v>#VALUE!</v>
      </c>
      <c r="AD1282" s="54" t="str">
        <f t="shared" si="592"/>
        <v/>
      </c>
      <c r="AE1282" s="54"/>
      <c r="AF1282" s="54"/>
      <c r="AG1282" s="55" t="str">
        <f t="shared" si="593"/>
        <v/>
      </c>
      <c r="AH1282" s="56" t="str">
        <f t="shared" si="594"/>
        <v/>
      </c>
      <c r="AI1282" s="55"/>
      <c r="AJ1282" s="56" t="str">
        <f t="shared" si="595"/>
        <v/>
      </c>
      <c r="AK1282" s="55"/>
      <c r="AL1282" s="56" t="str">
        <f t="shared" si="596"/>
        <v/>
      </c>
      <c r="AM1282" s="55"/>
      <c r="AN1282" s="56" t="str">
        <f t="shared" si="597"/>
        <v/>
      </c>
      <c r="AO1282" s="55"/>
      <c r="AP1282" s="56" t="str">
        <f t="shared" si="598"/>
        <v/>
      </c>
      <c r="AQ1282" s="55"/>
      <c r="AR1282" s="56" t="str">
        <f t="shared" si="599"/>
        <v/>
      </c>
      <c r="AS1282" s="57"/>
      <c r="AT1282" s="58"/>
      <c r="AU1282" s="58"/>
      <c r="AV1282" s="59"/>
      <c r="AW1282" s="60" t="str">
        <f t="shared" si="577"/>
        <v/>
      </c>
      <c r="AX1282" s="61" t="str">
        <f t="shared" si="578"/>
        <v/>
      </c>
      <c r="AY1282" s="60" t="str">
        <f t="shared" si="579"/>
        <v/>
      </c>
      <c r="AZ1282" s="61" t="str">
        <f t="shared" si="580"/>
        <v/>
      </c>
    </row>
    <row r="1283" spans="1:52" s="3" customFormat="1" hidden="1" x14ac:dyDescent="0.35">
      <c r="A1283" s="72">
        <f t="shared" si="581"/>
        <v>2021</v>
      </c>
      <c r="B1283" s="72" t="str">
        <f t="shared" si="582"/>
        <v>Nov</v>
      </c>
      <c r="C1283" s="73">
        <f t="shared" si="600"/>
        <v>15</v>
      </c>
      <c r="D1283" s="74">
        <f t="shared" si="583"/>
        <v>13</v>
      </c>
      <c r="E1283" s="75">
        <f t="shared" si="584"/>
        <v>19</v>
      </c>
      <c r="F1283" s="79"/>
      <c r="G1283" s="82"/>
      <c r="H1283" s="68" t="str">
        <f t="shared" si="601"/>
        <v>Clesim6_20211115_13_00</v>
      </c>
      <c r="I1283" s="69">
        <f t="shared" si="605"/>
        <v>1</v>
      </c>
      <c r="J1283" s="76" t="str">
        <f t="shared" si="605"/>
        <v>Clematis</v>
      </c>
      <c r="K1283" s="76" t="str">
        <f t="shared" si="605"/>
        <v>simense</v>
      </c>
      <c r="L1283" s="77">
        <f t="shared" si="605"/>
        <v>6</v>
      </c>
      <c r="M1283" s="77">
        <f t="shared" si="605"/>
        <v>20</v>
      </c>
      <c r="N1283" s="71">
        <f t="shared" si="605"/>
        <v>0</v>
      </c>
      <c r="O1283" s="44"/>
      <c r="P1283" s="45" t="str">
        <f t="shared" si="585"/>
        <v/>
      </c>
      <c r="Q1283" s="46" t="str">
        <f t="shared" si="586"/>
        <v/>
      </c>
      <c r="R1283" s="47" t="e">
        <f t="shared" si="587"/>
        <v>#VALUE!</v>
      </c>
      <c r="S1283" s="48" t="e">
        <f t="shared" si="576"/>
        <v>#VALUE!</v>
      </c>
      <c r="T1283" s="47" t="str">
        <f t="shared" si="588"/>
        <v/>
      </c>
      <c r="U1283" s="49"/>
      <c r="V1283" s="50"/>
      <c r="W1283" s="51" t="e">
        <f t="shared" si="589"/>
        <v>#VALUE!</v>
      </c>
      <c r="X1283" s="52"/>
      <c r="Y1283" s="52"/>
      <c r="Z1283" s="52"/>
      <c r="AA1283" s="47" t="e">
        <f>INDEX(VISITORS[INSECT ORDER], MATCH(X1283,VISITORS[NAME USED],0))</f>
        <v>#N/A</v>
      </c>
      <c r="AB1283" s="47" t="e">
        <f t="shared" si="590"/>
        <v>#N/A</v>
      </c>
      <c r="AC1283" s="53" t="e">
        <f t="shared" si="591"/>
        <v>#VALUE!</v>
      </c>
      <c r="AD1283" s="54" t="str">
        <f t="shared" si="592"/>
        <v/>
      </c>
      <c r="AE1283" s="54"/>
      <c r="AF1283" s="54"/>
      <c r="AG1283" s="55" t="str">
        <f t="shared" si="593"/>
        <v/>
      </c>
      <c r="AH1283" s="56" t="str">
        <f t="shared" si="594"/>
        <v/>
      </c>
      <c r="AI1283" s="55"/>
      <c r="AJ1283" s="56" t="str">
        <f t="shared" si="595"/>
        <v/>
      </c>
      <c r="AK1283" s="55"/>
      <c r="AL1283" s="56" t="str">
        <f t="shared" si="596"/>
        <v/>
      </c>
      <c r="AM1283" s="55"/>
      <c r="AN1283" s="56" t="str">
        <f t="shared" si="597"/>
        <v/>
      </c>
      <c r="AO1283" s="55"/>
      <c r="AP1283" s="56" t="str">
        <f t="shared" si="598"/>
        <v/>
      </c>
      <c r="AQ1283" s="55"/>
      <c r="AR1283" s="56" t="str">
        <f t="shared" si="599"/>
        <v/>
      </c>
      <c r="AS1283" s="57"/>
      <c r="AT1283" s="58"/>
      <c r="AU1283" s="58"/>
      <c r="AV1283" s="59"/>
      <c r="AW1283" s="60" t="str">
        <f t="shared" si="577"/>
        <v/>
      </c>
      <c r="AX1283" s="61" t="str">
        <f t="shared" si="578"/>
        <v/>
      </c>
      <c r="AY1283" s="60" t="str">
        <f t="shared" si="579"/>
        <v/>
      </c>
      <c r="AZ1283" s="61" t="str">
        <f t="shared" si="580"/>
        <v/>
      </c>
    </row>
    <row r="1284" spans="1:52" s="3" customFormat="1" hidden="1" x14ac:dyDescent="0.35">
      <c r="A1284" s="72">
        <f t="shared" si="581"/>
        <v>2021</v>
      </c>
      <c r="B1284" s="72" t="str">
        <f t="shared" si="582"/>
        <v>Nov</v>
      </c>
      <c r="C1284" s="73">
        <f t="shared" si="600"/>
        <v>15</v>
      </c>
      <c r="D1284" s="74">
        <f t="shared" si="583"/>
        <v>13</v>
      </c>
      <c r="E1284" s="75">
        <f t="shared" si="584"/>
        <v>20</v>
      </c>
      <c r="F1284" s="79"/>
      <c r="G1284" s="82"/>
      <c r="H1284" s="68" t="str">
        <f t="shared" si="601"/>
        <v>Clesim6_20211115_13_00</v>
      </c>
      <c r="I1284" s="69">
        <f t="shared" si="605"/>
        <v>1</v>
      </c>
      <c r="J1284" s="76" t="str">
        <f t="shared" si="605"/>
        <v>Clematis</v>
      </c>
      <c r="K1284" s="76" t="str">
        <f t="shared" si="605"/>
        <v>simense</v>
      </c>
      <c r="L1284" s="77">
        <f t="shared" si="605"/>
        <v>6</v>
      </c>
      <c r="M1284" s="77">
        <f t="shared" si="605"/>
        <v>20</v>
      </c>
      <c r="N1284" s="71">
        <f t="shared" si="605"/>
        <v>0</v>
      </c>
      <c r="O1284" s="44"/>
      <c r="P1284" s="45" t="str">
        <f t="shared" si="585"/>
        <v/>
      </c>
      <c r="Q1284" s="46" t="str">
        <f t="shared" si="586"/>
        <v/>
      </c>
      <c r="R1284" s="47" t="e">
        <f t="shared" si="587"/>
        <v>#VALUE!</v>
      </c>
      <c r="S1284" s="48" t="e">
        <f t="shared" ref="S1284:S1347" si="606">IF(T1284&lt;D1284, (T1284*3600+U1284*60+V1284)+((23*3600+59*60+60)-(D1284*3600+E1284*60+LEFT(F1284,2))), (T1284*3600+U1284*60+V1284)-(D1284*3600+E1284*60+LEFT(F1284,2)))</f>
        <v>#VALUE!</v>
      </c>
      <c r="T1284" s="47" t="str">
        <f t="shared" si="588"/>
        <v/>
      </c>
      <c r="U1284" s="49"/>
      <c r="V1284" s="50"/>
      <c r="W1284" s="51" t="e">
        <f t="shared" si="589"/>
        <v>#VALUE!</v>
      </c>
      <c r="X1284" s="52"/>
      <c r="Y1284" s="52"/>
      <c r="Z1284" s="52"/>
      <c r="AA1284" s="47" t="e">
        <f>INDEX(VISITORS[INSECT ORDER], MATCH(X1284,VISITORS[NAME USED],0))</f>
        <v>#N/A</v>
      </c>
      <c r="AB1284" s="47" t="e">
        <f t="shared" si="590"/>
        <v>#N/A</v>
      </c>
      <c r="AC1284" s="53" t="e">
        <f t="shared" si="591"/>
        <v>#VALUE!</v>
      </c>
      <c r="AD1284" s="54" t="str">
        <f t="shared" si="592"/>
        <v/>
      </c>
      <c r="AE1284" s="54"/>
      <c r="AF1284" s="54"/>
      <c r="AG1284" s="55" t="str">
        <f t="shared" si="593"/>
        <v/>
      </c>
      <c r="AH1284" s="56" t="str">
        <f t="shared" si="594"/>
        <v/>
      </c>
      <c r="AI1284" s="55"/>
      <c r="AJ1284" s="56" t="str">
        <f t="shared" si="595"/>
        <v/>
      </c>
      <c r="AK1284" s="55"/>
      <c r="AL1284" s="56" t="str">
        <f t="shared" si="596"/>
        <v/>
      </c>
      <c r="AM1284" s="55"/>
      <c r="AN1284" s="56" t="str">
        <f t="shared" si="597"/>
        <v/>
      </c>
      <c r="AO1284" s="55"/>
      <c r="AP1284" s="56" t="str">
        <f t="shared" si="598"/>
        <v/>
      </c>
      <c r="AQ1284" s="55"/>
      <c r="AR1284" s="56" t="str">
        <f t="shared" si="599"/>
        <v/>
      </c>
      <c r="AS1284" s="57"/>
      <c r="AT1284" s="58"/>
      <c r="AU1284" s="58"/>
      <c r="AV1284" s="59"/>
      <c r="AW1284" s="60" t="str">
        <f t="shared" ref="AW1284:AW1347" si="607">IF(P1284=1,0,"")</f>
        <v/>
      </c>
      <c r="AX1284" s="61" t="str">
        <f t="shared" ref="AX1284:AX1347" si="608">IF(AW1284=1,AD1284,"")</f>
        <v/>
      </c>
      <c r="AY1284" s="60" t="str">
        <f t="shared" ref="AY1284:AY1347" si="609">IF(P1284=1,0,"")</f>
        <v/>
      </c>
      <c r="AZ1284" s="61" t="str">
        <f t="shared" ref="AZ1284:AZ1347" si="610">IF(AY1284=1,AD1284,"")</f>
        <v/>
      </c>
    </row>
    <row r="1285" spans="1:52" s="3" customFormat="1" hidden="1" x14ac:dyDescent="0.35">
      <c r="A1285" s="72">
        <f t="shared" ref="A1285:A1348" si="611">A1284</f>
        <v>2021</v>
      </c>
      <c r="B1285" s="72" t="str">
        <f t="shared" ref="B1285:B1348" si="612">IF(C1284-C1285&gt;0, TEXT(DATE(2016,(MONTH(DATEVALUE(B1284&amp;"1"))+1),1),"mmm"), B1284)</f>
        <v>Nov</v>
      </c>
      <c r="C1285" s="73">
        <f t="shared" si="600"/>
        <v>15</v>
      </c>
      <c r="D1285" s="74">
        <f t="shared" ref="D1285:D1348" si="613">IF(IF(E1284=59,D1284+1,D1284)=24,0,IF(E1284=59,D1284+1,D1284))</f>
        <v>13</v>
      </c>
      <c r="E1285" s="75">
        <f t="shared" ref="E1285:E1348" si="614">IF(E1284&lt;59,E1284+1,0)</f>
        <v>21</v>
      </c>
      <c r="F1285" s="79"/>
      <c r="G1285" s="82"/>
      <c r="H1285" s="68" t="str">
        <f t="shared" si="601"/>
        <v>Clesim6_20211115_13_00</v>
      </c>
      <c r="I1285" s="69">
        <f t="shared" si="605"/>
        <v>1</v>
      </c>
      <c r="J1285" s="76" t="str">
        <f t="shared" si="605"/>
        <v>Clematis</v>
      </c>
      <c r="K1285" s="76" t="str">
        <f t="shared" si="605"/>
        <v>simense</v>
      </c>
      <c r="L1285" s="77">
        <f t="shared" si="605"/>
        <v>6</v>
      </c>
      <c r="M1285" s="77">
        <f t="shared" si="605"/>
        <v>20</v>
      </c>
      <c r="N1285" s="71">
        <f t="shared" si="605"/>
        <v>0</v>
      </c>
      <c r="O1285" s="44"/>
      <c r="P1285" s="45" t="str">
        <f t="shared" ref="P1285:P1348" si="615">IF(F1285="","",1)</f>
        <v/>
      </c>
      <c r="Q1285" s="46" t="str">
        <f t="shared" ref="Q1285:Q1348" si="616">TEXT(IF(P1285=1,CONCATENATE($D1285,":",$E1285,":",(LEFT($F1285,2))),""),"hh:mm:ss")</f>
        <v/>
      </c>
      <c r="R1285" s="47" t="e">
        <f t="shared" ref="R1285:R1348" si="617">TEXT(Q1285-TIME(0,RIGHT($H1285,2),$G$9)+(Q1285&gt;TIME(0,RIGHT($H1285,2),$G$9)),"mm:ss")</f>
        <v>#VALUE!</v>
      </c>
      <c r="S1285" s="48" t="e">
        <f t="shared" si="606"/>
        <v>#VALUE!</v>
      </c>
      <c r="T1285" s="47" t="str">
        <f t="shared" ref="T1285:T1348" si="618">TEXT(IF(P1285=1,D1285,""),"00")</f>
        <v/>
      </c>
      <c r="U1285" s="49"/>
      <c r="V1285" s="50"/>
      <c r="W1285" s="51" t="e">
        <f t="shared" ref="W1285:W1348" si="619">IF(O1285=0,TEXT(TIME(T1285,U1285,V1285)-TIME(D1285,E1285,RIGHT(F1285,2))+TIME(0,LEFT(R1285,2),RIGHT(R1285,2)),"mm:ss"),TEXT(TIME(T1285,U1285,V1285)-TIME(D1285,E1285,RIGHT(F1285,2))+TIME(0,LEFT(R1285,2),RIGHT(R1285,2))-TIME(0,($G$10*O1285),0),"mm:ss"))</f>
        <v>#VALUE!</v>
      </c>
      <c r="X1285" s="52"/>
      <c r="Y1285" s="52"/>
      <c r="Z1285" s="52"/>
      <c r="AA1285" s="47" t="e">
        <f>INDEX(VISITORS[INSECT ORDER], MATCH(X1285,VISITORS[NAME USED],0))</f>
        <v>#N/A</v>
      </c>
      <c r="AB1285" s="47" t="e">
        <f t="shared" ref="AB1285:AB1348" si="620">IF(AA1285&lt;&gt;0,"NA","")</f>
        <v>#N/A</v>
      </c>
      <c r="AC1285" s="53" t="e">
        <f t="shared" ref="AC1285:AC1348" si="621">IF(SUM(AH1285,AJ1285,AL1285,AN1285,AP1285,AR1285)=S1285,,"")</f>
        <v>#VALUE!</v>
      </c>
      <c r="AD1285" s="54" t="str">
        <f t="shared" ref="AD1285:AD1348" si="622">IF(P1285=1,1,"")</f>
        <v/>
      </c>
      <c r="AE1285" s="54"/>
      <c r="AF1285" s="54"/>
      <c r="AG1285" s="55" t="str">
        <f t="shared" ref="AG1285:AG1348" si="623">IF(OR(X1285="Something small"),1,"")</f>
        <v/>
      </c>
      <c r="AH1285" s="56" t="str">
        <f t="shared" ref="AH1285:AH1348" si="624">IF(AG1285=1,$S1285,"")</f>
        <v/>
      </c>
      <c r="AI1285" s="55"/>
      <c r="AJ1285" s="56" t="str">
        <f t="shared" ref="AJ1285:AJ1348" si="625">IF(AI1285=1,$S1285,"")</f>
        <v/>
      </c>
      <c r="AK1285" s="55"/>
      <c r="AL1285" s="56" t="str">
        <f t="shared" ref="AL1285:AL1348" si="626">IF(AK1285=1,$S1285,"")</f>
        <v/>
      </c>
      <c r="AM1285" s="55"/>
      <c r="AN1285" s="56" t="str">
        <f t="shared" ref="AN1285:AN1348" si="627">IF(AM1285=1,$S1285,"")</f>
        <v/>
      </c>
      <c r="AO1285" s="55"/>
      <c r="AP1285" s="56" t="str">
        <f t="shared" ref="AP1285:AP1348" si="628">IF(AO1285=1,$S1285,"")</f>
        <v/>
      </c>
      <c r="AQ1285" s="55"/>
      <c r="AR1285" s="56" t="str">
        <f t="shared" ref="AR1285:AR1348" si="629">IF(AQ1285=1,$S1285,"")</f>
        <v/>
      </c>
      <c r="AS1285" s="57"/>
      <c r="AT1285" s="58"/>
      <c r="AU1285" s="58"/>
      <c r="AV1285" s="59"/>
      <c r="AW1285" s="60" t="str">
        <f t="shared" si="607"/>
        <v/>
      </c>
      <c r="AX1285" s="61" t="str">
        <f t="shared" si="608"/>
        <v/>
      </c>
      <c r="AY1285" s="60" t="str">
        <f t="shared" si="609"/>
        <v/>
      </c>
      <c r="AZ1285" s="61" t="str">
        <f t="shared" si="610"/>
        <v/>
      </c>
    </row>
    <row r="1286" spans="1:52" s="3" customFormat="1" hidden="1" x14ac:dyDescent="0.35">
      <c r="A1286" s="72">
        <f t="shared" si="611"/>
        <v>2021</v>
      </c>
      <c r="B1286" s="72" t="str">
        <f t="shared" si="612"/>
        <v>Nov</v>
      </c>
      <c r="C1286" s="73">
        <f t="shared" ref="C1286:C1349" si="630">IF(AND(D1286=0, E1286=0), IF(TEXT(C1285,"dd")=TEXT(EOMONTH(DATE(A1285,MONTH(DATEVALUE(B1285&amp;"1")),C1285),0), "dd"), 1, C1285+1), C1285)</f>
        <v>15</v>
      </c>
      <c r="D1286" s="74">
        <f t="shared" si="613"/>
        <v>13</v>
      </c>
      <c r="E1286" s="75">
        <f t="shared" si="614"/>
        <v>22</v>
      </c>
      <c r="F1286" s="79"/>
      <c r="G1286" s="82"/>
      <c r="H1286" s="68" t="str">
        <f t="shared" ref="H1286:H1349" si="631">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Clesim6_20211115_13_00</v>
      </c>
      <c r="I1286" s="69">
        <f t="shared" ref="I1286:N1301" si="632">I1285</f>
        <v>1</v>
      </c>
      <c r="J1286" s="76" t="str">
        <f t="shared" si="632"/>
        <v>Clematis</v>
      </c>
      <c r="K1286" s="76" t="str">
        <f t="shared" si="632"/>
        <v>simense</v>
      </c>
      <c r="L1286" s="77">
        <f t="shared" si="632"/>
        <v>6</v>
      </c>
      <c r="M1286" s="77">
        <f t="shared" si="632"/>
        <v>20</v>
      </c>
      <c r="N1286" s="71">
        <f t="shared" si="632"/>
        <v>0</v>
      </c>
      <c r="O1286" s="44"/>
      <c r="P1286" s="45" t="str">
        <f t="shared" si="615"/>
        <v/>
      </c>
      <c r="Q1286" s="46" t="str">
        <f t="shared" si="616"/>
        <v/>
      </c>
      <c r="R1286" s="47" t="e">
        <f t="shared" si="617"/>
        <v>#VALUE!</v>
      </c>
      <c r="S1286" s="48" t="e">
        <f t="shared" si="606"/>
        <v>#VALUE!</v>
      </c>
      <c r="T1286" s="47" t="str">
        <f t="shared" si="618"/>
        <v/>
      </c>
      <c r="U1286" s="49"/>
      <c r="V1286" s="50"/>
      <c r="W1286" s="51" t="e">
        <f t="shared" si="619"/>
        <v>#VALUE!</v>
      </c>
      <c r="X1286" s="52"/>
      <c r="Y1286" s="52"/>
      <c r="Z1286" s="52"/>
      <c r="AA1286" s="47" t="e">
        <f>INDEX(VISITORS[INSECT ORDER], MATCH(X1286,VISITORS[NAME USED],0))</f>
        <v>#N/A</v>
      </c>
      <c r="AB1286" s="47" t="e">
        <f t="shared" si="620"/>
        <v>#N/A</v>
      </c>
      <c r="AC1286" s="53" t="e">
        <f t="shared" si="621"/>
        <v>#VALUE!</v>
      </c>
      <c r="AD1286" s="54" t="str">
        <f t="shared" si="622"/>
        <v/>
      </c>
      <c r="AE1286" s="54"/>
      <c r="AF1286" s="54"/>
      <c r="AG1286" s="55" t="str">
        <f t="shared" si="623"/>
        <v/>
      </c>
      <c r="AH1286" s="56" t="str">
        <f t="shared" si="624"/>
        <v/>
      </c>
      <c r="AI1286" s="55"/>
      <c r="AJ1286" s="56" t="str">
        <f t="shared" si="625"/>
        <v/>
      </c>
      <c r="AK1286" s="55"/>
      <c r="AL1286" s="56" t="str">
        <f t="shared" si="626"/>
        <v/>
      </c>
      <c r="AM1286" s="55"/>
      <c r="AN1286" s="56" t="str">
        <f t="shared" si="627"/>
        <v/>
      </c>
      <c r="AO1286" s="55"/>
      <c r="AP1286" s="56" t="str">
        <f t="shared" si="628"/>
        <v/>
      </c>
      <c r="AQ1286" s="55"/>
      <c r="AR1286" s="56" t="str">
        <f t="shared" si="629"/>
        <v/>
      </c>
      <c r="AS1286" s="57"/>
      <c r="AT1286" s="58"/>
      <c r="AU1286" s="58"/>
      <c r="AV1286" s="59"/>
      <c r="AW1286" s="60" t="str">
        <f t="shared" si="607"/>
        <v/>
      </c>
      <c r="AX1286" s="61" t="str">
        <f t="shared" si="608"/>
        <v/>
      </c>
      <c r="AY1286" s="60" t="str">
        <f t="shared" si="609"/>
        <v/>
      </c>
      <c r="AZ1286" s="61" t="str">
        <f t="shared" si="610"/>
        <v/>
      </c>
    </row>
    <row r="1287" spans="1:52" s="3" customFormat="1" hidden="1" x14ac:dyDescent="0.35">
      <c r="A1287" s="72">
        <f t="shared" si="611"/>
        <v>2021</v>
      </c>
      <c r="B1287" s="72" t="str">
        <f t="shared" si="612"/>
        <v>Nov</v>
      </c>
      <c r="C1287" s="73">
        <f t="shared" si="630"/>
        <v>15</v>
      </c>
      <c r="D1287" s="74">
        <f t="shared" si="613"/>
        <v>13</v>
      </c>
      <c r="E1287" s="75">
        <f t="shared" si="614"/>
        <v>23</v>
      </c>
      <c r="F1287" s="79"/>
      <c r="G1287" s="82"/>
      <c r="H1287" s="68" t="str">
        <f t="shared" si="631"/>
        <v>Clesim6_20211115_13_00</v>
      </c>
      <c r="I1287" s="69">
        <f t="shared" si="632"/>
        <v>1</v>
      </c>
      <c r="J1287" s="76" t="str">
        <f t="shared" si="632"/>
        <v>Clematis</v>
      </c>
      <c r="K1287" s="76" t="str">
        <f t="shared" si="632"/>
        <v>simense</v>
      </c>
      <c r="L1287" s="77">
        <f t="shared" si="632"/>
        <v>6</v>
      </c>
      <c r="M1287" s="77">
        <f t="shared" si="632"/>
        <v>20</v>
      </c>
      <c r="N1287" s="71">
        <f t="shared" si="632"/>
        <v>0</v>
      </c>
      <c r="O1287" s="44"/>
      <c r="P1287" s="45" t="str">
        <f t="shared" si="615"/>
        <v/>
      </c>
      <c r="Q1287" s="46" t="str">
        <f t="shared" si="616"/>
        <v/>
      </c>
      <c r="R1287" s="47" t="e">
        <f t="shared" si="617"/>
        <v>#VALUE!</v>
      </c>
      <c r="S1287" s="48" t="e">
        <f t="shared" si="606"/>
        <v>#VALUE!</v>
      </c>
      <c r="T1287" s="47" t="str">
        <f t="shared" si="618"/>
        <v/>
      </c>
      <c r="U1287" s="49"/>
      <c r="V1287" s="50"/>
      <c r="W1287" s="51" t="e">
        <f t="shared" si="619"/>
        <v>#VALUE!</v>
      </c>
      <c r="X1287" s="52"/>
      <c r="Y1287" s="52"/>
      <c r="Z1287" s="52"/>
      <c r="AA1287" s="47" t="e">
        <f>INDEX(VISITORS[INSECT ORDER], MATCH(X1287,VISITORS[NAME USED],0))</f>
        <v>#N/A</v>
      </c>
      <c r="AB1287" s="47" t="e">
        <f t="shared" si="620"/>
        <v>#N/A</v>
      </c>
      <c r="AC1287" s="53" t="e">
        <f t="shared" si="621"/>
        <v>#VALUE!</v>
      </c>
      <c r="AD1287" s="54" t="str">
        <f t="shared" si="622"/>
        <v/>
      </c>
      <c r="AE1287" s="54"/>
      <c r="AF1287" s="54"/>
      <c r="AG1287" s="55" t="str">
        <f t="shared" si="623"/>
        <v/>
      </c>
      <c r="AH1287" s="56" t="str">
        <f t="shared" si="624"/>
        <v/>
      </c>
      <c r="AI1287" s="55"/>
      <c r="AJ1287" s="56" t="str">
        <f t="shared" si="625"/>
        <v/>
      </c>
      <c r="AK1287" s="55"/>
      <c r="AL1287" s="56" t="str">
        <f t="shared" si="626"/>
        <v/>
      </c>
      <c r="AM1287" s="55"/>
      <c r="AN1287" s="56" t="str">
        <f t="shared" si="627"/>
        <v/>
      </c>
      <c r="AO1287" s="55"/>
      <c r="AP1287" s="56" t="str">
        <f t="shared" si="628"/>
        <v/>
      </c>
      <c r="AQ1287" s="55"/>
      <c r="AR1287" s="56" t="str">
        <f t="shared" si="629"/>
        <v/>
      </c>
      <c r="AS1287" s="57"/>
      <c r="AT1287" s="58"/>
      <c r="AU1287" s="58"/>
      <c r="AV1287" s="59"/>
      <c r="AW1287" s="60" t="str">
        <f t="shared" si="607"/>
        <v/>
      </c>
      <c r="AX1287" s="61" t="str">
        <f t="shared" si="608"/>
        <v/>
      </c>
      <c r="AY1287" s="60" t="str">
        <f t="shared" si="609"/>
        <v/>
      </c>
      <c r="AZ1287" s="61" t="str">
        <f t="shared" si="610"/>
        <v/>
      </c>
    </row>
    <row r="1288" spans="1:52" s="3" customFormat="1" hidden="1" x14ac:dyDescent="0.35">
      <c r="A1288" s="72">
        <f t="shared" si="611"/>
        <v>2021</v>
      </c>
      <c r="B1288" s="72" t="str">
        <f t="shared" si="612"/>
        <v>Nov</v>
      </c>
      <c r="C1288" s="73">
        <f t="shared" si="630"/>
        <v>15</v>
      </c>
      <c r="D1288" s="74">
        <f t="shared" si="613"/>
        <v>13</v>
      </c>
      <c r="E1288" s="75">
        <f t="shared" si="614"/>
        <v>24</v>
      </c>
      <c r="F1288" s="79"/>
      <c r="G1288" s="82"/>
      <c r="H1288" s="68" t="str">
        <f t="shared" si="631"/>
        <v>Clesim6_20211115_13_00</v>
      </c>
      <c r="I1288" s="69">
        <f t="shared" si="632"/>
        <v>1</v>
      </c>
      <c r="J1288" s="76" t="str">
        <f t="shared" si="632"/>
        <v>Clematis</v>
      </c>
      <c r="K1288" s="76" t="str">
        <f t="shared" si="632"/>
        <v>simense</v>
      </c>
      <c r="L1288" s="77">
        <f t="shared" si="632"/>
        <v>6</v>
      </c>
      <c r="M1288" s="77">
        <f t="shared" si="632"/>
        <v>20</v>
      </c>
      <c r="N1288" s="71">
        <f t="shared" si="632"/>
        <v>0</v>
      </c>
      <c r="O1288" s="44"/>
      <c r="P1288" s="45" t="str">
        <f t="shared" si="615"/>
        <v/>
      </c>
      <c r="Q1288" s="46" t="str">
        <f t="shared" si="616"/>
        <v/>
      </c>
      <c r="R1288" s="47" t="e">
        <f t="shared" si="617"/>
        <v>#VALUE!</v>
      </c>
      <c r="S1288" s="48" t="e">
        <f t="shared" si="606"/>
        <v>#VALUE!</v>
      </c>
      <c r="T1288" s="47" t="str">
        <f t="shared" si="618"/>
        <v/>
      </c>
      <c r="U1288" s="49"/>
      <c r="V1288" s="50"/>
      <c r="W1288" s="51" t="e">
        <f t="shared" si="619"/>
        <v>#VALUE!</v>
      </c>
      <c r="X1288" s="52"/>
      <c r="Y1288" s="52"/>
      <c r="Z1288" s="52"/>
      <c r="AA1288" s="47" t="e">
        <f>INDEX(VISITORS[INSECT ORDER], MATCH(X1288,VISITORS[NAME USED],0))</f>
        <v>#N/A</v>
      </c>
      <c r="AB1288" s="47" t="e">
        <f t="shared" si="620"/>
        <v>#N/A</v>
      </c>
      <c r="AC1288" s="53" t="e">
        <f t="shared" si="621"/>
        <v>#VALUE!</v>
      </c>
      <c r="AD1288" s="54" t="str">
        <f t="shared" si="622"/>
        <v/>
      </c>
      <c r="AE1288" s="54"/>
      <c r="AF1288" s="54"/>
      <c r="AG1288" s="55" t="str">
        <f t="shared" si="623"/>
        <v/>
      </c>
      <c r="AH1288" s="56" t="str">
        <f t="shared" si="624"/>
        <v/>
      </c>
      <c r="AI1288" s="55"/>
      <c r="AJ1288" s="56" t="str">
        <f t="shared" si="625"/>
        <v/>
      </c>
      <c r="AK1288" s="55"/>
      <c r="AL1288" s="56" t="str">
        <f t="shared" si="626"/>
        <v/>
      </c>
      <c r="AM1288" s="55"/>
      <c r="AN1288" s="56" t="str">
        <f t="shared" si="627"/>
        <v/>
      </c>
      <c r="AO1288" s="55"/>
      <c r="AP1288" s="56" t="str">
        <f t="shared" si="628"/>
        <v/>
      </c>
      <c r="AQ1288" s="55"/>
      <c r="AR1288" s="56" t="str">
        <f t="shared" si="629"/>
        <v/>
      </c>
      <c r="AS1288" s="57"/>
      <c r="AT1288" s="58"/>
      <c r="AU1288" s="58"/>
      <c r="AV1288" s="59"/>
      <c r="AW1288" s="60" t="str">
        <f t="shared" si="607"/>
        <v/>
      </c>
      <c r="AX1288" s="61" t="str">
        <f t="shared" si="608"/>
        <v/>
      </c>
      <c r="AY1288" s="60" t="str">
        <f t="shared" si="609"/>
        <v/>
      </c>
      <c r="AZ1288" s="61" t="str">
        <f t="shared" si="610"/>
        <v/>
      </c>
    </row>
    <row r="1289" spans="1:52" s="3" customFormat="1" hidden="1" x14ac:dyDescent="0.35">
      <c r="A1289" s="72">
        <f t="shared" si="611"/>
        <v>2021</v>
      </c>
      <c r="B1289" s="72" t="str">
        <f t="shared" si="612"/>
        <v>Nov</v>
      </c>
      <c r="C1289" s="73">
        <f t="shared" si="630"/>
        <v>15</v>
      </c>
      <c r="D1289" s="74">
        <f t="shared" si="613"/>
        <v>13</v>
      </c>
      <c r="E1289" s="75">
        <f t="shared" si="614"/>
        <v>25</v>
      </c>
      <c r="F1289" s="79"/>
      <c r="G1289" s="82"/>
      <c r="H1289" s="68" t="str">
        <f t="shared" si="631"/>
        <v>Clesim6_20211115_13_00</v>
      </c>
      <c r="I1289" s="69">
        <f t="shared" si="632"/>
        <v>1</v>
      </c>
      <c r="J1289" s="76" t="str">
        <f t="shared" si="632"/>
        <v>Clematis</v>
      </c>
      <c r="K1289" s="76" t="str">
        <f t="shared" si="632"/>
        <v>simense</v>
      </c>
      <c r="L1289" s="77">
        <f t="shared" si="632"/>
        <v>6</v>
      </c>
      <c r="M1289" s="77">
        <f t="shared" si="632"/>
        <v>20</v>
      </c>
      <c r="N1289" s="71">
        <f t="shared" si="632"/>
        <v>0</v>
      </c>
      <c r="O1289" s="44"/>
      <c r="P1289" s="45" t="str">
        <f t="shared" si="615"/>
        <v/>
      </c>
      <c r="Q1289" s="46" t="str">
        <f t="shared" si="616"/>
        <v/>
      </c>
      <c r="R1289" s="47" t="e">
        <f t="shared" si="617"/>
        <v>#VALUE!</v>
      </c>
      <c r="S1289" s="48" t="e">
        <f t="shared" si="606"/>
        <v>#VALUE!</v>
      </c>
      <c r="T1289" s="47" t="str">
        <f t="shared" si="618"/>
        <v/>
      </c>
      <c r="U1289" s="49"/>
      <c r="V1289" s="50"/>
      <c r="W1289" s="51" t="e">
        <f t="shared" si="619"/>
        <v>#VALUE!</v>
      </c>
      <c r="X1289" s="52"/>
      <c r="Y1289" s="52"/>
      <c r="Z1289" s="52"/>
      <c r="AA1289" s="47" t="e">
        <f>INDEX(VISITORS[INSECT ORDER], MATCH(X1289,VISITORS[NAME USED],0))</f>
        <v>#N/A</v>
      </c>
      <c r="AB1289" s="47" t="e">
        <f t="shared" si="620"/>
        <v>#N/A</v>
      </c>
      <c r="AC1289" s="53" t="e">
        <f t="shared" si="621"/>
        <v>#VALUE!</v>
      </c>
      <c r="AD1289" s="54" t="str">
        <f t="shared" si="622"/>
        <v/>
      </c>
      <c r="AE1289" s="54"/>
      <c r="AF1289" s="54"/>
      <c r="AG1289" s="55" t="str">
        <f t="shared" si="623"/>
        <v/>
      </c>
      <c r="AH1289" s="56" t="str">
        <f t="shared" si="624"/>
        <v/>
      </c>
      <c r="AI1289" s="55"/>
      <c r="AJ1289" s="56" t="str">
        <f t="shared" si="625"/>
        <v/>
      </c>
      <c r="AK1289" s="55"/>
      <c r="AL1289" s="56" t="str">
        <f t="shared" si="626"/>
        <v/>
      </c>
      <c r="AM1289" s="55"/>
      <c r="AN1289" s="56" t="str">
        <f t="shared" si="627"/>
        <v/>
      </c>
      <c r="AO1289" s="55"/>
      <c r="AP1289" s="56" t="str">
        <f t="shared" si="628"/>
        <v/>
      </c>
      <c r="AQ1289" s="55"/>
      <c r="AR1289" s="56" t="str">
        <f t="shared" si="629"/>
        <v/>
      </c>
      <c r="AS1289" s="57"/>
      <c r="AT1289" s="58"/>
      <c r="AU1289" s="58"/>
      <c r="AV1289" s="59"/>
      <c r="AW1289" s="60" t="str">
        <f t="shared" si="607"/>
        <v/>
      </c>
      <c r="AX1289" s="61" t="str">
        <f t="shared" si="608"/>
        <v/>
      </c>
      <c r="AY1289" s="60" t="str">
        <f t="shared" si="609"/>
        <v/>
      </c>
      <c r="AZ1289" s="61" t="str">
        <f t="shared" si="610"/>
        <v/>
      </c>
    </row>
    <row r="1290" spans="1:52" s="3" customFormat="1" hidden="1" x14ac:dyDescent="0.35">
      <c r="A1290" s="72">
        <f t="shared" si="611"/>
        <v>2021</v>
      </c>
      <c r="B1290" s="72" t="str">
        <f t="shared" si="612"/>
        <v>Nov</v>
      </c>
      <c r="C1290" s="73">
        <f t="shared" si="630"/>
        <v>15</v>
      </c>
      <c r="D1290" s="74">
        <f t="shared" si="613"/>
        <v>13</v>
      </c>
      <c r="E1290" s="75">
        <f t="shared" si="614"/>
        <v>26</v>
      </c>
      <c r="F1290" s="79"/>
      <c r="G1290" s="82"/>
      <c r="H1290" s="68" t="str">
        <f t="shared" si="631"/>
        <v>Clesim6_20211115_13_00</v>
      </c>
      <c r="I1290" s="69">
        <f t="shared" si="632"/>
        <v>1</v>
      </c>
      <c r="J1290" s="76" t="str">
        <f t="shared" si="632"/>
        <v>Clematis</v>
      </c>
      <c r="K1290" s="76" t="str">
        <f t="shared" si="632"/>
        <v>simense</v>
      </c>
      <c r="L1290" s="77">
        <f t="shared" si="632"/>
        <v>6</v>
      </c>
      <c r="M1290" s="77">
        <f t="shared" si="632"/>
        <v>20</v>
      </c>
      <c r="N1290" s="71">
        <f t="shared" si="632"/>
        <v>0</v>
      </c>
      <c r="O1290" s="44"/>
      <c r="P1290" s="45" t="str">
        <f t="shared" si="615"/>
        <v/>
      </c>
      <c r="Q1290" s="46" t="str">
        <f t="shared" si="616"/>
        <v/>
      </c>
      <c r="R1290" s="47" t="e">
        <f t="shared" si="617"/>
        <v>#VALUE!</v>
      </c>
      <c r="S1290" s="48" t="e">
        <f t="shared" si="606"/>
        <v>#VALUE!</v>
      </c>
      <c r="T1290" s="47" t="str">
        <f t="shared" si="618"/>
        <v/>
      </c>
      <c r="U1290" s="49"/>
      <c r="V1290" s="50"/>
      <c r="W1290" s="51" t="e">
        <f t="shared" si="619"/>
        <v>#VALUE!</v>
      </c>
      <c r="X1290" s="52"/>
      <c r="Y1290" s="52"/>
      <c r="Z1290" s="52"/>
      <c r="AA1290" s="47" t="e">
        <f>INDEX(VISITORS[INSECT ORDER], MATCH(X1290,VISITORS[NAME USED],0))</f>
        <v>#N/A</v>
      </c>
      <c r="AB1290" s="47" t="e">
        <f t="shared" si="620"/>
        <v>#N/A</v>
      </c>
      <c r="AC1290" s="53" t="e">
        <f t="shared" si="621"/>
        <v>#VALUE!</v>
      </c>
      <c r="AD1290" s="54" t="str">
        <f t="shared" si="622"/>
        <v/>
      </c>
      <c r="AE1290" s="54"/>
      <c r="AF1290" s="54"/>
      <c r="AG1290" s="55" t="str">
        <f t="shared" si="623"/>
        <v/>
      </c>
      <c r="AH1290" s="56" t="str">
        <f t="shared" si="624"/>
        <v/>
      </c>
      <c r="AI1290" s="55"/>
      <c r="AJ1290" s="56" t="str">
        <f t="shared" si="625"/>
        <v/>
      </c>
      <c r="AK1290" s="55"/>
      <c r="AL1290" s="56" t="str">
        <f t="shared" si="626"/>
        <v/>
      </c>
      <c r="AM1290" s="55"/>
      <c r="AN1290" s="56" t="str">
        <f t="shared" si="627"/>
        <v/>
      </c>
      <c r="AO1290" s="55"/>
      <c r="AP1290" s="56" t="str">
        <f t="shared" si="628"/>
        <v/>
      </c>
      <c r="AQ1290" s="55"/>
      <c r="AR1290" s="56" t="str">
        <f t="shared" si="629"/>
        <v/>
      </c>
      <c r="AS1290" s="57"/>
      <c r="AT1290" s="58"/>
      <c r="AU1290" s="58"/>
      <c r="AV1290" s="59"/>
      <c r="AW1290" s="60" t="str">
        <f t="shared" si="607"/>
        <v/>
      </c>
      <c r="AX1290" s="61" t="str">
        <f t="shared" si="608"/>
        <v/>
      </c>
      <c r="AY1290" s="60" t="str">
        <f t="shared" si="609"/>
        <v/>
      </c>
      <c r="AZ1290" s="61" t="str">
        <f t="shared" si="610"/>
        <v/>
      </c>
    </row>
    <row r="1291" spans="1:52" s="3" customFormat="1" hidden="1" x14ac:dyDescent="0.35">
      <c r="A1291" s="72">
        <f t="shared" si="611"/>
        <v>2021</v>
      </c>
      <c r="B1291" s="72" t="str">
        <f t="shared" si="612"/>
        <v>Nov</v>
      </c>
      <c r="C1291" s="73">
        <f t="shared" si="630"/>
        <v>15</v>
      </c>
      <c r="D1291" s="74">
        <f t="shared" si="613"/>
        <v>13</v>
      </c>
      <c r="E1291" s="75">
        <f t="shared" si="614"/>
        <v>27</v>
      </c>
      <c r="F1291" s="79"/>
      <c r="G1291" s="82"/>
      <c r="H1291" s="68" t="str">
        <f t="shared" si="631"/>
        <v>Clesim6_20211115_13_00</v>
      </c>
      <c r="I1291" s="69">
        <f t="shared" si="632"/>
        <v>1</v>
      </c>
      <c r="J1291" s="76" t="str">
        <f t="shared" si="632"/>
        <v>Clematis</v>
      </c>
      <c r="K1291" s="76" t="str">
        <f t="shared" si="632"/>
        <v>simense</v>
      </c>
      <c r="L1291" s="77">
        <f t="shared" si="632"/>
        <v>6</v>
      </c>
      <c r="M1291" s="77">
        <f t="shared" si="632"/>
        <v>20</v>
      </c>
      <c r="N1291" s="71">
        <f t="shared" si="632"/>
        <v>0</v>
      </c>
      <c r="O1291" s="44"/>
      <c r="P1291" s="45" t="str">
        <f t="shared" si="615"/>
        <v/>
      </c>
      <c r="Q1291" s="46" t="str">
        <f t="shared" si="616"/>
        <v/>
      </c>
      <c r="R1291" s="47" t="e">
        <f t="shared" si="617"/>
        <v>#VALUE!</v>
      </c>
      <c r="S1291" s="48" t="e">
        <f t="shared" si="606"/>
        <v>#VALUE!</v>
      </c>
      <c r="T1291" s="47" t="str">
        <f t="shared" si="618"/>
        <v/>
      </c>
      <c r="U1291" s="49"/>
      <c r="V1291" s="50"/>
      <c r="W1291" s="51" t="e">
        <f t="shared" si="619"/>
        <v>#VALUE!</v>
      </c>
      <c r="X1291" s="52"/>
      <c r="Y1291" s="52"/>
      <c r="Z1291" s="52"/>
      <c r="AA1291" s="47" t="e">
        <f>INDEX(VISITORS[INSECT ORDER], MATCH(X1291,VISITORS[NAME USED],0))</f>
        <v>#N/A</v>
      </c>
      <c r="AB1291" s="47" t="e">
        <f t="shared" si="620"/>
        <v>#N/A</v>
      </c>
      <c r="AC1291" s="53" t="e">
        <f t="shared" si="621"/>
        <v>#VALUE!</v>
      </c>
      <c r="AD1291" s="54" t="str">
        <f t="shared" si="622"/>
        <v/>
      </c>
      <c r="AE1291" s="54"/>
      <c r="AF1291" s="54"/>
      <c r="AG1291" s="55" t="str">
        <f t="shared" si="623"/>
        <v/>
      </c>
      <c r="AH1291" s="56" t="str">
        <f t="shared" si="624"/>
        <v/>
      </c>
      <c r="AI1291" s="55"/>
      <c r="AJ1291" s="56" t="str">
        <f t="shared" si="625"/>
        <v/>
      </c>
      <c r="AK1291" s="55"/>
      <c r="AL1291" s="56" t="str">
        <f t="shared" si="626"/>
        <v/>
      </c>
      <c r="AM1291" s="55"/>
      <c r="AN1291" s="56" t="str">
        <f t="shared" si="627"/>
        <v/>
      </c>
      <c r="AO1291" s="55"/>
      <c r="AP1291" s="56" t="str">
        <f t="shared" si="628"/>
        <v/>
      </c>
      <c r="AQ1291" s="55"/>
      <c r="AR1291" s="56" t="str">
        <f t="shared" si="629"/>
        <v/>
      </c>
      <c r="AS1291" s="57"/>
      <c r="AT1291" s="58"/>
      <c r="AU1291" s="58"/>
      <c r="AV1291" s="59"/>
      <c r="AW1291" s="60" t="str">
        <f t="shared" si="607"/>
        <v/>
      </c>
      <c r="AX1291" s="61" t="str">
        <f t="shared" si="608"/>
        <v/>
      </c>
      <c r="AY1291" s="60" t="str">
        <f t="shared" si="609"/>
        <v/>
      </c>
      <c r="AZ1291" s="61" t="str">
        <f t="shared" si="610"/>
        <v/>
      </c>
    </row>
    <row r="1292" spans="1:52" s="3" customFormat="1" hidden="1" x14ac:dyDescent="0.35">
      <c r="A1292" s="72">
        <f t="shared" si="611"/>
        <v>2021</v>
      </c>
      <c r="B1292" s="72" t="str">
        <f t="shared" si="612"/>
        <v>Nov</v>
      </c>
      <c r="C1292" s="73">
        <f t="shared" si="630"/>
        <v>15</v>
      </c>
      <c r="D1292" s="74">
        <f t="shared" si="613"/>
        <v>13</v>
      </c>
      <c r="E1292" s="75">
        <f t="shared" si="614"/>
        <v>28</v>
      </c>
      <c r="F1292" s="79"/>
      <c r="G1292" s="82"/>
      <c r="H1292" s="68" t="str">
        <f t="shared" si="631"/>
        <v>Clesim6_20211115_13_00</v>
      </c>
      <c r="I1292" s="69">
        <f t="shared" si="632"/>
        <v>1</v>
      </c>
      <c r="J1292" s="76" t="str">
        <f t="shared" si="632"/>
        <v>Clematis</v>
      </c>
      <c r="K1292" s="76" t="str">
        <f t="shared" si="632"/>
        <v>simense</v>
      </c>
      <c r="L1292" s="77">
        <f t="shared" si="632"/>
        <v>6</v>
      </c>
      <c r="M1292" s="77">
        <f t="shared" si="632"/>
        <v>20</v>
      </c>
      <c r="N1292" s="71">
        <f t="shared" si="632"/>
        <v>0</v>
      </c>
      <c r="O1292" s="44"/>
      <c r="P1292" s="45" t="str">
        <f t="shared" si="615"/>
        <v/>
      </c>
      <c r="Q1292" s="46" t="str">
        <f t="shared" si="616"/>
        <v/>
      </c>
      <c r="R1292" s="47" t="e">
        <f t="shared" si="617"/>
        <v>#VALUE!</v>
      </c>
      <c r="S1292" s="48" t="e">
        <f t="shared" si="606"/>
        <v>#VALUE!</v>
      </c>
      <c r="T1292" s="47" t="str">
        <f t="shared" si="618"/>
        <v/>
      </c>
      <c r="U1292" s="49"/>
      <c r="V1292" s="50"/>
      <c r="W1292" s="51" t="e">
        <f t="shared" si="619"/>
        <v>#VALUE!</v>
      </c>
      <c r="X1292" s="52"/>
      <c r="Y1292" s="52"/>
      <c r="Z1292" s="52"/>
      <c r="AA1292" s="47" t="e">
        <f>INDEX(VISITORS[INSECT ORDER], MATCH(X1292,VISITORS[NAME USED],0))</f>
        <v>#N/A</v>
      </c>
      <c r="AB1292" s="47" t="e">
        <f t="shared" si="620"/>
        <v>#N/A</v>
      </c>
      <c r="AC1292" s="53" t="e">
        <f t="shared" si="621"/>
        <v>#VALUE!</v>
      </c>
      <c r="AD1292" s="54" t="str">
        <f t="shared" si="622"/>
        <v/>
      </c>
      <c r="AE1292" s="54"/>
      <c r="AF1292" s="54"/>
      <c r="AG1292" s="55" t="str">
        <f t="shared" si="623"/>
        <v/>
      </c>
      <c r="AH1292" s="56" t="str">
        <f t="shared" si="624"/>
        <v/>
      </c>
      <c r="AI1292" s="55"/>
      <c r="AJ1292" s="56" t="str">
        <f t="shared" si="625"/>
        <v/>
      </c>
      <c r="AK1292" s="55"/>
      <c r="AL1292" s="56" t="str">
        <f t="shared" si="626"/>
        <v/>
      </c>
      <c r="AM1292" s="55"/>
      <c r="AN1292" s="56" t="str">
        <f t="shared" si="627"/>
        <v/>
      </c>
      <c r="AO1292" s="55"/>
      <c r="AP1292" s="56" t="str">
        <f t="shared" si="628"/>
        <v/>
      </c>
      <c r="AQ1292" s="55"/>
      <c r="AR1292" s="56" t="str">
        <f t="shared" si="629"/>
        <v/>
      </c>
      <c r="AS1292" s="57"/>
      <c r="AT1292" s="58"/>
      <c r="AU1292" s="58"/>
      <c r="AV1292" s="59"/>
      <c r="AW1292" s="60" t="str">
        <f t="shared" si="607"/>
        <v/>
      </c>
      <c r="AX1292" s="61" t="str">
        <f t="shared" si="608"/>
        <v/>
      </c>
      <c r="AY1292" s="60" t="str">
        <f t="shared" si="609"/>
        <v/>
      </c>
      <c r="AZ1292" s="61" t="str">
        <f t="shared" si="610"/>
        <v/>
      </c>
    </row>
    <row r="1293" spans="1:52" s="3" customFormat="1" hidden="1" x14ac:dyDescent="0.35">
      <c r="A1293" s="72">
        <f t="shared" si="611"/>
        <v>2021</v>
      </c>
      <c r="B1293" s="72" t="str">
        <f t="shared" si="612"/>
        <v>Nov</v>
      </c>
      <c r="C1293" s="73">
        <f t="shared" si="630"/>
        <v>15</v>
      </c>
      <c r="D1293" s="74">
        <f t="shared" si="613"/>
        <v>13</v>
      </c>
      <c r="E1293" s="75">
        <f t="shared" si="614"/>
        <v>29</v>
      </c>
      <c r="F1293" s="79"/>
      <c r="G1293" s="82"/>
      <c r="H1293" s="68" t="str">
        <f t="shared" si="631"/>
        <v>Clesim6_20211115_13_00</v>
      </c>
      <c r="I1293" s="69">
        <f t="shared" si="632"/>
        <v>1</v>
      </c>
      <c r="J1293" s="76" t="str">
        <f t="shared" si="632"/>
        <v>Clematis</v>
      </c>
      <c r="K1293" s="76" t="str">
        <f t="shared" si="632"/>
        <v>simense</v>
      </c>
      <c r="L1293" s="77">
        <f t="shared" si="632"/>
        <v>6</v>
      </c>
      <c r="M1293" s="77">
        <f t="shared" si="632"/>
        <v>20</v>
      </c>
      <c r="N1293" s="71">
        <f t="shared" si="632"/>
        <v>0</v>
      </c>
      <c r="O1293" s="44"/>
      <c r="P1293" s="45" t="str">
        <f t="shared" si="615"/>
        <v/>
      </c>
      <c r="Q1293" s="46" t="str">
        <f t="shared" si="616"/>
        <v/>
      </c>
      <c r="R1293" s="47" t="e">
        <f t="shared" si="617"/>
        <v>#VALUE!</v>
      </c>
      <c r="S1293" s="48" t="e">
        <f t="shared" si="606"/>
        <v>#VALUE!</v>
      </c>
      <c r="T1293" s="47" t="str">
        <f t="shared" si="618"/>
        <v/>
      </c>
      <c r="U1293" s="49"/>
      <c r="V1293" s="50"/>
      <c r="W1293" s="51" t="e">
        <f t="shared" si="619"/>
        <v>#VALUE!</v>
      </c>
      <c r="X1293" s="52"/>
      <c r="Y1293" s="52"/>
      <c r="Z1293" s="52"/>
      <c r="AA1293" s="47" t="e">
        <f>INDEX(VISITORS[INSECT ORDER], MATCH(X1293,VISITORS[NAME USED],0))</f>
        <v>#N/A</v>
      </c>
      <c r="AB1293" s="47" t="e">
        <f t="shared" si="620"/>
        <v>#N/A</v>
      </c>
      <c r="AC1293" s="53" t="e">
        <f t="shared" si="621"/>
        <v>#VALUE!</v>
      </c>
      <c r="AD1293" s="54" t="str">
        <f t="shared" si="622"/>
        <v/>
      </c>
      <c r="AE1293" s="54"/>
      <c r="AF1293" s="54"/>
      <c r="AG1293" s="55" t="str">
        <f t="shared" si="623"/>
        <v/>
      </c>
      <c r="AH1293" s="56" t="str">
        <f t="shared" si="624"/>
        <v/>
      </c>
      <c r="AI1293" s="55"/>
      <c r="AJ1293" s="56" t="str">
        <f t="shared" si="625"/>
        <v/>
      </c>
      <c r="AK1293" s="55"/>
      <c r="AL1293" s="56" t="str">
        <f t="shared" si="626"/>
        <v/>
      </c>
      <c r="AM1293" s="55"/>
      <c r="AN1293" s="56" t="str">
        <f t="shared" si="627"/>
        <v/>
      </c>
      <c r="AO1293" s="55"/>
      <c r="AP1293" s="56" t="str">
        <f t="shared" si="628"/>
        <v/>
      </c>
      <c r="AQ1293" s="55"/>
      <c r="AR1293" s="56" t="str">
        <f t="shared" si="629"/>
        <v/>
      </c>
      <c r="AS1293" s="57"/>
      <c r="AT1293" s="58"/>
      <c r="AU1293" s="58"/>
      <c r="AV1293" s="59"/>
      <c r="AW1293" s="60" t="str">
        <f t="shared" si="607"/>
        <v/>
      </c>
      <c r="AX1293" s="61" t="str">
        <f t="shared" si="608"/>
        <v/>
      </c>
      <c r="AY1293" s="60" t="str">
        <f t="shared" si="609"/>
        <v/>
      </c>
      <c r="AZ1293" s="61" t="str">
        <f t="shared" si="610"/>
        <v/>
      </c>
    </row>
    <row r="1294" spans="1:52" s="3" customFormat="1" hidden="1" x14ac:dyDescent="0.35">
      <c r="A1294" s="72">
        <f t="shared" si="611"/>
        <v>2021</v>
      </c>
      <c r="B1294" s="72" t="str">
        <f t="shared" si="612"/>
        <v>Nov</v>
      </c>
      <c r="C1294" s="73">
        <f t="shared" si="630"/>
        <v>15</v>
      </c>
      <c r="D1294" s="74">
        <f t="shared" si="613"/>
        <v>13</v>
      </c>
      <c r="E1294" s="75">
        <f t="shared" si="614"/>
        <v>30</v>
      </c>
      <c r="F1294" s="79"/>
      <c r="G1294" s="82"/>
      <c r="H1294" s="68" t="str">
        <f t="shared" si="631"/>
        <v>Clesim6_20211115_13_00</v>
      </c>
      <c r="I1294" s="69">
        <f t="shared" si="632"/>
        <v>1</v>
      </c>
      <c r="J1294" s="76" t="str">
        <f t="shared" si="632"/>
        <v>Clematis</v>
      </c>
      <c r="K1294" s="76" t="str">
        <f t="shared" si="632"/>
        <v>simense</v>
      </c>
      <c r="L1294" s="77">
        <f t="shared" si="632"/>
        <v>6</v>
      </c>
      <c r="M1294" s="77">
        <f t="shared" si="632"/>
        <v>20</v>
      </c>
      <c r="N1294" s="71">
        <f t="shared" si="632"/>
        <v>0</v>
      </c>
      <c r="O1294" s="44"/>
      <c r="P1294" s="45" t="str">
        <f t="shared" si="615"/>
        <v/>
      </c>
      <c r="Q1294" s="46" t="str">
        <f t="shared" si="616"/>
        <v/>
      </c>
      <c r="R1294" s="47" t="e">
        <f t="shared" si="617"/>
        <v>#VALUE!</v>
      </c>
      <c r="S1294" s="48" t="e">
        <f t="shared" si="606"/>
        <v>#VALUE!</v>
      </c>
      <c r="T1294" s="47" t="str">
        <f t="shared" si="618"/>
        <v/>
      </c>
      <c r="U1294" s="49"/>
      <c r="V1294" s="50"/>
      <c r="W1294" s="51" t="e">
        <f t="shared" si="619"/>
        <v>#VALUE!</v>
      </c>
      <c r="X1294" s="52"/>
      <c r="Y1294" s="52"/>
      <c r="Z1294" s="52"/>
      <c r="AA1294" s="47" t="e">
        <f>INDEX(VISITORS[INSECT ORDER], MATCH(X1294,VISITORS[NAME USED],0))</f>
        <v>#N/A</v>
      </c>
      <c r="AB1294" s="47" t="e">
        <f t="shared" si="620"/>
        <v>#N/A</v>
      </c>
      <c r="AC1294" s="53" t="e">
        <f t="shared" si="621"/>
        <v>#VALUE!</v>
      </c>
      <c r="AD1294" s="54" t="str">
        <f t="shared" si="622"/>
        <v/>
      </c>
      <c r="AE1294" s="54"/>
      <c r="AF1294" s="54"/>
      <c r="AG1294" s="55" t="str">
        <f t="shared" si="623"/>
        <v/>
      </c>
      <c r="AH1294" s="56" t="str">
        <f t="shared" si="624"/>
        <v/>
      </c>
      <c r="AI1294" s="55"/>
      <c r="AJ1294" s="56" t="str">
        <f t="shared" si="625"/>
        <v/>
      </c>
      <c r="AK1294" s="55"/>
      <c r="AL1294" s="56" t="str">
        <f t="shared" si="626"/>
        <v/>
      </c>
      <c r="AM1294" s="55"/>
      <c r="AN1294" s="56" t="str">
        <f t="shared" si="627"/>
        <v/>
      </c>
      <c r="AO1294" s="55"/>
      <c r="AP1294" s="56" t="str">
        <f t="shared" si="628"/>
        <v/>
      </c>
      <c r="AQ1294" s="55"/>
      <c r="AR1294" s="56" t="str">
        <f t="shared" si="629"/>
        <v/>
      </c>
      <c r="AS1294" s="57"/>
      <c r="AT1294" s="58"/>
      <c r="AU1294" s="58"/>
      <c r="AV1294" s="59"/>
      <c r="AW1294" s="60" t="str">
        <f t="shared" si="607"/>
        <v/>
      </c>
      <c r="AX1294" s="61" t="str">
        <f t="shared" si="608"/>
        <v/>
      </c>
      <c r="AY1294" s="60" t="str">
        <f t="shared" si="609"/>
        <v/>
      </c>
      <c r="AZ1294" s="61" t="str">
        <f t="shared" si="610"/>
        <v/>
      </c>
    </row>
    <row r="1295" spans="1:52" s="3" customFormat="1" hidden="1" x14ac:dyDescent="0.35">
      <c r="A1295" s="72">
        <f t="shared" si="611"/>
        <v>2021</v>
      </c>
      <c r="B1295" s="72" t="str">
        <f t="shared" si="612"/>
        <v>Nov</v>
      </c>
      <c r="C1295" s="73">
        <f t="shared" si="630"/>
        <v>15</v>
      </c>
      <c r="D1295" s="74">
        <f t="shared" si="613"/>
        <v>13</v>
      </c>
      <c r="E1295" s="75">
        <f t="shared" si="614"/>
        <v>31</v>
      </c>
      <c r="F1295" s="79"/>
      <c r="G1295" s="82"/>
      <c r="H1295" s="68" t="str">
        <f t="shared" si="631"/>
        <v>Clesim6_20211115_13_00</v>
      </c>
      <c r="I1295" s="69">
        <f t="shared" si="632"/>
        <v>1</v>
      </c>
      <c r="J1295" s="76" t="str">
        <f t="shared" si="632"/>
        <v>Clematis</v>
      </c>
      <c r="K1295" s="76" t="str">
        <f t="shared" si="632"/>
        <v>simense</v>
      </c>
      <c r="L1295" s="77">
        <f t="shared" si="632"/>
        <v>6</v>
      </c>
      <c r="M1295" s="77">
        <f t="shared" si="632"/>
        <v>20</v>
      </c>
      <c r="N1295" s="71">
        <f t="shared" si="632"/>
        <v>0</v>
      </c>
      <c r="O1295" s="44"/>
      <c r="P1295" s="45" t="str">
        <f t="shared" si="615"/>
        <v/>
      </c>
      <c r="Q1295" s="46" t="str">
        <f t="shared" si="616"/>
        <v/>
      </c>
      <c r="R1295" s="47" t="e">
        <f t="shared" si="617"/>
        <v>#VALUE!</v>
      </c>
      <c r="S1295" s="48" t="e">
        <f t="shared" si="606"/>
        <v>#VALUE!</v>
      </c>
      <c r="T1295" s="47" t="str">
        <f t="shared" si="618"/>
        <v/>
      </c>
      <c r="U1295" s="49"/>
      <c r="V1295" s="50"/>
      <c r="W1295" s="51" t="e">
        <f t="shared" si="619"/>
        <v>#VALUE!</v>
      </c>
      <c r="X1295" s="52"/>
      <c r="Y1295" s="52"/>
      <c r="Z1295" s="52"/>
      <c r="AA1295" s="47" t="e">
        <f>INDEX(VISITORS[INSECT ORDER], MATCH(X1295,VISITORS[NAME USED],0))</f>
        <v>#N/A</v>
      </c>
      <c r="AB1295" s="47" t="e">
        <f t="shared" si="620"/>
        <v>#N/A</v>
      </c>
      <c r="AC1295" s="53" t="e">
        <f t="shared" si="621"/>
        <v>#VALUE!</v>
      </c>
      <c r="AD1295" s="54" t="str">
        <f t="shared" si="622"/>
        <v/>
      </c>
      <c r="AE1295" s="54"/>
      <c r="AF1295" s="54"/>
      <c r="AG1295" s="55" t="str">
        <f t="shared" si="623"/>
        <v/>
      </c>
      <c r="AH1295" s="56" t="str">
        <f t="shared" si="624"/>
        <v/>
      </c>
      <c r="AI1295" s="55"/>
      <c r="AJ1295" s="56" t="str">
        <f t="shared" si="625"/>
        <v/>
      </c>
      <c r="AK1295" s="55"/>
      <c r="AL1295" s="56" t="str">
        <f t="shared" si="626"/>
        <v/>
      </c>
      <c r="AM1295" s="55"/>
      <c r="AN1295" s="56" t="str">
        <f t="shared" si="627"/>
        <v/>
      </c>
      <c r="AO1295" s="55"/>
      <c r="AP1295" s="56" t="str">
        <f t="shared" si="628"/>
        <v/>
      </c>
      <c r="AQ1295" s="55"/>
      <c r="AR1295" s="56" t="str">
        <f t="shared" si="629"/>
        <v/>
      </c>
      <c r="AS1295" s="57"/>
      <c r="AT1295" s="58"/>
      <c r="AU1295" s="58"/>
      <c r="AV1295" s="59"/>
      <c r="AW1295" s="60" t="str">
        <f t="shared" si="607"/>
        <v/>
      </c>
      <c r="AX1295" s="61" t="str">
        <f t="shared" si="608"/>
        <v/>
      </c>
      <c r="AY1295" s="60" t="str">
        <f t="shared" si="609"/>
        <v/>
      </c>
      <c r="AZ1295" s="61" t="str">
        <f t="shared" si="610"/>
        <v/>
      </c>
    </row>
    <row r="1296" spans="1:52" s="3" customFormat="1" hidden="1" x14ac:dyDescent="0.35">
      <c r="A1296" s="72">
        <f t="shared" si="611"/>
        <v>2021</v>
      </c>
      <c r="B1296" s="72" t="str">
        <f t="shared" si="612"/>
        <v>Nov</v>
      </c>
      <c r="C1296" s="73">
        <f t="shared" si="630"/>
        <v>15</v>
      </c>
      <c r="D1296" s="74">
        <f t="shared" si="613"/>
        <v>13</v>
      </c>
      <c r="E1296" s="75">
        <f t="shared" si="614"/>
        <v>32</v>
      </c>
      <c r="F1296" s="79"/>
      <c r="G1296" s="82"/>
      <c r="H1296" s="68" t="str">
        <f t="shared" si="631"/>
        <v>Clesim6_20211115_13_00</v>
      </c>
      <c r="I1296" s="69">
        <f t="shared" si="632"/>
        <v>1</v>
      </c>
      <c r="J1296" s="76" t="str">
        <f t="shared" si="632"/>
        <v>Clematis</v>
      </c>
      <c r="K1296" s="76" t="str">
        <f t="shared" si="632"/>
        <v>simense</v>
      </c>
      <c r="L1296" s="77">
        <f t="shared" si="632"/>
        <v>6</v>
      </c>
      <c r="M1296" s="77">
        <f t="shared" si="632"/>
        <v>20</v>
      </c>
      <c r="N1296" s="71">
        <f t="shared" si="632"/>
        <v>0</v>
      </c>
      <c r="O1296" s="44"/>
      <c r="P1296" s="45" t="str">
        <f t="shared" si="615"/>
        <v/>
      </c>
      <c r="Q1296" s="46" t="str">
        <f t="shared" si="616"/>
        <v/>
      </c>
      <c r="R1296" s="47" t="e">
        <f t="shared" si="617"/>
        <v>#VALUE!</v>
      </c>
      <c r="S1296" s="48" t="e">
        <f t="shared" si="606"/>
        <v>#VALUE!</v>
      </c>
      <c r="T1296" s="47" t="str">
        <f t="shared" si="618"/>
        <v/>
      </c>
      <c r="U1296" s="49"/>
      <c r="V1296" s="50"/>
      <c r="W1296" s="51" t="e">
        <f t="shared" si="619"/>
        <v>#VALUE!</v>
      </c>
      <c r="X1296" s="52"/>
      <c r="Y1296" s="52"/>
      <c r="Z1296" s="52"/>
      <c r="AA1296" s="47" t="e">
        <f>INDEX(VISITORS[INSECT ORDER], MATCH(X1296,VISITORS[NAME USED],0))</f>
        <v>#N/A</v>
      </c>
      <c r="AB1296" s="47" t="e">
        <f t="shared" si="620"/>
        <v>#N/A</v>
      </c>
      <c r="AC1296" s="53" t="e">
        <f t="shared" si="621"/>
        <v>#VALUE!</v>
      </c>
      <c r="AD1296" s="54" t="str">
        <f t="shared" si="622"/>
        <v/>
      </c>
      <c r="AE1296" s="54"/>
      <c r="AF1296" s="54"/>
      <c r="AG1296" s="55" t="str">
        <f t="shared" si="623"/>
        <v/>
      </c>
      <c r="AH1296" s="56" t="str">
        <f t="shared" si="624"/>
        <v/>
      </c>
      <c r="AI1296" s="55"/>
      <c r="AJ1296" s="56" t="str">
        <f t="shared" si="625"/>
        <v/>
      </c>
      <c r="AK1296" s="55"/>
      <c r="AL1296" s="56" t="str">
        <f t="shared" si="626"/>
        <v/>
      </c>
      <c r="AM1296" s="55"/>
      <c r="AN1296" s="56" t="str">
        <f t="shared" si="627"/>
        <v/>
      </c>
      <c r="AO1296" s="55"/>
      <c r="AP1296" s="56" t="str">
        <f t="shared" si="628"/>
        <v/>
      </c>
      <c r="AQ1296" s="55"/>
      <c r="AR1296" s="56" t="str">
        <f t="shared" si="629"/>
        <v/>
      </c>
      <c r="AS1296" s="57"/>
      <c r="AT1296" s="58"/>
      <c r="AU1296" s="58"/>
      <c r="AV1296" s="59"/>
      <c r="AW1296" s="60" t="str">
        <f t="shared" si="607"/>
        <v/>
      </c>
      <c r="AX1296" s="61" t="str">
        <f t="shared" si="608"/>
        <v/>
      </c>
      <c r="AY1296" s="60" t="str">
        <f t="shared" si="609"/>
        <v/>
      </c>
      <c r="AZ1296" s="61" t="str">
        <f t="shared" si="610"/>
        <v/>
      </c>
    </row>
    <row r="1297" spans="1:52" s="3" customFormat="1" hidden="1" x14ac:dyDescent="0.35">
      <c r="A1297" s="72">
        <f t="shared" si="611"/>
        <v>2021</v>
      </c>
      <c r="B1297" s="72" t="str">
        <f t="shared" si="612"/>
        <v>Nov</v>
      </c>
      <c r="C1297" s="73">
        <f t="shared" si="630"/>
        <v>15</v>
      </c>
      <c r="D1297" s="74">
        <f t="shared" si="613"/>
        <v>13</v>
      </c>
      <c r="E1297" s="75">
        <f t="shared" si="614"/>
        <v>33</v>
      </c>
      <c r="F1297" s="79"/>
      <c r="G1297" s="82"/>
      <c r="H1297" s="68" t="str">
        <f t="shared" si="631"/>
        <v>Clesim6_20211115_13_00</v>
      </c>
      <c r="I1297" s="69">
        <f t="shared" si="632"/>
        <v>1</v>
      </c>
      <c r="J1297" s="76" t="str">
        <f t="shared" si="632"/>
        <v>Clematis</v>
      </c>
      <c r="K1297" s="76" t="str">
        <f t="shared" si="632"/>
        <v>simense</v>
      </c>
      <c r="L1297" s="77">
        <f t="shared" si="632"/>
        <v>6</v>
      </c>
      <c r="M1297" s="77">
        <f t="shared" si="632"/>
        <v>20</v>
      </c>
      <c r="N1297" s="71">
        <f t="shared" si="632"/>
        <v>0</v>
      </c>
      <c r="O1297" s="44"/>
      <c r="P1297" s="45" t="str">
        <f t="shared" si="615"/>
        <v/>
      </c>
      <c r="Q1297" s="46" t="str">
        <f t="shared" si="616"/>
        <v/>
      </c>
      <c r="R1297" s="47" t="e">
        <f t="shared" si="617"/>
        <v>#VALUE!</v>
      </c>
      <c r="S1297" s="48" t="e">
        <f t="shared" si="606"/>
        <v>#VALUE!</v>
      </c>
      <c r="T1297" s="47" t="str">
        <f t="shared" si="618"/>
        <v/>
      </c>
      <c r="U1297" s="49"/>
      <c r="V1297" s="50"/>
      <c r="W1297" s="51" t="e">
        <f t="shared" si="619"/>
        <v>#VALUE!</v>
      </c>
      <c r="X1297" s="52"/>
      <c r="Y1297" s="52"/>
      <c r="Z1297" s="52"/>
      <c r="AA1297" s="47" t="e">
        <f>INDEX(VISITORS[INSECT ORDER], MATCH(X1297,VISITORS[NAME USED],0))</f>
        <v>#N/A</v>
      </c>
      <c r="AB1297" s="47" t="e">
        <f t="shared" si="620"/>
        <v>#N/A</v>
      </c>
      <c r="AC1297" s="53" t="e">
        <f t="shared" si="621"/>
        <v>#VALUE!</v>
      </c>
      <c r="AD1297" s="54" t="str">
        <f t="shared" si="622"/>
        <v/>
      </c>
      <c r="AE1297" s="54"/>
      <c r="AF1297" s="54"/>
      <c r="AG1297" s="55" t="str">
        <f t="shared" si="623"/>
        <v/>
      </c>
      <c r="AH1297" s="56" t="str">
        <f t="shared" si="624"/>
        <v/>
      </c>
      <c r="AI1297" s="55"/>
      <c r="AJ1297" s="56" t="str">
        <f t="shared" si="625"/>
        <v/>
      </c>
      <c r="AK1297" s="55"/>
      <c r="AL1297" s="56" t="str">
        <f t="shared" si="626"/>
        <v/>
      </c>
      <c r="AM1297" s="55"/>
      <c r="AN1297" s="56" t="str">
        <f t="shared" si="627"/>
        <v/>
      </c>
      <c r="AO1297" s="55"/>
      <c r="AP1297" s="56" t="str">
        <f t="shared" si="628"/>
        <v/>
      </c>
      <c r="AQ1297" s="55"/>
      <c r="AR1297" s="56" t="str">
        <f t="shared" si="629"/>
        <v/>
      </c>
      <c r="AS1297" s="57"/>
      <c r="AT1297" s="58"/>
      <c r="AU1297" s="58"/>
      <c r="AV1297" s="59"/>
      <c r="AW1297" s="60" t="str">
        <f t="shared" si="607"/>
        <v/>
      </c>
      <c r="AX1297" s="61" t="str">
        <f t="shared" si="608"/>
        <v/>
      </c>
      <c r="AY1297" s="60" t="str">
        <f t="shared" si="609"/>
        <v/>
      </c>
      <c r="AZ1297" s="61" t="str">
        <f t="shared" si="610"/>
        <v/>
      </c>
    </row>
    <row r="1298" spans="1:52" s="3" customFormat="1" hidden="1" x14ac:dyDescent="0.35">
      <c r="A1298" s="72">
        <f t="shared" si="611"/>
        <v>2021</v>
      </c>
      <c r="B1298" s="72" t="str">
        <f t="shared" si="612"/>
        <v>Nov</v>
      </c>
      <c r="C1298" s="73">
        <f t="shared" si="630"/>
        <v>15</v>
      </c>
      <c r="D1298" s="74">
        <f t="shared" si="613"/>
        <v>13</v>
      </c>
      <c r="E1298" s="75">
        <f t="shared" si="614"/>
        <v>34</v>
      </c>
      <c r="F1298" s="79"/>
      <c r="G1298" s="82"/>
      <c r="H1298" s="68" t="str">
        <f t="shared" si="631"/>
        <v>Clesim6_20211115_13_00</v>
      </c>
      <c r="I1298" s="69">
        <f t="shared" si="632"/>
        <v>1</v>
      </c>
      <c r="J1298" s="76" t="str">
        <f t="shared" si="632"/>
        <v>Clematis</v>
      </c>
      <c r="K1298" s="76" t="str">
        <f t="shared" si="632"/>
        <v>simense</v>
      </c>
      <c r="L1298" s="77">
        <f t="shared" si="632"/>
        <v>6</v>
      </c>
      <c r="M1298" s="77">
        <f t="shared" si="632"/>
        <v>20</v>
      </c>
      <c r="N1298" s="71">
        <f t="shared" si="632"/>
        <v>0</v>
      </c>
      <c r="O1298" s="44"/>
      <c r="P1298" s="45" t="str">
        <f t="shared" si="615"/>
        <v/>
      </c>
      <c r="Q1298" s="46" t="str">
        <f t="shared" si="616"/>
        <v/>
      </c>
      <c r="R1298" s="47" t="e">
        <f t="shared" si="617"/>
        <v>#VALUE!</v>
      </c>
      <c r="S1298" s="48" t="e">
        <f t="shared" si="606"/>
        <v>#VALUE!</v>
      </c>
      <c r="T1298" s="47" t="str">
        <f t="shared" si="618"/>
        <v/>
      </c>
      <c r="U1298" s="49"/>
      <c r="V1298" s="50"/>
      <c r="W1298" s="51" t="e">
        <f t="shared" si="619"/>
        <v>#VALUE!</v>
      </c>
      <c r="X1298" s="52"/>
      <c r="Y1298" s="52"/>
      <c r="Z1298" s="52"/>
      <c r="AA1298" s="47" t="e">
        <f>INDEX(VISITORS[INSECT ORDER], MATCH(X1298,VISITORS[NAME USED],0))</f>
        <v>#N/A</v>
      </c>
      <c r="AB1298" s="47" t="e">
        <f t="shared" si="620"/>
        <v>#N/A</v>
      </c>
      <c r="AC1298" s="53" t="e">
        <f t="shared" si="621"/>
        <v>#VALUE!</v>
      </c>
      <c r="AD1298" s="54" t="str">
        <f t="shared" si="622"/>
        <v/>
      </c>
      <c r="AE1298" s="54"/>
      <c r="AF1298" s="54"/>
      <c r="AG1298" s="55" t="str">
        <f t="shared" si="623"/>
        <v/>
      </c>
      <c r="AH1298" s="56" t="str">
        <f t="shared" si="624"/>
        <v/>
      </c>
      <c r="AI1298" s="55"/>
      <c r="AJ1298" s="56" t="str">
        <f t="shared" si="625"/>
        <v/>
      </c>
      <c r="AK1298" s="55"/>
      <c r="AL1298" s="56" t="str">
        <f t="shared" si="626"/>
        <v/>
      </c>
      <c r="AM1298" s="55"/>
      <c r="AN1298" s="56" t="str">
        <f t="shared" si="627"/>
        <v/>
      </c>
      <c r="AO1298" s="55"/>
      <c r="AP1298" s="56" t="str">
        <f t="shared" si="628"/>
        <v/>
      </c>
      <c r="AQ1298" s="55"/>
      <c r="AR1298" s="56" t="str">
        <f t="shared" si="629"/>
        <v/>
      </c>
      <c r="AS1298" s="57"/>
      <c r="AT1298" s="58"/>
      <c r="AU1298" s="58"/>
      <c r="AV1298" s="59"/>
      <c r="AW1298" s="60" t="str">
        <f t="shared" si="607"/>
        <v/>
      </c>
      <c r="AX1298" s="61" t="str">
        <f t="shared" si="608"/>
        <v/>
      </c>
      <c r="AY1298" s="60" t="str">
        <f t="shared" si="609"/>
        <v/>
      </c>
      <c r="AZ1298" s="61" t="str">
        <f t="shared" si="610"/>
        <v/>
      </c>
    </row>
    <row r="1299" spans="1:52" s="3" customFormat="1" hidden="1" x14ac:dyDescent="0.35">
      <c r="A1299" s="72">
        <f t="shared" si="611"/>
        <v>2021</v>
      </c>
      <c r="B1299" s="72" t="str">
        <f t="shared" si="612"/>
        <v>Nov</v>
      </c>
      <c r="C1299" s="73">
        <f t="shared" si="630"/>
        <v>15</v>
      </c>
      <c r="D1299" s="74">
        <f t="shared" si="613"/>
        <v>13</v>
      </c>
      <c r="E1299" s="75">
        <f t="shared" si="614"/>
        <v>35</v>
      </c>
      <c r="F1299" s="79"/>
      <c r="G1299" s="82"/>
      <c r="H1299" s="68" t="str">
        <f t="shared" si="631"/>
        <v>Clesim6_20211115_13_00</v>
      </c>
      <c r="I1299" s="69">
        <f t="shared" si="632"/>
        <v>1</v>
      </c>
      <c r="J1299" s="76" t="str">
        <f t="shared" si="632"/>
        <v>Clematis</v>
      </c>
      <c r="K1299" s="76" t="str">
        <f t="shared" si="632"/>
        <v>simense</v>
      </c>
      <c r="L1299" s="77">
        <f t="shared" si="632"/>
        <v>6</v>
      </c>
      <c r="M1299" s="77">
        <f t="shared" si="632"/>
        <v>20</v>
      </c>
      <c r="N1299" s="71">
        <f t="shared" si="632"/>
        <v>0</v>
      </c>
      <c r="O1299" s="44"/>
      <c r="P1299" s="45" t="str">
        <f t="shared" si="615"/>
        <v/>
      </c>
      <c r="Q1299" s="46" t="str">
        <f t="shared" si="616"/>
        <v/>
      </c>
      <c r="R1299" s="47" t="e">
        <f t="shared" si="617"/>
        <v>#VALUE!</v>
      </c>
      <c r="S1299" s="48" t="e">
        <f t="shared" si="606"/>
        <v>#VALUE!</v>
      </c>
      <c r="T1299" s="47" t="str">
        <f t="shared" si="618"/>
        <v/>
      </c>
      <c r="U1299" s="49"/>
      <c r="V1299" s="50"/>
      <c r="W1299" s="51" t="e">
        <f t="shared" si="619"/>
        <v>#VALUE!</v>
      </c>
      <c r="X1299" s="52"/>
      <c r="Y1299" s="52"/>
      <c r="Z1299" s="52"/>
      <c r="AA1299" s="47" t="e">
        <f>INDEX(VISITORS[INSECT ORDER], MATCH(X1299,VISITORS[NAME USED],0))</f>
        <v>#N/A</v>
      </c>
      <c r="AB1299" s="47" t="e">
        <f t="shared" si="620"/>
        <v>#N/A</v>
      </c>
      <c r="AC1299" s="53" t="e">
        <f t="shared" si="621"/>
        <v>#VALUE!</v>
      </c>
      <c r="AD1299" s="54" t="str">
        <f t="shared" si="622"/>
        <v/>
      </c>
      <c r="AE1299" s="54"/>
      <c r="AF1299" s="54"/>
      <c r="AG1299" s="55" t="str">
        <f t="shared" si="623"/>
        <v/>
      </c>
      <c r="AH1299" s="56" t="str">
        <f t="shared" si="624"/>
        <v/>
      </c>
      <c r="AI1299" s="55"/>
      <c r="AJ1299" s="56" t="str">
        <f t="shared" si="625"/>
        <v/>
      </c>
      <c r="AK1299" s="55"/>
      <c r="AL1299" s="56" t="str">
        <f t="shared" si="626"/>
        <v/>
      </c>
      <c r="AM1299" s="55"/>
      <c r="AN1299" s="56" t="str">
        <f t="shared" si="627"/>
        <v/>
      </c>
      <c r="AO1299" s="55"/>
      <c r="AP1299" s="56" t="str">
        <f t="shared" si="628"/>
        <v/>
      </c>
      <c r="AQ1299" s="55"/>
      <c r="AR1299" s="56" t="str">
        <f t="shared" si="629"/>
        <v/>
      </c>
      <c r="AS1299" s="57"/>
      <c r="AT1299" s="58"/>
      <c r="AU1299" s="58"/>
      <c r="AV1299" s="59"/>
      <c r="AW1299" s="60" t="str">
        <f t="shared" si="607"/>
        <v/>
      </c>
      <c r="AX1299" s="61" t="str">
        <f t="shared" si="608"/>
        <v/>
      </c>
      <c r="AY1299" s="60" t="str">
        <f t="shared" si="609"/>
        <v/>
      </c>
      <c r="AZ1299" s="61" t="str">
        <f t="shared" si="610"/>
        <v/>
      </c>
    </row>
    <row r="1300" spans="1:52" s="3" customFormat="1" hidden="1" x14ac:dyDescent="0.35">
      <c r="A1300" s="72">
        <f t="shared" si="611"/>
        <v>2021</v>
      </c>
      <c r="B1300" s="72" t="str">
        <f t="shared" si="612"/>
        <v>Nov</v>
      </c>
      <c r="C1300" s="73">
        <f t="shared" si="630"/>
        <v>15</v>
      </c>
      <c r="D1300" s="74">
        <f t="shared" si="613"/>
        <v>13</v>
      </c>
      <c r="E1300" s="75">
        <f t="shared" si="614"/>
        <v>36</v>
      </c>
      <c r="F1300" s="79"/>
      <c r="G1300" s="82"/>
      <c r="H1300" s="68" t="str">
        <f t="shared" si="631"/>
        <v>Clesim6_20211115_13_00</v>
      </c>
      <c r="I1300" s="69">
        <f t="shared" si="632"/>
        <v>1</v>
      </c>
      <c r="J1300" s="76" t="str">
        <f t="shared" si="632"/>
        <v>Clematis</v>
      </c>
      <c r="K1300" s="76" t="str">
        <f t="shared" si="632"/>
        <v>simense</v>
      </c>
      <c r="L1300" s="77">
        <f t="shared" si="632"/>
        <v>6</v>
      </c>
      <c r="M1300" s="77">
        <f t="shared" si="632"/>
        <v>20</v>
      </c>
      <c r="N1300" s="71">
        <f t="shared" si="632"/>
        <v>0</v>
      </c>
      <c r="O1300" s="44"/>
      <c r="P1300" s="45" t="str">
        <f t="shared" si="615"/>
        <v/>
      </c>
      <c r="Q1300" s="46" t="str">
        <f t="shared" si="616"/>
        <v/>
      </c>
      <c r="R1300" s="47" t="e">
        <f t="shared" si="617"/>
        <v>#VALUE!</v>
      </c>
      <c r="S1300" s="48" t="e">
        <f t="shared" si="606"/>
        <v>#VALUE!</v>
      </c>
      <c r="T1300" s="47" t="str">
        <f t="shared" si="618"/>
        <v/>
      </c>
      <c r="U1300" s="49"/>
      <c r="V1300" s="50"/>
      <c r="W1300" s="51" t="e">
        <f t="shared" si="619"/>
        <v>#VALUE!</v>
      </c>
      <c r="X1300" s="52"/>
      <c r="Y1300" s="52"/>
      <c r="Z1300" s="52"/>
      <c r="AA1300" s="47" t="e">
        <f>INDEX(VISITORS[INSECT ORDER], MATCH(X1300,VISITORS[NAME USED],0))</f>
        <v>#N/A</v>
      </c>
      <c r="AB1300" s="47" t="e">
        <f t="shared" si="620"/>
        <v>#N/A</v>
      </c>
      <c r="AC1300" s="53" t="e">
        <f t="shared" si="621"/>
        <v>#VALUE!</v>
      </c>
      <c r="AD1300" s="54" t="str">
        <f t="shared" si="622"/>
        <v/>
      </c>
      <c r="AE1300" s="54"/>
      <c r="AF1300" s="54"/>
      <c r="AG1300" s="55" t="str">
        <f t="shared" si="623"/>
        <v/>
      </c>
      <c r="AH1300" s="56" t="str">
        <f t="shared" si="624"/>
        <v/>
      </c>
      <c r="AI1300" s="55"/>
      <c r="AJ1300" s="56" t="str">
        <f t="shared" si="625"/>
        <v/>
      </c>
      <c r="AK1300" s="55"/>
      <c r="AL1300" s="56" t="str">
        <f t="shared" si="626"/>
        <v/>
      </c>
      <c r="AM1300" s="55"/>
      <c r="AN1300" s="56" t="str">
        <f t="shared" si="627"/>
        <v/>
      </c>
      <c r="AO1300" s="55"/>
      <c r="AP1300" s="56" t="str">
        <f t="shared" si="628"/>
        <v/>
      </c>
      <c r="AQ1300" s="55"/>
      <c r="AR1300" s="56" t="str">
        <f t="shared" si="629"/>
        <v/>
      </c>
      <c r="AS1300" s="57"/>
      <c r="AT1300" s="58"/>
      <c r="AU1300" s="58"/>
      <c r="AV1300" s="59"/>
      <c r="AW1300" s="60" t="str">
        <f t="shared" si="607"/>
        <v/>
      </c>
      <c r="AX1300" s="61" t="str">
        <f t="shared" si="608"/>
        <v/>
      </c>
      <c r="AY1300" s="60" t="str">
        <f t="shared" si="609"/>
        <v/>
      </c>
      <c r="AZ1300" s="61" t="str">
        <f t="shared" si="610"/>
        <v/>
      </c>
    </row>
    <row r="1301" spans="1:52" s="3" customFormat="1" hidden="1" x14ac:dyDescent="0.35">
      <c r="A1301" s="72">
        <f t="shared" si="611"/>
        <v>2021</v>
      </c>
      <c r="B1301" s="72" t="str">
        <f t="shared" si="612"/>
        <v>Nov</v>
      </c>
      <c r="C1301" s="73">
        <f t="shared" si="630"/>
        <v>15</v>
      </c>
      <c r="D1301" s="74">
        <f t="shared" si="613"/>
        <v>13</v>
      </c>
      <c r="E1301" s="75">
        <f t="shared" si="614"/>
        <v>37</v>
      </c>
      <c r="F1301" s="79"/>
      <c r="G1301" s="82"/>
      <c r="H1301" s="68" t="str">
        <f t="shared" si="631"/>
        <v>Clesim6_20211115_13_00</v>
      </c>
      <c r="I1301" s="69">
        <f t="shared" si="632"/>
        <v>1</v>
      </c>
      <c r="J1301" s="76" t="str">
        <f t="shared" si="632"/>
        <v>Clematis</v>
      </c>
      <c r="K1301" s="76" t="str">
        <f t="shared" si="632"/>
        <v>simense</v>
      </c>
      <c r="L1301" s="77">
        <f t="shared" si="632"/>
        <v>6</v>
      </c>
      <c r="M1301" s="77">
        <f t="shared" si="632"/>
        <v>20</v>
      </c>
      <c r="N1301" s="71">
        <f t="shared" si="632"/>
        <v>0</v>
      </c>
      <c r="O1301" s="44"/>
      <c r="P1301" s="45" t="str">
        <f t="shared" si="615"/>
        <v/>
      </c>
      <c r="Q1301" s="46" t="str">
        <f t="shared" si="616"/>
        <v/>
      </c>
      <c r="R1301" s="47" t="e">
        <f t="shared" si="617"/>
        <v>#VALUE!</v>
      </c>
      <c r="S1301" s="48" t="e">
        <f t="shared" si="606"/>
        <v>#VALUE!</v>
      </c>
      <c r="T1301" s="47" t="str">
        <f t="shared" si="618"/>
        <v/>
      </c>
      <c r="U1301" s="49"/>
      <c r="V1301" s="50"/>
      <c r="W1301" s="51" t="e">
        <f t="shared" si="619"/>
        <v>#VALUE!</v>
      </c>
      <c r="X1301" s="52"/>
      <c r="Y1301" s="52"/>
      <c r="Z1301" s="52"/>
      <c r="AA1301" s="47" t="e">
        <f>INDEX(VISITORS[INSECT ORDER], MATCH(X1301,VISITORS[NAME USED],0))</f>
        <v>#N/A</v>
      </c>
      <c r="AB1301" s="47" t="e">
        <f t="shared" si="620"/>
        <v>#N/A</v>
      </c>
      <c r="AC1301" s="53" t="e">
        <f t="shared" si="621"/>
        <v>#VALUE!</v>
      </c>
      <c r="AD1301" s="54" t="str">
        <f t="shared" si="622"/>
        <v/>
      </c>
      <c r="AE1301" s="54"/>
      <c r="AF1301" s="54"/>
      <c r="AG1301" s="55" t="str">
        <f t="shared" si="623"/>
        <v/>
      </c>
      <c r="AH1301" s="56" t="str">
        <f t="shared" si="624"/>
        <v/>
      </c>
      <c r="AI1301" s="55"/>
      <c r="AJ1301" s="56" t="str">
        <f t="shared" si="625"/>
        <v/>
      </c>
      <c r="AK1301" s="55"/>
      <c r="AL1301" s="56" t="str">
        <f t="shared" si="626"/>
        <v/>
      </c>
      <c r="AM1301" s="55"/>
      <c r="AN1301" s="56" t="str">
        <f t="shared" si="627"/>
        <v/>
      </c>
      <c r="AO1301" s="55"/>
      <c r="AP1301" s="56" t="str">
        <f t="shared" si="628"/>
        <v/>
      </c>
      <c r="AQ1301" s="55"/>
      <c r="AR1301" s="56" t="str">
        <f t="shared" si="629"/>
        <v/>
      </c>
      <c r="AS1301" s="57"/>
      <c r="AT1301" s="58"/>
      <c r="AU1301" s="58"/>
      <c r="AV1301" s="59"/>
      <c r="AW1301" s="60" t="str">
        <f t="shared" si="607"/>
        <v/>
      </c>
      <c r="AX1301" s="61" t="str">
        <f t="shared" si="608"/>
        <v/>
      </c>
      <c r="AY1301" s="60" t="str">
        <f t="shared" si="609"/>
        <v/>
      </c>
      <c r="AZ1301" s="61" t="str">
        <f t="shared" si="610"/>
        <v/>
      </c>
    </row>
    <row r="1302" spans="1:52" s="3" customFormat="1" hidden="1" x14ac:dyDescent="0.35">
      <c r="A1302" s="72">
        <f t="shared" si="611"/>
        <v>2021</v>
      </c>
      <c r="B1302" s="72" t="str">
        <f t="shared" si="612"/>
        <v>Nov</v>
      </c>
      <c r="C1302" s="73">
        <f t="shared" si="630"/>
        <v>15</v>
      </c>
      <c r="D1302" s="74">
        <f t="shared" si="613"/>
        <v>13</v>
      </c>
      <c r="E1302" s="75">
        <f t="shared" si="614"/>
        <v>38</v>
      </c>
      <c r="F1302" s="79"/>
      <c r="G1302" s="82"/>
      <c r="H1302" s="68" t="str">
        <f t="shared" si="631"/>
        <v>Clesim6_20211115_13_00</v>
      </c>
      <c r="I1302" s="69">
        <f t="shared" ref="I1302:N1317" si="633">I1301</f>
        <v>1</v>
      </c>
      <c r="J1302" s="76" t="str">
        <f t="shared" si="633"/>
        <v>Clematis</v>
      </c>
      <c r="K1302" s="76" t="str">
        <f t="shared" si="633"/>
        <v>simense</v>
      </c>
      <c r="L1302" s="77">
        <f t="shared" si="633"/>
        <v>6</v>
      </c>
      <c r="M1302" s="77">
        <f t="shared" si="633"/>
        <v>20</v>
      </c>
      <c r="N1302" s="71">
        <f t="shared" si="633"/>
        <v>0</v>
      </c>
      <c r="O1302" s="44"/>
      <c r="P1302" s="45" t="str">
        <f t="shared" si="615"/>
        <v/>
      </c>
      <c r="Q1302" s="46" t="str">
        <f t="shared" si="616"/>
        <v/>
      </c>
      <c r="R1302" s="47" t="e">
        <f t="shared" si="617"/>
        <v>#VALUE!</v>
      </c>
      <c r="S1302" s="48" t="e">
        <f t="shared" si="606"/>
        <v>#VALUE!</v>
      </c>
      <c r="T1302" s="47" t="str">
        <f t="shared" si="618"/>
        <v/>
      </c>
      <c r="U1302" s="49"/>
      <c r="V1302" s="50"/>
      <c r="W1302" s="51" t="e">
        <f t="shared" si="619"/>
        <v>#VALUE!</v>
      </c>
      <c r="X1302" s="52"/>
      <c r="Y1302" s="52"/>
      <c r="Z1302" s="52"/>
      <c r="AA1302" s="47" t="e">
        <f>INDEX(VISITORS[INSECT ORDER], MATCH(X1302,VISITORS[NAME USED],0))</f>
        <v>#N/A</v>
      </c>
      <c r="AB1302" s="47" t="e">
        <f t="shared" si="620"/>
        <v>#N/A</v>
      </c>
      <c r="AC1302" s="53" t="e">
        <f t="shared" si="621"/>
        <v>#VALUE!</v>
      </c>
      <c r="AD1302" s="54" t="str">
        <f t="shared" si="622"/>
        <v/>
      </c>
      <c r="AE1302" s="54"/>
      <c r="AF1302" s="54"/>
      <c r="AG1302" s="55" t="str">
        <f t="shared" si="623"/>
        <v/>
      </c>
      <c r="AH1302" s="56" t="str">
        <f t="shared" si="624"/>
        <v/>
      </c>
      <c r="AI1302" s="55"/>
      <c r="AJ1302" s="56" t="str">
        <f t="shared" si="625"/>
        <v/>
      </c>
      <c r="AK1302" s="55"/>
      <c r="AL1302" s="56" t="str">
        <f t="shared" si="626"/>
        <v/>
      </c>
      <c r="AM1302" s="55"/>
      <c r="AN1302" s="56" t="str">
        <f t="shared" si="627"/>
        <v/>
      </c>
      <c r="AO1302" s="55"/>
      <c r="AP1302" s="56" t="str">
        <f t="shared" si="628"/>
        <v/>
      </c>
      <c r="AQ1302" s="55"/>
      <c r="AR1302" s="56" t="str">
        <f t="shared" si="629"/>
        <v/>
      </c>
      <c r="AS1302" s="57"/>
      <c r="AT1302" s="58"/>
      <c r="AU1302" s="58"/>
      <c r="AV1302" s="59"/>
      <c r="AW1302" s="60" t="str">
        <f t="shared" si="607"/>
        <v/>
      </c>
      <c r="AX1302" s="61" t="str">
        <f t="shared" si="608"/>
        <v/>
      </c>
      <c r="AY1302" s="60" t="str">
        <f t="shared" si="609"/>
        <v/>
      </c>
      <c r="AZ1302" s="61" t="str">
        <f t="shared" si="610"/>
        <v/>
      </c>
    </row>
    <row r="1303" spans="1:52" s="3" customFormat="1" hidden="1" x14ac:dyDescent="0.35">
      <c r="A1303" s="72">
        <f t="shared" si="611"/>
        <v>2021</v>
      </c>
      <c r="B1303" s="72" t="str">
        <f t="shared" si="612"/>
        <v>Nov</v>
      </c>
      <c r="C1303" s="73">
        <f t="shared" si="630"/>
        <v>15</v>
      </c>
      <c r="D1303" s="74">
        <f t="shared" si="613"/>
        <v>13</v>
      </c>
      <c r="E1303" s="75">
        <f t="shared" si="614"/>
        <v>39</v>
      </c>
      <c r="F1303" s="79"/>
      <c r="G1303" s="82"/>
      <c r="H1303" s="68" t="str">
        <f t="shared" si="631"/>
        <v>Clesim6_20211115_13_00</v>
      </c>
      <c r="I1303" s="69">
        <f t="shared" si="633"/>
        <v>1</v>
      </c>
      <c r="J1303" s="76" t="str">
        <f t="shared" si="633"/>
        <v>Clematis</v>
      </c>
      <c r="K1303" s="76" t="str">
        <f t="shared" si="633"/>
        <v>simense</v>
      </c>
      <c r="L1303" s="77">
        <f t="shared" si="633"/>
        <v>6</v>
      </c>
      <c r="M1303" s="77">
        <f t="shared" si="633"/>
        <v>20</v>
      </c>
      <c r="N1303" s="71">
        <f t="shared" si="633"/>
        <v>0</v>
      </c>
      <c r="O1303" s="44"/>
      <c r="P1303" s="45" t="str">
        <f t="shared" si="615"/>
        <v/>
      </c>
      <c r="Q1303" s="46" t="str">
        <f t="shared" si="616"/>
        <v/>
      </c>
      <c r="R1303" s="47" t="e">
        <f t="shared" si="617"/>
        <v>#VALUE!</v>
      </c>
      <c r="S1303" s="48" t="e">
        <f t="shared" si="606"/>
        <v>#VALUE!</v>
      </c>
      <c r="T1303" s="47" t="str">
        <f t="shared" si="618"/>
        <v/>
      </c>
      <c r="U1303" s="49"/>
      <c r="V1303" s="50"/>
      <c r="W1303" s="51" t="e">
        <f t="shared" si="619"/>
        <v>#VALUE!</v>
      </c>
      <c r="X1303" s="52"/>
      <c r="Y1303" s="52"/>
      <c r="Z1303" s="52"/>
      <c r="AA1303" s="47" t="e">
        <f>INDEX(VISITORS[INSECT ORDER], MATCH(X1303,VISITORS[NAME USED],0))</f>
        <v>#N/A</v>
      </c>
      <c r="AB1303" s="47" t="e">
        <f t="shared" si="620"/>
        <v>#N/A</v>
      </c>
      <c r="AC1303" s="53" t="e">
        <f t="shared" si="621"/>
        <v>#VALUE!</v>
      </c>
      <c r="AD1303" s="54" t="str">
        <f t="shared" si="622"/>
        <v/>
      </c>
      <c r="AE1303" s="54"/>
      <c r="AF1303" s="54"/>
      <c r="AG1303" s="55" t="str">
        <f t="shared" si="623"/>
        <v/>
      </c>
      <c r="AH1303" s="56" t="str">
        <f t="shared" si="624"/>
        <v/>
      </c>
      <c r="AI1303" s="55"/>
      <c r="AJ1303" s="56" t="str">
        <f t="shared" si="625"/>
        <v/>
      </c>
      <c r="AK1303" s="55"/>
      <c r="AL1303" s="56" t="str">
        <f t="shared" si="626"/>
        <v/>
      </c>
      <c r="AM1303" s="55"/>
      <c r="AN1303" s="56" t="str">
        <f t="shared" si="627"/>
        <v/>
      </c>
      <c r="AO1303" s="55"/>
      <c r="AP1303" s="56" t="str">
        <f t="shared" si="628"/>
        <v/>
      </c>
      <c r="AQ1303" s="55"/>
      <c r="AR1303" s="56" t="str">
        <f t="shared" si="629"/>
        <v/>
      </c>
      <c r="AS1303" s="57"/>
      <c r="AT1303" s="58"/>
      <c r="AU1303" s="58"/>
      <c r="AV1303" s="59"/>
      <c r="AW1303" s="60" t="str">
        <f t="shared" si="607"/>
        <v/>
      </c>
      <c r="AX1303" s="61" t="str">
        <f t="shared" si="608"/>
        <v/>
      </c>
      <c r="AY1303" s="60" t="str">
        <f t="shared" si="609"/>
        <v/>
      </c>
      <c r="AZ1303" s="61" t="str">
        <f t="shared" si="610"/>
        <v/>
      </c>
    </row>
    <row r="1304" spans="1:52" s="3" customFormat="1" hidden="1" x14ac:dyDescent="0.35">
      <c r="A1304" s="72">
        <f t="shared" si="611"/>
        <v>2021</v>
      </c>
      <c r="B1304" s="72" t="str">
        <f t="shared" si="612"/>
        <v>Nov</v>
      </c>
      <c r="C1304" s="73">
        <f t="shared" si="630"/>
        <v>15</v>
      </c>
      <c r="D1304" s="74">
        <f t="shared" si="613"/>
        <v>13</v>
      </c>
      <c r="E1304" s="75">
        <f t="shared" si="614"/>
        <v>40</v>
      </c>
      <c r="F1304" s="79"/>
      <c r="G1304" s="82"/>
      <c r="H1304" s="68" t="str">
        <f t="shared" si="631"/>
        <v>Clesim6_20211115_13_00</v>
      </c>
      <c r="I1304" s="69">
        <f t="shared" si="633"/>
        <v>1</v>
      </c>
      <c r="J1304" s="76" t="str">
        <f t="shared" si="633"/>
        <v>Clematis</v>
      </c>
      <c r="K1304" s="76" t="str">
        <f t="shared" si="633"/>
        <v>simense</v>
      </c>
      <c r="L1304" s="77">
        <f t="shared" si="633"/>
        <v>6</v>
      </c>
      <c r="M1304" s="77">
        <f t="shared" si="633"/>
        <v>20</v>
      </c>
      <c r="N1304" s="71">
        <f t="shared" si="633"/>
        <v>0</v>
      </c>
      <c r="O1304" s="44"/>
      <c r="P1304" s="45" t="str">
        <f t="shared" si="615"/>
        <v/>
      </c>
      <c r="Q1304" s="46" t="str">
        <f t="shared" si="616"/>
        <v/>
      </c>
      <c r="R1304" s="47" t="e">
        <f t="shared" si="617"/>
        <v>#VALUE!</v>
      </c>
      <c r="S1304" s="48" t="e">
        <f t="shared" si="606"/>
        <v>#VALUE!</v>
      </c>
      <c r="T1304" s="47" t="str">
        <f t="shared" si="618"/>
        <v/>
      </c>
      <c r="U1304" s="49"/>
      <c r="V1304" s="50"/>
      <c r="W1304" s="51" t="e">
        <f t="shared" si="619"/>
        <v>#VALUE!</v>
      </c>
      <c r="X1304" s="52"/>
      <c r="Y1304" s="52"/>
      <c r="Z1304" s="52"/>
      <c r="AA1304" s="47" t="e">
        <f>INDEX(VISITORS[INSECT ORDER], MATCH(X1304,VISITORS[NAME USED],0))</f>
        <v>#N/A</v>
      </c>
      <c r="AB1304" s="47" t="e">
        <f t="shared" si="620"/>
        <v>#N/A</v>
      </c>
      <c r="AC1304" s="53" t="e">
        <f t="shared" si="621"/>
        <v>#VALUE!</v>
      </c>
      <c r="AD1304" s="54" t="str">
        <f t="shared" si="622"/>
        <v/>
      </c>
      <c r="AE1304" s="54"/>
      <c r="AF1304" s="54"/>
      <c r="AG1304" s="55" t="str">
        <f t="shared" si="623"/>
        <v/>
      </c>
      <c r="AH1304" s="56" t="str">
        <f t="shared" si="624"/>
        <v/>
      </c>
      <c r="AI1304" s="55"/>
      <c r="AJ1304" s="56" t="str">
        <f t="shared" si="625"/>
        <v/>
      </c>
      <c r="AK1304" s="55"/>
      <c r="AL1304" s="56" t="str">
        <f t="shared" si="626"/>
        <v/>
      </c>
      <c r="AM1304" s="55"/>
      <c r="AN1304" s="56" t="str">
        <f t="shared" si="627"/>
        <v/>
      </c>
      <c r="AO1304" s="55"/>
      <c r="AP1304" s="56" t="str">
        <f t="shared" si="628"/>
        <v/>
      </c>
      <c r="AQ1304" s="55"/>
      <c r="AR1304" s="56" t="str">
        <f t="shared" si="629"/>
        <v/>
      </c>
      <c r="AS1304" s="57"/>
      <c r="AT1304" s="58"/>
      <c r="AU1304" s="58"/>
      <c r="AV1304" s="59"/>
      <c r="AW1304" s="60" t="str">
        <f t="shared" si="607"/>
        <v/>
      </c>
      <c r="AX1304" s="61" t="str">
        <f t="shared" si="608"/>
        <v/>
      </c>
      <c r="AY1304" s="60" t="str">
        <f t="shared" si="609"/>
        <v/>
      </c>
      <c r="AZ1304" s="61" t="str">
        <f t="shared" si="610"/>
        <v/>
      </c>
    </row>
    <row r="1305" spans="1:52" s="3" customFormat="1" hidden="1" x14ac:dyDescent="0.35">
      <c r="A1305" s="72">
        <f t="shared" si="611"/>
        <v>2021</v>
      </c>
      <c r="B1305" s="72" t="str">
        <f t="shared" si="612"/>
        <v>Nov</v>
      </c>
      <c r="C1305" s="73">
        <f t="shared" si="630"/>
        <v>15</v>
      </c>
      <c r="D1305" s="74">
        <f t="shared" si="613"/>
        <v>13</v>
      </c>
      <c r="E1305" s="75">
        <f t="shared" si="614"/>
        <v>41</v>
      </c>
      <c r="F1305" s="79"/>
      <c r="G1305" s="82"/>
      <c r="H1305" s="68" t="str">
        <f t="shared" si="631"/>
        <v>Clesim6_20211115_13_00</v>
      </c>
      <c r="I1305" s="69">
        <f t="shared" si="633"/>
        <v>1</v>
      </c>
      <c r="J1305" s="76" t="str">
        <f t="shared" si="633"/>
        <v>Clematis</v>
      </c>
      <c r="K1305" s="76" t="str">
        <f t="shared" si="633"/>
        <v>simense</v>
      </c>
      <c r="L1305" s="77">
        <f t="shared" si="633"/>
        <v>6</v>
      </c>
      <c r="M1305" s="77">
        <f t="shared" si="633"/>
        <v>20</v>
      </c>
      <c r="N1305" s="71">
        <f t="shared" si="633"/>
        <v>0</v>
      </c>
      <c r="O1305" s="44"/>
      <c r="P1305" s="45" t="str">
        <f t="shared" si="615"/>
        <v/>
      </c>
      <c r="Q1305" s="46" t="str">
        <f t="shared" si="616"/>
        <v/>
      </c>
      <c r="R1305" s="47" t="e">
        <f t="shared" si="617"/>
        <v>#VALUE!</v>
      </c>
      <c r="S1305" s="48" t="e">
        <f t="shared" si="606"/>
        <v>#VALUE!</v>
      </c>
      <c r="T1305" s="47" t="str">
        <f t="shared" si="618"/>
        <v/>
      </c>
      <c r="U1305" s="49"/>
      <c r="V1305" s="50"/>
      <c r="W1305" s="51" t="e">
        <f t="shared" si="619"/>
        <v>#VALUE!</v>
      </c>
      <c r="X1305" s="52"/>
      <c r="Y1305" s="52"/>
      <c r="Z1305" s="52"/>
      <c r="AA1305" s="47" t="e">
        <f>INDEX(VISITORS[INSECT ORDER], MATCH(X1305,VISITORS[NAME USED],0))</f>
        <v>#N/A</v>
      </c>
      <c r="AB1305" s="47" t="e">
        <f t="shared" si="620"/>
        <v>#N/A</v>
      </c>
      <c r="AC1305" s="53" t="e">
        <f t="shared" si="621"/>
        <v>#VALUE!</v>
      </c>
      <c r="AD1305" s="54" t="str">
        <f t="shared" si="622"/>
        <v/>
      </c>
      <c r="AE1305" s="54"/>
      <c r="AF1305" s="54"/>
      <c r="AG1305" s="55" t="str">
        <f t="shared" si="623"/>
        <v/>
      </c>
      <c r="AH1305" s="56" t="str">
        <f t="shared" si="624"/>
        <v/>
      </c>
      <c r="AI1305" s="55"/>
      <c r="AJ1305" s="56" t="str">
        <f t="shared" si="625"/>
        <v/>
      </c>
      <c r="AK1305" s="55"/>
      <c r="AL1305" s="56" t="str">
        <f t="shared" si="626"/>
        <v/>
      </c>
      <c r="AM1305" s="55"/>
      <c r="AN1305" s="56" t="str">
        <f t="shared" si="627"/>
        <v/>
      </c>
      <c r="AO1305" s="55"/>
      <c r="AP1305" s="56" t="str">
        <f t="shared" si="628"/>
        <v/>
      </c>
      <c r="AQ1305" s="55"/>
      <c r="AR1305" s="56" t="str">
        <f t="shared" si="629"/>
        <v/>
      </c>
      <c r="AS1305" s="57"/>
      <c r="AT1305" s="58"/>
      <c r="AU1305" s="58"/>
      <c r="AV1305" s="59"/>
      <c r="AW1305" s="60" t="str">
        <f t="shared" si="607"/>
        <v/>
      </c>
      <c r="AX1305" s="61" t="str">
        <f t="shared" si="608"/>
        <v/>
      </c>
      <c r="AY1305" s="60" t="str">
        <f t="shared" si="609"/>
        <v/>
      </c>
      <c r="AZ1305" s="61" t="str">
        <f t="shared" si="610"/>
        <v/>
      </c>
    </row>
    <row r="1306" spans="1:52" s="3" customFormat="1" hidden="1" x14ac:dyDescent="0.35">
      <c r="A1306" s="72">
        <f t="shared" si="611"/>
        <v>2021</v>
      </c>
      <c r="B1306" s="72" t="str">
        <f t="shared" si="612"/>
        <v>Nov</v>
      </c>
      <c r="C1306" s="73">
        <f t="shared" si="630"/>
        <v>15</v>
      </c>
      <c r="D1306" s="74">
        <f t="shared" si="613"/>
        <v>13</v>
      </c>
      <c r="E1306" s="75">
        <f t="shared" si="614"/>
        <v>42</v>
      </c>
      <c r="F1306" s="79"/>
      <c r="G1306" s="82"/>
      <c r="H1306" s="68" t="str">
        <f t="shared" si="631"/>
        <v>Clesim6_20211115_13_00</v>
      </c>
      <c r="I1306" s="69">
        <f t="shared" si="633"/>
        <v>1</v>
      </c>
      <c r="J1306" s="76" t="str">
        <f t="shared" si="633"/>
        <v>Clematis</v>
      </c>
      <c r="K1306" s="76" t="str">
        <f t="shared" si="633"/>
        <v>simense</v>
      </c>
      <c r="L1306" s="77">
        <f t="shared" si="633"/>
        <v>6</v>
      </c>
      <c r="M1306" s="77">
        <f t="shared" si="633"/>
        <v>20</v>
      </c>
      <c r="N1306" s="71">
        <f t="shared" si="633"/>
        <v>0</v>
      </c>
      <c r="O1306" s="44"/>
      <c r="P1306" s="45" t="str">
        <f t="shared" si="615"/>
        <v/>
      </c>
      <c r="Q1306" s="46" t="str">
        <f t="shared" si="616"/>
        <v/>
      </c>
      <c r="R1306" s="47" t="e">
        <f t="shared" si="617"/>
        <v>#VALUE!</v>
      </c>
      <c r="S1306" s="48" t="e">
        <f t="shared" si="606"/>
        <v>#VALUE!</v>
      </c>
      <c r="T1306" s="47" t="str">
        <f t="shared" si="618"/>
        <v/>
      </c>
      <c r="U1306" s="49"/>
      <c r="V1306" s="50"/>
      <c r="W1306" s="51" t="e">
        <f t="shared" si="619"/>
        <v>#VALUE!</v>
      </c>
      <c r="X1306" s="52"/>
      <c r="Y1306" s="52"/>
      <c r="Z1306" s="52"/>
      <c r="AA1306" s="47" t="e">
        <f>INDEX(VISITORS[INSECT ORDER], MATCH(X1306,VISITORS[NAME USED],0))</f>
        <v>#N/A</v>
      </c>
      <c r="AB1306" s="47" t="e">
        <f t="shared" si="620"/>
        <v>#N/A</v>
      </c>
      <c r="AC1306" s="53" t="e">
        <f t="shared" si="621"/>
        <v>#VALUE!</v>
      </c>
      <c r="AD1306" s="54" t="str">
        <f t="shared" si="622"/>
        <v/>
      </c>
      <c r="AE1306" s="54"/>
      <c r="AF1306" s="54"/>
      <c r="AG1306" s="55" t="str">
        <f t="shared" si="623"/>
        <v/>
      </c>
      <c r="AH1306" s="56" t="str">
        <f t="shared" si="624"/>
        <v/>
      </c>
      <c r="AI1306" s="55"/>
      <c r="AJ1306" s="56" t="str">
        <f t="shared" si="625"/>
        <v/>
      </c>
      <c r="AK1306" s="55"/>
      <c r="AL1306" s="56" t="str">
        <f t="shared" si="626"/>
        <v/>
      </c>
      <c r="AM1306" s="55"/>
      <c r="AN1306" s="56" t="str">
        <f t="shared" si="627"/>
        <v/>
      </c>
      <c r="AO1306" s="55"/>
      <c r="AP1306" s="56" t="str">
        <f t="shared" si="628"/>
        <v/>
      </c>
      <c r="AQ1306" s="55"/>
      <c r="AR1306" s="56" t="str">
        <f t="shared" si="629"/>
        <v/>
      </c>
      <c r="AS1306" s="57"/>
      <c r="AT1306" s="58"/>
      <c r="AU1306" s="58"/>
      <c r="AV1306" s="59"/>
      <c r="AW1306" s="60" t="str">
        <f t="shared" si="607"/>
        <v/>
      </c>
      <c r="AX1306" s="61" t="str">
        <f t="shared" si="608"/>
        <v/>
      </c>
      <c r="AY1306" s="60" t="str">
        <f t="shared" si="609"/>
        <v/>
      </c>
      <c r="AZ1306" s="61" t="str">
        <f t="shared" si="610"/>
        <v/>
      </c>
    </row>
    <row r="1307" spans="1:52" s="3" customFormat="1" x14ac:dyDescent="0.35">
      <c r="A1307" s="72">
        <f t="shared" si="611"/>
        <v>2021</v>
      </c>
      <c r="B1307" s="72" t="str">
        <f t="shared" si="612"/>
        <v>Nov</v>
      </c>
      <c r="C1307" s="73">
        <f t="shared" si="630"/>
        <v>15</v>
      </c>
      <c r="D1307" s="74">
        <f t="shared" si="613"/>
        <v>13</v>
      </c>
      <c r="E1307" s="75">
        <f t="shared" si="614"/>
        <v>43</v>
      </c>
      <c r="F1307" s="79">
        <v>32</v>
      </c>
      <c r="G1307" s="82"/>
      <c r="H1307" s="68" t="str">
        <f t="shared" si="631"/>
        <v>Clesim6_20211115_13_00</v>
      </c>
      <c r="I1307" s="69">
        <f t="shared" si="633"/>
        <v>1</v>
      </c>
      <c r="J1307" s="76" t="str">
        <f t="shared" si="633"/>
        <v>Clematis</v>
      </c>
      <c r="K1307" s="76" t="str">
        <f t="shared" si="633"/>
        <v>simense</v>
      </c>
      <c r="L1307" s="77">
        <f t="shared" si="633"/>
        <v>6</v>
      </c>
      <c r="M1307" s="77">
        <f t="shared" si="633"/>
        <v>20</v>
      </c>
      <c r="N1307" s="71">
        <f t="shared" si="633"/>
        <v>0</v>
      </c>
      <c r="O1307" s="44"/>
      <c r="P1307" s="45">
        <f t="shared" si="615"/>
        <v>1</v>
      </c>
      <c r="Q1307" s="46" t="str">
        <f t="shared" si="616"/>
        <v>13:43:32</v>
      </c>
      <c r="R1307" s="47" t="str">
        <f t="shared" si="617"/>
        <v>43:32</v>
      </c>
      <c r="S1307" s="48">
        <f t="shared" si="606"/>
        <v>651</v>
      </c>
      <c r="T1307" s="47" t="str">
        <f t="shared" si="618"/>
        <v>13</v>
      </c>
      <c r="U1307" s="49">
        <v>54</v>
      </c>
      <c r="V1307" s="50">
        <v>23</v>
      </c>
      <c r="W1307" s="51" t="str">
        <f t="shared" si="619"/>
        <v>54:23</v>
      </c>
      <c r="X1307" s="52" t="s">
        <v>58</v>
      </c>
      <c r="Y1307" s="52" t="s">
        <v>90</v>
      </c>
      <c r="Z1307" s="52" t="s">
        <v>87</v>
      </c>
      <c r="AA1307" s="47" t="s">
        <v>58</v>
      </c>
      <c r="AB1307" s="47" t="str">
        <f t="shared" si="620"/>
        <v>NA</v>
      </c>
      <c r="AC1307" s="53" t="str">
        <f t="shared" si="621"/>
        <v/>
      </c>
      <c r="AD1307" s="54">
        <v>3</v>
      </c>
      <c r="AE1307" s="54"/>
      <c r="AF1307" s="54"/>
      <c r="AG1307" s="55" t="str">
        <f t="shared" si="623"/>
        <v/>
      </c>
      <c r="AH1307" s="56" t="str">
        <f t="shared" si="624"/>
        <v/>
      </c>
      <c r="AI1307" s="55"/>
      <c r="AJ1307" s="56" t="str">
        <f t="shared" si="625"/>
        <v/>
      </c>
      <c r="AK1307" s="55"/>
      <c r="AL1307" s="56" t="str">
        <f t="shared" si="626"/>
        <v/>
      </c>
      <c r="AM1307" s="55"/>
      <c r="AN1307" s="56" t="str">
        <f t="shared" si="627"/>
        <v/>
      </c>
      <c r="AO1307" s="55"/>
      <c r="AP1307" s="56" t="str">
        <f t="shared" si="628"/>
        <v/>
      </c>
      <c r="AQ1307" s="55"/>
      <c r="AR1307" s="56" t="str">
        <f t="shared" si="629"/>
        <v/>
      </c>
      <c r="AS1307" s="57"/>
      <c r="AT1307" s="58"/>
      <c r="AU1307" s="58"/>
      <c r="AV1307" s="59"/>
      <c r="AW1307" s="60">
        <f t="shared" si="607"/>
        <v>0</v>
      </c>
      <c r="AX1307" s="61" t="str">
        <f t="shared" si="608"/>
        <v/>
      </c>
      <c r="AY1307" s="60">
        <f t="shared" si="609"/>
        <v>0</v>
      </c>
      <c r="AZ1307" s="61" t="str">
        <f t="shared" si="610"/>
        <v/>
      </c>
    </row>
    <row r="1308" spans="1:52" s="3" customFormat="1" hidden="1" x14ac:dyDescent="0.35">
      <c r="A1308" s="72">
        <f t="shared" si="611"/>
        <v>2021</v>
      </c>
      <c r="B1308" s="72" t="str">
        <f t="shared" si="612"/>
        <v>Nov</v>
      </c>
      <c r="C1308" s="73">
        <f t="shared" si="630"/>
        <v>15</v>
      </c>
      <c r="D1308" s="74">
        <f t="shared" si="613"/>
        <v>13</v>
      </c>
      <c r="E1308" s="75">
        <f t="shared" si="614"/>
        <v>44</v>
      </c>
      <c r="F1308" s="79"/>
      <c r="G1308" s="82"/>
      <c r="H1308" s="68" t="str">
        <f t="shared" si="631"/>
        <v>Clesim6_20211115_13_00</v>
      </c>
      <c r="I1308" s="69">
        <f t="shared" si="633"/>
        <v>1</v>
      </c>
      <c r="J1308" s="76" t="str">
        <f t="shared" si="633"/>
        <v>Clematis</v>
      </c>
      <c r="K1308" s="76" t="str">
        <f t="shared" si="633"/>
        <v>simense</v>
      </c>
      <c r="L1308" s="77">
        <f t="shared" si="633"/>
        <v>6</v>
      </c>
      <c r="M1308" s="77">
        <f t="shared" si="633"/>
        <v>20</v>
      </c>
      <c r="N1308" s="71">
        <f t="shared" si="633"/>
        <v>0</v>
      </c>
      <c r="O1308" s="44"/>
      <c r="P1308" s="45" t="str">
        <f t="shared" si="615"/>
        <v/>
      </c>
      <c r="Q1308" s="46" t="str">
        <f t="shared" si="616"/>
        <v/>
      </c>
      <c r="R1308" s="47" t="e">
        <f t="shared" si="617"/>
        <v>#VALUE!</v>
      </c>
      <c r="S1308" s="48" t="e">
        <f t="shared" si="606"/>
        <v>#VALUE!</v>
      </c>
      <c r="T1308" s="47" t="str">
        <f t="shared" si="618"/>
        <v/>
      </c>
      <c r="U1308" s="49"/>
      <c r="V1308" s="50"/>
      <c r="W1308" s="51" t="e">
        <f t="shared" si="619"/>
        <v>#VALUE!</v>
      </c>
      <c r="X1308" s="52"/>
      <c r="Y1308" s="52"/>
      <c r="Z1308" s="52"/>
      <c r="AA1308" s="47" t="e">
        <f>INDEX(VISITORS[INSECT ORDER], MATCH(X1308,VISITORS[NAME USED],0))</f>
        <v>#N/A</v>
      </c>
      <c r="AB1308" s="47" t="e">
        <f t="shared" si="620"/>
        <v>#N/A</v>
      </c>
      <c r="AC1308" s="53" t="e">
        <f t="shared" si="621"/>
        <v>#VALUE!</v>
      </c>
      <c r="AD1308" s="54" t="str">
        <f t="shared" si="622"/>
        <v/>
      </c>
      <c r="AE1308" s="54"/>
      <c r="AF1308" s="54"/>
      <c r="AG1308" s="55" t="str">
        <f t="shared" si="623"/>
        <v/>
      </c>
      <c r="AH1308" s="56" t="str">
        <f t="shared" si="624"/>
        <v/>
      </c>
      <c r="AI1308" s="55"/>
      <c r="AJ1308" s="56" t="str">
        <f t="shared" si="625"/>
        <v/>
      </c>
      <c r="AK1308" s="55"/>
      <c r="AL1308" s="56" t="str">
        <f t="shared" si="626"/>
        <v/>
      </c>
      <c r="AM1308" s="55"/>
      <c r="AN1308" s="56" t="str">
        <f t="shared" si="627"/>
        <v/>
      </c>
      <c r="AO1308" s="55"/>
      <c r="AP1308" s="56" t="str">
        <f t="shared" si="628"/>
        <v/>
      </c>
      <c r="AQ1308" s="55"/>
      <c r="AR1308" s="56" t="str">
        <f t="shared" si="629"/>
        <v/>
      </c>
      <c r="AS1308" s="57"/>
      <c r="AT1308" s="58"/>
      <c r="AU1308" s="58"/>
      <c r="AV1308" s="59"/>
      <c r="AW1308" s="60" t="str">
        <f t="shared" si="607"/>
        <v/>
      </c>
      <c r="AX1308" s="61" t="str">
        <f t="shared" si="608"/>
        <v/>
      </c>
      <c r="AY1308" s="60" t="str">
        <f t="shared" si="609"/>
        <v/>
      </c>
      <c r="AZ1308" s="61" t="str">
        <f t="shared" si="610"/>
        <v/>
      </c>
    </row>
    <row r="1309" spans="1:52" s="3" customFormat="1" hidden="1" x14ac:dyDescent="0.35">
      <c r="A1309" s="72">
        <f t="shared" si="611"/>
        <v>2021</v>
      </c>
      <c r="B1309" s="72" t="str">
        <f t="shared" si="612"/>
        <v>Nov</v>
      </c>
      <c r="C1309" s="73">
        <f t="shared" si="630"/>
        <v>15</v>
      </c>
      <c r="D1309" s="74">
        <f t="shared" si="613"/>
        <v>13</v>
      </c>
      <c r="E1309" s="75">
        <f t="shared" si="614"/>
        <v>45</v>
      </c>
      <c r="F1309" s="79"/>
      <c r="G1309" s="82"/>
      <c r="H1309" s="68" t="str">
        <f t="shared" si="631"/>
        <v>Clesim6_20211115_13_00</v>
      </c>
      <c r="I1309" s="69">
        <f t="shared" si="633"/>
        <v>1</v>
      </c>
      <c r="J1309" s="76" t="str">
        <f t="shared" si="633"/>
        <v>Clematis</v>
      </c>
      <c r="K1309" s="76" t="str">
        <f t="shared" si="633"/>
        <v>simense</v>
      </c>
      <c r="L1309" s="77">
        <f t="shared" si="633"/>
        <v>6</v>
      </c>
      <c r="M1309" s="77">
        <f t="shared" si="633"/>
        <v>20</v>
      </c>
      <c r="N1309" s="71">
        <f t="shared" si="633"/>
        <v>0</v>
      </c>
      <c r="O1309" s="44"/>
      <c r="P1309" s="45" t="str">
        <f t="shared" si="615"/>
        <v/>
      </c>
      <c r="Q1309" s="46" t="str">
        <f t="shared" si="616"/>
        <v/>
      </c>
      <c r="R1309" s="47" t="e">
        <f t="shared" si="617"/>
        <v>#VALUE!</v>
      </c>
      <c r="S1309" s="48" t="e">
        <f t="shared" si="606"/>
        <v>#VALUE!</v>
      </c>
      <c r="T1309" s="47" t="str">
        <f t="shared" si="618"/>
        <v/>
      </c>
      <c r="U1309" s="49"/>
      <c r="V1309" s="50"/>
      <c r="W1309" s="51" t="e">
        <f t="shared" si="619"/>
        <v>#VALUE!</v>
      </c>
      <c r="X1309" s="52"/>
      <c r="Y1309" s="52"/>
      <c r="Z1309" s="52"/>
      <c r="AA1309" s="47" t="e">
        <f>INDEX(VISITORS[INSECT ORDER], MATCH(X1309,VISITORS[NAME USED],0))</f>
        <v>#N/A</v>
      </c>
      <c r="AB1309" s="47" t="e">
        <f t="shared" si="620"/>
        <v>#N/A</v>
      </c>
      <c r="AC1309" s="53" t="e">
        <f t="shared" si="621"/>
        <v>#VALUE!</v>
      </c>
      <c r="AD1309" s="54" t="str">
        <f t="shared" si="622"/>
        <v/>
      </c>
      <c r="AE1309" s="54"/>
      <c r="AF1309" s="54"/>
      <c r="AG1309" s="55" t="str">
        <f t="shared" si="623"/>
        <v/>
      </c>
      <c r="AH1309" s="56" t="str">
        <f t="shared" si="624"/>
        <v/>
      </c>
      <c r="AI1309" s="55"/>
      <c r="AJ1309" s="56" t="str">
        <f t="shared" si="625"/>
        <v/>
      </c>
      <c r="AK1309" s="55"/>
      <c r="AL1309" s="56" t="str">
        <f t="shared" si="626"/>
        <v/>
      </c>
      <c r="AM1309" s="55"/>
      <c r="AN1309" s="56" t="str">
        <f t="shared" si="627"/>
        <v/>
      </c>
      <c r="AO1309" s="55"/>
      <c r="AP1309" s="56" t="str">
        <f t="shared" si="628"/>
        <v/>
      </c>
      <c r="AQ1309" s="55"/>
      <c r="AR1309" s="56" t="str">
        <f t="shared" si="629"/>
        <v/>
      </c>
      <c r="AS1309" s="57"/>
      <c r="AT1309" s="58"/>
      <c r="AU1309" s="58"/>
      <c r="AV1309" s="59"/>
      <c r="AW1309" s="60" t="str">
        <f t="shared" si="607"/>
        <v/>
      </c>
      <c r="AX1309" s="61" t="str">
        <f t="shared" si="608"/>
        <v/>
      </c>
      <c r="AY1309" s="60" t="str">
        <f t="shared" si="609"/>
        <v/>
      </c>
      <c r="AZ1309" s="61" t="str">
        <f t="shared" si="610"/>
        <v/>
      </c>
    </row>
    <row r="1310" spans="1:52" s="3" customFormat="1" hidden="1" x14ac:dyDescent="0.35">
      <c r="A1310" s="72">
        <f t="shared" si="611"/>
        <v>2021</v>
      </c>
      <c r="B1310" s="72" t="str">
        <f t="shared" si="612"/>
        <v>Nov</v>
      </c>
      <c r="C1310" s="73">
        <f t="shared" si="630"/>
        <v>15</v>
      </c>
      <c r="D1310" s="74">
        <f t="shared" si="613"/>
        <v>13</v>
      </c>
      <c r="E1310" s="75">
        <f t="shared" si="614"/>
        <v>46</v>
      </c>
      <c r="F1310" s="79"/>
      <c r="G1310" s="82"/>
      <c r="H1310" s="68" t="str">
        <f t="shared" si="631"/>
        <v>Clesim6_20211115_13_00</v>
      </c>
      <c r="I1310" s="69">
        <f t="shared" si="633"/>
        <v>1</v>
      </c>
      <c r="J1310" s="76" t="str">
        <f t="shared" si="633"/>
        <v>Clematis</v>
      </c>
      <c r="K1310" s="76" t="str">
        <f t="shared" si="633"/>
        <v>simense</v>
      </c>
      <c r="L1310" s="77">
        <f t="shared" si="633"/>
        <v>6</v>
      </c>
      <c r="M1310" s="77">
        <f t="shared" si="633"/>
        <v>20</v>
      </c>
      <c r="N1310" s="71">
        <f t="shared" si="633"/>
        <v>0</v>
      </c>
      <c r="O1310" s="44"/>
      <c r="P1310" s="45" t="str">
        <f t="shared" si="615"/>
        <v/>
      </c>
      <c r="Q1310" s="46" t="str">
        <f t="shared" si="616"/>
        <v/>
      </c>
      <c r="R1310" s="47" t="e">
        <f t="shared" si="617"/>
        <v>#VALUE!</v>
      </c>
      <c r="S1310" s="48" t="e">
        <f t="shared" si="606"/>
        <v>#VALUE!</v>
      </c>
      <c r="T1310" s="47" t="str">
        <f t="shared" si="618"/>
        <v/>
      </c>
      <c r="U1310" s="49"/>
      <c r="V1310" s="50"/>
      <c r="W1310" s="51" t="e">
        <f t="shared" si="619"/>
        <v>#VALUE!</v>
      </c>
      <c r="X1310" s="52"/>
      <c r="Y1310" s="52"/>
      <c r="Z1310" s="52"/>
      <c r="AA1310" s="47" t="e">
        <f>INDEX(VISITORS[INSECT ORDER], MATCH(X1310,VISITORS[NAME USED],0))</f>
        <v>#N/A</v>
      </c>
      <c r="AB1310" s="47" t="e">
        <f t="shared" si="620"/>
        <v>#N/A</v>
      </c>
      <c r="AC1310" s="53" t="e">
        <f t="shared" si="621"/>
        <v>#VALUE!</v>
      </c>
      <c r="AD1310" s="54" t="str">
        <f t="shared" si="622"/>
        <v/>
      </c>
      <c r="AE1310" s="54"/>
      <c r="AF1310" s="54"/>
      <c r="AG1310" s="55" t="str">
        <f t="shared" si="623"/>
        <v/>
      </c>
      <c r="AH1310" s="56" t="str">
        <f t="shared" si="624"/>
        <v/>
      </c>
      <c r="AI1310" s="55"/>
      <c r="AJ1310" s="56" t="str">
        <f t="shared" si="625"/>
        <v/>
      </c>
      <c r="AK1310" s="55"/>
      <c r="AL1310" s="56" t="str">
        <f t="shared" si="626"/>
        <v/>
      </c>
      <c r="AM1310" s="55"/>
      <c r="AN1310" s="56" t="str">
        <f t="shared" si="627"/>
        <v/>
      </c>
      <c r="AO1310" s="55"/>
      <c r="AP1310" s="56" t="str">
        <f t="shared" si="628"/>
        <v/>
      </c>
      <c r="AQ1310" s="55"/>
      <c r="AR1310" s="56" t="str">
        <f t="shared" si="629"/>
        <v/>
      </c>
      <c r="AS1310" s="57"/>
      <c r="AT1310" s="58"/>
      <c r="AU1310" s="58"/>
      <c r="AV1310" s="59"/>
      <c r="AW1310" s="60" t="str">
        <f t="shared" si="607"/>
        <v/>
      </c>
      <c r="AX1310" s="61" t="str">
        <f t="shared" si="608"/>
        <v/>
      </c>
      <c r="AY1310" s="60" t="str">
        <f t="shared" si="609"/>
        <v/>
      </c>
      <c r="AZ1310" s="61" t="str">
        <f t="shared" si="610"/>
        <v/>
      </c>
    </row>
    <row r="1311" spans="1:52" s="3" customFormat="1" hidden="1" x14ac:dyDescent="0.35">
      <c r="A1311" s="72">
        <f t="shared" si="611"/>
        <v>2021</v>
      </c>
      <c r="B1311" s="72" t="str">
        <f t="shared" si="612"/>
        <v>Nov</v>
      </c>
      <c r="C1311" s="73">
        <f t="shared" si="630"/>
        <v>15</v>
      </c>
      <c r="D1311" s="74">
        <f t="shared" si="613"/>
        <v>13</v>
      </c>
      <c r="E1311" s="75">
        <f t="shared" si="614"/>
        <v>47</v>
      </c>
      <c r="F1311" s="79"/>
      <c r="G1311" s="82"/>
      <c r="H1311" s="68" t="str">
        <f t="shared" si="631"/>
        <v>Clesim6_20211115_13_00</v>
      </c>
      <c r="I1311" s="69">
        <f t="shared" si="633"/>
        <v>1</v>
      </c>
      <c r="J1311" s="76" t="str">
        <f t="shared" si="633"/>
        <v>Clematis</v>
      </c>
      <c r="K1311" s="76" t="str">
        <f t="shared" si="633"/>
        <v>simense</v>
      </c>
      <c r="L1311" s="77">
        <f t="shared" si="633"/>
        <v>6</v>
      </c>
      <c r="M1311" s="77">
        <f t="shared" si="633"/>
        <v>20</v>
      </c>
      <c r="N1311" s="71">
        <f t="shared" si="633"/>
        <v>0</v>
      </c>
      <c r="O1311" s="44"/>
      <c r="P1311" s="45" t="str">
        <f t="shared" si="615"/>
        <v/>
      </c>
      <c r="Q1311" s="46" t="str">
        <f t="shared" si="616"/>
        <v/>
      </c>
      <c r="R1311" s="47" t="e">
        <f t="shared" si="617"/>
        <v>#VALUE!</v>
      </c>
      <c r="S1311" s="48" t="e">
        <f t="shared" si="606"/>
        <v>#VALUE!</v>
      </c>
      <c r="T1311" s="47" t="str">
        <f t="shared" si="618"/>
        <v/>
      </c>
      <c r="U1311" s="49"/>
      <c r="V1311" s="50"/>
      <c r="W1311" s="51" t="e">
        <f t="shared" si="619"/>
        <v>#VALUE!</v>
      </c>
      <c r="X1311" s="52"/>
      <c r="Y1311" s="52"/>
      <c r="Z1311" s="52"/>
      <c r="AA1311" s="47" t="e">
        <f>INDEX(VISITORS[INSECT ORDER], MATCH(X1311,VISITORS[NAME USED],0))</f>
        <v>#N/A</v>
      </c>
      <c r="AB1311" s="47" t="e">
        <f t="shared" si="620"/>
        <v>#N/A</v>
      </c>
      <c r="AC1311" s="53" t="e">
        <f t="shared" si="621"/>
        <v>#VALUE!</v>
      </c>
      <c r="AD1311" s="54" t="str">
        <f t="shared" si="622"/>
        <v/>
      </c>
      <c r="AE1311" s="54"/>
      <c r="AF1311" s="54"/>
      <c r="AG1311" s="55" t="str">
        <f t="shared" si="623"/>
        <v/>
      </c>
      <c r="AH1311" s="56" t="str">
        <f t="shared" si="624"/>
        <v/>
      </c>
      <c r="AI1311" s="55"/>
      <c r="AJ1311" s="56" t="str">
        <f t="shared" si="625"/>
        <v/>
      </c>
      <c r="AK1311" s="55"/>
      <c r="AL1311" s="56" t="str">
        <f t="shared" si="626"/>
        <v/>
      </c>
      <c r="AM1311" s="55"/>
      <c r="AN1311" s="56" t="str">
        <f t="shared" si="627"/>
        <v/>
      </c>
      <c r="AO1311" s="55"/>
      <c r="AP1311" s="56" t="str">
        <f t="shared" si="628"/>
        <v/>
      </c>
      <c r="AQ1311" s="55"/>
      <c r="AR1311" s="56" t="str">
        <f t="shared" si="629"/>
        <v/>
      </c>
      <c r="AS1311" s="57"/>
      <c r="AT1311" s="58"/>
      <c r="AU1311" s="58"/>
      <c r="AV1311" s="59"/>
      <c r="AW1311" s="60" t="str">
        <f t="shared" si="607"/>
        <v/>
      </c>
      <c r="AX1311" s="61" t="str">
        <f t="shared" si="608"/>
        <v/>
      </c>
      <c r="AY1311" s="60" t="str">
        <f t="shared" si="609"/>
        <v/>
      </c>
      <c r="AZ1311" s="61" t="str">
        <f t="shared" si="610"/>
        <v/>
      </c>
    </row>
    <row r="1312" spans="1:52" s="3" customFormat="1" hidden="1" x14ac:dyDescent="0.35">
      <c r="A1312" s="72">
        <f t="shared" si="611"/>
        <v>2021</v>
      </c>
      <c r="B1312" s="72" t="str">
        <f t="shared" si="612"/>
        <v>Nov</v>
      </c>
      <c r="C1312" s="73">
        <f t="shared" si="630"/>
        <v>15</v>
      </c>
      <c r="D1312" s="74">
        <f t="shared" si="613"/>
        <v>13</v>
      </c>
      <c r="E1312" s="75">
        <f t="shared" si="614"/>
        <v>48</v>
      </c>
      <c r="F1312" s="79"/>
      <c r="G1312" s="82"/>
      <c r="H1312" s="68" t="str">
        <f t="shared" si="631"/>
        <v>Clesim6_20211115_13_00</v>
      </c>
      <c r="I1312" s="69">
        <f t="shared" si="633"/>
        <v>1</v>
      </c>
      <c r="J1312" s="76" t="str">
        <f t="shared" si="633"/>
        <v>Clematis</v>
      </c>
      <c r="K1312" s="76" t="str">
        <f t="shared" si="633"/>
        <v>simense</v>
      </c>
      <c r="L1312" s="77">
        <f t="shared" si="633"/>
        <v>6</v>
      </c>
      <c r="M1312" s="77">
        <f t="shared" si="633"/>
        <v>20</v>
      </c>
      <c r="N1312" s="71">
        <f t="shared" si="633"/>
        <v>0</v>
      </c>
      <c r="O1312" s="44"/>
      <c r="P1312" s="45" t="str">
        <f t="shared" si="615"/>
        <v/>
      </c>
      <c r="Q1312" s="46" t="str">
        <f t="shared" si="616"/>
        <v/>
      </c>
      <c r="R1312" s="47" t="e">
        <f t="shared" si="617"/>
        <v>#VALUE!</v>
      </c>
      <c r="S1312" s="48" t="e">
        <f t="shared" si="606"/>
        <v>#VALUE!</v>
      </c>
      <c r="T1312" s="47" t="str">
        <f t="shared" si="618"/>
        <v/>
      </c>
      <c r="U1312" s="49"/>
      <c r="V1312" s="50"/>
      <c r="W1312" s="51" t="e">
        <f t="shared" si="619"/>
        <v>#VALUE!</v>
      </c>
      <c r="X1312" s="52"/>
      <c r="Y1312" s="52"/>
      <c r="Z1312" s="52"/>
      <c r="AA1312" s="47" t="e">
        <f>INDEX(VISITORS[INSECT ORDER], MATCH(X1312,VISITORS[NAME USED],0))</f>
        <v>#N/A</v>
      </c>
      <c r="AB1312" s="47" t="e">
        <f t="shared" si="620"/>
        <v>#N/A</v>
      </c>
      <c r="AC1312" s="53" t="e">
        <f t="shared" si="621"/>
        <v>#VALUE!</v>
      </c>
      <c r="AD1312" s="54" t="str">
        <f t="shared" si="622"/>
        <v/>
      </c>
      <c r="AE1312" s="54"/>
      <c r="AF1312" s="54"/>
      <c r="AG1312" s="55" t="str">
        <f t="shared" si="623"/>
        <v/>
      </c>
      <c r="AH1312" s="56" t="str">
        <f t="shared" si="624"/>
        <v/>
      </c>
      <c r="AI1312" s="55"/>
      <c r="AJ1312" s="56" t="str">
        <f t="shared" si="625"/>
        <v/>
      </c>
      <c r="AK1312" s="55"/>
      <c r="AL1312" s="56" t="str">
        <f t="shared" si="626"/>
        <v/>
      </c>
      <c r="AM1312" s="55"/>
      <c r="AN1312" s="56" t="str">
        <f t="shared" si="627"/>
        <v/>
      </c>
      <c r="AO1312" s="55"/>
      <c r="AP1312" s="56" t="str">
        <f t="shared" si="628"/>
        <v/>
      </c>
      <c r="AQ1312" s="55"/>
      <c r="AR1312" s="56" t="str">
        <f t="shared" si="629"/>
        <v/>
      </c>
      <c r="AS1312" s="57"/>
      <c r="AT1312" s="58"/>
      <c r="AU1312" s="58"/>
      <c r="AV1312" s="59"/>
      <c r="AW1312" s="60" t="str">
        <f t="shared" si="607"/>
        <v/>
      </c>
      <c r="AX1312" s="61" t="str">
        <f t="shared" si="608"/>
        <v/>
      </c>
      <c r="AY1312" s="60" t="str">
        <f t="shared" si="609"/>
        <v/>
      </c>
      <c r="AZ1312" s="61" t="str">
        <f t="shared" si="610"/>
        <v/>
      </c>
    </row>
    <row r="1313" spans="1:52" s="3" customFormat="1" hidden="1" x14ac:dyDescent="0.35">
      <c r="A1313" s="72">
        <f t="shared" si="611"/>
        <v>2021</v>
      </c>
      <c r="B1313" s="72" t="str">
        <f t="shared" si="612"/>
        <v>Nov</v>
      </c>
      <c r="C1313" s="73">
        <f t="shared" si="630"/>
        <v>15</v>
      </c>
      <c r="D1313" s="74">
        <f t="shared" si="613"/>
        <v>13</v>
      </c>
      <c r="E1313" s="75">
        <f t="shared" si="614"/>
        <v>49</v>
      </c>
      <c r="F1313" s="79"/>
      <c r="G1313" s="82"/>
      <c r="H1313" s="68" t="str">
        <f t="shared" si="631"/>
        <v>Clesim6_20211115_13_00</v>
      </c>
      <c r="I1313" s="69">
        <f t="shared" si="633"/>
        <v>1</v>
      </c>
      <c r="J1313" s="76" t="str">
        <f t="shared" si="633"/>
        <v>Clematis</v>
      </c>
      <c r="K1313" s="76" t="str">
        <f t="shared" si="633"/>
        <v>simense</v>
      </c>
      <c r="L1313" s="77">
        <f t="shared" si="633"/>
        <v>6</v>
      </c>
      <c r="M1313" s="77">
        <f t="shared" si="633"/>
        <v>20</v>
      </c>
      <c r="N1313" s="71">
        <f t="shared" si="633"/>
        <v>0</v>
      </c>
      <c r="O1313" s="44"/>
      <c r="P1313" s="45" t="str">
        <f t="shared" si="615"/>
        <v/>
      </c>
      <c r="Q1313" s="46" t="str">
        <f t="shared" si="616"/>
        <v/>
      </c>
      <c r="R1313" s="47" t="e">
        <f t="shared" si="617"/>
        <v>#VALUE!</v>
      </c>
      <c r="S1313" s="48" t="e">
        <f t="shared" si="606"/>
        <v>#VALUE!</v>
      </c>
      <c r="T1313" s="47" t="str">
        <f t="shared" si="618"/>
        <v/>
      </c>
      <c r="U1313" s="49"/>
      <c r="V1313" s="50"/>
      <c r="W1313" s="51" t="e">
        <f t="shared" si="619"/>
        <v>#VALUE!</v>
      </c>
      <c r="X1313" s="52"/>
      <c r="Y1313" s="52"/>
      <c r="Z1313" s="52"/>
      <c r="AA1313" s="47" t="e">
        <f>INDEX(VISITORS[INSECT ORDER], MATCH(X1313,VISITORS[NAME USED],0))</f>
        <v>#N/A</v>
      </c>
      <c r="AB1313" s="47" t="e">
        <f t="shared" si="620"/>
        <v>#N/A</v>
      </c>
      <c r="AC1313" s="53" t="e">
        <f t="shared" si="621"/>
        <v>#VALUE!</v>
      </c>
      <c r="AD1313" s="54" t="str">
        <f t="shared" si="622"/>
        <v/>
      </c>
      <c r="AE1313" s="54"/>
      <c r="AF1313" s="54"/>
      <c r="AG1313" s="55" t="str">
        <f t="shared" si="623"/>
        <v/>
      </c>
      <c r="AH1313" s="56" t="str">
        <f t="shared" si="624"/>
        <v/>
      </c>
      <c r="AI1313" s="55"/>
      <c r="AJ1313" s="56" t="str">
        <f t="shared" si="625"/>
        <v/>
      </c>
      <c r="AK1313" s="55"/>
      <c r="AL1313" s="56" t="str">
        <f t="shared" si="626"/>
        <v/>
      </c>
      <c r="AM1313" s="55"/>
      <c r="AN1313" s="56" t="str">
        <f t="shared" si="627"/>
        <v/>
      </c>
      <c r="AO1313" s="55"/>
      <c r="AP1313" s="56" t="str">
        <f t="shared" si="628"/>
        <v/>
      </c>
      <c r="AQ1313" s="55"/>
      <c r="AR1313" s="56" t="str">
        <f t="shared" si="629"/>
        <v/>
      </c>
      <c r="AS1313" s="57"/>
      <c r="AT1313" s="58"/>
      <c r="AU1313" s="58"/>
      <c r="AV1313" s="59"/>
      <c r="AW1313" s="60" t="str">
        <f t="shared" si="607"/>
        <v/>
      </c>
      <c r="AX1313" s="61" t="str">
        <f t="shared" si="608"/>
        <v/>
      </c>
      <c r="AY1313" s="60" t="str">
        <f t="shared" si="609"/>
        <v/>
      </c>
      <c r="AZ1313" s="61" t="str">
        <f t="shared" si="610"/>
        <v/>
      </c>
    </row>
    <row r="1314" spans="1:52" s="3" customFormat="1" hidden="1" x14ac:dyDescent="0.35">
      <c r="A1314" s="72">
        <f t="shared" si="611"/>
        <v>2021</v>
      </c>
      <c r="B1314" s="72" t="str">
        <f t="shared" si="612"/>
        <v>Nov</v>
      </c>
      <c r="C1314" s="73">
        <f t="shared" si="630"/>
        <v>15</v>
      </c>
      <c r="D1314" s="74">
        <f t="shared" si="613"/>
        <v>13</v>
      </c>
      <c r="E1314" s="75">
        <f t="shared" si="614"/>
        <v>50</v>
      </c>
      <c r="F1314" s="79"/>
      <c r="G1314" s="82"/>
      <c r="H1314" s="68" t="str">
        <f t="shared" si="631"/>
        <v>Clesim6_20211115_13_00</v>
      </c>
      <c r="I1314" s="69">
        <f t="shared" si="633"/>
        <v>1</v>
      </c>
      <c r="J1314" s="76" t="str">
        <f t="shared" si="633"/>
        <v>Clematis</v>
      </c>
      <c r="K1314" s="76" t="str">
        <f t="shared" si="633"/>
        <v>simense</v>
      </c>
      <c r="L1314" s="77">
        <f t="shared" si="633"/>
        <v>6</v>
      </c>
      <c r="M1314" s="77">
        <f t="shared" si="633"/>
        <v>20</v>
      </c>
      <c r="N1314" s="71">
        <f t="shared" si="633"/>
        <v>0</v>
      </c>
      <c r="O1314" s="44"/>
      <c r="P1314" s="45" t="str">
        <f t="shared" si="615"/>
        <v/>
      </c>
      <c r="Q1314" s="46" t="str">
        <f t="shared" si="616"/>
        <v/>
      </c>
      <c r="R1314" s="47" t="e">
        <f t="shared" si="617"/>
        <v>#VALUE!</v>
      </c>
      <c r="S1314" s="48" t="e">
        <f t="shared" si="606"/>
        <v>#VALUE!</v>
      </c>
      <c r="T1314" s="47" t="str">
        <f t="shared" si="618"/>
        <v/>
      </c>
      <c r="U1314" s="49"/>
      <c r="V1314" s="50"/>
      <c r="W1314" s="51" t="e">
        <f t="shared" si="619"/>
        <v>#VALUE!</v>
      </c>
      <c r="X1314" s="52"/>
      <c r="Y1314" s="52"/>
      <c r="Z1314" s="52"/>
      <c r="AA1314" s="47" t="e">
        <f>INDEX(VISITORS[INSECT ORDER], MATCH(X1314,VISITORS[NAME USED],0))</f>
        <v>#N/A</v>
      </c>
      <c r="AB1314" s="47" t="e">
        <f t="shared" si="620"/>
        <v>#N/A</v>
      </c>
      <c r="AC1314" s="53" t="e">
        <f t="shared" si="621"/>
        <v>#VALUE!</v>
      </c>
      <c r="AD1314" s="54" t="str">
        <f t="shared" si="622"/>
        <v/>
      </c>
      <c r="AE1314" s="54"/>
      <c r="AF1314" s="54"/>
      <c r="AG1314" s="55" t="str">
        <f t="shared" si="623"/>
        <v/>
      </c>
      <c r="AH1314" s="56" t="str">
        <f t="shared" si="624"/>
        <v/>
      </c>
      <c r="AI1314" s="55"/>
      <c r="AJ1314" s="56" t="str">
        <f t="shared" si="625"/>
        <v/>
      </c>
      <c r="AK1314" s="55"/>
      <c r="AL1314" s="56" t="str">
        <f t="shared" si="626"/>
        <v/>
      </c>
      <c r="AM1314" s="55"/>
      <c r="AN1314" s="56" t="str">
        <f t="shared" si="627"/>
        <v/>
      </c>
      <c r="AO1314" s="55"/>
      <c r="AP1314" s="56" t="str">
        <f t="shared" si="628"/>
        <v/>
      </c>
      <c r="AQ1314" s="55"/>
      <c r="AR1314" s="56" t="str">
        <f t="shared" si="629"/>
        <v/>
      </c>
      <c r="AS1314" s="57"/>
      <c r="AT1314" s="58"/>
      <c r="AU1314" s="58"/>
      <c r="AV1314" s="59"/>
      <c r="AW1314" s="60" t="str">
        <f t="shared" si="607"/>
        <v/>
      </c>
      <c r="AX1314" s="61" t="str">
        <f t="shared" si="608"/>
        <v/>
      </c>
      <c r="AY1314" s="60" t="str">
        <f t="shared" si="609"/>
        <v/>
      </c>
      <c r="AZ1314" s="61" t="str">
        <f t="shared" si="610"/>
        <v/>
      </c>
    </row>
    <row r="1315" spans="1:52" s="3" customFormat="1" hidden="1" x14ac:dyDescent="0.35">
      <c r="A1315" s="72">
        <f t="shared" si="611"/>
        <v>2021</v>
      </c>
      <c r="B1315" s="72" t="str">
        <f t="shared" si="612"/>
        <v>Nov</v>
      </c>
      <c r="C1315" s="73">
        <f t="shared" si="630"/>
        <v>15</v>
      </c>
      <c r="D1315" s="74">
        <f t="shared" si="613"/>
        <v>13</v>
      </c>
      <c r="E1315" s="75">
        <f t="shared" si="614"/>
        <v>51</v>
      </c>
      <c r="F1315" s="79"/>
      <c r="G1315" s="82"/>
      <c r="H1315" s="68" t="str">
        <f t="shared" si="631"/>
        <v>Clesim6_20211115_13_00</v>
      </c>
      <c r="I1315" s="69">
        <f t="shared" si="633"/>
        <v>1</v>
      </c>
      <c r="J1315" s="76" t="str">
        <f t="shared" si="633"/>
        <v>Clematis</v>
      </c>
      <c r="K1315" s="76" t="str">
        <f t="shared" si="633"/>
        <v>simense</v>
      </c>
      <c r="L1315" s="77">
        <f t="shared" si="633"/>
        <v>6</v>
      </c>
      <c r="M1315" s="77">
        <f t="shared" si="633"/>
        <v>20</v>
      </c>
      <c r="N1315" s="71">
        <f t="shared" si="633"/>
        <v>0</v>
      </c>
      <c r="O1315" s="44"/>
      <c r="P1315" s="45" t="str">
        <f t="shared" si="615"/>
        <v/>
      </c>
      <c r="Q1315" s="46" t="str">
        <f t="shared" si="616"/>
        <v/>
      </c>
      <c r="R1315" s="47" t="e">
        <f t="shared" si="617"/>
        <v>#VALUE!</v>
      </c>
      <c r="S1315" s="48" t="e">
        <f t="shared" si="606"/>
        <v>#VALUE!</v>
      </c>
      <c r="T1315" s="47" t="str">
        <f t="shared" si="618"/>
        <v/>
      </c>
      <c r="U1315" s="49"/>
      <c r="V1315" s="50"/>
      <c r="W1315" s="51" t="e">
        <f t="shared" si="619"/>
        <v>#VALUE!</v>
      </c>
      <c r="X1315" s="52"/>
      <c r="Y1315" s="52"/>
      <c r="Z1315" s="52"/>
      <c r="AA1315" s="47" t="e">
        <f>INDEX(VISITORS[INSECT ORDER], MATCH(X1315,VISITORS[NAME USED],0))</f>
        <v>#N/A</v>
      </c>
      <c r="AB1315" s="47" t="e">
        <f t="shared" si="620"/>
        <v>#N/A</v>
      </c>
      <c r="AC1315" s="53" t="e">
        <f t="shared" si="621"/>
        <v>#VALUE!</v>
      </c>
      <c r="AD1315" s="54" t="str">
        <f t="shared" si="622"/>
        <v/>
      </c>
      <c r="AE1315" s="54"/>
      <c r="AF1315" s="54"/>
      <c r="AG1315" s="55" t="str">
        <f t="shared" si="623"/>
        <v/>
      </c>
      <c r="AH1315" s="56" t="str">
        <f t="shared" si="624"/>
        <v/>
      </c>
      <c r="AI1315" s="55"/>
      <c r="AJ1315" s="56" t="str">
        <f t="shared" si="625"/>
        <v/>
      </c>
      <c r="AK1315" s="55"/>
      <c r="AL1315" s="56" t="str">
        <f t="shared" si="626"/>
        <v/>
      </c>
      <c r="AM1315" s="55"/>
      <c r="AN1315" s="56" t="str">
        <f t="shared" si="627"/>
        <v/>
      </c>
      <c r="AO1315" s="55"/>
      <c r="AP1315" s="56" t="str">
        <f t="shared" si="628"/>
        <v/>
      </c>
      <c r="AQ1315" s="55"/>
      <c r="AR1315" s="56" t="str">
        <f t="shared" si="629"/>
        <v/>
      </c>
      <c r="AS1315" s="57"/>
      <c r="AT1315" s="58"/>
      <c r="AU1315" s="58"/>
      <c r="AV1315" s="59"/>
      <c r="AW1315" s="60" t="str">
        <f t="shared" si="607"/>
        <v/>
      </c>
      <c r="AX1315" s="61" t="str">
        <f t="shared" si="608"/>
        <v/>
      </c>
      <c r="AY1315" s="60" t="str">
        <f t="shared" si="609"/>
        <v/>
      </c>
      <c r="AZ1315" s="61" t="str">
        <f t="shared" si="610"/>
        <v/>
      </c>
    </row>
    <row r="1316" spans="1:52" s="3" customFormat="1" hidden="1" x14ac:dyDescent="0.35">
      <c r="A1316" s="72">
        <f t="shared" si="611"/>
        <v>2021</v>
      </c>
      <c r="B1316" s="72" t="str">
        <f t="shared" si="612"/>
        <v>Nov</v>
      </c>
      <c r="C1316" s="73">
        <f t="shared" si="630"/>
        <v>15</v>
      </c>
      <c r="D1316" s="74">
        <f t="shared" si="613"/>
        <v>13</v>
      </c>
      <c r="E1316" s="75">
        <f t="shared" si="614"/>
        <v>52</v>
      </c>
      <c r="F1316" s="79"/>
      <c r="G1316" s="82"/>
      <c r="H1316" s="68" t="str">
        <f t="shared" si="631"/>
        <v>Clesim6_20211115_13_00</v>
      </c>
      <c r="I1316" s="69">
        <f t="shared" si="633"/>
        <v>1</v>
      </c>
      <c r="J1316" s="76" t="str">
        <f t="shared" si="633"/>
        <v>Clematis</v>
      </c>
      <c r="K1316" s="76" t="str">
        <f t="shared" si="633"/>
        <v>simense</v>
      </c>
      <c r="L1316" s="77">
        <f t="shared" si="633"/>
        <v>6</v>
      </c>
      <c r="M1316" s="77">
        <f t="shared" si="633"/>
        <v>20</v>
      </c>
      <c r="N1316" s="71">
        <f t="shared" si="633"/>
        <v>0</v>
      </c>
      <c r="O1316" s="44"/>
      <c r="P1316" s="45" t="str">
        <f t="shared" si="615"/>
        <v/>
      </c>
      <c r="Q1316" s="46" t="str">
        <f t="shared" si="616"/>
        <v/>
      </c>
      <c r="R1316" s="47" t="e">
        <f t="shared" si="617"/>
        <v>#VALUE!</v>
      </c>
      <c r="S1316" s="48" t="e">
        <f t="shared" si="606"/>
        <v>#VALUE!</v>
      </c>
      <c r="T1316" s="47" t="str">
        <f t="shared" si="618"/>
        <v/>
      </c>
      <c r="U1316" s="49"/>
      <c r="V1316" s="50"/>
      <c r="W1316" s="51" t="e">
        <f t="shared" si="619"/>
        <v>#VALUE!</v>
      </c>
      <c r="X1316" s="52"/>
      <c r="Y1316" s="52"/>
      <c r="Z1316" s="52"/>
      <c r="AA1316" s="47" t="e">
        <f>INDEX(VISITORS[INSECT ORDER], MATCH(X1316,VISITORS[NAME USED],0))</f>
        <v>#N/A</v>
      </c>
      <c r="AB1316" s="47" t="e">
        <f t="shared" si="620"/>
        <v>#N/A</v>
      </c>
      <c r="AC1316" s="53" t="e">
        <f t="shared" si="621"/>
        <v>#VALUE!</v>
      </c>
      <c r="AD1316" s="54" t="str">
        <f t="shared" si="622"/>
        <v/>
      </c>
      <c r="AE1316" s="54"/>
      <c r="AF1316" s="54"/>
      <c r="AG1316" s="55" t="str">
        <f t="shared" si="623"/>
        <v/>
      </c>
      <c r="AH1316" s="56" t="str">
        <f t="shared" si="624"/>
        <v/>
      </c>
      <c r="AI1316" s="55"/>
      <c r="AJ1316" s="56" t="str">
        <f t="shared" si="625"/>
        <v/>
      </c>
      <c r="AK1316" s="55"/>
      <c r="AL1316" s="56" t="str">
        <f t="shared" si="626"/>
        <v/>
      </c>
      <c r="AM1316" s="55"/>
      <c r="AN1316" s="56" t="str">
        <f t="shared" si="627"/>
        <v/>
      </c>
      <c r="AO1316" s="55"/>
      <c r="AP1316" s="56" t="str">
        <f t="shared" si="628"/>
        <v/>
      </c>
      <c r="AQ1316" s="55"/>
      <c r="AR1316" s="56" t="str">
        <f t="shared" si="629"/>
        <v/>
      </c>
      <c r="AS1316" s="57"/>
      <c r="AT1316" s="58"/>
      <c r="AU1316" s="58"/>
      <c r="AV1316" s="59"/>
      <c r="AW1316" s="60" t="str">
        <f t="shared" si="607"/>
        <v/>
      </c>
      <c r="AX1316" s="61" t="str">
        <f t="shared" si="608"/>
        <v/>
      </c>
      <c r="AY1316" s="60" t="str">
        <f t="shared" si="609"/>
        <v/>
      </c>
      <c r="AZ1316" s="61" t="str">
        <f t="shared" si="610"/>
        <v/>
      </c>
    </row>
    <row r="1317" spans="1:52" s="3" customFormat="1" hidden="1" x14ac:dyDescent="0.35">
      <c r="A1317" s="72">
        <f t="shared" si="611"/>
        <v>2021</v>
      </c>
      <c r="B1317" s="72" t="str">
        <f t="shared" si="612"/>
        <v>Nov</v>
      </c>
      <c r="C1317" s="73">
        <f t="shared" si="630"/>
        <v>15</v>
      </c>
      <c r="D1317" s="74">
        <f t="shared" si="613"/>
        <v>13</v>
      </c>
      <c r="E1317" s="75">
        <f t="shared" si="614"/>
        <v>53</v>
      </c>
      <c r="F1317" s="79"/>
      <c r="G1317" s="82"/>
      <c r="H1317" s="68" t="str">
        <f t="shared" si="631"/>
        <v>Clesim6_20211115_13_00</v>
      </c>
      <c r="I1317" s="69">
        <f t="shared" si="633"/>
        <v>1</v>
      </c>
      <c r="J1317" s="76" t="str">
        <f t="shared" si="633"/>
        <v>Clematis</v>
      </c>
      <c r="K1317" s="76" t="str">
        <f t="shared" si="633"/>
        <v>simense</v>
      </c>
      <c r="L1317" s="77">
        <f t="shared" si="633"/>
        <v>6</v>
      </c>
      <c r="M1317" s="77">
        <f t="shared" si="633"/>
        <v>20</v>
      </c>
      <c r="N1317" s="71">
        <f t="shared" si="633"/>
        <v>0</v>
      </c>
      <c r="O1317" s="44"/>
      <c r="P1317" s="45" t="str">
        <f t="shared" si="615"/>
        <v/>
      </c>
      <c r="Q1317" s="46" t="str">
        <f t="shared" si="616"/>
        <v/>
      </c>
      <c r="R1317" s="47" t="e">
        <f t="shared" si="617"/>
        <v>#VALUE!</v>
      </c>
      <c r="S1317" s="48" t="e">
        <f t="shared" si="606"/>
        <v>#VALUE!</v>
      </c>
      <c r="T1317" s="47" t="str">
        <f t="shared" si="618"/>
        <v/>
      </c>
      <c r="U1317" s="49"/>
      <c r="V1317" s="50"/>
      <c r="W1317" s="51" t="e">
        <f t="shared" si="619"/>
        <v>#VALUE!</v>
      </c>
      <c r="X1317" s="52"/>
      <c r="Y1317" s="52"/>
      <c r="Z1317" s="52"/>
      <c r="AA1317" s="47" t="e">
        <f>INDEX(VISITORS[INSECT ORDER], MATCH(X1317,VISITORS[NAME USED],0))</f>
        <v>#N/A</v>
      </c>
      <c r="AB1317" s="47" t="e">
        <f t="shared" si="620"/>
        <v>#N/A</v>
      </c>
      <c r="AC1317" s="53" t="e">
        <f t="shared" si="621"/>
        <v>#VALUE!</v>
      </c>
      <c r="AD1317" s="54" t="str">
        <f t="shared" si="622"/>
        <v/>
      </c>
      <c r="AE1317" s="54"/>
      <c r="AF1317" s="54"/>
      <c r="AG1317" s="55" t="str">
        <f t="shared" si="623"/>
        <v/>
      </c>
      <c r="AH1317" s="56" t="str">
        <f t="shared" si="624"/>
        <v/>
      </c>
      <c r="AI1317" s="55"/>
      <c r="AJ1317" s="56" t="str">
        <f t="shared" si="625"/>
        <v/>
      </c>
      <c r="AK1317" s="55"/>
      <c r="AL1317" s="56" t="str">
        <f t="shared" si="626"/>
        <v/>
      </c>
      <c r="AM1317" s="55"/>
      <c r="AN1317" s="56" t="str">
        <f t="shared" si="627"/>
        <v/>
      </c>
      <c r="AO1317" s="55"/>
      <c r="AP1317" s="56" t="str">
        <f t="shared" si="628"/>
        <v/>
      </c>
      <c r="AQ1317" s="55"/>
      <c r="AR1317" s="56" t="str">
        <f t="shared" si="629"/>
        <v/>
      </c>
      <c r="AS1317" s="57"/>
      <c r="AT1317" s="58"/>
      <c r="AU1317" s="58"/>
      <c r="AV1317" s="59"/>
      <c r="AW1317" s="60" t="str">
        <f t="shared" si="607"/>
        <v/>
      </c>
      <c r="AX1317" s="61" t="str">
        <f t="shared" si="608"/>
        <v/>
      </c>
      <c r="AY1317" s="60" t="str">
        <f t="shared" si="609"/>
        <v/>
      </c>
      <c r="AZ1317" s="61" t="str">
        <f t="shared" si="610"/>
        <v/>
      </c>
    </row>
    <row r="1318" spans="1:52" s="3" customFormat="1" hidden="1" x14ac:dyDescent="0.35">
      <c r="A1318" s="72">
        <f t="shared" si="611"/>
        <v>2021</v>
      </c>
      <c r="B1318" s="72" t="str">
        <f t="shared" si="612"/>
        <v>Nov</v>
      </c>
      <c r="C1318" s="73">
        <f t="shared" si="630"/>
        <v>15</v>
      </c>
      <c r="D1318" s="74">
        <f t="shared" si="613"/>
        <v>13</v>
      </c>
      <c r="E1318" s="75">
        <f t="shared" si="614"/>
        <v>54</v>
      </c>
      <c r="F1318" s="79"/>
      <c r="G1318" s="82"/>
      <c r="H1318" s="68" t="str">
        <f t="shared" si="631"/>
        <v>Clesim6_20211115_13_00</v>
      </c>
      <c r="I1318" s="69">
        <f t="shared" ref="I1318:N1333" si="634">I1317</f>
        <v>1</v>
      </c>
      <c r="J1318" s="76" t="str">
        <f t="shared" si="634"/>
        <v>Clematis</v>
      </c>
      <c r="K1318" s="76" t="str">
        <f t="shared" si="634"/>
        <v>simense</v>
      </c>
      <c r="L1318" s="77">
        <f t="shared" si="634"/>
        <v>6</v>
      </c>
      <c r="M1318" s="77">
        <f t="shared" si="634"/>
        <v>20</v>
      </c>
      <c r="N1318" s="71">
        <f t="shared" si="634"/>
        <v>0</v>
      </c>
      <c r="O1318" s="44"/>
      <c r="P1318" s="45" t="str">
        <f t="shared" si="615"/>
        <v/>
      </c>
      <c r="Q1318" s="46" t="str">
        <f t="shared" si="616"/>
        <v/>
      </c>
      <c r="R1318" s="47" t="e">
        <f t="shared" si="617"/>
        <v>#VALUE!</v>
      </c>
      <c r="S1318" s="48" t="e">
        <f t="shared" si="606"/>
        <v>#VALUE!</v>
      </c>
      <c r="T1318" s="47" t="str">
        <f t="shared" si="618"/>
        <v/>
      </c>
      <c r="U1318" s="49"/>
      <c r="V1318" s="50"/>
      <c r="W1318" s="51" t="e">
        <f t="shared" si="619"/>
        <v>#VALUE!</v>
      </c>
      <c r="X1318" s="52"/>
      <c r="Y1318" s="52"/>
      <c r="Z1318" s="52"/>
      <c r="AA1318" s="47" t="e">
        <f>INDEX(VISITORS[INSECT ORDER], MATCH(X1318,VISITORS[NAME USED],0))</f>
        <v>#N/A</v>
      </c>
      <c r="AB1318" s="47" t="e">
        <f t="shared" si="620"/>
        <v>#N/A</v>
      </c>
      <c r="AC1318" s="53" t="e">
        <f t="shared" si="621"/>
        <v>#VALUE!</v>
      </c>
      <c r="AD1318" s="54" t="str">
        <f t="shared" si="622"/>
        <v/>
      </c>
      <c r="AE1318" s="54"/>
      <c r="AF1318" s="54"/>
      <c r="AG1318" s="55" t="str">
        <f t="shared" si="623"/>
        <v/>
      </c>
      <c r="AH1318" s="56" t="str">
        <f t="shared" si="624"/>
        <v/>
      </c>
      <c r="AI1318" s="55"/>
      <c r="AJ1318" s="56" t="str">
        <f t="shared" si="625"/>
        <v/>
      </c>
      <c r="AK1318" s="55"/>
      <c r="AL1318" s="56" t="str">
        <f t="shared" si="626"/>
        <v/>
      </c>
      <c r="AM1318" s="55"/>
      <c r="AN1318" s="56" t="str">
        <f t="shared" si="627"/>
        <v/>
      </c>
      <c r="AO1318" s="55"/>
      <c r="AP1318" s="56" t="str">
        <f t="shared" si="628"/>
        <v/>
      </c>
      <c r="AQ1318" s="55"/>
      <c r="AR1318" s="56" t="str">
        <f t="shared" si="629"/>
        <v/>
      </c>
      <c r="AS1318" s="57"/>
      <c r="AT1318" s="58"/>
      <c r="AU1318" s="58"/>
      <c r="AV1318" s="59"/>
      <c r="AW1318" s="60" t="str">
        <f t="shared" si="607"/>
        <v/>
      </c>
      <c r="AX1318" s="61" t="str">
        <f t="shared" si="608"/>
        <v/>
      </c>
      <c r="AY1318" s="60" t="str">
        <f t="shared" si="609"/>
        <v/>
      </c>
      <c r="AZ1318" s="61" t="str">
        <f t="shared" si="610"/>
        <v/>
      </c>
    </row>
    <row r="1319" spans="1:52" s="3" customFormat="1" hidden="1" x14ac:dyDescent="0.35">
      <c r="A1319" s="72">
        <f t="shared" si="611"/>
        <v>2021</v>
      </c>
      <c r="B1319" s="72" t="str">
        <f t="shared" si="612"/>
        <v>Nov</v>
      </c>
      <c r="C1319" s="73">
        <f t="shared" si="630"/>
        <v>15</v>
      </c>
      <c r="D1319" s="74">
        <f t="shared" si="613"/>
        <v>13</v>
      </c>
      <c r="E1319" s="75">
        <f t="shared" si="614"/>
        <v>55</v>
      </c>
      <c r="F1319" s="79"/>
      <c r="G1319" s="82"/>
      <c r="H1319" s="68" t="str">
        <f t="shared" si="631"/>
        <v>Clesim6_20211115_13_00</v>
      </c>
      <c r="I1319" s="69">
        <f t="shared" si="634"/>
        <v>1</v>
      </c>
      <c r="J1319" s="76" t="str">
        <f t="shared" si="634"/>
        <v>Clematis</v>
      </c>
      <c r="K1319" s="76" t="str">
        <f t="shared" si="634"/>
        <v>simense</v>
      </c>
      <c r="L1319" s="77">
        <f t="shared" si="634"/>
        <v>6</v>
      </c>
      <c r="M1319" s="77">
        <f t="shared" si="634"/>
        <v>20</v>
      </c>
      <c r="N1319" s="71">
        <f t="shared" si="634"/>
        <v>0</v>
      </c>
      <c r="O1319" s="44"/>
      <c r="P1319" s="45" t="str">
        <f t="shared" si="615"/>
        <v/>
      </c>
      <c r="Q1319" s="46" t="str">
        <f t="shared" si="616"/>
        <v/>
      </c>
      <c r="R1319" s="47" t="e">
        <f t="shared" si="617"/>
        <v>#VALUE!</v>
      </c>
      <c r="S1319" s="48" t="e">
        <f t="shared" si="606"/>
        <v>#VALUE!</v>
      </c>
      <c r="T1319" s="47" t="str">
        <f t="shared" si="618"/>
        <v/>
      </c>
      <c r="U1319" s="49"/>
      <c r="V1319" s="50"/>
      <c r="W1319" s="51" t="e">
        <f t="shared" si="619"/>
        <v>#VALUE!</v>
      </c>
      <c r="X1319" s="52"/>
      <c r="Y1319" s="52"/>
      <c r="Z1319" s="52"/>
      <c r="AA1319" s="47" t="e">
        <f>INDEX(VISITORS[INSECT ORDER], MATCH(X1319,VISITORS[NAME USED],0))</f>
        <v>#N/A</v>
      </c>
      <c r="AB1319" s="47" t="e">
        <f t="shared" si="620"/>
        <v>#N/A</v>
      </c>
      <c r="AC1319" s="53" t="e">
        <f t="shared" si="621"/>
        <v>#VALUE!</v>
      </c>
      <c r="AD1319" s="54" t="str">
        <f t="shared" si="622"/>
        <v/>
      </c>
      <c r="AE1319" s="54"/>
      <c r="AF1319" s="54"/>
      <c r="AG1319" s="55" t="str">
        <f t="shared" si="623"/>
        <v/>
      </c>
      <c r="AH1319" s="56" t="str">
        <f t="shared" si="624"/>
        <v/>
      </c>
      <c r="AI1319" s="55"/>
      <c r="AJ1319" s="56" t="str">
        <f t="shared" si="625"/>
        <v/>
      </c>
      <c r="AK1319" s="55"/>
      <c r="AL1319" s="56" t="str">
        <f t="shared" si="626"/>
        <v/>
      </c>
      <c r="AM1319" s="55"/>
      <c r="AN1319" s="56" t="str">
        <f t="shared" si="627"/>
        <v/>
      </c>
      <c r="AO1319" s="55"/>
      <c r="AP1319" s="56" t="str">
        <f t="shared" si="628"/>
        <v/>
      </c>
      <c r="AQ1319" s="55"/>
      <c r="AR1319" s="56" t="str">
        <f t="shared" si="629"/>
        <v/>
      </c>
      <c r="AS1319" s="57"/>
      <c r="AT1319" s="58"/>
      <c r="AU1319" s="58"/>
      <c r="AV1319" s="59"/>
      <c r="AW1319" s="60" t="str">
        <f t="shared" si="607"/>
        <v/>
      </c>
      <c r="AX1319" s="61" t="str">
        <f t="shared" si="608"/>
        <v/>
      </c>
      <c r="AY1319" s="60" t="str">
        <f t="shared" si="609"/>
        <v/>
      </c>
      <c r="AZ1319" s="61" t="str">
        <f t="shared" si="610"/>
        <v/>
      </c>
    </row>
    <row r="1320" spans="1:52" s="3" customFormat="1" hidden="1" x14ac:dyDescent="0.35">
      <c r="A1320" s="72">
        <f t="shared" si="611"/>
        <v>2021</v>
      </c>
      <c r="B1320" s="72" t="str">
        <f t="shared" si="612"/>
        <v>Nov</v>
      </c>
      <c r="C1320" s="73">
        <f t="shared" si="630"/>
        <v>15</v>
      </c>
      <c r="D1320" s="74">
        <f t="shared" si="613"/>
        <v>13</v>
      </c>
      <c r="E1320" s="75">
        <f t="shared" si="614"/>
        <v>56</v>
      </c>
      <c r="F1320" s="79"/>
      <c r="G1320" s="82"/>
      <c r="H1320" s="68" t="str">
        <f t="shared" si="631"/>
        <v>Clesim6_20211115_13_00</v>
      </c>
      <c r="I1320" s="69">
        <f t="shared" si="634"/>
        <v>1</v>
      </c>
      <c r="J1320" s="76" t="str">
        <f t="shared" si="634"/>
        <v>Clematis</v>
      </c>
      <c r="K1320" s="76" t="str">
        <f t="shared" si="634"/>
        <v>simense</v>
      </c>
      <c r="L1320" s="77">
        <f t="shared" si="634"/>
        <v>6</v>
      </c>
      <c r="M1320" s="77">
        <f t="shared" si="634"/>
        <v>20</v>
      </c>
      <c r="N1320" s="71">
        <f t="shared" si="634"/>
        <v>0</v>
      </c>
      <c r="O1320" s="44"/>
      <c r="P1320" s="45" t="str">
        <f t="shared" si="615"/>
        <v/>
      </c>
      <c r="Q1320" s="46" t="str">
        <f t="shared" si="616"/>
        <v/>
      </c>
      <c r="R1320" s="47" t="e">
        <f t="shared" si="617"/>
        <v>#VALUE!</v>
      </c>
      <c r="S1320" s="48" t="e">
        <f t="shared" si="606"/>
        <v>#VALUE!</v>
      </c>
      <c r="T1320" s="47" t="str">
        <f t="shared" si="618"/>
        <v/>
      </c>
      <c r="U1320" s="49"/>
      <c r="V1320" s="50"/>
      <c r="W1320" s="51" t="e">
        <f t="shared" si="619"/>
        <v>#VALUE!</v>
      </c>
      <c r="X1320" s="52"/>
      <c r="Y1320" s="52"/>
      <c r="Z1320" s="52"/>
      <c r="AA1320" s="47" t="e">
        <f>INDEX(VISITORS[INSECT ORDER], MATCH(X1320,VISITORS[NAME USED],0))</f>
        <v>#N/A</v>
      </c>
      <c r="AB1320" s="47" t="e">
        <f t="shared" si="620"/>
        <v>#N/A</v>
      </c>
      <c r="AC1320" s="53" t="e">
        <f t="shared" si="621"/>
        <v>#VALUE!</v>
      </c>
      <c r="AD1320" s="54" t="str">
        <f t="shared" si="622"/>
        <v/>
      </c>
      <c r="AE1320" s="54"/>
      <c r="AF1320" s="54"/>
      <c r="AG1320" s="55" t="str">
        <f t="shared" si="623"/>
        <v/>
      </c>
      <c r="AH1320" s="56" t="str">
        <f t="shared" si="624"/>
        <v/>
      </c>
      <c r="AI1320" s="55"/>
      <c r="AJ1320" s="56" t="str">
        <f t="shared" si="625"/>
        <v/>
      </c>
      <c r="AK1320" s="55"/>
      <c r="AL1320" s="56" t="str">
        <f t="shared" si="626"/>
        <v/>
      </c>
      <c r="AM1320" s="55"/>
      <c r="AN1320" s="56" t="str">
        <f t="shared" si="627"/>
        <v/>
      </c>
      <c r="AO1320" s="55"/>
      <c r="AP1320" s="56" t="str">
        <f t="shared" si="628"/>
        <v/>
      </c>
      <c r="AQ1320" s="55"/>
      <c r="AR1320" s="56" t="str">
        <f t="shared" si="629"/>
        <v/>
      </c>
      <c r="AS1320" s="57"/>
      <c r="AT1320" s="58"/>
      <c r="AU1320" s="58"/>
      <c r="AV1320" s="59"/>
      <c r="AW1320" s="60" t="str">
        <f t="shared" si="607"/>
        <v/>
      </c>
      <c r="AX1320" s="61" t="str">
        <f t="shared" si="608"/>
        <v/>
      </c>
      <c r="AY1320" s="60" t="str">
        <f t="shared" si="609"/>
        <v/>
      </c>
      <c r="AZ1320" s="61" t="str">
        <f t="shared" si="610"/>
        <v/>
      </c>
    </row>
    <row r="1321" spans="1:52" s="3" customFormat="1" hidden="1" x14ac:dyDescent="0.35">
      <c r="A1321" s="72">
        <f t="shared" si="611"/>
        <v>2021</v>
      </c>
      <c r="B1321" s="72" t="str">
        <f t="shared" si="612"/>
        <v>Nov</v>
      </c>
      <c r="C1321" s="73">
        <f t="shared" si="630"/>
        <v>15</v>
      </c>
      <c r="D1321" s="74">
        <f t="shared" si="613"/>
        <v>13</v>
      </c>
      <c r="E1321" s="75">
        <f t="shared" si="614"/>
        <v>57</v>
      </c>
      <c r="F1321" s="79"/>
      <c r="G1321" s="82"/>
      <c r="H1321" s="68" t="str">
        <f t="shared" si="631"/>
        <v>Clesim6_20211115_13_00</v>
      </c>
      <c r="I1321" s="69">
        <f t="shared" si="634"/>
        <v>1</v>
      </c>
      <c r="J1321" s="76" t="str">
        <f t="shared" si="634"/>
        <v>Clematis</v>
      </c>
      <c r="K1321" s="76" t="str">
        <f t="shared" si="634"/>
        <v>simense</v>
      </c>
      <c r="L1321" s="77">
        <f t="shared" si="634"/>
        <v>6</v>
      </c>
      <c r="M1321" s="77">
        <f t="shared" si="634"/>
        <v>20</v>
      </c>
      <c r="N1321" s="71">
        <f t="shared" si="634"/>
        <v>0</v>
      </c>
      <c r="O1321" s="44"/>
      <c r="P1321" s="45" t="str">
        <f t="shared" si="615"/>
        <v/>
      </c>
      <c r="Q1321" s="46" t="str">
        <f t="shared" si="616"/>
        <v/>
      </c>
      <c r="R1321" s="47" t="e">
        <f t="shared" si="617"/>
        <v>#VALUE!</v>
      </c>
      <c r="S1321" s="48" t="e">
        <f t="shared" si="606"/>
        <v>#VALUE!</v>
      </c>
      <c r="T1321" s="47" t="str">
        <f t="shared" si="618"/>
        <v/>
      </c>
      <c r="U1321" s="49"/>
      <c r="V1321" s="50"/>
      <c r="W1321" s="51" t="e">
        <f t="shared" si="619"/>
        <v>#VALUE!</v>
      </c>
      <c r="X1321" s="52"/>
      <c r="Y1321" s="52"/>
      <c r="Z1321" s="52"/>
      <c r="AA1321" s="47" t="e">
        <f>INDEX(VISITORS[INSECT ORDER], MATCH(X1321,VISITORS[NAME USED],0))</f>
        <v>#N/A</v>
      </c>
      <c r="AB1321" s="47" t="e">
        <f t="shared" si="620"/>
        <v>#N/A</v>
      </c>
      <c r="AC1321" s="53" t="e">
        <f t="shared" si="621"/>
        <v>#VALUE!</v>
      </c>
      <c r="AD1321" s="54" t="str">
        <f t="shared" si="622"/>
        <v/>
      </c>
      <c r="AE1321" s="54"/>
      <c r="AF1321" s="54"/>
      <c r="AG1321" s="55" t="str">
        <f t="shared" si="623"/>
        <v/>
      </c>
      <c r="AH1321" s="56" t="str">
        <f t="shared" si="624"/>
        <v/>
      </c>
      <c r="AI1321" s="55"/>
      <c r="AJ1321" s="56" t="str">
        <f t="shared" si="625"/>
        <v/>
      </c>
      <c r="AK1321" s="55"/>
      <c r="AL1321" s="56" t="str">
        <f t="shared" si="626"/>
        <v/>
      </c>
      <c r="AM1321" s="55"/>
      <c r="AN1321" s="56" t="str">
        <f t="shared" si="627"/>
        <v/>
      </c>
      <c r="AO1321" s="55"/>
      <c r="AP1321" s="56" t="str">
        <f t="shared" si="628"/>
        <v/>
      </c>
      <c r="AQ1321" s="55"/>
      <c r="AR1321" s="56" t="str">
        <f t="shared" si="629"/>
        <v/>
      </c>
      <c r="AS1321" s="57"/>
      <c r="AT1321" s="58"/>
      <c r="AU1321" s="58"/>
      <c r="AV1321" s="59"/>
      <c r="AW1321" s="60" t="str">
        <f t="shared" si="607"/>
        <v/>
      </c>
      <c r="AX1321" s="61" t="str">
        <f t="shared" si="608"/>
        <v/>
      </c>
      <c r="AY1321" s="60" t="str">
        <f t="shared" si="609"/>
        <v/>
      </c>
      <c r="AZ1321" s="61" t="str">
        <f t="shared" si="610"/>
        <v/>
      </c>
    </row>
    <row r="1322" spans="1:52" s="3" customFormat="1" hidden="1" x14ac:dyDescent="0.35">
      <c r="A1322" s="72">
        <f t="shared" si="611"/>
        <v>2021</v>
      </c>
      <c r="B1322" s="72" t="str">
        <f t="shared" si="612"/>
        <v>Nov</v>
      </c>
      <c r="C1322" s="73">
        <f t="shared" si="630"/>
        <v>15</v>
      </c>
      <c r="D1322" s="74">
        <f t="shared" si="613"/>
        <v>13</v>
      </c>
      <c r="E1322" s="75">
        <f t="shared" si="614"/>
        <v>58</v>
      </c>
      <c r="F1322" s="79"/>
      <c r="G1322" s="82"/>
      <c r="H1322" s="68" t="str">
        <f t="shared" si="631"/>
        <v>Clesim6_20211115_13_00</v>
      </c>
      <c r="I1322" s="69">
        <f t="shared" si="634"/>
        <v>1</v>
      </c>
      <c r="J1322" s="76" t="str">
        <f t="shared" si="634"/>
        <v>Clematis</v>
      </c>
      <c r="K1322" s="76" t="str">
        <f t="shared" si="634"/>
        <v>simense</v>
      </c>
      <c r="L1322" s="77">
        <f t="shared" si="634"/>
        <v>6</v>
      </c>
      <c r="M1322" s="77">
        <f t="shared" si="634"/>
        <v>20</v>
      </c>
      <c r="N1322" s="71">
        <f t="shared" si="634"/>
        <v>0</v>
      </c>
      <c r="O1322" s="44"/>
      <c r="P1322" s="45" t="str">
        <f t="shared" si="615"/>
        <v/>
      </c>
      <c r="Q1322" s="46" t="str">
        <f t="shared" si="616"/>
        <v/>
      </c>
      <c r="R1322" s="47" t="e">
        <f t="shared" si="617"/>
        <v>#VALUE!</v>
      </c>
      <c r="S1322" s="48" t="e">
        <f t="shared" si="606"/>
        <v>#VALUE!</v>
      </c>
      <c r="T1322" s="47" t="str">
        <f t="shared" si="618"/>
        <v/>
      </c>
      <c r="U1322" s="49"/>
      <c r="V1322" s="50"/>
      <c r="W1322" s="51" t="e">
        <f t="shared" si="619"/>
        <v>#VALUE!</v>
      </c>
      <c r="X1322" s="52"/>
      <c r="Y1322" s="52"/>
      <c r="Z1322" s="52"/>
      <c r="AA1322" s="47" t="e">
        <f>INDEX(VISITORS[INSECT ORDER], MATCH(X1322,VISITORS[NAME USED],0))</f>
        <v>#N/A</v>
      </c>
      <c r="AB1322" s="47" t="e">
        <f t="shared" si="620"/>
        <v>#N/A</v>
      </c>
      <c r="AC1322" s="53" t="e">
        <f t="shared" si="621"/>
        <v>#VALUE!</v>
      </c>
      <c r="AD1322" s="54" t="str">
        <f t="shared" si="622"/>
        <v/>
      </c>
      <c r="AE1322" s="54"/>
      <c r="AF1322" s="54"/>
      <c r="AG1322" s="55" t="str">
        <f t="shared" si="623"/>
        <v/>
      </c>
      <c r="AH1322" s="56" t="str">
        <f t="shared" si="624"/>
        <v/>
      </c>
      <c r="AI1322" s="55"/>
      <c r="AJ1322" s="56" t="str">
        <f t="shared" si="625"/>
        <v/>
      </c>
      <c r="AK1322" s="55"/>
      <c r="AL1322" s="56" t="str">
        <f t="shared" si="626"/>
        <v/>
      </c>
      <c r="AM1322" s="55"/>
      <c r="AN1322" s="56" t="str">
        <f t="shared" si="627"/>
        <v/>
      </c>
      <c r="AO1322" s="55"/>
      <c r="AP1322" s="56" t="str">
        <f t="shared" si="628"/>
        <v/>
      </c>
      <c r="AQ1322" s="55"/>
      <c r="AR1322" s="56" t="str">
        <f t="shared" si="629"/>
        <v/>
      </c>
      <c r="AS1322" s="57"/>
      <c r="AT1322" s="58"/>
      <c r="AU1322" s="58"/>
      <c r="AV1322" s="59"/>
      <c r="AW1322" s="60" t="str">
        <f t="shared" si="607"/>
        <v/>
      </c>
      <c r="AX1322" s="61" t="str">
        <f t="shared" si="608"/>
        <v/>
      </c>
      <c r="AY1322" s="60" t="str">
        <f t="shared" si="609"/>
        <v/>
      </c>
      <c r="AZ1322" s="61" t="str">
        <f t="shared" si="610"/>
        <v/>
      </c>
    </row>
    <row r="1323" spans="1:52" s="3" customFormat="1" hidden="1" x14ac:dyDescent="0.35">
      <c r="A1323" s="72">
        <f t="shared" si="611"/>
        <v>2021</v>
      </c>
      <c r="B1323" s="72" t="str">
        <f t="shared" si="612"/>
        <v>Nov</v>
      </c>
      <c r="C1323" s="73">
        <f t="shared" si="630"/>
        <v>15</v>
      </c>
      <c r="D1323" s="74">
        <f t="shared" si="613"/>
        <v>13</v>
      </c>
      <c r="E1323" s="75">
        <f t="shared" si="614"/>
        <v>59</v>
      </c>
      <c r="F1323" s="79"/>
      <c r="G1323" s="82"/>
      <c r="H1323" s="68" t="str">
        <f t="shared" si="631"/>
        <v>Clesim6_20211115_13_00</v>
      </c>
      <c r="I1323" s="69">
        <f t="shared" si="634"/>
        <v>1</v>
      </c>
      <c r="J1323" s="76" t="str">
        <f t="shared" si="634"/>
        <v>Clematis</v>
      </c>
      <c r="K1323" s="76" t="str">
        <f t="shared" si="634"/>
        <v>simense</v>
      </c>
      <c r="L1323" s="77">
        <f t="shared" si="634"/>
        <v>6</v>
      </c>
      <c r="M1323" s="77">
        <f t="shared" si="634"/>
        <v>20</v>
      </c>
      <c r="N1323" s="71">
        <f t="shared" si="634"/>
        <v>0</v>
      </c>
      <c r="O1323" s="44"/>
      <c r="P1323" s="45" t="str">
        <f t="shared" si="615"/>
        <v/>
      </c>
      <c r="Q1323" s="46" t="str">
        <f t="shared" si="616"/>
        <v/>
      </c>
      <c r="R1323" s="47" t="e">
        <f t="shared" si="617"/>
        <v>#VALUE!</v>
      </c>
      <c r="S1323" s="48" t="e">
        <f t="shared" si="606"/>
        <v>#VALUE!</v>
      </c>
      <c r="T1323" s="47" t="str">
        <f t="shared" si="618"/>
        <v/>
      </c>
      <c r="U1323" s="49"/>
      <c r="V1323" s="50"/>
      <c r="W1323" s="51" t="e">
        <f t="shared" si="619"/>
        <v>#VALUE!</v>
      </c>
      <c r="X1323" s="52"/>
      <c r="Y1323" s="52"/>
      <c r="Z1323" s="52"/>
      <c r="AA1323" s="47" t="e">
        <f>INDEX(VISITORS[INSECT ORDER], MATCH(X1323,VISITORS[NAME USED],0))</f>
        <v>#N/A</v>
      </c>
      <c r="AB1323" s="47" t="e">
        <f t="shared" si="620"/>
        <v>#N/A</v>
      </c>
      <c r="AC1323" s="53" t="e">
        <f t="shared" si="621"/>
        <v>#VALUE!</v>
      </c>
      <c r="AD1323" s="54" t="str">
        <f t="shared" si="622"/>
        <v/>
      </c>
      <c r="AE1323" s="54"/>
      <c r="AF1323" s="54"/>
      <c r="AG1323" s="55" t="str">
        <f t="shared" si="623"/>
        <v/>
      </c>
      <c r="AH1323" s="56" t="str">
        <f t="shared" si="624"/>
        <v/>
      </c>
      <c r="AI1323" s="55"/>
      <c r="AJ1323" s="56" t="str">
        <f t="shared" si="625"/>
        <v/>
      </c>
      <c r="AK1323" s="55"/>
      <c r="AL1323" s="56" t="str">
        <f t="shared" si="626"/>
        <v/>
      </c>
      <c r="AM1323" s="55"/>
      <c r="AN1323" s="56" t="str">
        <f t="shared" si="627"/>
        <v/>
      </c>
      <c r="AO1323" s="55"/>
      <c r="AP1323" s="56" t="str">
        <f t="shared" si="628"/>
        <v/>
      </c>
      <c r="AQ1323" s="55"/>
      <c r="AR1323" s="56" t="str">
        <f t="shared" si="629"/>
        <v/>
      </c>
      <c r="AS1323" s="57"/>
      <c r="AT1323" s="58"/>
      <c r="AU1323" s="58"/>
      <c r="AV1323" s="59"/>
      <c r="AW1323" s="60" t="str">
        <f t="shared" si="607"/>
        <v/>
      </c>
      <c r="AX1323" s="61" t="str">
        <f t="shared" si="608"/>
        <v/>
      </c>
      <c r="AY1323" s="60" t="str">
        <f t="shared" si="609"/>
        <v/>
      </c>
      <c r="AZ1323" s="61" t="str">
        <f t="shared" si="610"/>
        <v/>
      </c>
    </row>
    <row r="1324" spans="1:52" s="3" customFormat="1" hidden="1" x14ac:dyDescent="0.35">
      <c r="A1324" s="72">
        <f t="shared" si="611"/>
        <v>2021</v>
      </c>
      <c r="B1324" s="72" t="str">
        <f t="shared" si="612"/>
        <v>Nov</v>
      </c>
      <c r="C1324" s="73">
        <f t="shared" si="630"/>
        <v>15</v>
      </c>
      <c r="D1324" s="74">
        <f t="shared" si="613"/>
        <v>14</v>
      </c>
      <c r="E1324" s="75">
        <f t="shared" si="614"/>
        <v>0</v>
      </c>
      <c r="F1324" s="79"/>
      <c r="G1324" s="82"/>
      <c r="H1324" s="68" t="str">
        <f t="shared" si="631"/>
        <v>Clesim6_20211115_14_00</v>
      </c>
      <c r="I1324" s="69">
        <f t="shared" si="634"/>
        <v>1</v>
      </c>
      <c r="J1324" s="76" t="str">
        <f t="shared" si="634"/>
        <v>Clematis</v>
      </c>
      <c r="K1324" s="76" t="str">
        <f t="shared" si="634"/>
        <v>simense</v>
      </c>
      <c r="L1324" s="77">
        <f t="shared" si="634"/>
        <v>6</v>
      </c>
      <c r="M1324" s="77">
        <f t="shared" si="634"/>
        <v>20</v>
      </c>
      <c r="N1324" s="71">
        <f t="shared" si="634"/>
        <v>0</v>
      </c>
      <c r="O1324" s="44"/>
      <c r="P1324" s="45" t="str">
        <f t="shared" si="615"/>
        <v/>
      </c>
      <c r="Q1324" s="46" t="str">
        <f t="shared" si="616"/>
        <v/>
      </c>
      <c r="R1324" s="47" t="e">
        <f t="shared" si="617"/>
        <v>#VALUE!</v>
      </c>
      <c r="S1324" s="48" t="e">
        <f t="shared" si="606"/>
        <v>#VALUE!</v>
      </c>
      <c r="T1324" s="47" t="str">
        <f t="shared" si="618"/>
        <v/>
      </c>
      <c r="U1324" s="49"/>
      <c r="V1324" s="50"/>
      <c r="W1324" s="51" t="e">
        <f t="shared" si="619"/>
        <v>#VALUE!</v>
      </c>
      <c r="X1324" s="52"/>
      <c r="Y1324" s="52"/>
      <c r="Z1324" s="52"/>
      <c r="AA1324" s="47" t="e">
        <f>INDEX(VISITORS[INSECT ORDER], MATCH(X1324,VISITORS[NAME USED],0))</f>
        <v>#N/A</v>
      </c>
      <c r="AB1324" s="47" t="e">
        <f t="shared" si="620"/>
        <v>#N/A</v>
      </c>
      <c r="AC1324" s="53" t="e">
        <f t="shared" si="621"/>
        <v>#VALUE!</v>
      </c>
      <c r="AD1324" s="54" t="str">
        <f t="shared" si="622"/>
        <v/>
      </c>
      <c r="AE1324" s="54"/>
      <c r="AF1324" s="54"/>
      <c r="AG1324" s="55" t="str">
        <f t="shared" si="623"/>
        <v/>
      </c>
      <c r="AH1324" s="56" t="str">
        <f t="shared" si="624"/>
        <v/>
      </c>
      <c r="AI1324" s="55"/>
      <c r="AJ1324" s="56" t="str">
        <f t="shared" si="625"/>
        <v/>
      </c>
      <c r="AK1324" s="55"/>
      <c r="AL1324" s="56" t="str">
        <f t="shared" si="626"/>
        <v/>
      </c>
      <c r="AM1324" s="55"/>
      <c r="AN1324" s="56" t="str">
        <f t="shared" si="627"/>
        <v/>
      </c>
      <c r="AO1324" s="55"/>
      <c r="AP1324" s="56" t="str">
        <f t="shared" si="628"/>
        <v/>
      </c>
      <c r="AQ1324" s="55"/>
      <c r="AR1324" s="56" t="str">
        <f t="shared" si="629"/>
        <v/>
      </c>
      <c r="AS1324" s="57"/>
      <c r="AT1324" s="58"/>
      <c r="AU1324" s="58"/>
      <c r="AV1324" s="59"/>
      <c r="AW1324" s="60" t="str">
        <f t="shared" si="607"/>
        <v/>
      </c>
      <c r="AX1324" s="61" t="str">
        <f t="shared" si="608"/>
        <v/>
      </c>
      <c r="AY1324" s="60" t="str">
        <f t="shared" si="609"/>
        <v/>
      </c>
      <c r="AZ1324" s="61" t="str">
        <f t="shared" si="610"/>
        <v/>
      </c>
    </row>
    <row r="1325" spans="1:52" s="3" customFormat="1" hidden="1" x14ac:dyDescent="0.35">
      <c r="A1325" s="72">
        <f t="shared" si="611"/>
        <v>2021</v>
      </c>
      <c r="B1325" s="72" t="str">
        <f t="shared" si="612"/>
        <v>Nov</v>
      </c>
      <c r="C1325" s="73">
        <f t="shared" si="630"/>
        <v>15</v>
      </c>
      <c r="D1325" s="74">
        <f t="shared" si="613"/>
        <v>14</v>
      </c>
      <c r="E1325" s="75">
        <f t="shared" si="614"/>
        <v>1</v>
      </c>
      <c r="F1325" s="79"/>
      <c r="G1325" s="82"/>
      <c r="H1325" s="68" t="str">
        <f t="shared" si="631"/>
        <v>Clesim6_20211115_14_00</v>
      </c>
      <c r="I1325" s="69">
        <f t="shared" si="634"/>
        <v>1</v>
      </c>
      <c r="J1325" s="76" t="str">
        <f t="shared" si="634"/>
        <v>Clematis</v>
      </c>
      <c r="K1325" s="76" t="str">
        <f t="shared" si="634"/>
        <v>simense</v>
      </c>
      <c r="L1325" s="77">
        <f t="shared" si="634"/>
        <v>6</v>
      </c>
      <c r="M1325" s="77">
        <f t="shared" si="634"/>
        <v>20</v>
      </c>
      <c r="N1325" s="71">
        <f t="shared" si="634"/>
        <v>0</v>
      </c>
      <c r="O1325" s="44"/>
      <c r="P1325" s="45" t="str">
        <f t="shared" si="615"/>
        <v/>
      </c>
      <c r="Q1325" s="46" t="str">
        <f t="shared" si="616"/>
        <v/>
      </c>
      <c r="R1325" s="47" t="e">
        <f t="shared" si="617"/>
        <v>#VALUE!</v>
      </c>
      <c r="S1325" s="48" t="e">
        <f t="shared" si="606"/>
        <v>#VALUE!</v>
      </c>
      <c r="T1325" s="47" t="str">
        <f t="shared" si="618"/>
        <v/>
      </c>
      <c r="U1325" s="49"/>
      <c r="V1325" s="50"/>
      <c r="W1325" s="51" t="e">
        <f t="shared" si="619"/>
        <v>#VALUE!</v>
      </c>
      <c r="X1325" s="52"/>
      <c r="Y1325" s="52"/>
      <c r="Z1325" s="52"/>
      <c r="AA1325" s="47" t="e">
        <f>INDEX(VISITORS[INSECT ORDER], MATCH(X1325,VISITORS[NAME USED],0))</f>
        <v>#N/A</v>
      </c>
      <c r="AB1325" s="47" t="e">
        <f t="shared" si="620"/>
        <v>#N/A</v>
      </c>
      <c r="AC1325" s="53" t="e">
        <f t="shared" si="621"/>
        <v>#VALUE!</v>
      </c>
      <c r="AD1325" s="54" t="str">
        <f t="shared" si="622"/>
        <v/>
      </c>
      <c r="AE1325" s="54"/>
      <c r="AF1325" s="54"/>
      <c r="AG1325" s="55" t="str">
        <f t="shared" si="623"/>
        <v/>
      </c>
      <c r="AH1325" s="56" t="str">
        <f t="shared" si="624"/>
        <v/>
      </c>
      <c r="AI1325" s="55"/>
      <c r="AJ1325" s="56" t="str">
        <f t="shared" si="625"/>
        <v/>
      </c>
      <c r="AK1325" s="55"/>
      <c r="AL1325" s="56" t="str">
        <f t="shared" si="626"/>
        <v/>
      </c>
      <c r="AM1325" s="55"/>
      <c r="AN1325" s="56" t="str">
        <f t="shared" si="627"/>
        <v/>
      </c>
      <c r="AO1325" s="55"/>
      <c r="AP1325" s="56" t="str">
        <f t="shared" si="628"/>
        <v/>
      </c>
      <c r="AQ1325" s="55"/>
      <c r="AR1325" s="56" t="str">
        <f t="shared" si="629"/>
        <v/>
      </c>
      <c r="AS1325" s="57"/>
      <c r="AT1325" s="58"/>
      <c r="AU1325" s="58"/>
      <c r="AV1325" s="59"/>
      <c r="AW1325" s="60" t="str">
        <f t="shared" si="607"/>
        <v/>
      </c>
      <c r="AX1325" s="61" t="str">
        <f t="shared" si="608"/>
        <v/>
      </c>
      <c r="AY1325" s="60" t="str">
        <f t="shared" si="609"/>
        <v/>
      </c>
      <c r="AZ1325" s="61" t="str">
        <f t="shared" si="610"/>
        <v/>
      </c>
    </row>
    <row r="1326" spans="1:52" s="3" customFormat="1" hidden="1" x14ac:dyDescent="0.35">
      <c r="A1326" s="72">
        <f t="shared" si="611"/>
        <v>2021</v>
      </c>
      <c r="B1326" s="72" t="str">
        <f t="shared" si="612"/>
        <v>Nov</v>
      </c>
      <c r="C1326" s="73">
        <f t="shared" si="630"/>
        <v>15</v>
      </c>
      <c r="D1326" s="74">
        <f t="shared" si="613"/>
        <v>14</v>
      </c>
      <c r="E1326" s="75">
        <f t="shared" si="614"/>
        <v>2</v>
      </c>
      <c r="F1326" s="79"/>
      <c r="G1326" s="82"/>
      <c r="H1326" s="68" t="str">
        <f t="shared" si="631"/>
        <v>Clesim6_20211115_14_00</v>
      </c>
      <c r="I1326" s="69">
        <f t="shared" si="634"/>
        <v>1</v>
      </c>
      <c r="J1326" s="76" t="str">
        <f t="shared" si="634"/>
        <v>Clematis</v>
      </c>
      <c r="K1326" s="76" t="str">
        <f t="shared" si="634"/>
        <v>simense</v>
      </c>
      <c r="L1326" s="77">
        <f t="shared" si="634"/>
        <v>6</v>
      </c>
      <c r="M1326" s="77">
        <f t="shared" si="634"/>
        <v>20</v>
      </c>
      <c r="N1326" s="71">
        <f t="shared" si="634"/>
        <v>0</v>
      </c>
      <c r="O1326" s="44"/>
      <c r="P1326" s="45" t="str">
        <f t="shared" si="615"/>
        <v/>
      </c>
      <c r="Q1326" s="46" t="str">
        <f t="shared" si="616"/>
        <v/>
      </c>
      <c r="R1326" s="47" t="e">
        <f t="shared" si="617"/>
        <v>#VALUE!</v>
      </c>
      <c r="S1326" s="48" t="e">
        <f t="shared" si="606"/>
        <v>#VALUE!</v>
      </c>
      <c r="T1326" s="47" t="str">
        <f t="shared" si="618"/>
        <v/>
      </c>
      <c r="U1326" s="49"/>
      <c r="V1326" s="50"/>
      <c r="W1326" s="51" t="e">
        <f t="shared" si="619"/>
        <v>#VALUE!</v>
      </c>
      <c r="X1326" s="52"/>
      <c r="Y1326" s="52"/>
      <c r="Z1326" s="52"/>
      <c r="AA1326" s="47" t="e">
        <f>INDEX(VISITORS[INSECT ORDER], MATCH(X1326,VISITORS[NAME USED],0))</f>
        <v>#N/A</v>
      </c>
      <c r="AB1326" s="47" t="e">
        <f t="shared" si="620"/>
        <v>#N/A</v>
      </c>
      <c r="AC1326" s="53" t="e">
        <f t="shared" si="621"/>
        <v>#VALUE!</v>
      </c>
      <c r="AD1326" s="54" t="str">
        <f t="shared" si="622"/>
        <v/>
      </c>
      <c r="AE1326" s="54"/>
      <c r="AF1326" s="54"/>
      <c r="AG1326" s="55" t="str">
        <f t="shared" si="623"/>
        <v/>
      </c>
      <c r="AH1326" s="56" t="str">
        <f t="shared" si="624"/>
        <v/>
      </c>
      <c r="AI1326" s="55"/>
      <c r="AJ1326" s="56" t="str">
        <f t="shared" si="625"/>
        <v/>
      </c>
      <c r="AK1326" s="55"/>
      <c r="AL1326" s="56" t="str">
        <f t="shared" si="626"/>
        <v/>
      </c>
      <c r="AM1326" s="55"/>
      <c r="AN1326" s="56" t="str">
        <f t="shared" si="627"/>
        <v/>
      </c>
      <c r="AO1326" s="55"/>
      <c r="AP1326" s="56" t="str">
        <f t="shared" si="628"/>
        <v/>
      </c>
      <c r="AQ1326" s="55"/>
      <c r="AR1326" s="56" t="str">
        <f t="shared" si="629"/>
        <v/>
      </c>
      <c r="AS1326" s="57"/>
      <c r="AT1326" s="58"/>
      <c r="AU1326" s="58"/>
      <c r="AV1326" s="59"/>
      <c r="AW1326" s="60" t="str">
        <f t="shared" si="607"/>
        <v/>
      </c>
      <c r="AX1326" s="61" t="str">
        <f t="shared" si="608"/>
        <v/>
      </c>
      <c r="AY1326" s="60" t="str">
        <f t="shared" si="609"/>
        <v/>
      </c>
      <c r="AZ1326" s="61" t="str">
        <f t="shared" si="610"/>
        <v/>
      </c>
    </row>
    <row r="1327" spans="1:52" s="3" customFormat="1" hidden="1" x14ac:dyDescent="0.35">
      <c r="A1327" s="72">
        <f t="shared" si="611"/>
        <v>2021</v>
      </c>
      <c r="B1327" s="72" t="str">
        <f t="shared" si="612"/>
        <v>Nov</v>
      </c>
      <c r="C1327" s="73">
        <f t="shared" si="630"/>
        <v>15</v>
      </c>
      <c r="D1327" s="74">
        <f t="shared" si="613"/>
        <v>14</v>
      </c>
      <c r="E1327" s="75">
        <f t="shared" si="614"/>
        <v>3</v>
      </c>
      <c r="F1327" s="79"/>
      <c r="G1327" s="82"/>
      <c r="H1327" s="68" t="str">
        <f t="shared" si="631"/>
        <v>Clesim6_20211115_14_00</v>
      </c>
      <c r="I1327" s="69">
        <f t="shared" si="634"/>
        <v>1</v>
      </c>
      <c r="J1327" s="76" t="str">
        <f t="shared" si="634"/>
        <v>Clematis</v>
      </c>
      <c r="K1327" s="76" t="str">
        <f t="shared" si="634"/>
        <v>simense</v>
      </c>
      <c r="L1327" s="77">
        <f t="shared" si="634"/>
        <v>6</v>
      </c>
      <c r="M1327" s="77">
        <f t="shared" si="634"/>
        <v>20</v>
      </c>
      <c r="N1327" s="71">
        <f t="shared" si="634"/>
        <v>0</v>
      </c>
      <c r="O1327" s="44"/>
      <c r="P1327" s="45" t="str">
        <f t="shared" si="615"/>
        <v/>
      </c>
      <c r="Q1327" s="46" t="str">
        <f t="shared" si="616"/>
        <v/>
      </c>
      <c r="R1327" s="47" t="e">
        <f t="shared" si="617"/>
        <v>#VALUE!</v>
      </c>
      <c r="S1327" s="48" t="e">
        <f t="shared" si="606"/>
        <v>#VALUE!</v>
      </c>
      <c r="T1327" s="47" t="str">
        <f t="shared" si="618"/>
        <v/>
      </c>
      <c r="U1327" s="49"/>
      <c r="V1327" s="50"/>
      <c r="W1327" s="51" t="e">
        <f t="shared" si="619"/>
        <v>#VALUE!</v>
      </c>
      <c r="X1327" s="52"/>
      <c r="Y1327" s="52"/>
      <c r="Z1327" s="52"/>
      <c r="AA1327" s="47" t="e">
        <f>INDEX(VISITORS[INSECT ORDER], MATCH(X1327,VISITORS[NAME USED],0))</f>
        <v>#N/A</v>
      </c>
      <c r="AB1327" s="47" t="e">
        <f t="shared" si="620"/>
        <v>#N/A</v>
      </c>
      <c r="AC1327" s="53" t="e">
        <f t="shared" si="621"/>
        <v>#VALUE!</v>
      </c>
      <c r="AD1327" s="54" t="str">
        <f t="shared" si="622"/>
        <v/>
      </c>
      <c r="AE1327" s="54"/>
      <c r="AF1327" s="54"/>
      <c r="AG1327" s="55" t="str">
        <f t="shared" si="623"/>
        <v/>
      </c>
      <c r="AH1327" s="56" t="str">
        <f t="shared" si="624"/>
        <v/>
      </c>
      <c r="AI1327" s="55"/>
      <c r="AJ1327" s="56" t="str">
        <f t="shared" si="625"/>
        <v/>
      </c>
      <c r="AK1327" s="55"/>
      <c r="AL1327" s="56" t="str">
        <f t="shared" si="626"/>
        <v/>
      </c>
      <c r="AM1327" s="55"/>
      <c r="AN1327" s="56" t="str">
        <f t="shared" si="627"/>
        <v/>
      </c>
      <c r="AO1327" s="55"/>
      <c r="AP1327" s="56" t="str">
        <f t="shared" si="628"/>
        <v/>
      </c>
      <c r="AQ1327" s="55"/>
      <c r="AR1327" s="56" t="str">
        <f t="shared" si="629"/>
        <v/>
      </c>
      <c r="AS1327" s="57"/>
      <c r="AT1327" s="58"/>
      <c r="AU1327" s="58"/>
      <c r="AV1327" s="59"/>
      <c r="AW1327" s="60" t="str">
        <f t="shared" si="607"/>
        <v/>
      </c>
      <c r="AX1327" s="61" t="str">
        <f t="shared" si="608"/>
        <v/>
      </c>
      <c r="AY1327" s="60" t="str">
        <f t="shared" si="609"/>
        <v/>
      </c>
      <c r="AZ1327" s="61" t="str">
        <f t="shared" si="610"/>
        <v/>
      </c>
    </row>
    <row r="1328" spans="1:52" s="3" customFormat="1" hidden="1" x14ac:dyDescent="0.35">
      <c r="A1328" s="72">
        <f t="shared" si="611"/>
        <v>2021</v>
      </c>
      <c r="B1328" s="72" t="str">
        <f t="shared" si="612"/>
        <v>Nov</v>
      </c>
      <c r="C1328" s="73">
        <f t="shared" si="630"/>
        <v>15</v>
      </c>
      <c r="D1328" s="74">
        <f t="shared" si="613"/>
        <v>14</v>
      </c>
      <c r="E1328" s="75">
        <f t="shared" si="614"/>
        <v>4</v>
      </c>
      <c r="F1328" s="79"/>
      <c r="G1328" s="82"/>
      <c r="H1328" s="68" t="str">
        <f t="shared" si="631"/>
        <v>Clesim6_20211115_14_00</v>
      </c>
      <c r="I1328" s="69">
        <f t="shared" si="634"/>
        <v>1</v>
      </c>
      <c r="J1328" s="76" t="str">
        <f t="shared" si="634"/>
        <v>Clematis</v>
      </c>
      <c r="K1328" s="76" t="str">
        <f t="shared" si="634"/>
        <v>simense</v>
      </c>
      <c r="L1328" s="77">
        <f t="shared" si="634"/>
        <v>6</v>
      </c>
      <c r="M1328" s="77">
        <f t="shared" si="634"/>
        <v>20</v>
      </c>
      <c r="N1328" s="71">
        <f t="shared" si="634"/>
        <v>0</v>
      </c>
      <c r="O1328" s="44"/>
      <c r="P1328" s="45" t="str">
        <f t="shared" si="615"/>
        <v/>
      </c>
      <c r="Q1328" s="46" t="str">
        <f t="shared" si="616"/>
        <v/>
      </c>
      <c r="R1328" s="47" t="e">
        <f t="shared" si="617"/>
        <v>#VALUE!</v>
      </c>
      <c r="S1328" s="48" t="e">
        <f t="shared" si="606"/>
        <v>#VALUE!</v>
      </c>
      <c r="T1328" s="47" t="str">
        <f t="shared" si="618"/>
        <v/>
      </c>
      <c r="U1328" s="49"/>
      <c r="V1328" s="50"/>
      <c r="W1328" s="51" t="e">
        <f t="shared" si="619"/>
        <v>#VALUE!</v>
      </c>
      <c r="X1328" s="52"/>
      <c r="Y1328" s="52"/>
      <c r="Z1328" s="52"/>
      <c r="AA1328" s="47" t="e">
        <f>INDEX(VISITORS[INSECT ORDER], MATCH(X1328,VISITORS[NAME USED],0))</f>
        <v>#N/A</v>
      </c>
      <c r="AB1328" s="47" t="e">
        <f t="shared" si="620"/>
        <v>#N/A</v>
      </c>
      <c r="AC1328" s="53" t="e">
        <f t="shared" si="621"/>
        <v>#VALUE!</v>
      </c>
      <c r="AD1328" s="54" t="str">
        <f t="shared" si="622"/>
        <v/>
      </c>
      <c r="AE1328" s="54"/>
      <c r="AF1328" s="54"/>
      <c r="AG1328" s="55" t="str">
        <f t="shared" si="623"/>
        <v/>
      </c>
      <c r="AH1328" s="56" t="str">
        <f t="shared" si="624"/>
        <v/>
      </c>
      <c r="AI1328" s="55"/>
      <c r="AJ1328" s="56" t="str">
        <f t="shared" si="625"/>
        <v/>
      </c>
      <c r="AK1328" s="55"/>
      <c r="AL1328" s="56" t="str">
        <f t="shared" si="626"/>
        <v/>
      </c>
      <c r="AM1328" s="55"/>
      <c r="AN1328" s="56" t="str">
        <f t="shared" si="627"/>
        <v/>
      </c>
      <c r="AO1328" s="55"/>
      <c r="AP1328" s="56" t="str">
        <f t="shared" si="628"/>
        <v/>
      </c>
      <c r="AQ1328" s="55"/>
      <c r="AR1328" s="56" t="str">
        <f t="shared" si="629"/>
        <v/>
      </c>
      <c r="AS1328" s="57"/>
      <c r="AT1328" s="58"/>
      <c r="AU1328" s="58"/>
      <c r="AV1328" s="59"/>
      <c r="AW1328" s="60" t="str">
        <f t="shared" si="607"/>
        <v/>
      </c>
      <c r="AX1328" s="61" t="str">
        <f t="shared" si="608"/>
        <v/>
      </c>
      <c r="AY1328" s="60" t="str">
        <f t="shared" si="609"/>
        <v/>
      </c>
      <c r="AZ1328" s="61" t="str">
        <f t="shared" si="610"/>
        <v/>
      </c>
    </row>
    <row r="1329" spans="1:52" s="3" customFormat="1" hidden="1" x14ac:dyDescent="0.35">
      <c r="A1329" s="72">
        <f t="shared" si="611"/>
        <v>2021</v>
      </c>
      <c r="B1329" s="72" t="str">
        <f t="shared" si="612"/>
        <v>Nov</v>
      </c>
      <c r="C1329" s="73">
        <f t="shared" si="630"/>
        <v>15</v>
      </c>
      <c r="D1329" s="74">
        <f t="shared" si="613"/>
        <v>14</v>
      </c>
      <c r="E1329" s="75">
        <f t="shared" si="614"/>
        <v>5</v>
      </c>
      <c r="F1329" s="79"/>
      <c r="G1329" s="82"/>
      <c r="H1329" s="68" t="str">
        <f t="shared" si="631"/>
        <v>Clesim6_20211115_14_00</v>
      </c>
      <c r="I1329" s="69">
        <f t="shared" si="634"/>
        <v>1</v>
      </c>
      <c r="J1329" s="76" t="str">
        <f t="shared" si="634"/>
        <v>Clematis</v>
      </c>
      <c r="K1329" s="76" t="str">
        <f t="shared" si="634"/>
        <v>simense</v>
      </c>
      <c r="L1329" s="77">
        <f t="shared" si="634"/>
        <v>6</v>
      </c>
      <c r="M1329" s="77">
        <f t="shared" si="634"/>
        <v>20</v>
      </c>
      <c r="N1329" s="71">
        <f t="shared" si="634"/>
        <v>0</v>
      </c>
      <c r="O1329" s="44"/>
      <c r="P1329" s="45" t="str">
        <f t="shared" si="615"/>
        <v/>
      </c>
      <c r="Q1329" s="46" t="str">
        <f t="shared" si="616"/>
        <v/>
      </c>
      <c r="R1329" s="47" t="e">
        <f t="shared" si="617"/>
        <v>#VALUE!</v>
      </c>
      <c r="S1329" s="48" t="e">
        <f t="shared" si="606"/>
        <v>#VALUE!</v>
      </c>
      <c r="T1329" s="47" t="str">
        <f t="shared" si="618"/>
        <v/>
      </c>
      <c r="U1329" s="49"/>
      <c r="V1329" s="50"/>
      <c r="W1329" s="51" t="e">
        <f t="shared" si="619"/>
        <v>#VALUE!</v>
      </c>
      <c r="X1329" s="52"/>
      <c r="Y1329" s="52"/>
      <c r="Z1329" s="52"/>
      <c r="AA1329" s="47" t="e">
        <f>INDEX(VISITORS[INSECT ORDER], MATCH(X1329,VISITORS[NAME USED],0))</f>
        <v>#N/A</v>
      </c>
      <c r="AB1329" s="47" t="e">
        <f t="shared" si="620"/>
        <v>#N/A</v>
      </c>
      <c r="AC1329" s="53" t="e">
        <f t="shared" si="621"/>
        <v>#VALUE!</v>
      </c>
      <c r="AD1329" s="54" t="str">
        <f t="shared" si="622"/>
        <v/>
      </c>
      <c r="AE1329" s="54"/>
      <c r="AF1329" s="54"/>
      <c r="AG1329" s="55" t="str">
        <f t="shared" si="623"/>
        <v/>
      </c>
      <c r="AH1329" s="56" t="str">
        <f t="shared" si="624"/>
        <v/>
      </c>
      <c r="AI1329" s="55"/>
      <c r="AJ1329" s="56" t="str">
        <f t="shared" si="625"/>
        <v/>
      </c>
      <c r="AK1329" s="55"/>
      <c r="AL1329" s="56" t="str">
        <f t="shared" si="626"/>
        <v/>
      </c>
      <c r="AM1329" s="55"/>
      <c r="AN1329" s="56" t="str">
        <f t="shared" si="627"/>
        <v/>
      </c>
      <c r="AO1329" s="55"/>
      <c r="AP1329" s="56" t="str">
        <f t="shared" si="628"/>
        <v/>
      </c>
      <c r="AQ1329" s="55"/>
      <c r="AR1329" s="56" t="str">
        <f t="shared" si="629"/>
        <v/>
      </c>
      <c r="AS1329" s="57"/>
      <c r="AT1329" s="58"/>
      <c r="AU1329" s="58"/>
      <c r="AV1329" s="59"/>
      <c r="AW1329" s="60" t="str">
        <f t="shared" si="607"/>
        <v/>
      </c>
      <c r="AX1329" s="61" t="str">
        <f t="shared" si="608"/>
        <v/>
      </c>
      <c r="AY1329" s="60" t="str">
        <f t="shared" si="609"/>
        <v/>
      </c>
      <c r="AZ1329" s="61" t="str">
        <f t="shared" si="610"/>
        <v/>
      </c>
    </row>
    <row r="1330" spans="1:52" s="3" customFormat="1" hidden="1" x14ac:dyDescent="0.35">
      <c r="A1330" s="72">
        <f t="shared" si="611"/>
        <v>2021</v>
      </c>
      <c r="B1330" s="72" t="str">
        <f t="shared" si="612"/>
        <v>Nov</v>
      </c>
      <c r="C1330" s="73">
        <f t="shared" si="630"/>
        <v>15</v>
      </c>
      <c r="D1330" s="74">
        <f t="shared" si="613"/>
        <v>14</v>
      </c>
      <c r="E1330" s="75">
        <f t="shared" si="614"/>
        <v>6</v>
      </c>
      <c r="F1330" s="79"/>
      <c r="G1330" s="82"/>
      <c r="H1330" s="68" t="str">
        <f t="shared" si="631"/>
        <v>Clesim6_20211115_14_00</v>
      </c>
      <c r="I1330" s="69">
        <f t="shared" si="634"/>
        <v>1</v>
      </c>
      <c r="J1330" s="76" t="str">
        <f t="shared" si="634"/>
        <v>Clematis</v>
      </c>
      <c r="K1330" s="76" t="str">
        <f t="shared" si="634"/>
        <v>simense</v>
      </c>
      <c r="L1330" s="77">
        <f t="shared" si="634"/>
        <v>6</v>
      </c>
      <c r="M1330" s="77">
        <f t="shared" si="634"/>
        <v>20</v>
      </c>
      <c r="N1330" s="71">
        <f t="shared" si="634"/>
        <v>0</v>
      </c>
      <c r="O1330" s="44"/>
      <c r="P1330" s="45" t="str">
        <f t="shared" si="615"/>
        <v/>
      </c>
      <c r="Q1330" s="46" t="str">
        <f t="shared" si="616"/>
        <v/>
      </c>
      <c r="R1330" s="47" t="e">
        <f t="shared" si="617"/>
        <v>#VALUE!</v>
      </c>
      <c r="S1330" s="48" t="e">
        <f t="shared" si="606"/>
        <v>#VALUE!</v>
      </c>
      <c r="T1330" s="47" t="str">
        <f t="shared" si="618"/>
        <v/>
      </c>
      <c r="U1330" s="49"/>
      <c r="V1330" s="50"/>
      <c r="W1330" s="51" t="e">
        <f t="shared" si="619"/>
        <v>#VALUE!</v>
      </c>
      <c r="X1330" s="52"/>
      <c r="Y1330" s="52"/>
      <c r="Z1330" s="52"/>
      <c r="AA1330" s="47" t="e">
        <f>INDEX(VISITORS[INSECT ORDER], MATCH(X1330,VISITORS[NAME USED],0))</f>
        <v>#N/A</v>
      </c>
      <c r="AB1330" s="47" t="e">
        <f t="shared" si="620"/>
        <v>#N/A</v>
      </c>
      <c r="AC1330" s="53" t="e">
        <f t="shared" si="621"/>
        <v>#VALUE!</v>
      </c>
      <c r="AD1330" s="54" t="str">
        <f t="shared" si="622"/>
        <v/>
      </c>
      <c r="AE1330" s="54"/>
      <c r="AF1330" s="54"/>
      <c r="AG1330" s="55" t="str">
        <f t="shared" si="623"/>
        <v/>
      </c>
      <c r="AH1330" s="56" t="str">
        <f t="shared" si="624"/>
        <v/>
      </c>
      <c r="AI1330" s="55"/>
      <c r="AJ1330" s="56" t="str">
        <f t="shared" si="625"/>
        <v/>
      </c>
      <c r="AK1330" s="55"/>
      <c r="AL1330" s="56" t="str">
        <f t="shared" si="626"/>
        <v/>
      </c>
      <c r="AM1330" s="55"/>
      <c r="AN1330" s="56" t="str">
        <f t="shared" si="627"/>
        <v/>
      </c>
      <c r="AO1330" s="55"/>
      <c r="AP1330" s="56" t="str">
        <f t="shared" si="628"/>
        <v/>
      </c>
      <c r="AQ1330" s="55"/>
      <c r="AR1330" s="56" t="str">
        <f t="shared" si="629"/>
        <v/>
      </c>
      <c r="AS1330" s="57"/>
      <c r="AT1330" s="58"/>
      <c r="AU1330" s="58"/>
      <c r="AV1330" s="59"/>
      <c r="AW1330" s="60" t="str">
        <f t="shared" si="607"/>
        <v/>
      </c>
      <c r="AX1330" s="61" t="str">
        <f t="shared" si="608"/>
        <v/>
      </c>
      <c r="AY1330" s="60" t="str">
        <f t="shared" si="609"/>
        <v/>
      </c>
      <c r="AZ1330" s="61" t="str">
        <f t="shared" si="610"/>
        <v/>
      </c>
    </row>
    <row r="1331" spans="1:52" s="3" customFormat="1" hidden="1" x14ac:dyDescent="0.35">
      <c r="A1331" s="72">
        <f t="shared" si="611"/>
        <v>2021</v>
      </c>
      <c r="B1331" s="72" t="str">
        <f t="shared" si="612"/>
        <v>Nov</v>
      </c>
      <c r="C1331" s="73">
        <f t="shared" si="630"/>
        <v>15</v>
      </c>
      <c r="D1331" s="74">
        <f t="shared" si="613"/>
        <v>14</v>
      </c>
      <c r="E1331" s="75">
        <f t="shared" si="614"/>
        <v>7</v>
      </c>
      <c r="F1331" s="79"/>
      <c r="G1331" s="82"/>
      <c r="H1331" s="68" t="str">
        <f t="shared" si="631"/>
        <v>Clesim6_20211115_14_00</v>
      </c>
      <c r="I1331" s="69">
        <f t="shared" si="634"/>
        <v>1</v>
      </c>
      <c r="J1331" s="76" t="str">
        <f t="shared" si="634"/>
        <v>Clematis</v>
      </c>
      <c r="K1331" s="76" t="str">
        <f t="shared" si="634"/>
        <v>simense</v>
      </c>
      <c r="L1331" s="77">
        <f t="shared" si="634"/>
        <v>6</v>
      </c>
      <c r="M1331" s="77">
        <f t="shared" si="634"/>
        <v>20</v>
      </c>
      <c r="N1331" s="71">
        <f t="shared" si="634"/>
        <v>0</v>
      </c>
      <c r="O1331" s="44"/>
      <c r="P1331" s="45" t="str">
        <f t="shared" si="615"/>
        <v/>
      </c>
      <c r="Q1331" s="46" t="str">
        <f t="shared" si="616"/>
        <v/>
      </c>
      <c r="R1331" s="47" t="e">
        <f t="shared" si="617"/>
        <v>#VALUE!</v>
      </c>
      <c r="S1331" s="48" t="e">
        <f t="shared" si="606"/>
        <v>#VALUE!</v>
      </c>
      <c r="T1331" s="47" t="str">
        <f t="shared" si="618"/>
        <v/>
      </c>
      <c r="U1331" s="49"/>
      <c r="V1331" s="50"/>
      <c r="W1331" s="51" t="e">
        <f t="shared" si="619"/>
        <v>#VALUE!</v>
      </c>
      <c r="X1331" s="52"/>
      <c r="Y1331" s="52"/>
      <c r="Z1331" s="52"/>
      <c r="AA1331" s="47" t="e">
        <f>INDEX(VISITORS[INSECT ORDER], MATCH(X1331,VISITORS[NAME USED],0))</f>
        <v>#N/A</v>
      </c>
      <c r="AB1331" s="47" t="e">
        <f t="shared" si="620"/>
        <v>#N/A</v>
      </c>
      <c r="AC1331" s="53" t="e">
        <f t="shared" si="621"/>
        <v>#VALUE!</v>
      </c>
      <c r="AD1331" s="54" t="str">
        <f t="shared" si="622"/>
        <v/>
      </c>
      <c r="AE1331" s="54"/>
      <c r="AF1331" s="54"/>
      <c r="AG1331" s="55" t="str">
        <f t="shared" si="623"/>
        <v/>
      </c>
      <c r="AH1331" s="56" t="str">
        <f t="shared" si="624"/>
        <v/>
      </c>
      <c r="AI1331" s="55"/>
      <c r="AJ1331" s="56" t="str">
        <f t="shared" si="625"/>
        <v/>
      </c>
      <c r="AK1331" s="55"/>
      <c r="AL1331" s="56" t="str">
        <f t="shared" si="626"/>
        <v/>
      </c>
      <c r="AM1331" s="55"/>
      <c r="AN1331" s="56" t="str">
        <f t="shared" si="627"/>
        <v/>
      </c>
      <c r="AO1331" s="55"/>
      <c r="AP1331" s="56" t="str">
        <f t="shared" si="628"/>
        <v/>
      </c>
      <c r="AQ1331" s="55"/>
      <c r="AR1331" s="56" t="str">
        <f t="shared" si="629"/>
        <v/>
      </c>
      <c r="AS1331" s="57"/>
      <c r="AT1331" s="58"/>
      <c r="AU1331" s="58"/>
      <c r="AV1331" s="59"/>
      <c r="AW1331" s="60" t="str">
        <f t="shared" si="607"/>
        <v/>
      </c>
      <c r="AX1331" s="61" t="str">
        <f t="shared" si="608"/>
        <v/>
      </c>
      <c r="AY1331" s="60" t="str">
        <f t="shared" si="609"/>
        <v/>
      </c>
      <c r="AZ1331" s="61" t="str">
        <f t="shared" si="610"/>
        <v/>
      </c>
    </row>
    <row r="1332" spans="1:52" s="3" customFormat="1" hidden="1" x14ac:dyDescent="0.35">
      <c r="A1332" s="72">
        <f t="shared" si="611"/>
        <v>2021</v>
      </c>
      <c r="B1332" s="72" t="str">
        <f t="shared" si="612"/>
        <v>Nov</v>
      </c>
      <c r="C1332" s="73">
        <f t="shared" si="630"/>
        <v>15</v>
      </c>
      <c r="D1332" s="74">
        <f t="shared" si="613"/>
        <v>14</v>
      </c>
      <c r="E1332" s="75">
        <f t="shared" si="614"/>
        <v>8</v>
      </c>
      <c r="F1332" s="79"/>
      <c r="G1332" s="82"/>
      <c r="H1332" s="68" t="str">
        <f t="shared" si="631"/>
        <v>Clesim6_20211115_14_00</v>
      </c>
      <c r="I1332" s="69">
        <f t="shared" si="634"/>
        <v>1</v>
      </c>
      <c r="J1332" s="76" t="str">
        <f t="shared" si="634"/>
        <v>Clematis</v>
      </c>
      <c r="K1332" s="76" t="str">
        <f t="shared" si="634"/>
        <v>simense</v>
      </c>
      <c r="L1332" s="77">
        <f t="shared" si="634"/>
        <v>6</v>
      </c>
      <c r="M1332" s="77">
        <f t="shared" si="634"/>
        <v>20</v>
      </c>
      <c r="N1332" s="71">
        <f t="shared" si="634"/>
        <v>0</v>
      </c>
      <c r="O1332" s="44"/>
      <c r="P1332" s="45" t="str">
        <f t="shared" si="615"/>
        <v/>
      </c>
      <c r="Q1332" s="46" t="str">
        <f t="shared" si="616"/>
        <v/>
      </c>
      <c r="R1332" s="47" t="e">
        <f t="shared" si="617"/>
        <v>#VALUE!</v>
      </c>
      <c r="S1332" s="48" t="e">
        <f t="shared" si="606"/>
        <v>#VALUE!</v>
      </c>
      <c r="T1332" s="47" t="str">
        <f t="shared" si="618"/>
        <v/>
      </c>
      <c r="U1332" s="49"/>
      <c r="V1332" s="50"/>
      <c r="W1332" s="51" t="e">
        <f t="shared" si="619"/>
        <v>#VALUE!</v>
      </c>
      <c r="X1332" s="52"/>
      <c r="Y1332" s="52"/>
      <c r="Z1332" s="52"/>
      <c r="AA1332" s="47" t="e">
        <f>INDEX(VISITORS[INSECT ORDER], MATCH(X1332,VISITORS[NAME USED],0))</f>
        <v>#N/A</v>
      </c>
      <c r="AB1332" s="47" t="e">
        <f t="shared" si="620"/>
        <v>#N/A</v>
      </c>
      <c r="AC1332" s="53" t="e">
        <f t="shared" si="621"/>
        <v>#VALUE!</v>
      </c>
      <c r="AD1332" s="54" t="str">
        <f t="shared" si="622"/>
        <v/>
      </c>
      <c r="AE1332" s="54"/>
      <c r="AF1332" s="54"/>
      <c r="AG1332" s="55" t="str">
        <f t="shared" si="623"/>
        <v/>
      </c>
      <c r="AH1332" s="56" t="str">
        <f t="shared" si="624"/>
        <v/>
      </c>
      <c r="AI1332" s="55"/>
      <c r="AJ1332" s="56" t="str">
        <f t="shared" si="625"/>
        <v/>
      </c>
      <c r="AK1332" s="55"/>
      <c r="AL1332" s="56" t="str">
        <f t="shared" si="626"/>
        <v/>
      </c>
      <c r="AM1332" s="55"/>
      <c r="AN1332" s="56" t="str">
        <f t="shared" si="627"/>
        <v/>
      </c>
      <c r="AO1332" s="55"/>
      <c r="AP1332" s="56" t="str">
        <f t="shared" si="628"/>
        <v/>
      </c>
      <c r="AQ1332" s="55"/>
      <c r="AR1332" s="56" t="str">
        <f t="shared" si="629"/>
        <v/>
      </c>
      <c r="AS1332" s="57"/>
      <c r="AT1332" s="58"/>
      <c r="AU1332" s="58"/>
      <c r="AV1332" s="59"/>
      <c r="AW1332" s="60" t="str">
        <f t="shared" si="607"/>
        <v/>
      </c>
      <c r="AX1332" s="61" t="str">
        <f t="shared" si="608"/>
        <v/>
      </c>
      <c r="AY1332" s="60" t="str">
        <f t="shared" si="609"/>
        <v/>
      </c>
      <c r="AZ1332" s="61" t="str">
        <f t="shared" si="610"/>
        <v/>
      </c>
    </row>
    <row r="1333" spans="1:52" s="3" customFormat="1" hidden="1" x14ac:dyDescent="0.35">
      <c r="A1333" s="72">
        <f t="shared" si="611"/>
        <v>2021</v>
      </c>
      <c r="B1333" s="72" t="str">
        <f t="shared" si="612"/>
        <v>Nov</v>
      </c>
      <c r="C1333" s="73">
        <f t="shared" si="630"/>
        <v>15</v>
      </c>
      <c r="D1333" s="74">
        <f t="shared" si="613"/>
        <v>14</v>
      </c>
      <c r="E1333" s="75">
        <f t="shared" si="614"/>
        <v>9</v>
      </c>
      <c r="F1333" s="79"/>
      <c r="G1333" s="82"/>
      <c r="H1333" s="68" t="str">
        <f t="shared" si="631"/>
        <v>Clesim6_20211115_14_00</v>
      </c>
      <c r="I1333" s="69">
        <f t="shared" si="634"/>
        <v>1</v>
      </c>
      <c r="J1333" s="76" t="str">
        <f t="shared" si="634"/>
        <v>Clematis</v>
      </c>
      <c r="K1333" s="76" t="str">
        <f t="shared" si="634"/>
        <v>simense</v>
      </c>
      <c r="L1333" s="77">
        <f t="shared" si="634"/>
        <v>6</v>
      </c>
      <c r="M1333" s="77">
        <f t="shared" si="634"/>
        <v>20</v>
      </c>
      <c r="N1333" s="71">
        <f t="shared" si="634"/>
        <v>0</v>
      </c>
      <c r="O1333" s="44"/>
      <c r="P1333" s="45" t="str">
        <f t="shared" si="615"/>
        <v/>
      </c>
      <c r="Q1333" s="46" t="str">
        <f t="shared" si="616"/>
        <v/>
      </c>
      <c r="R1333" s="47" t="e">
        <f t="shared" si="617"/>
        <v>#VALUE!</v>
      </c>
      <c r="S1333" s="48" t="e">
        <f t="shared" si="606"/>
        <v>#VALUE!</v>
      </c>
      <c r="T1333" s="47" t="str">
        <f t="shared" si="618"/>
        <v/>
      </c>
      <c r="U1333" s="49"/>
      <c r="V1333" s="50"/>
      <c r="W1333" s="51" t="e">
        <f t="shared" si="619"/>
        <v>#VALUE!</v>
      </c>
      <c r="X1333" s="52"/>
      <c r="Y1333" s="52"/>
      <c r="Z1333" s="52"/>
      <c r="AA1333" s="47" t="e">
        <f>INDEX(VISITORS[INSECT ORDER], MATCH(X1333,VISITORS[NAME USED],0))</f>
        <v>#N/A</v>
      </c>
      <c r="AB1333" s="47" t="e">
        <f t="shared" si="620"/>
        <v>#N/A</v>
      </c>
      <c r="AC1333" s="53" t="e">
        <f t="shared" si="621"/>
        <v>#VALUE!</v>
      </c>
      <c r="AD1333" s="54" t="str">
        <f t="shared" si="622"/>
        <v/>
      </c>
      <c r="AE1333" s="54"/>
      <c r="AF1333" s="54"/>
      <c r="AG1333" s="55" t="str">
        <f t="shared" si="623"/>
        <v/>
      </c>
      <c r="AH1333" s="56" t="str">
        <f t="shared" si="624"/>
        <v/>
      </c>
      <c r="AI1333" s="55"/>
      <c r="AJ1333" s="56" t="str">
        <f t="shared" si="625"/>
        <v/>
      </c>
      <c r="AK1333" s="55"/>
      <c r="AL1333" s="56" t="str">
        <f t="shared" si="626"/>
        <v/>
      </c>
      <c r="AM1333" s="55"/>
      <c r="AN1333" s="56" t="str">
        <f t="shared" si="627"/>
        <v/>
      </c>
      <c r="AO1333" s="55"/>
      <c r="AP1333" s="56" t="str">
        <f t="shared" si="628"/>
        <v/>
      </c>
      <c r="AQ1333" s="55"/>
      <c r="AR1333" s="56" t="str">
        <f t="shared" si="629"/>
        <v/>
      </c>
      <c r="AS1333" s="57"/>
      <c r="AT1333" s="58"/>
      <c r="AU1333" s="58"/>
      <c r="AV1333" s="59"/>
      <c r="AW1333" s="60" t="str">
        <f t="shared" si="607"/>
        <v/>
      </c>
      <c r="AX1333" s="61" t="str">
        <f t="shared" si="608"/>
        <v/>
      </c>
      <c r="AY1333" s="60" t="str">
        <f t="shared" si="609"/>
        <v/>
      </c>
      <c r="AZ1333" s="61" t="str">
        <f t="shared" si="610"/>
        <v/>
      </c>
    </row>
    <row r="1334" spans="1:52" s="3" customFormat="1" hidden="1" x14ac:dyDescent="0.35">
      <c r="A1334" s="72">
        <f t="shared" si="611"/>
        <v>2021</v>
      </c>
      <c r="B1334" s="72" t="str">
        <f t="shared" si="612"/>
        <v>Nov</v>
      </c>
      <c r="C1334" s="73">
        <f t="shared" si="630"/>
        <v>15</v>
      </c>
      <c r="D1334" s="74">
        <f t="shared" si="613"/>
        <v>14</v>
      </c>
      <c r="E1334" s="75">
        <f t="shared" si="614"/>
        <v>10</v>
      </c>
      <c r="F1334" s="79"/>
      <c r="G1334" s="82"/>
      <c r="H1334" s="68" t="str">
        <f t="shared" si="631"/>
        <v>Clesim6_20211115_14_00</v>
      </c>
      <c r="I1334" s="69">
        <f t="shared" ref="I1334:N1349" si="635">I1333</f>
        <v>1</v>
      </c>
      <c r="J1334" s="76" t="str">
        <f t="shared" si="635"/>
        <v>Clematis</v>
      </c>
      <c r="K1334" s="76" t="str">
        <f t="shared" si="635"/>
        <v>simense</v>
      </c>
      <c r="L1334" s="77">
        <f t="shared" si="635"/>
        <v>6</v>
      </c>
      <c r="M1334" s="77">
        <f t="shared" si="635"/>
        <v>20</v>
      </c>
      <c r="N1334" s="71">
        <f t="shared" si="635"/>
        <v>0</v>
      </c>
      <c r="O1334" s="44"/>
      <c r="P1334" s="45" t="str">
        <f t="shared" si="615"/>
        <v/>
      </c>
      <c r="Q1334" s="46" t="str">
        <f t="shared" si="616"/>
        <v/>
      </c>
      <c r="R1334" s="47" t="e">
        <f t="shared" si="617"/>
        <v>#VALUE!</v>
      </c>
      <c r="S1334" s="48" t="e">
        <f t="shared" si="606"/>
        <v>#VALUE!</v>
      </c>
      <c r="T1334" s="47" t="str">
        <f t="shared" si="618"/>
        <v/>
      </c>
      <c r="U1334" s="49"/>
      <c r="V1334" s="50"/>
      <c r="W1334" s="51" t="e">
        <f t="shared" si="619"/>
        <v>#VALUE!</v>
      </c>
      <c r="X1334" s="52"/>
      <c r="Y1334" s="52"/>
      <c r="Z1334" s="52"/>
      <c r="AA1334" s="47" t="e">
        <f>INDEX(VISITORS[INSECT ORDER], MATCH(X1334,VISITORS[NAME USED],0))</f>
        <v>#N/A</v>
      </c>
      <c r="AB1334" s="47" t="e">
        <f t="shared" si="620"/>
        <v>#N/A</v>
      </c>
      <c r="AC1334" s="53" t="e">
        <f t="shared" si="621"/>
        <v>#VALUE!</v>
      </c>
      <c r="AD1334" s="54" t="str">
        <f t="shared" si="622"/>
        <v/>
      </c>
      <c r="AE1334" s="54"/>
      <c r="AF1334" s="54"/>
      <c r="AG1334" s="55" t="str">
        <f t="shared" si="623"/>
        <v/>
      </c>
      <c r="AH1334" s="56" t="str">
        <f t="shared" si="624"/>
        <v/>
      </c>
      <c r="AI1334" s="55"/>
      <c r="AJ1334" s="56" t="str">
        <f t="shared" si="625"/>
        <v/>
      </c>
      <c r="AK1334" s="55"/>
      <c r="AL1334" s="56" t="str">
        <f t="shared" si="626"/>
        <v/>
      </c>
      <c r="AM1334" s="55"/>
      <c r="AN1334" s="56" t="str">
        <f t="shared" si="627"/>
        <v/>
      </c>
      <c r="AO1334" s="55"/>
      <c r="AP1334" s="56" t="str">
        <f t="shared" si="628"/>
        <v/>
      </c>
      <c r="AQ1334" s="55"/>
      <c r="AR1334" s="56" t="str">
        <f t="shared" si="629"/>
        <v/>
      </c>
      <c r="AS1334" s="57"/>
      <c r="AT1334" s="58"/>
      <c r="AU1334" s="58"/>
      <c r="AV1334" s="59"/>
      <c r="AW1334" s="60" t="str">
        <f t="shared" si="607"/>
        <v/>
      </c>
      <c r="AX1334" s="61" t="str">
        <f t="shared" si="608"/>
        <v/>
      </c>
      <c r="AY1334" s="60" t="str">
        <f t="shared" si="609"/>
        <v/>
      </c>
      <c r="AZ1334" s="61" t="str">
        <f t="shared" si="610"/>
        <v/>
      </c>
    </row>
    <row r="1335" spans="1:52" s="3" customFormat="1" hidden="1" x14ac:dyDescent="0.35">
      <c r="A1335" s="72">
        <f t="shared" si="611"/>
        <v>2021</v>
      </c>
      <c r="B1335" s="72" t="str">
        <f t="shared" si="612"/>
        <v>Nov</v>
      </c>
      <c r="C1335" s="73">
        <f t="shared" si="630"/>
        <v>15</v>
      </c>
      <c r="D1335" s="74">
        <f t="shared" si="613"/>
        <v>14</v>
      </c>
      <c r="E1335" s="75">
        <f t="shared" si="614"/>
        <v>11</v>
      </c>
      <c r="F1335" s="79"/>
      <c r="G1335" s="82"/>
      <c r="H1335" s="68" t="str">
        <f t="shared" si="631"/>
        <v>Clesim6_20211115_14_00</v>
      </c>
      <c r="I1335" s="69">
        <f t="shared" si="635"/>
        <v>1</v>
      </c>
      <c r="J1335" s="76" t="str">
        <f t="shared" si="635"/>
        <v>Clematis</v>
      </c>
      <c r="K1335" s="76" t="str">
        <f t="shared" si="635"/>
        <v>simense</v>
      </c>
      <c r="L1335" s="77">
        <f t="shared" si="635"/>
        <v>6</v>
      </c>
      <c r="M1335" s="77">
        <f t="shared" si="635"/>
        <v>20</v>
      </c>
      <c r="N1335" s="71">
        <f t="shared" si="635"/>
        <v>0</v>
      </c>
      <c r="O1335" s="44"/>
      <c r="P1335" s="45" t="str">
        <f t="shared" si="615"/>
        <v/>
      </c>
      <c r="Q1335" s="46" t="str">
        <f t="shared" si="616"/>
        <v/>
      </c>
      <c r="R1335" s="47" t="e">
        <f t="shared" si="617"/>
        <v>#VALUE!</v>
      </c>
      <c r="S1335" s="48" t="e">
        <f t="shared" si="606"/>
        <v>#VALUE!</v>
      </c>
      <c r="T1335" s="47" t="str">
        <f t="shared" si="618"/>
        <v/>
      </c>
      <c r="U1335" s="49"/>
      <c r="V1335" s="50"/>
      <c r="W1335" s="51" t="e">
        <f t="shared" si="619"/>
        <v>#VALUE!</v>
      </c>
      <c r="X1335" s="52"/>
      <c r="Y1335" s="52"/>
      <c r="Z1335" s="52"/>
      <c r="AA1335" s="47" t="e">
        <f>INDEX(VISITORS[INSECT ORDER], MATCH(X1335,VISITORS[NAME USED],0))</f>
        <v>#N/A</v>
      </c>
      <c r="AB1335" s="47" t="e">
        <f t="shared" si="620"/>
        <v>#N/A</v>
      </c>
      <c r="AC1335" s="53" t="e">
        <f t="shared" si="621"/>
        <v>#VALUE!</v>
      </c>
      <c r="AD1335" s="54" t="str">
        <f t="shared" si="622"/>
        <v/>
      </c>
      <c r="AE1335" s="54"/>
      <c r="AF1335" s="54"/>
      <c r="AG1335" s="55" t="str">
        <f t="shared" si="623"/>
        <v/>
      </c>
      <c r="AH1335" s="56" t="str">
        <f t="shared" si="624"/>
        <v/>
      </c>
      <c r="AI1335" s="55"/>
      <c r="AJ1335" s="56" t="str">
        <f t="shared" si="625"/>
        <v/>
      </c>
      <c r="AK1335" s="55"/>
      <c r="AL1335" s="56" t="str">
        <f t="shared" si="626"/>
        <v/>
      </c>
      <c r="AM1335" s="55"/>
      <c r="AN1335" s="56" t="str">
        <f t="shared" si="627"/>
        <v/>
      </c>
      <c r="AO1335" s="55"/>
      <c r="AP1335" s="56" t="str">
        <f t="shared" si="628"/>
        <v/>
      </c>
      <c r="AQ1335" s="55"/>
      <c r="AR1335" s="56" t="str">
        <f t="shared" si="629"/>
        <v/>
      </c>
      <c r="AS1335" s="57"/>
      <c r="AT1335" s="58"/>
      <c r="AU1335" s="58"/>
      <c r="AV1335" s="59"/>
      <c r="AW1335" s="60" t="str">
        <f t="shared" si="607"/>
        <v/>
      </c>
      <c r="AX1335" s="61" t="str">
        <f t="shared" si="608"/>
        <v/>
      </c>
      <c r="AY1335" s="60" t="str">
        <f t="shared" si="609"/>
        <v/>
      </c>
      <c r="AZ1335" s="61" t="str">
        <f t="shared" si="610"/>
        <v/>
      </c>
    </row>
    <row r="1336" spans="1:52" s="3" customFormat="1" hidden="1" x14ac:dyDescent="0.35">
      <c r="A1336" s="72">
        <f t="shared" si="611"/>
        <v>2021</v>
      </c>
      <c r="B1336" s="72" t="str">
        <f t="shared" si="612"/>
        <v>Nov</v>
      </c>
      <c r="C1336" s="73">
        <f t="shared" si="630"/>
        <v>15</v>
      </c>
      <c r="D1336" s="74">
        <f t="shared" si="613"/>
        <v>14</v>
      </c>
      <c r="E1336" s="75">
        <f t="shared" si="614"/>
        <v>12</v>
      </c>
      <c r="F1336" s="79"/>
      <c r="G1336" s="82"/>
      <c r="H1336" s="68" t="str">
        <f t="shared" si="631"/>
        <v>Clesim6_20211115_14_00</v>
      </c>
      <c r="I1336" s="69">
        <f t="shared" si="635"/>
        <v>1</v>
      </c>
      <c r="J1336" s="76" t="str">
        <f t="shared" si="635"/>
        <v>Clematis</v>
      </c>
      <c r="K1336" s="76" t="str">
        <f t="shared" si="635"/>
        <v>simense</v>
      </c>
      <c r="L1336" s="77">
        <f t="shared" si="635"/>
        <v>6</v>
      </c>
      <c r="M1336" s="77">
        <f t="shared" si="635"/>
        <v>20</v>
      </c>
      <c r="N1336" s="71">
        <f t="shared" si="635"/>
        <v>0</v>
      </c>
      <c r="O1336" s="44"/>
      <c r="P1336" s="45" t="str">
        <f t="shared" si="615"/>
        <v/>
      </c>
      <c r="Q1336" s="46" t="str">
        <f t="shared" si="616"/>
        <v/>
      </c>
      <c r="R1336" s="47" t="e">
        <f t="shared" si="617"/>
        <v>#VALUE!</v>
      </c>
      <c r="S1336" s="48" t="e">
        <f t="shared" si="606"/>
        <v>#VALUE!</v>
      </c>
      <c r="T1336" s="47" t="str">
        <f t="shared" si="618"/>
        <v/>
      </c>
      <c r="U1336" s="49"/>
      <c r="V1336" s="50"/>
      <c r="W1336" s="51" t="e">
        <f t="shared" si="619"/>
        <v>#VALUE!</v>
      </c>
      <c r="X1336" s="52"/>
      <c r="Y1336" s="52"/>
      <c r="Z1336" s="52"/>
      <c r="AA1336" s="47" t="e">
        <f>INDEX(VISITORS[INSECT ORDER], MATCH(X1336,VISITORS[NAME USED],0))</f>
        <v>#N/A</v>
      </c>
      <c r="AB1336" s="47" t="e">
        <f t="shared" si="620"/>
        <v>#N/A</v>
      </c>
      <c r="AC1336" s="53" t="e">
        <f t="shared" si="621"/>
        <v>#VALUE!</v>
      </c>
      <c r="AD1336" s="54" t="str">
        <f t="shared" si="622"/>
        <v/>
      </c>
      <c r="AE1336" s="54"/>
      <c r="AF1336" s="54"/>
      <c r="AG1336" s="55" t="str">
        <f t="shared" si="623"/>
        <v/>
      </c>
      <c r="AH1336" s="56" t="str">
        <f t="shared" si="624"/>
        <v/>
      </c>
      <c r="AI1336" s="55"/>
      <c r="AJ1336" s="56" t="str">
        <f t="shared" si="625"/>
        <v/>
      </c>
      <c r="AK1336" s="55"/>
      <c r="AL1336" s="56" t="str">
        <f t="shared" si="626"/>
        <v/>
      </c>
      <c r="AM1336" s="55"/>
      <c r="AN1336" s="56" t="str">
        <f t="shared" si="627"/>
        <v/>
      </c>
      <c r="AO1336" s="55"/>
      <c r="AP1336" s="56" t="str">
        <f t="shared" si="628"/>
        <v/>
      </c>
      <c r="AQ1336" s="55"/>
      <c r="AR1336" s="56" t="str">
        <f t="shared" si="629"/>
        <v/>
      </c>
      <c r="AS1336" s="57"/>
      <c r="AT1336" s="58"/>
      <c r="AU1336" s="58"/>
      <c r="AV1336" s="59"/>
      <c r="AW1336" s="60" t="str">
        <f t="shared" si="607"/>
        <v/>
      </c>
      <c r="AX1336" s="61" t="str">
        <f t="shared" si="608"/>
        <v/>
      </c>
      <c r="AY1336" s="60" t="str">
        <f t="shared" si="609"/>
        <v/>
      </c>
      <c r="AZ1336" s="61" t="str">
        <f t="shared" si="610"/>
        <v/>
      </c>
    </row>
    <row r="1337" spans="1:52" s="3" customFormat="1" hidden="1" x14ac:dyDescent="0.35">
      <c r="A1337" s="72">
        <f t="shared" si="611"/>
        <v>2021</v>
      </c>
      <c r="B1337" s="72" t="str">
        <f t="shared" si="612"/>
        <v>Nov</v>
      </c>
      <c r="C1337" s="73">
        <f t="shared" si="630"/>
        <v>15</v>
      </c>
      <c r="D1337" s="74">
        <f t="shared" si="613"/>
        <v>14</v>
      </c>
      <c r="E1337" s="75">
        <f t="shared" si="614"/>
        <v>13</v>
      </c>
      <c r="F1337" s="79"/>
      <c r="G1337" s="82"/>
      <c r="H1337" s="68" t="str">
        <f t="shared" si="631"/>
        <v>Clesim6_20211115_14_00</v>
      </c>
      <c r="I1337" s="69">
        <f t="shared" si="635"/>
        <v>1</v>
      </c>
      <c r="J1337" s="76" t="str">
        <f t="shared" si="635"/>
        <v>Clematis</v>
      </c>
      <c r="K1337" s="76" t="str">
        <f t="shared" si="635"/>
        <v>simense</v>
      </c>
      <c r="L1337" s="77">
        <f t="shared" si="635"/>
        <v>6</v>
      </c>
      <c r="M1337" s="77">
        <f t="shared" si="635"/>
        <v>20</v>
      </c>
      <c r="N1337" s="71">
        <f t="shared" si="635"/>
        <v>0</v>
      </c>
      <c r="O1337" s="44"/>
      <c r="P1337" s="45" t="str">
        <f t="shared" si="615"/>
        <v/>
      </c>
      <c r="Q1337" s="46" t="str">
        <f t="shared" si="616"/>
        <v/>
      </c>
      <c r="R1337" s="47" t="e">
        <f t="shared" si="617"/>
        <v>#VALUE!</v>
      </c>
      <c r="S1337" s="48" t="e">
        <f t="shared" si="606"/>
        <v>#VALUE!</v>
      </c>
      <c r="T1337" s="47" t="str">
        <f t="shared" si="618"/>
        <v/>
      </c>
      <c r="U1337" s="49"/>
      <c r="V1337" s="50"/>
      <c r="W1337" s="51" t="e">
        <f t="shared" si="619"/>
        <v>#VALUE!</v>
      </c>
      <c r="X1337" s="52"/>
      <c r="Y1337" s="52"/>
      <c r="Z1337" s="52"/>
      <c r="AA1337" s="47" t="e">
        <f>INDEX(VISITORS[INSECT ORDER], MATCH(X1337,VISITORS[NAME USED],0))</f>
        <v>#N/A</v>
      </c>
      <c r="AB1337" s="47" t="e">
        <f t="shared" si="620"/>
        <v>#N/A</v>
      </c>
      <c r="AC1337" s="53" t="e">
        <f t="shared" si="621"/>
        <v>#VALUE!</v>
      </c>
      <c r="AD1337" s="54" t="str">
        <f t="shared" si="622"/>
        <v/>
      </c>
      <c r="AE1337" s="54"/>
      <c r="AF1337" s="54"/>
      <c r="AG1337" s="55" t="str">
        <f t="shared" si="623"/>
        <v/>
      </c>
      <c r="AH1337" s="56" t="str">
        <f t="shared" si="624"/>
        <v/>
      </c>
      <c r="AI1337" s="55"/>
      <c r="AJ1337" s="56" t="str">
        <f t="shared" si="625"/>
        <v/>
      </c>
      <c r="AK1337" s="55"/>
      <c r="AL1337" s="56" t="str">
        <f t="shared" si="626"/>
        <v/>
      </c>
      <c r="AM1337" s="55"/>
      <c r="AN1337" s="56" t="str">
        <f t="shared" si="627"/>
        <v/>
      </c>
      <c r="AO1337" s="55"/>
      <c r="AP1337" s="56" t="str">
        <f t="shared" si="628"/>
        <v/>
      </c>
      <c r="AQ1337" s="55"/>
      <c r="AR1337" s="56" t="str">
        <f t="shared" si="629"/>
        <v/>
      </c>
      <c r="AS1337" s="57"/>
      <c r="AT1337" s="58"/>
      <c r="AU1337" s="58"/>
      <c r="AV1337" s="59"/>
      <c r="AW1337" s="60" t="str">
        <f t="shared" si="607"/>
        <v/>
      </c>
      <c r="AX1337" s="61" t="str">
        <f t="shared" si="608"/>
        <v/>
      </c>
      <c r="AY1337" s="60" t="str">
        <f t="shared" si="609"/>
        <v/>
      </c>
      <c r="AZ1337" s="61" t="str">
        <f t="shared" si="610"/>
        <v/>
      </c>
    </row>
    <row r="1338" spans="1:52" s="3" customFormat="1" hidden="1" x14ac:dyDescent="0.35">
      <c r="A1338" s="72">
        <f t="shared" si="611"/>
        <v>2021</v>
      </c>
      <c r="B1338" s="72" t="str">
        <f t="shared" si="612"/>
        <v>Nov</v>
      </c>
      <c r="C1338" s="73">
        <f t="shared" si="630"/>
        <v>15</v>
      </c>
      <c r="D1338" s="74">
        <f t="shared" si="613"/>
        <v>14</v>
      </c>
      <c r="E1338" s="75">
        <f t="shared" si="614"/>
        <v>14</v>
      </c>
      <c r="F1338" s="79"/>
      <c r="G1338" s="82"/>
      <c r="H1338" s="68" t="str">
        <f t="shared" si="631"/>
        <v>Clesim6_20211115_14_00</v>
      </c>
      <c r="I1338" s="69">
        <f t="shared" si="635"/>
        <v>1</v>
      </c>
      <c r="J1338" s="76" t="str">
        <f t="shared" si="635"/>
        <v>Clematis</v>
      </c>
      <c r="K1338" s="76" t="str">
        <f t="shared" si="635"/>
        <v>simense</v>
      </c>
      <c r="L1338" s="77">
        <f t="shared" si="635"/>
        <v>6</v>
      </c>
      <c r="M1338" s="77">
        <f t="shared" si="635"/>
        <v>20</v>
      </c>
      <c r="N1338" s="71">
        <f t="shared" si="635"/>
        <v>0</v>
      </c>
      <c r="O1338" s="44"/>
      <c r="P1338" s="45" t="str">
        <f t="shared" si="615"/>
        <v/>
      </c>
      <c r="Q1338" s="46" t="str">
        <f t="shared" si="616"/>
        <v/>
      </c>
      <c r="R1338" s="47" t="e">
        <f t="shared" si="617"/>
        <v>#VALUE!</v>
      </c>
      <c r="S1338" s="48" t="e">
        <f t="shared" si="606"/>
        <v>#VALUE!</v>
      </c>
      <c r="T1338" s="47" t="str">
        <f t="shared" si="618"/>
        <v/>
      </c>
      <c r="U1338" s="49"/>
      <c r="V1338" s="50"/>
      <c r="W1338" s="51" t="e">
        <f t="shared" si="619"/>
        <v>#VALUE!</v>
      </c>
      <c r="X1338" s="52"/>
      <c r="Y1338" s="52"/>
      <c r="Z1338" s="52"/>
      <c r="AA1338" s="47" t="e">
        <f>INDEX(VISITORS[INSECT ORDER], MATCH(X1338,VISITORS[NAME USED],0))</f>
        <v>#N/A</v>
      </c>
      <c r="AB1338" s="47" t="e">
        <f t="shared" si="620"/>
        <v>#N/A</v>
      </c>
      <c r="AC1338" s="53" t="e">
        <f t="shared" si="621"/>
        <v>#VALUE!</v>
      </c>
      <c r="AD1338" s="54" t="str">
        <f t="shared" si="622"/>
        <v/>
      </c>
      <c r="AE1338" s="54"/>
      <c r="AF1338" s="54"/>
      <c r="AG1338" s="55" t="str">
        <f t="shared" si="623"/>
        <v/>
      </c>
      <c r="AH1338" s="56" t="str">
        <f t="shared" si="624"/>
        <v/>
      </c>
      <c r="AI1338" s="55"/>
      <c r="AJ1338" s="56" t="str">
        <f t="shared" si="625"/>
        <v/>
      </c>
      <c r="AK1338" s="55"/>
      <c r="AL1338" s="56" t="str">
        <f t="shared" si="626"/>
        <v/>
      </c>
      <c r="AM1338" s="55"/>
      <c r="AN1338" s="56" t="str">
        <f t="shared" si="627"/>
        <v/>
      </c>
      <c r="AO1338" s="55"/>
      <c r="AP1338" s="56" t="str">
        <f t="shared" si="628"/>
        <v/>
      </c>
      <c r="AQ1338" s="55"/>
      <c r="AR1338" s="56" t="str">
        <f t="shared" si="629"/>
        <v/>
      </c>
      <c r="AS1338" s="57"/>
      <c r="AT1338" s="58"/>
      <c r="AU1338" s="58"/>
      <c r="AV1338" s="59"/>
      <c r="AW1338" s="60" t="str">
        <f t="shared" si="607"/>
        <v/>
      </c>
      <c r="AX1338" s="61" t="str">
        <f t="shared" si="608"/>
        <v/>
      </c>
      <c r="AY1338" s="60" t="str">
        <f t="shared" si="609"/>
        <v/>
      </c>
      <c r="AZ1338" s="61" t="str">
        <f t="shared" si="610"/>
        <v/>
      </c>
    </row>
    <row r="1339" spans="1:52" s="3" customFormat="1" hidden="1" x14ac:dyDescent="0.35">
      <c r="A1339" s="72">
        <f t="shared" si="611"/>
        <v>2021</v>
      </c>
      <c r="B1339" s="72" t="str">
        <f t="shared" si="612"/>
        <v>Nov</v>
      </c>
      <c r="C1339" s="73">
        <f t="shared" si="630"/>
        <v>15</v>
      </c>
      <c r="D1339" s="74">
        <f t="shared" si="613"/>
        <v>14</v>
      </c>
      <c r="E1339" s="75">
        <f t="shared" si="614"/>
        <v>15</v>
      </c>
      <c r="F1339" s="79"/>
      <c r="G1339" s="82"/>
      <c r="H1339" s="68" t="str">
        <f t="shared" si="631"/>
        <v>Clesim6_20211115_14_00</v>
      </c>
      <c r="I1339" s="69">
        <f t="shared" si="635"/>
        <v>1</v>
      </c>
      <c r="J1339" s="76" t="str">
        <f t="shared" si="635"/>
        <v>Clematis</v>
      </c>
      <c r="K1339" s="76" t="str">
        <f t="shared" si="635"/>
        <v>simense</v>
      </c>
      <c r="L1339" s="77">
        <f t="shared" si="635"/>
        <v>6</v>
      </c>
      <c r="M1339" s="77">
        <f t="shared" si="635"/>
        <v>20</v>
      </c>
      <c r="N1339" s="71">
        <f t="shared" si="635"/>
        <v>0</v>
      </c>
      <c r="O1339" s="44"/>
      <c r="P1339" s="45" t="str">
        <f t="shared" si="615"/>
        <v/>
      </c>
      <c r="Q1339" s="46" t="str">
        <f t="shared" si="616"/>
        <v/>
      </c>
      <c r="R1339" s="47" t="e">
        <f t="shared" si="617"/>
        <v>#VALUE!</v>
      </c>
      <c r="S1339" s="48" t="e">
        <f t="shared" si="606"/>
        <v>#VALUE!</v>
      </c>
      <c r="T1339" s="47" t="str">
        <f t="shared" si="618"/>
        <v/>
      </c>
      <c r="U1339" s="49"/>
      <c r="V1339" s="50"/>
      <c r="W1339" s="51" t="e">
        <f t="shared" si="619"/>
        <v>#VALUE!</v>
      </c>
      <c r="X1339" s="52"/>
      <c r="Y1339" s="52"/>
      <c r="Z1339" s="52"/>
      <c r="AA1339" s="47" t="e">
        <f>INDEX(VISITORS[INSECT ORDER], MATCH(X1339,VISITORS[NAME USED],0))</f>
        <v>#N/A</v>
      </c>
      <c r="AB1339" s="47" t="e">
        <f t="shared" si="620"/>
        <v>#N/A</v>
      </c>
      <c r="AC1339" s="53" t="e">
        <f t="shared" si="621"/>
        <v>#VALUE!</v>
      </c>
      <c r="AD1339" s="54" t="str">
        <f t="shared" si="622"/>
        <v/>
      </c>
      <c r="AE1339" s="54"/>
      <c r="AF1339" s="54"/>
      <c r="AG1339" s="55" t="str">
        <f t="shared" si="623"/>
        <v/>
      </c>
      <c r="AH1339" s="56" t="str">
        <f t="shared" si="624"/>
        <v/>
      </c>
      <c r="AI1339" s="55"/>
      <c r="AJ1339" s="56" t="str">
        <f t="shared" si="625"/>
        <v/>
      </c>
      <c r="AK1339" s="55"/>
      <c r="AL1339" s="56" t="str">
        <f t="shared" si="626"/>
        <v/>
      </c>
      <c r="AM1339" s="55"/>
      <c r="AN1339" s="56" t="str">
        <f t="shared" si="627"/>
        <v/>
      </c>
      <c r="AO1339" s="55"/>
      <c r="AP1339" s="56" t="str">
        <f t="shared" si="628"/>
        <v/>
      </c>
      <c r="AQ1339" s="55"/>
      <c r="AR1339" s="56" t="str">
        <f t="shared" si="629"/>
        <v/>
      </c>
      <c r="AS1339" s="57"/>
      <c r="AT1339" s="58"/>
      <c r="AU1339" s="58"/>
      <c r="AV1339" s="59"/>
      <c r="AW1339" s="60" t="str">
        <f t="shared" si="607"/>
        <v/>
      </c>
      <c r="AX1339" s="61" t="str">
        <f t="shared" si="608"/>
        <v/>
      </c>
      <c r="AY1339" s="60" t="str">
        <f t="shared" si="609"/>
        <v/>
      </c>
      <c r="AZ1339" s="61" t="str">
        <f t="shared" si="610"/>
        <v/>
      </c>
    </row>
    <row r="1340" spans="1:52" s="3" customFormat="1" hidden="1" x14ac:dyDescent="0.35">
      <c r="A1340" s="72">
        <f t="shared" si="611"/>
        <v>2021</v>
      </c>
      <c r="B1340" s="72" t="str">
        <f t="shared" si="612"/>
        <v>Nov</v>
      </c>
      <c r="C1340" s="73">
        <f t="shared" si="630"/>
        <v>15</v>
      </c>
      <c r="D1340" s="74">
        <f t="shared" si="613"/>
        <v>14</v>
      </c>
      <c r="E1340" s="75">
        <f t="shared" si="614"/>
        <v>16</v>
      </c>
      <c r="F1340" s="79"/>
      <c r="G1340" s="82"/>
      <c r="H1340" s="68" t="str">
        <f t="shared" si="631"/>
        <v>Clesim6_20211115_14_00</v>
      </c>
      <c r="I1340" s="69">
        <f t="shared" si="635"/>
        <v>1</v>
      </c>
      <c r="J1340" s="76" t="str">
        <f t="shared" si="635"/>
        <v>Clematis</v>
      </c>
      <c r="K1340" s="76" t="str">
        <f t="shared" si="635"/>
        <v>simense</v>
      </c>
      <c r="L1340" s="77">
        <f t="shared" si="635"/>
        <v>6</v>
      </c>
      <c r="M1340" s="77">
        <f t="shared" si="635"/>
        <v>20</v>
      </c>
      <c r="N1340" s="71">
        <f t="shared" si="635"/>
        <v>0</v>
      </c>
      <c r="O1340" s="44"/>
      <c r="P1340" s="45" t="str">
        <f t="shared" si="615"/>
        <v/>
      </c>
      <c r="Q1340" s="46" t="str">
        <f t="shared" si="616"/>
        <v/>
      </c>
      <c r="R1340" s="47" t="e">
        <f t="shared" si="617"/>
        <v>#VALUE!</v>
      </c>
      <c r="S1340" s="48" t="e">
        <f t="shared" si="606"/>
        <v>#VALUE!</v>
      </c>
      <c r="T1340" s="47" t="str">
        <f t="shared" si="618"/>
        <v/>
      </c>
      <c r="U1340" s="49"/>
      <c r="V1340" s="50"/>
      <c r="W1340" s="51" t="e">
        <f t="shared" si="619"/>
        <v>#VALUE!</v>
      </c>
      <c r="X1340" s="52"/>
      <c r="Y1340" s="52"/>
      <c r="Z1340" s="52"/>
      <c r="AA1340" s="47" t="e">
        <f>INDEX(VISITORS[INSECT ORDER], MATCH(X1340,VISITORS[NAME USED],0))</f>
        <v>#N/A</v>
      </c>
      <c r="AB1340" s="47" t="e">
        <f t="shared" si="620"/>
        <v>#N/A</v>
      </c>
      <c r="AC1340" s="53" t="e">
        <f t="shared" si="621"/>
        <v>#VALUE!</v>
      </c>
      <c r="AD1340" s="54" t="str">
        <f t="shared" si="622"/>
        <v/>
      </c>
      <c r="AE1340" s="54"/>
      <c r="AF1340" s="54"/>
      <c r="AG1340" s="55" t="str">
        <f t="shared" si="623"/>
        <v/>
      </c>
      <c r="AH1340" s="56" t="str">
        <f t="shared" si="624"/>
        <v/>
      </c>
      <c r="AI1340" s="55"/>
      <c r="AJ1340" s="56" t="str">
        <f t="shared" si="625"/>
        <v/>
      </c>
      <c r="AK1340" s="55"/>
      <c r="AL1340" s="56" t="str">
        <f t="shared" si="626"/>
        <v/>
      </c>
      <c r="AM1340" s="55"/>
      <c r="AN1340" s="56" t="str">
        <f t="shared" si="627"/>
        <v/>
      </c>
      <c r="AO1340" s="55"/>
      <c r="AP1340" s="56" t="str">
        <f t="shared" si="628"/>
        <v/>
      </c>
      <c r="AQ1340" s="55"/>
      <c r="AR1340" s="56" t="str">
        <f t="shared" si="629"/>
        <v/>
      </c>
      <c r="AS1340" s="57"/>
      <c r="AT1340" s="58"/>
      <c r="AU1340" s="58"/>
      <c r="AV1340" s="59"/>
      <c r="AW1340" s="60" t="str">
        <f t="shared" si="607"/>
        <v/>
      </c>
      <c r="AX1340" s="61" t="str">
        <f t="shared" si="608"/>
        <v/>
      </c>
      <c r="AY1340" s="60" t="str">
        <f t="shared" si="609"/>
        <v/>
      </c>
      <c r="AZ1340" s="61" t="str">
        <f t="shared" si="610"/>
        <v/>
      </c>
    </row>
    <row r="1341" spans="1:52" s="3" customFormat="1" hidden="1" x14ac:dyDescent="0.35">
      <c r="A1341" s="72">
        <f t="shared" si="611"/>
        <v>2021</v>
      </c>
      <c r="B1341" s="72" t="str">
        <f t="shared" si="612"/>
        <v>Nov</v>
      </c>
      <c r="C1341" s="73">
        <f t="shared" si="630"/>
        <v>15</v>
      </c>
      <c r="D1341" s="74">
        <f t="shared" si="613"/>
        <v>14</v>
      </c>
      <c r="E1341" s="75">
        <f t="shared" si="614"/>
        <v>17</v>
      </c>
      <c r="F1341" s="79"/>
      <c r="G1341" s="82"/>
      <c r="H1341" s="68" t="str">
        <f t="shared" si="631"/>
        <v>Clesim6_20211115_14_00</v>
      </c>
      <c r="I1341" s="69">
        <f t="shared" si="635"/>
        <v>1</v>
      </c>
      <c r="J1341" s="76" t="str">
        <f t="shared" si="635"/>
        <v>Clematis</v>
      </c>
      <c r="K1341" s="76" t="str">
        <f t="shared" si="635"/>
        <v>simense</v>
      </c>
      <c r="L1341" s="77">
        <f t="shared" si="635"/>
        <v>6</v>
      </c>
      <c r="M1341" s="77">
        <f t="shared" si="635"/>
        <v>20</v>
      </c>
      <c r="N1341" s="71">
        <f t="shared" si="635"/>
        <v>0</v>
      </c>
      <c r="O1341" s="44"/>
      <c r="P1341" s="45" t="str">
        <f t="shared" si="615"/>
        <v/>
      </c>
      <c r="Q1341" s="46" t="str">
        <f t="shared" si="616"/>
        <v/>
      </c>
      <c r="R1341" s="47" t="e">
        <f t="shared" si="617"/>
        <v>#VALUE!</v>
      </c>
      <c r="S1341" s="48" t="e">
        <f t="shared" si="606"/>
        <v>#VALUE!</v>
      </c>
      <c r="T1341" s="47" t="str">
        <f t="shared" si="618"/>
        <v/>
      </c>
      <c r="U1341" s="49"/>
      <c r="V1341" s="50"/>
      <c r="W1341" s="51" t="e">
        <f t="shared" si="619"/>
        <v>#VALUE!</v>
      </c>
      <c r="X1341" s="52"/>
      <c r="Y1341" s="52"/>
      <c r="Z1341" s="52"/>
      <c r="AA1341" s="47" t="e">
        <f>INDEX(VISITORS[INSECT ORDER], MATCH(X1341,VISITORS[NAME USED],0))</f>
        <v>#N/A</v>
      </c>
      <c r="AB1341" s="47" t="e">
        <f t="shared" si="620"/>
        <v>#N/A</v>
      </c>
      <c r="AC1341" s="53" t="e">
        <f t="shared" si="621"/>
        <v>#VALUE!</v>
      </c>
      <c r="AD1341" s="54" t="str">
        <f t="shared" si="622"/>
        <v/>
      </c>
      <c r="AE1341" s="54"/>
      <c r="AF1341" s="54"/>
      <c r="AG1341" s="55" t="str">
        <f t="shared" si="623"/>
        <v/>
      </c>
      <c r="AH1341" s="56" t="str">
        <f t="shared" si="624"/>
        <v/>
      </c>
      <c r="AI1341" s="55"/>
      <c r="AJ1341" s="56" t="str">
        <f t="shared" si="625"/>
        <v/>
      </c>
      <c r="AK1341" s="55"/>
      <c r="AL1341" s="56" t="str">
        <f t="shared" si="626"/>
        <v/>
      </c>
      <c r="AM1341" s="55"/>
      <c r="AN1341" s="56" t="str">
        <f t="shared" si="627"/>
        <v/>
      </c>
      <c r="AO1341" s="55"/>
      <c r="AP1341" s="56" t="str">
        <f t="shared" si="628"/>
        <v/>
      </c>
      <c r="AQ1341" s="55"/>
      <c r="AR1341" s="56" t="str">
        <f t="shared" si="629"/>
        <v/>
      </c>
      <c r="AS1341" s="57"/>
      <c r="AT1341" s="58"/>
      <c r="AU1341" s="58"/>
      <c r="AV1341" s="59"/>
      <c r="AW1341" s="60" t="str">
        <f t="shared" si="607"/>
        <v/>
      </c>
      <c r="AX1341" s="61" t="str">
        <f t="shared" si="608"/>
        <v/>
      </c>
      <c r="AY1341" s="60" t="str">
        <f t="shared" si="609"/>
        <v/>
      </c>
      <c r="AZ1341" s="61" t="str">
        <f t="shared" si="610"/>
        <v/>
      </c>
    </row>
    <row r="1342" spans="1:52" s="3" customFormat="1" hidden="1" x14ac:dyDescent="0.35">
      <c r="A1342" s="72">
        <f t="shared" si="611"/>
        <v>2021</v>
      </c>
      <c r="B1342" s="72" t="str">
        <f t="shared" si="612"/>
        <v>Nov</v>
      </c>
      <c r="C1342" s="73">
        <f t="shared" si="630"/>
        <v>15</v>
      </c>
      <c r="D1342" s="74">
        <f t="shared" si="613"/>
        <v>14</v>
      </c>
      <c r="E1342" s="75">
        <f t="shared" si="614"/>
        <v>18</v>
      </c>
      <c r="F1342" s="79"/>
      <c r="G1342" s="82"/>
      <c r="H1342" s="68" t="str">
        <f t="shared" si="631"/>
        <v>Clesim6_20211115_14_00</v>
      </c>
      <c r="I1342" s="69">
        <f t="shared" si="635"/>
        <v>1</v>
      </c>
      <c r="J1342" s="76" t="str">
        <f t="shared" si="635"/>
        <v>Clematis</v>
      </c>
      <c r="K1342" s="76" t="str">
        <f t="shared" si="635"/>
        <v>simense</v>
      </c>
      <c r="L1342" s="77">
        <f t="shared" si="635"/>
        <v>6</v>
      </c>
      <c r="M1342" s="77">
        <f t="shared" si="635"/>
        <v>20</v>
      </c>
      <c r="N1342" s="71">
        <f t="shared" si="635"/>
        <v>0</v>
      </c>
      <c r="O1342" s="44"/>
      <c r="P1342" s="45" t="str">
        <f t="shared" si="615"/>
        <v/>
      </c>
      <c r="Q1342" s="46" t="str">
        <f t="shared" si="616"/>
        <v/>
      </c>
      <c r="R1342" s="47" t="e">
        <f t="shared" si="617"/>
        <v>#VALUE!</v>
      </c>
      <c r="S1342" s="48" t="e">
        <f t="shared" si="606"/>
        <v>#VALUE!</v>
      </c>
      <c r="T1342" s="47" t="str">
        <f t="shared" si="618"/>
        <v/>
      </c>
      <c r="U1342" s="49"/>
      <c r="V1342" s="50"/>
      <c r="W1342" s="51" t="e">
        <f t="shared" si="619"/>
        <v>#VALUE!</v>
      </c>
      <c r="X1342" s="52"/>
      <c r="Y1342" s="52"/>
      <c r="Z1342" s="52"/>
      <c r="AA1342" s="47" t="e">
        <f>INDEX(VISITORS[INSECT ORDER], MATCH(X1342,VISITORS[NAME USED],0))</f>
        <v>#N/A</v>
      </c>
      <c r="AB1342" s="47" t="e">
        <f t="shared" si="620"/>
        <v>#N/A</v>
      </c>
      <c r="AC1342" s="53" t="e">
        <f t="shared" si="621"/>
        <v>#VALUE!</v>
      </c>
      <c r="AD1342" s="54" t="str">
        <f t="shared" si="622"/>
        <v/>
      </c>
      <c r="AE1342" s="54"/>
      <c r="AF1342" s="54"/>
      <c r="AG1342" s="55" t="str">
        <f t="shared" si="623"/>
        <v/>
      </c>
      <c r="AH1342" s="56" t="str">
        <f t="shared" si="624"/>
        <v/>
      </c>
      <c r="AI1342" s="55"/>
      <c r="AJ1342" s="56" t="str">
        <f t="shared" si="625"/>
        <v/>
      </c>
      <c r="AK1342" s="55"/>
      <c r="AL1342" s="56" t="str">
        <f t="shared" si="626"/>
        <v/>
      </c>
      <c r="AM1342" s="55"/>
      <c r="AN1342" s="56" t="str">
        <f t="shared" si="627"/>
        <v/>
      </c>
      <c r="AO1342" s="55"/>
      <c r="AP1342" s="56" t="str">
        <f t="shared" si="628"/>
        <v/>
      </c>
      <c r="AQ1342" s="55"/>
      <c r="AR1342" s="56" t="str">
        <f t="shared" si="629"/>
        <v/>
      </c>
      <c r="AS1342" s="57"/>
      <c r="AT1342" s="58"/>
      <c r="AU1342" s="58"/>
      <c r="AV1342" s="59"/>
      <c r="AW1342" s="60" t="str">
        <f t="shared" si="607"/>
        <v/>
      </c>
      <c r="AX1342" s="61" t="str">
        <f t="shared" si="608"/>
        <v/>
      </c>
      <c r="AY1342" s="60" t="str">
        <f t="shared" si="609"/>
        <v/>
      </c>
      <c r="AZ1342" s="61" t="str">
        <f t="shared" si="610"/>
        <v/>
      </c>
    </row>
    <row r="1343" spans="1:52" s="3" customFormat="1" hidden="1" x14ac:dyDescent="0.35">
      <c r="A1343" s="72">
        <f t="shared" si="611"/>
        <v>2021</v>
      </c>
      <c r="B1343" s="72" t="str">
        <f t="shared" si="612"/>
        <v>Nov</v>
      </c>
      <c r="C1343" s="73">
        <f t="shared" si="630"/>
        <v>15</v>
      </c>
      <c r="D1343" s="74">
        <f t="shared" si="613"/>
        <v>14</v>
      </c>
      <c r="E1343" s="75">
        <f t="shared" si="614"/>
        <v>19</v>
      </c>
      <c r="F1343" s="79"/>
      <c r="G1343" s="82"/>
      <c r="H1343" s="68" t="str">
        <f t="shared" si="631"/>
        <v>Clesim6_20211115_14_00</v>
      </c>
      <c r="I1343" s="69">
        <f t="shared" si="635"/>
        <v>1</v>
      </c>
      <c r="J1343" s="76" t="str">
        <f t="shared" si="635"/>
        <v>Clematis</v>
      </c>
      <c r="K1343" s="76" t="str">
        <f t="shared" si="635"/>
        <v>simense</v>
      </c>
      <c r="L1343" s="77">
        <f t="shared" si="635"/>
        <v>6</v>
      </c>
      <c r="M1343" s="77">
        <f t="shared" si="635"/>
        <v>20</v>
      </c>
      <c r="N1343" s="71">
        <f t="shared" si="635"/>
        <v>0</v>
      </c>
      <c r="O1343" s="44"/>
      <c r="P1343" s="45" t="str">
        <f t="shared" si="615"/>
        <v/>
      </c>
      <c r="Q1343" s="46" t="str">
        <f t="shared" si="616"/>
        <v/>
      </c>
      <c r="R1343" s="47" t="e">
        <f t="shared" si="617"/>
        <v>#VALUE!</v>
      </c>
      <c r="S1343" s="48" t="e">
        <f t="shared" si="606"/>
        <v>#VALUE!</v>
      </c>
      <c r="T1343" s="47" t="str">
        <f t="shared" si="618"/>
        <v/>
      </c>
      <c r="U1343" s="49"/>
      <c r="V1343" s="50"/>
      <c r="W1343" s="51" t="e">
        <f t="shared" si="619"/>
        <v>#VALUE!</v>
      </c>
      <c r="X1343" s="52"/>
      <c r="Y1343" s="52"/>
      <c r="Z1343" s="52"/>
      <c r="AA1343" s="47" t="e">
        <f>INDEX(VISITORS[INSECT ORDER], MATCH(X1343,VISITORS[NAME USED],0))</f>
        <v>#N/A</v>
      </c>
      <c r="AB1343" s="47" t="e">
        <f t="shared" si="620"/>
        <v>#N/A</v>
      </c>
      <c r="AC1343" s="53" t="e">
        <f t="shared" si="621"/>
        <v>#VALUE!</v>
      </c>
      <c r="AD1343" s="54" t="str">
        <f t="shared" si="622"/>
        <v/>
      </c>
      <c r="AE1343" s="54"/>
      <c r="AF1343" s="54"/>
      <c r="AG1343" s="55" t="str">
        <f t="shared" si="623"/>
        <v/>
      </c>
      <c r="AH1343" s="56" t="str">
        <f t="shared" si="624"/>
        <v/>
      </c>
      <c r="AI1343" s="55"/>
      <c r="AJ1343" s="56" t="str">
        <f t="shared" si="625"/>
        <v/>
      </c>
      <c r="AK1343" s="55"/>
      <c r="AL1343" s="56" t="str">
        <f t="shared" si="626"/>
        <v/>
      </c>
      <c r="AM1343" s="55"/>
      <c r="AN1343" s="56" t="str">
        <f t="shared" si="627"/>
        <v/>
      </c>
      <c r="AO1343" s="55"/>
      <c r="AP1343" s="56" t="str">
        <f t="shared" si="628"/>
        <v/>
      </c>
      <c r="AQ1343" s="55"/>
      <c r="AR1343" s="56" t="str">
        <f t="shared" si="629"/>
        <v/>
      </c>
      <c r="AS1343" s="57"/>
      <c r="AT1343" s="58"/>
      <c r="AU1343" s="58"/>
      <c r="AV1343" s="59"/>
      <c r="AW1343" s="60" t="str">
        <f t="shared" si="607"/>
        <v/>
      </c>
      <c r="AX1343" s="61" t="str">
        <f t="shared" si="608"/>
        <v/>
      </c>
      <c r="AY1343" s="60" t="str">
        <f t="shared" si="609"/>
        <v/>
      </c>
      <c r="AZ1343" s="61" t="str">
        <f t="shared" si="610"/>
        <v/>
      </c>
    </row>
    <row r="1344" spans="1:52" s="3" customFormat="1" hidden="1" x14ac:dyDescent="0.35">
      <c r="A1344" s="72">
        <f t="shared" si="611"/>
        <v>2021</v>
      </c>
      <c r="B1344" s="72" t="str">
        <f t="shared" si="612"/>
        <v>Nov</v>
      </c>
      <c r="C1344" s="73">
        <f t="shared" si="630"/>
        <v>15</v>
      </c>
      <c r="D1344" s="74">
        <f t="shared" si="613"/>
        <v>14</v>
      </c>
      <c r="E1344" s="75">
        <f t="shared" si="614"/>
        <v>20</v>
      </c>
      <c r="F1344" s="79"/>
      <c r="G1344" s="82"/>
      <c r="H1344" s="68" t="str">
        <f t="shared" si="631"/>
        <v>Clesim6_20211115_14_00</v>
      </c>
      <c r="I1344" s="69">
        <f t="shared" si="635"/>
        <v>1</v>
      </c>
      <c r="J1344" s="76" t="str">
        <f t="shared" si="635"/>
        <v>Clematis</v>
      </c>
      <c r="K1344" s="76" t="str">
        <f t="shared" si="635"/>
        <v>simense</v>
      </c>
      <c r="L1344" s="77">
        <f t="shared" si="635"/>
        <v>6</v>
      </c>
      <c r="M1344" s="77">
        <f t="shared" si="635"/>
        <v>20</v>
      </c>
      <c r="N1344" s="71">
        <f t="shared" si="635"/>
        <v>0</v>
      </c>
      <c r="O1344" s="44"/>
      <c r="P1344" s="45" t="str">
        <f t="shared" si="615"/>
        <v/>
      </c>
      <c r="Q1344" s="46" t="str">
        <f t="shared" si="616"/>
        <v/>
      </c>
      <c r="R1344" s="47" t="e">
        <f t="shared" si="617"/>
        <v>#VALUE!</v>
      </c>
      <c r="S1344" s="48" t="e">
        <f t="shared" si="606"/>
        <v>#VALUE!</v>
      </c>
      <c r="T1344" s="47" t="str">
        <f t="shared" si="618"/>
        <v/>
      </c>
      <c r="U1344" s="49"/>
      <c r="V1344" s="50"/>
      <c r="W1344" s="51" t="e">
        <f t="shared" si="619"/>
        <v>#VALUE!</v>
      </c>
      <c r="X1344" s="52"/>
      <c r="Y1344" s="52"/>
      <c r="Z1344" s="52"/>
      <c r="AA1344" s="47" t="e">
        <f>INDEX(VISITORS[INSECT ORDER], MATCH(X1344,VISITORS[NAME USED],0))</f>
        <v>#N/A</v>
      </c>
      <c r="AB1344" s="47" t="e">
        <f t="shared" si="620"/>
        <v>#N/A</v>
      </c>
      <c r="AC1344" s="53" t="e">
        <f t="shared" si="621"/>
        <v>#VALUE!</v>
      </c>
      <c r="AD1344" s="54" t="str">
        <f t="shared" si="622"/>
        <v/>
      </c>
      <c r="AE1344" s="54"/>
      <c r="AF1344" s="54"/>
      <c r="AG1344" s="55" t="str">
        <f t="shared" si="623"/>
        <v/>
      </c>
      <c r="AH1344" s="56" t="str">
        <f t="shared" si="624"/>
        <v/>
      </c>
      <c r="AI1344" s="55"/>
      <c r="AJ1344" s="56" t="str">
        <f t="shared" si="625"/>
        <v/>
      </c>
      <c r="AK1344" s="55"/>
      <c r="AL1344" s="56" t="str">
        <f t="shared" si="626"/>
        <v/>
      </c>
      <c r="AM1344" s="55"/>
      <c r="AN1344" s="56" t="str">
        <f t="shared" si="627"/>
        <v/>
      </c>
      <c r="AO1344" s="55"/>
      <c r="AP1344" s="56" t="str">
        <f t="shared" si="628"/>
        <v/>
      </c>
      <c r="AQ1344" s="55"/>
      <c r="AR1344" s="56" t="str">
        <f t="shared" si="629"/>
        <v/>
      </c>
      <c r="AS1344" s="57"/>
      <c r="AT1344" s="58"/>
      <c r="AU1344" s="58"/>
      <c r="AV1344" s="59"/>
      <c r="AW1344" s="60" t="str">
        <f t="shared" si="607"/>
        <v/>
      </c>
      <c r="AX1344" s="61" t="str">
        <f t="shared" si="608"/>
        <v/>
      </c>
      <c r="AY1344" s="60" t="str">
        <f t="shared" si="609"/>
        <v/>
      </c>
      <c r="AZ1344" s="61" t="str">
        <f t="shared" si="610"/>
        <v/>
      </c>
    </row>
    <row r="1345" spans="1:52" s="3" customFormat="1" hidden="1" x14ac:dyDescent="0.35">
      <c r="A1345" s="72">
        <f t="shared" si="611"/>
        <v>2021</v>
      </c>
      <c r="B1345" s="72" t="str">
        <f t="shared" si="612"/>
        <v>Nov</v>
      </c>
      <c r="C1345" s="73">
        <f t="shared" si="630"/>
        <v>15</v>
      </c>
      <c r="D1345" s="74">
        <f t="shared" si="613"/>
        <v>14</v>
      </c>
      <c r="E1345" s="75">
        <f t="shared" si="614"/>
        <v>21</v>
      </c>
      <c r="F1345" s="79"/>
      <c r="G1345" s="82"/>
      <c r="H1345" s="68" t="str">
        <f t="shared" si="631"/>
        <v>Clesim6_20211115_14_00</v>
      </c>
      <c r="I1345" s="69">
        <f t="shared" si="635"/>
        <v>1</v>
      </c>
      <c r="J1345" s="76" t="str">
        <f t="shared" si="635"/>
        <v>Clematis</v>
      </c>
      <c r="K1345" s="76" t="str">
        <f t="shared" si="635"/>
        <v>simense</v>
      </c>
      <c r="L1345" s="77">
        <f t="shared" si="635"/>
        <v>6</v>
      </c>
      <c r="M1345" s="77">
        <f t="shared" si="635"/>
        <v>20</v>
      </c>
      <c r="N1345" s="71">
        <f t="shared" si="635"/>
        <v>0</v>
      </c>
      <c r="O1345" s="44"/>
      <c r="P1345" s="45" t="str">
        <f t="shared" si="615"/>
        <v/>
      </c>
      <c r="Q1345" s="46" t="str">
        <f t="shared" si="616"/>
        <v/>
      </c>
      <c r="R1345" s="47" t="e">
        <f t="shared" si="617"/>
        <v>#VALUE!</v>
      </c>
      <c r="S1345" s="48" t="e">
        <f t="shared" si="606"/>
        <v>#VALUE!</v>
      </c>
      <c r="T1345" s="47" t="str">
        <f t="shared" si="618"/>
        <v/>
      </c>
      <c r="U1345" s="49"/>
      <c r="V1345" s="50"/>
      <c r="W1345" s="51" t="e">
        <f t="shared" si="619"/>
        <v>#VALUE!</v>
      </c>
      <c r="X1345" s="52"/>
      <c r="Y1345" s="52"/>
      <c r="Z1345" s="52"/>
      <c r="AA1345" s="47" t="e">
        <f>INDEX(VISITORS[INSECT ORDER], MATCH(X1345,VISITORS[NAME USED],0))</f>
        <v>#N/A</v>
      </c>
      <c r="AB1345" s="47" t="e">
        <f t="shared" si="620"/>
        <v>#N/A</v>
      </c>
      <c r="AC1345" s="53" t="e">
        <f t="shared" si="621"/>
        <v>#VALUE!</v>
      </c>
      <c r="AD1345" s="54" t="str">
        <f t="shared" si="622"/>
        <v/>
      </c>
      <c r="AE1345" s="54"/>
      <c r="AF1345" s="54"/>
      <c r="AG1345" s="55" t="str">
        <f t="shared" si="623"/>
        <v/>
      </c>
      <c r="AH1345" s="56" t="str">
        <f t="shared" si="624"/>
        <v/>
      </c>
      <c r="AI1345" s="55"/>
      <c r="AJ1345" s="56" t="str">
        <f t="shared" si="625"/>
        <v/>
      </c>
      <c r="AK1345" s="55"/>
      <c r="AL1345" s="56" t="str">
        <f t="shared" si="626"/>
        <v/>
      </c>
      <c r="AM1345" s="55"/>
      <c r="AN1345" s="56" t="str">
        <f t="shared" si="627"/>
        <v/>
      </c>
      <c r="AO1345" s="55"/>
      <c r="AP1345" s="56" t="str">
        <f t="shared" si="628"/>
        <v/>
      </c>
      <c r="AQ1345" s="55"/>
      <c r="AR1345" s="56" t="str">
        <f t="shared" si="629"/>
        <v/>
      </c>
      <c r="AS1345" s="57"/>
      <c r="AT1345" s="58"/>
      <c r="AU1345" s="58"/>
      <c r="AV1345" s="59"/>
      <c r="AW1345" s="60" t="str">
        <f t="shared" si="607"/>
        <v/>
      </c>
      <c r="AX1345" s="61" t="str">
        <f t="shared" si="608"/>
        <v/>
      </c>
      <c r="AY1345" s="60" t="str">
        <f t="shared" si="609"/>
        <v/>
      </c>
      <c r="AZ1345" s="61" t="str">
        <f t="shared" si="610"/>
        <v/>
      </c>
    </row>
    <row r="1346" spans="1:52" s="3" customFormat="1" hidden="1" x14ac:dyDescent="0.35">
      <c r="A1346" s="72">
        <f t="shared" si="611"/>
        <v>2021</v>
      </c>
      <c r="B1346" s="72" t="str">
        <f t="shared" si="612"/>
        <v>Nov</v>
      </c>
      <c r="C1346" s="73">
        <f t="shared" si="630"/>
        <v>15</v>
      </c>
      <c r="D1346" s="74">
        <f t="shared" si="613"/>
        <v>14</v>
      </c>
      <c r="E1346" s="75">
        <f t="shared" si="614"/>
        <v>22</v>
      </c>
      <c r="F1346" s="79"/>
      <c r="G1346" s="82"/>
      <c r="H1346" s="68" t="str">
        <f t="shared" si="631"/>
        <v>Clesim6_20211115_14_00</v>
      </c>
      <c r="I1346" s="69">
        <f t="shared" si="635"/>
        <v>1</v>
      </c>
      <c r="J1346" s="76" t="str">
        <f t="shared" si="635"/>
        <v>Clematis</v>
      </c>
      <c r="K1346" s="76" t="str">
        <f t="shared" si="635"/>
        <v>simense</v>
      </c>
      <c r="L1346" s="77">
        <f t="shared" si="635"/>
        <v>6</v>
      </c>
      <c r="M1346" s="77">
        <f t="shared" si="635"/>
        <v>20</v>
      </c>
      <c r="N1346" s="71">
        <f t="shared" si="635"/>
        <v>0</v>
      </c>
      <c r="O1346" s="44"/>
      <c r="P1346" s="45" t="str">
        <f t="shared" si="615"/>
        <v/>
      </c>
      <c r="Q1346" s="46" t="str">
        <f t="shared" si="616"/>
        <v/>
      </c>
      <c r="R1346" s="47" t="e">
        <f t="shared" si="617"/>
        <v>#VALUE!</v>
      </c>
      <c r="S1346" s="48" t="e">
        <f t="shared" si="606"/>
        <v>#VALUE!</v>
      </c>
      <c r="T1346" s="47" t="str">
        <f t="shared" si="618"/>
        <v/>
      </c>
      <c r="U1346" s="49"/>
      <c r="V1346" s="50"/>
      <c r="W1346" s="51" t="e">
        <f t="shared" si="619"/>
        <v>#VALUE!</v>
      </c>
      <c r="X1346" s="52"/>
      <c r="Y1346" s="52"/>
      <c r="Z1346" s="52"/>
      <c r="AA1346" s="47" t="e">
        <f>INDEX(VISITORS[INSECT ORDER], MATCH(X1346,VISITORS[NAME USED],0))</f>
        <v>#N/A</v>
      </c>
      <c r="AB1346" s="47" t="e">
        <f t="shared" si="620"/>
        <v>#N/A</v>
      </c>
      <c r="AC1346" s="53" t="e">
        <f t="shared" si="621"/>
        <v>#VALUE!</v>
      </c>
      <c r="AD1346" s="54" t="str">
        <f t="shared" si="622"/>
        <v/>
      </c>
      <c r="AE1346" s="54"/>
      <c r="AF1346" s="54"/>
      <c r="AG1346" s="55" t="str">
        <f t="shared" si="623"/>
        <v/>
      </c>
      <c r="AH1346" s="56" t="str">
        <f t="shared" si="624"/>
        <v/>
      </c>
      <c r="AI1346" s="55"/>
      <c r="AJ1346" s="56" t="str">
        <f t="shared" si="625"/>
        <v/>
      </c>
      <c r="AK1346" s="55"/>
      <c r="AL1346" s="56" t="str">
        <f t="shared" si="626"/>
        <v/>
      </c>
      <c r="AM1346" s="55"/>
      <c r="AN1346" s="56" t="str">
        <f t="shared" si="627"/>
        <v/>
      </c>
      <c r="AO1346" s="55"/>
      <c r="AP1346" s="56" t="str">
        <f t="shared" si="628"/>
        <v/>
      </c>
      <c r="AQ1346" s="55"/>
      <c r="AR1346" s="56" t="str">
        <f t="shared" si="629"/>
        <v/>
      </c>
      <c r="AS1346" s="57"/>
      <c r="AT1346" s="58"/>
      <c r="AU1346" s="58"/>
      <c r="AV1346" s="59"/>
      <c r="AW1346" s="60" t="str">
        <f t="shared" si="607"/>
        <v/>
      </c>
      <c r="AX1346" s="61" t="str">
        <f t="shared" si="608"/>
        <v/>
      </c>
      <c r="AY1346" s="60" t="str">
        <f t="shared" si="609"/>
        <v/>
      </c>
      <c r="AZ1346" s="61" t="str">
        <f t="shared" si="610"/>
        <v/>
      </c>
    </row>
    <row r="1347" spans="1:52" s="3" customFormat="1" hidden="1" x14ac:dyDescent="0.35">
      <c r="A1347" s="72">
        <f t="shared" si="611"/>
        <v>2021</v>
      </c>
      <c r="B1347" s="72" t="str">
        <f t="shared" si="612"/>
        <v>Nov</v>
      </c>
      <c r="C1347" s="73">
        <f t="shared" si="630"/>
        <v>15</v>
      </c>
      <c r="D1347" s="74">
        <f t="shared" si="613"/>
        <v>14</v>
      </c>
      <c r="E1347" s="75">
        <f t="shared" si="614"/>
        <v>23</v>
      </c>
      <c r="F1347" s="79"/>
      <c r="G1347" s="82"/>
      <c r="H1347" s="68" t="str">
        <f t="shared" si="631"/>
        <v>Clesim6_20211115_14_00</v>
      </c>
      <c r="I1347" s="69">
        <f t="shared" si="635"/>
        <v>1</v>
      </c>
      <c r="J1347" s="76" t="str">
        <f t="shared" si="635"/>
        <v>Clematis</v>
      </c>
      <c r="K1347" s="76" t="str">
        <f t="shared" si="635"/>
        <v>simense</v>
      </c>
      <c r="L1347" s="77">
        <f t="shared" si="635"/>
        <v>6</v>
      </c>
      <c r="M1347" s="77">
        <f t="shared" si="635"/>
        <v>20</v>
      </c>
      <c r="N1347" s="71">
        <f t="shared" si="635"/>
        <v>0</v>
      </c>
      <c r="O1347" s="44"/>
      <c r="P1347" s="45" t="str">
        <f t="shared" si="615"/>
        <v/>
      </c>
      <c r="Q1347" s="46" t="str">
        <f t="shared" si="616"/>
        <v/>
      </c>
      <c r="R1347" s="47" t="e">
        <f t="shared" si="617"/>
        <v>#VALUE!</v>
      </c>
      <c r="S1347" s="48" t="e">
        <f t="shared" si="606"/>
        <v>#VALUE!</v>
      </c>
      <c r="T1347" s="47" t="str">
        <f t="shared" si="618"/>
        <v/>
      </c>
      <c r="U1347" s="49"/>
      <c r="V1347" s="50"/>
      <c r="W1347" s="51" t="e">
        <f t="shared" si="619"/>
        <v>#VALUE!</v>
      </c>
      <c r="X1347" s="52"/>
      <c r="Y1347" s="52"/>
      <c r="Z1347" s="52"/>
      <c r="AA1347" s="47" t="e">
        <f>INDEX(VISITORS[INSECT ORDER], MATCH(X1347,VISITORS[NAME USED],0))</f>
        <v>#N/A</v>
      </c>
      <c r="AB1347" s="47" t="e">
        <f t="shared" si="620"/>
        <v>#N/A</v>
      </c>
      <c r="AC1347" s="53" t="e">
        <f t="shared" si="621"/>
        <v>#VALUE!</v>
      </c>
      <c r="AD1347" s="54" t="str">
        <f t="shared" si="622"/>
        <v/>
      </c>
      <c r="AE1347" s="54"/>
      <c r="AF1347" s="54"/>
      <c r="AG1347" s="55" t="str">
        <f t="shared" si="623"/>
        <v/>
      </c>
      <c r="AH1347" s="56" t="str">
        <f t="shared" si="624"/>
        <v/>
      </c>
      <c r="AI1347" s="55"/>
      <c r="AJ1347" s="56" t="str">
        <f t="shared" si="625"/>
        <v/>
      </c>
      <c r="AK1347" s="55"/>
      <c r="AL1347" s="56" t="str">
        <f t="shared" si="626"/>
        <v/>
      </c>
      <c r="AM1347" s="55"/>
      <c r="AN1347" s="56" t="str">
        <f t="shared" si="627"/>
        <v/>
      </c>
      <c r="AO1347" s="55"/>
      <c r="AP1347" s="56" t="str">
        <f t="shared" si="628"/>
        <v/>
      </c>
      <c r="AQ1347" s="55"/>
      <c r="AR1347" s="56" t="str">
        <f t="shared" si="629"/>
        <v/>
      </c>
      <c r="AS1347" s="57"/>
      <c r="AT1347" s="58"/>
      <c r="AU1347" s="58"/>
      <c r="AV1347" s="59"/>
      <c r="AW1347" s="60" t="str">
        <f t="shared" si="607"/>
        <v/>
      </c>
      <c r="AX1347" s="61" t="str">
        <f t="shared" si="608"/>
        <v/>
      </c>
      <c r="AY1347" s="60" t="str">
        <f t="shared" si="609"/>
        <v/>
      </c>
      <c r="AZ1347" s="61" t="str">
        <f t="shared" si="610"/>
        <v/>
      </c>
    </row>
    <row r="1348" spans="1:52" s="3" customFormat="1" hidden="1" x14ac:dyDescent="0.35">
      <c r="A1348" s="72">
        <f t="shared" si="611"/>
        <v>2021</v>
      </c>
      <c r="B1348" s="72" t="str">
        <f t="shared" si="612"/>
        <v>Nov</v>
      </c>
      <c r="C1348" s="73">
        <f t="shared" si="630"/>
        <v>15</v>
      </c>
      <c r="D1348" s="74">
        <f t="shared" si="613"/>
        <v>14</v>
      </c>
      <c r="E1348" s="75">
        <f t="shared" si="614"/>
        <v>24</v>
      </c>
      <c r="F1348" s="79"/>
      <c r="G1348" s="82"/>
      <c r="H1348" s="68" t="str">
        <f t="shared" si="631"/>
        <v>Clesim6_20211115_14_00</v>
      </c>
      <c r="I1348" s="69">
        <f t="shared" si="635"/>
        <v>1</v>
      </c>
      <c r="J1348" s="76" t="str">
        <f t="shared" si="635"/>
        <v>Clematis</v>
      </c>
      <c r="K1348" s="76" t="str">
        <f t="shared" si="635"/>
        <v>simense</v>
      </c>
      <c r="L1348" s="77">
        <f t="shared" si="635"/>
        <v>6</v>
      </c>
      <c r="M1348" s="77">
        <f t="shared" si="635"/>
        <v>20</v>
      </c>
      <c r="N1348" s="71">
        <f t="shared" si="635"/>
        <v>0</v>
      </c>
      <c r="O1348" s="44"/>
      <c r="P1348" s="45" t="str">
        <f t="shared" si="615"/>
        <v/>
      </c>
      <c r="Q1348" s="46" t="str">
        <f t="shared" si="616"/>
        <v/>
      </c>
      <c r="R1348" s="47" t="e">
        <f t="shared" si="617"/>
        <v>#VALUE!</v>
      </c>
      <c r="S1348" s="48" t="e">
        <f t="shared" ref="S1348:S1411" si="636">IF(T1348&lt;D1348, (T1348*3600+U1348*60+V1348)+((23*3600+59*60+60)-(D1348*3600+E1348*60+LEFT(F1348,2))), (T1348*3600+U1348*60+V1348)-(D1348*3600+E1348*60+LEFT(F1348,2)))</f>
        <v>#VALUE!</v>
      </c>
      <c r="T1348" s="47" t="str">
        <f t="shared" si="618"/>
        <v/>
      </c>
      <c r="U1348" s="49"/>
      <c r="V1348" s="50"/>
      <c r="W1348" s="51" t="e">
        <f t="shared" si="619"/>
        <v>#VALUE!</v>
      </c>
      <c r="X1348" s="52"/>
      <c r="Y1348" s="52"/>
      <c r="Z1348" s="52"/>
      <c r="AA1348" s="47" t="e">
        <f>INDEX(VISITORS[INSECT ORDER], MATCH(X1348,VISITORS[NAME USED],0))</f>
        <v>#N/A</v>
      </c>
      <c r="AB1348" s="47" t="e">
        <f t="shared" si="620"/>
        <v>#N/A</v>
      </c>
      <c r="AC1348" s="53" t="e">
        <f t="shared" si="621"/>
        <v>#VALUE!</v>
      </c>
      <c r="AD1348" s="54" t="str">
        <f t="shared" si="622"/>
        <v/>
      </c>
      <c r="AE1348" s="54"/>
      <c r="AF1348" s="54"/>
      <c r="AG1348" s="55" t="str">
        <f t="shared" si="623"/>
        <v/>
      </c>
      <c r="AH1348" s="56" t="str">
        <f t="shared" si="624"/>
        <v/>
      </c>
      <c r="AI1348" s="55"/>
      <c r="AJ1348" s="56" t="str">
        <f t="shared" si="625"/>
        <v/>
      </c>
      <c r="AK1348" s="55"/>
      <c r="AL1348" s="56" t="str">
        <f t="shared" si="626"/>
        <v/>
      </c>
      <c r="AM1348" s="55"/>
      <c r="AN1348" s="56" t="str">
        <f t="shared" si="627"/>
        <v/>
      </c>
      <c r="AO1348" s="55"/>
      <c r="AP1348" s="56" t="str">
        <f t="shared" si="628"/>
        <v/>
      </c>
      <c r="AQ1348" s="55"/>
      <c r="AR1348" s="56" t="str">
        <f t="shared" si="629"/>
        <v/>
      </c>
      <c r="AS1348" s="57"/>
      <c r="AT1348" s="58"/>
      <c r="AU1348" s="58"/>
      <c r="AV1348" s="59"/>
      <c r="AW1348" s="60" t="str">
        <f t="shared" ref="AW1348:AW1411" si="637">IF(P1348=1,0,"")</f>
        <v/>
      </c>
      <c r="AX1348" s="61" t="str">
        <f t="shared" ref="AX1348:AX1411" si="638">IF(AW1348=1,AD1348,"")</f>
        <v/>
      </c>
      <c r="AY1348" s="60" t="str">
        <f t="shared" ref="AY1348:AY1411" si="639">IF(P1348=1,0,"")</f>
        <v/>
      </c>
      <c r="AZ1348" s="61" t="str">
        <f t="shared" ref="AZ1348:AZ1411" si="640">IF(AY1348=1,AD1348,"")</f>
        <v/>
      </c>
    </row>
    <row r="1349" spans="1:52" s="3" customFormat="1" hidden="1" x14ac:dyDescent="0.35">
      <c r="A1349" s="72">
        <f t="shared" ref="A1349:A1412" si="641">A1348</f>
        <v>2021</v>
      </c>
      <c r="B1349" s="72" t="str">
        <f t="shared" ref="B1349:B1412" si="642">IF(C1348-C1349&gt;0, TEXT(DATE(2016,(MONTH(DATEVALUE(B1348&amp;"1"))+1),1),"mmm"), B1348)</f>
        <v>Nov</v>
      </c>
      <c r="C1349" s="73">
        <f t="shared" si="630"/>
        <v>15</v>
      </c>
      <c r="D1349" s="74">
        <f t="shared" ref="D1349:D1412" si="643">IF(IF(E1348=59,D1348+1,D1348)=24,0,IF(E1348=59,D1348+1,D1348))</f>
        <v>14</v>
      </c>
      <c r="E1349" s="75">
        <f t="shared" ref="E1349:E1412" si="644">IF(E1348&lt;59,E1348+1,0)</f>
        <v>25</v>
      </c>
      <c r="F1349" s="79"/>
      <c r="G1349" s="82"/>
      <c r="H1349" s="68" t="str">
        <f t="shared" si="631"/>
        <v>Clesim6_20211115_14_00</v>
      </c>
      <c r="I1349" s="69">
        <f t="shared" si="635"/>
        <v>1</v>
      </c>
      <c r="J1349" s="76" t="str">
        <f t="shared" si="635"/>
        <v>Clematis</v>
      </c>
      <c r="K1349" s="76" t="str">
        <f t="shared" si="635"/>
        <v>simense</v>
      </c>
      <c r="L1349" s="77">
        <f t="shared" si="635"/>
        <v>6</v>
      </c>
      <c r="M1349" s="77">
        <f t="shared" si="635"/>
        <v>20</v>
      </c>
      <c r="N1349" s="71">
        <f t="shared" si="635"/>
        <v>0</v>
      </c>
      <c r="O1349" s="44"/>
      <c r="P1349" s="45" t="str">
        <f t="shared" ref="P1349:P1412" si="645">IF(F1349="","",1)</f>
        <v/>
      </c>
      <c r="Q1349" s="46" t="str">
        <f t="shared" ref="Q1349:Q1412" si="646">TEXT(IF(P1349=1,CONCATENATE($D1349,":",$E1349,":",(LEFT($F1349,2))),""),"hh:mm:ss")</f>
        <v/>
      </c>
      <c r="R1349" s="47" t="e">
        <f t="shared" ref="R1349:R1412" si="647">TEXT(Q1349-TIME(0,RIGHT($H1349,2),$G$9)+(Q1349&gt;TIME(0,RIGHT($H1349,2),$G$9)),"mm:ss")</f>
        <v>#VALUE!</v>
      </c>
      <c r="S1349" s="48" t="e">
        <f t="shared" si="636"/>
        <v>#VALUE!</v>
      </c>
      <c r="T1349" s="47" t="str">
        <f t="shared" ref="T1349:T1412" si="648">TEXT(IF(P1349=1,D1349,""),"00")</f>
        <v/>
      </c>
      <c r="U1349" s="49"/>
      <c r="V1349" s="50"/>
      <c r="W1349" s="51" t="e">
        <f t="shared" ref="W1349:W1412" si="649">IF(O1349=0,TEXT(TIME(T1349,U1349,V1349)-TIME(D1349,E1349,RIGHT(F1349,2))+TIME(0,LEFT(R1349,2),RIGHT(R1349,2)),"mm:ss"),TEXT(TIME(T1349,U1349,V1349)-TIME(D1349,E1349,RIGHT(F1349,2))+TIME(0,LEFT(R1349,2),RIGHT(R1349,2))-TIME(0,($G$10*O1349),0),"mm:ss"))</f>
        <v>#VALUE!</v>
      </c>
      <c r="X1349" s="52"/>
      <c r="Y1349" s="52"/>
      <c r="Z1349" s="52"/>
      <c r="AA1349" s="47" t="e">
        <f>INDEX(VISITORS[INSECT ORDER], MATCH(X1349,VISITORS[NAME USED],0))</f>
        <v>#N/A</v>
      </c>
      <c r="AB1349" s="47" t="e">
        <f t="shared" ref="AB1349:AB1412" si="650">IF(AA1349&lt;&gt;0,"NA","")</f>
        <v>#N/A</v>
      </c>
      <c r="AC1349" s="53" t="e">
        <f t="shared" ref="AC1349:AC1412" si="651">IF(SUM(AH1349,AJ1349,AL1349,AN1349,AP1349,AR1349)=S1349,,"")</f>
        <v>#VALUE!</v>
      </c>
      <c r="AD1349" s="54" t="str">
        <f t="shared" ref="AD1349:AD1412" si="652">IF(P1349=1,1,"")</f>
        <v/>
      </c>
      <c r="AE1349" s="54"/>
      <c r="AF1349" s="54"/>
      <c r="AG1349" s="55" t="str">
        <f t="shared" ref="AG1349:AG1412" si="653">IF(OR(X1349="Something small"),1,"")</f>
        <v/>
      </c>
      <c r="AH1349" s="56" t="str">
        <f t="shared" ref="AH1349:AH1412" si="654">IF(AG1349=1,$S1349,"")</f>
        <v/>
      </c>
      <c r="AI1349" s="55"/>
      <c r="AJ1349" s="56" t="str">
        <f t="shared" ref="AJ1349:AJ1412" si="655">IF(AI1349=1,$S1349,"")</f>
        <v/>
      </c>
      <c r="AK1349" s="55"/>
      <c r="AL1349" s="56" t="str">
        <f t="shared" ref="AL1349:AL1412" si="656">IF(AK1349=1,$S1349,"")</f>
        <v/>
      </c>
      <c r="AM1349" s="55"/>
      <c r="AN1349" s="56" t="str">
        <f t="shared" ref="AN1349:AN1412" si="657">IF(AM1349=1,$S1349,"")</f>
        <v/>
      </c>
      <c r="AO1349" s="55"/>
      <c r="AP1349" s="56" t="str">
        <f t="shared" ref="AP1349:AP1412" si="658">IF(AO1349=1,$S1349,"")</f>
        <v/>
      </c>
      <c r="AQ1349" s="55"/>
      <c r="AR1349" s="56" t="str">
        <f t="shared" ref="AR1349:AR1412" si="659">IF(AQ1349=1,$S1349,"")</f>
        <v/>
      </c>
      <c r="AS1349" s="57"/>
      <c r="AT1349" s="58"/>
      <c r="AU1349" s="58"/>
      <c r="AV1349" s="59"/>
      <c r="AW1349" s="60" t="str">
        <f t="shared" si="637"/>
        <v/>
      </c>
      <c r="AX1349" s="61" t="str">
        <f t="shared" si="638"/>
        <v/>
      </c>
      <c r="AY1349" s="60" t="str">
        <f t="shared" si="639"/>
        <v/>
      </c>
      <c r="AZ1349" s="61" t="str">
        <f t="shared" si="640"/>
        <v/>
      </c>
    </row>
    <row r="1350" spans="1:52" s="3" customFormat="1" hidden="1" x14ac:dyDescent="0.35">
      <c r="A1350" s="72">
        <f t="shared" si="641"/>
        <v>2021</v>
      </c>
      <c r="B1350" s="72" t="str">
        <f t="shared" si="642"/>
        <v>Nov</v>
      </c>
      <c r="C1350" s="73">
        <f t="shared" ref="C1350:C1413" si="660">IF(AND(D1350=0, E1350=0), IF(TEXT(C1349,"dd")=TEXT(EOMONTH(DATE(A1349,MONTH(DATEVALUE(B1349&amp;"1")),C1349),0), "dd"), 1, C1349+1), C1349)</f>
        <v>15</v>
      </c>
      <c r="D1350" s="74">
        <f t="shared" si="643"/>
        <v>14</v>
      </c>
      <c r="E1350" s="75">
        <f t="shared" si="644"/>
        <v>26</v>
      </c>
      <c r="F1350" s="79"/>
      <c r="G1350" s="82"/>
      <c r="H1350" s="68" t="str">
        <f t="shared" ref="H1350:H1413" si="661">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Clesim6_20211115_14_00</v>
      </c>
      <c r="I1350" s="69">
        <f t="shared" ref="I1350:N1365" si="662">I1349</f>
        <v>1</v>
      </c>
      <c r="J1350" s="76" t="str">
        <f t="shared" si="662"/>
        <v>Clematis</v>
      </c>
      <c r="K1350" s="76" t="str">
        <f t="shared" si="662"/>
        <v>simense</v>
      </c>
      <c r="L1350" s="77">
        <f t="shared" si="662"/>
        <v>6</v>
      </c>
      <c r="M1350" s="77">
        <f t="shared" si="662"/>
        <v>20</v>
      </c>
      <c r="N1350" s="71">
        <f t="shared" si="662"/>
        <v>0</v>
      </c>
      <c r="O1350" s="44"/>
      <c r="P1350" s="45" t="str">
        <f t="shared" si="645"/>
        <v/>
      </c>
      <c r="Q1350" s="46" t="str">
        <f t="shared" si="646"/>
        <v/>
      </c>
      <c r="R1350" s="47" t="e">
        <f t="shared" si="647"/>
        <v>#VALUE!</v>
      </c>
      <c r="S1350" s="48" t="e">
        <f t="shared" si="636"/>
        <v>#VALUE!</v>
      </c>
      <c r="T1350" s="47" t="str">
        <f t="shared" si="648"/>
        <v/>
      </c>
      <c r="U1350" s="49"/>
      <c r="V1350" s="50"/>
      <c r="W1350" s="51" t="e">
        <f t="shared" si="649"/>
        <v>#VALUE!</v>
      </c>
      <c r="X1350" s="52"/>
      <c r="Y1350" s="52"/>
      <c r="Z1350" s="52"/>
      <c r="AA1350" s="47" t="e">
        <f>INDEX(VISITORS[INSECT ORDER], MATCH(X1350,VISITORS[NAME USED],0))</f>
        <v>#N/A</v>
      </c>
      <c r="AB1350" s="47" t="e">
        <f t="shared" si="650"/>
        <v>#N/A</v>
      </c>
      <c r="AC1350" s="53" t="e">
        <f t="shared" si="651"/>
        <v>#VALUE!</v>
      </c>
      <c r="AD1350" s="54" t="str">
        <f t="shared" si="652"/>
        <v/>
      </c>
      <c r="AE1350" s="54"/>
      <c r="AF1350" s="54"/>
      <c r="AG1350" s="55" t="str">
        <f t="shared" si="653"/>
        <v/>
      </c>
      <c r="AH1350" s="56" t="str">
        <f t="shared" si="654"/>
        <v/>
      </c>
      <c r="AI1350" s="55"/>
      <c r="AJ1350" s="56" t="str">
        <f t="shared" si="655"/>
        <v/>
      </c>
      <c r="AK1350" s="55"/>
      <c r="AL1350" s="56" t="str">
        <f t="shared" si="656"/>
        <v/>
      </c>
      <c r="AM1350" s="55"/>
      <c r="AN1350" s="56" t="str">
        <f t="shared" si="657"/>
        <v/>
      </c>
      <c r="AO1350" s="55"/>
      <c r="AP1350" s="56" t="str">
        <f t="shared" si="658"/>
        <v/>
      </c>
      <c r="AQ1350" s="55"/>
      <c r="AR1350" s="56" t="str">
        <f t="shared" si="659"/>
        <v/>
      </c>
      <c r="AS1350" s="57"/>
      <c r="AT1350" s="58"/>
      <c r="AU1350" s="58"/>
      <c r="AV1350" s="59"/>
      <c r="AW1350" s="60" t="str">
        <f t="shared" si="637"/>
        <v/>
      </c>
      <c r="AX1350" s="61" t="str">
        <f t="shared" si="638"/>
        <v/>
      </c>
      <c r="AY1350" s="60" t="str">
        <f t="shared" si="639"/>
        <v/>
      </c>
      <c r="AZ1350" s="61" t="str">
        <f t="shared" si="640"/>
        <v/>
      </c>
    </row>
    <row r="1351" spans="1:52" s="3" customFormat="1" hidden="1" x14ac:dyDescent="0.35">
      <c r="A1351" s="72">
        <f t="shared" si="641"/>
        <v>2021</v>
      </c>
      <c r="B1351" s="72" t="str">
        <f t="shared" si="642"/>
        <v>Nov</v>
      </c>
      <c r="C1351" s="73">
        <f t="shared" si="660"/>
        <v>15</v>
      </c>
      <c r="D1351" s="74">
        <f t="shared" si="643"/>
        <v>14</v>
      </c>
      <c r="E1351" s="75">
        <f t="shared" si="644"/>
        <v>27</v>
      </c>
      <c r="F1351" s="79"/>
      <c r="G1351" s="82"/>
      <c r="H1351" s="68" t="str">
        <f t="shared" si="661"/>
        <v>Clesim6_20211115_14_00</v>
      </c>
      <c r="I1351" s="69">
        <f t="shared" si="662"/>
        <v>1</v>
      </c>
      <c r="J1351" s="76" t="str">
        <f t="shared" si="662"/>
        <v>Clematis</v>
      </c>
      <c r="K1351" s="76" t="str">
        <f t="shared" si="662"/>
        <v>simense</v>
      </c>
      <c r="L1351" s="77">
        <f t="shared" si="662"/>
        <v>6</v>
      </c>
      <c r="M1351" s="77">
        <f t="shared" si="662"/>
        <v>20</v>
      </c>
      <c r="N1351" s="71">
        <f t="shared" si="662"/>
        <v>0</v>
      </c>
      <c r="O1351" s="44"/>
      <c r="P1351" s="45" t="str">
        <f t="shared" si="645"/>
        <v/>
      </c>
      <c r="Q1351" s="46" t="str">
        <f t="shared" si="646"/>
        <v/>
      </c>
      <c r="R1351" s="47" t="e">
        <f t="shared" si="647"/>
        <v>#VALUE!</v>
      </c>
      <c r="S1351" s="48" t="e">
        <f t="shared" si="636"/>
        <v>#VALUE!</v>
      </c>
      <c r="T1351" s="47" t="str">
        <f t="shared" si="648"/>
        <v/>
      </c>
      <c r="U1351" s="49"/>
      <c r="V1351" s="50"/>
      <c r="W1351" s="51" t="e">
        <f t="shared" si="649"/>
        <v>#VALUE!</v>
      </c>
      <c r="X1351" s="52"/>
      <c r="Y1351" s="52"/>
      <c r="Z1351" s="52"/>
      <c r="AA1351" s="47" t="e">
        <f>INDEX(VISITORS[INSECT ORDER], MATCH(X1351,VISITORS[NAME USED],0))</f>
        <v>#N/A</v>
      </c>
      <c r="AB1351" s="47" t="e">
        <f t="shared" si="650"/>
        <v>#N/A</v>
      </c>
      <c r="AC1351" s="53" t="e">
        <f t="shared" si="651"/>
        <v>#VALUE!</v>
      </c>
      <c r="AD1351" s="54" t="str">
        <f t="shared" si="652"/>
        <v/>
      </c>
      <c r="AE1351" s="54"/>
      <c r="AF1351" s="54"/>
      <c r="AG1351" s="55" t="str">
        <f t="shared" si="653"/>
        <v/>
      </c>
      <c r="AH1351" s="56" t="str">
        <f t="shared" si="654"/>
        <v/>
      </c>
      <c r="AI1351" s="55"/>
      <c r="AJ1351" s="56" t="str">
        <f t="shared" si="655"/>
        <v/>
      </c>
      <c r="AK1351" s="55"/>
      <c r="AL1351" s="56" t="str">
        <f t="shared" si="656"/>
        <v/>
      </c>
      <c r="AM1351" s="55"/>
      <c r="AN1351" s="56" t="str">
        <f t="shared" si="657"/>
        <v/>
      </c>
      <c r="AO1351" s="55"/>
      <c r="AP1351" s="56" t="str">
        <f t="shared" si="658"/>
        <v/>
      </c>
      <c r="AQ1351" s="55"/>
      <c r="AR1351" s="56" t="str">
        <f t="shared" si="659"/>
        <v/>
      </c>
      <c r="AS1351" s="57"/>
      <c r="AT1351" s="58"/>
      <c r="AU1351" s="58"/>
      <c r="AV1351" s="59"/>
      <c r="AW1351" s="60" t="str">
        <f t="shared" si="637"/>
        <v/>
      </c>
      <c r="AX1351" s="61" t="str">
        <f t="shared" si="638"/>
        <v/>
      </c>
      <c r="AY1351" s="60" t="str">
        <f t="shared" si="639"/>
        <v/>
      </c>
      <c r="AZ1351" s="61" t="str">
        <f t="shared" si="640"/>
        <v/>
      </c>
    </row>
    <row r="1352" spans="1:52" s="3" customFormat="1" hidden="1" x14ac:dyDescent="0.35">
      <c r="A1352" s="72">
        <f t="shared" si="641"/>
        <v>2021</v>
      </c>
      <c r="B1352" s="72" t="str">
        <f t="shared" si="642"/>
        <v>Nov</v>
      </c>
      <c r="C1352" s="73">
        <f t="shared" si="660"/>
        <v>15</v>
      </c>
      <c r="D1352" s="74">
        <f t="shared" si="643"/>
        <v>14</v>
      </c>
      <c r="E1352" s="75">
        <f t="shared" si="644"/>
        <v>28</v>
      </c>
      <c r="F1352" s="79"/>
      <c r="G1352" s="82"/>
      <c r="H1352" s="68" t="str">
        <f t="shared" si="661"/>
        <v>Clesim6_20211115_14_00</v>
      </c>
      <c r="I1352" s="69">
        <f t="shared" si="662"/>
        <v>1</v>
      </c>
      <c r="J1352" s="76" t="str">
        <f t="shared" si="662"/>
        <v>Clematis</v>
      </c>
      <c r="K1352" s="76" t="str">
        <f t="shared" si="662"/>
        <v>simense</v>
      </c>
      <c r="L1352" s="77">
        <f t="shared" si="662"/>
        <v>6</v>
      </c>
      <c r="M1352" s="77">
        <f t="shared" si="662"/>
        <v>20</v>
      </c>
      <c r="N1352" s="71">
        <f t="shared" si="662"/>
        <v>0</v>
      </c>
      <c r="O1352" s="44"/>
      <c r="P1352" s="45" t="str">
        <f t="shared" si="645"/>
        <v/>
      </c>
      <c r="Q1352" s="46" t="str">
        <f t="shared" si="646"/>
        <v/>
      </c>
      <c r="R1352" s="47" t="e">
        <f t="shared" si="647"/>
        <v>#VALUE!</v>
      </c>
      <c r="S1352" s="48" t="e">
        <f t="shared" si="636"/>
        <v>#VALUE!</v>
      </c>
      <c r="T1352" s="47" t="str">
        <f t="shared" si="648"/>
        <v/>
      </c>
      <c r="U1352" s="49"/>
      <c r="V1352" s="50"/>
      <c r="W1352" s="51" t="e">
        <f t="shared" si="649"/>
        <v>#VALUE!</v>
      </c>
      <c r="X1352" s="52"/>
      <c r="Y1352" s="52"/>
      <c r="Z1352" s="52"/>
      <c r="AA1352" s="47" t="e">
        <f>INDEX(VISITORS[INSECT ORDER], MATCH(X1352,VISITORS[NAME USED],0))</f>
        <v>#N/A</v>
      </c>
      <c r="AB1352" s="47" t="e">
        <f t="shared" si="650"/>
        <v>#N/A</v>
      </c>
      <c r="AC1352" s="53" t="e">
        <f t="shared" si="651"/>
        <v>#VALUE!</v>
      </c>
      <c r="AD1352" s="54" t="str">
        <f t="shared" si="652"/>
        <v/>
      </c>
      <c r="AE1352" s="54"/>
      <c r="AF1352" s="54"/>
      <c r="AG1352" s="55" t="str">
        <f t="shared" si="653"/>
        <v/>
      </c>
      <c r="AH1352" s="56" t="str">
        <f t="shared" si="654"/>
        <v/>
      </c>
      <c r="AI1352" s="55"/>
      <c r="AJ1352" s="56" t="str">
        <f t="shared" si="655"/>
        <v/>
      </c>
      <c r="AK1352" s="55"/>
      <c r="AL1352" s="56" t="str">
        <f t="shared" si="656"/>
        <v/>
      </c>
      <c r="AM1352" s="55"/>
      <c r="AN1352" s="56" t="str">
        <f t="shared" si="657"/>
        <v/>
      </c>
      <c r="AO1352" s="55"/>
      <c r="AP1352" s="56" t="str">
        <f t="shared" si="658"/>
        <v/>
      </c>
      <c r="AQ1352" s="55"/>
      <c r="AR1352" s="56" t="str">
        <f t="shared" si="659"/>
        <v/>
      </c>
      <c r="AS1352" s="57"/>
      <c r="AT1352" s="58"/>
      <c r="AU1352" s="58"/>
      <c r="AV1352" s="59"/>
      <c r="AW1352" s="60" t="str">
        <f t="shared" si="637"/>
        <v/>
      </c>
      <c r="AX1352" s="61" t="str">
        <f t="shared" si="638"/>
        <v/>
      </c>
      <c r="AY1352" s="60" t="str">
        <f t="shared" si="639"/>
        <v/>
      </c>
      <c r="AZ1352" s="61" t="str">
        <f t="shared" si="640"/>
        <v/>
      </c>
    </row>
    <row r="1353" spans="1:52" s="3" customFormat="1" hidden="1" x14ac:dyDescent="0.35">
      <c r="A1353" s="72">
        <f t="shared" si="641"/>
        <v>2021</v>
      </c>
      <c r="B1353" s="72" t="str">
        <f t="shared" si="642"/>
        <v>Nov</v>
      </c>
      <c r="C1353" s="73">
        <f t="shared" si="660"/>
        <v>15</v>
      </c>
      <c r="D1353" s="74">
        <f t="shared" si="643"/>
        <v>14</v>
      </c>
      <c r="E1353" s="75">
        <f t="shared" si="644"/>
        <v>29</v>
      </c>
      <c r="F1353" s="79"/>
      <c r="G1353" s="82"/>
      <c r="H1353" s="68" t="str">
        <f t="shared" si="661"/>
        <v>Clesim6_20211115_14_00</v>
      </c>
      <c r="I1353" s="69">
        <f t="shared" si="662"/>
        <v>1</v>
      </c>
      <c r="J1353" s="76" t="str">
        <f t="shared" si="662"/>
        <v>Clematis</v>
      </c>
      <c r="K1353" s="76" t="str">
        <f t="shared" si="662"/>
        <v>simense</v>
      </c>
      <c r="L1353" s="77">
        <f t="shared" si="662"/>
        <v>6</v>
      </c>
      <c r="M1353" s="77">
        <f t="shared" si="662"/>
        <v>20</v>
      </c>
      <c r="N1353" s="71">
        <f t="shared" si="662"/>
        <v>0</v>
      </c>
      <c r="O1353" s="44"/>
      <c r="P1353" s="45" t="str">
        <f t="shared" si="645"/>
        <v/>
      </c>
      <c r="Q1353" s="46" t="str">
        <f t="shared" si="646"/>
        <v/>
      </c>
      <c r="R1353" s="47" t="e">
        <f t="shared" si="647"/>
        <v>#VALUE!</v>
      </c>
      <c r="S1353" s="48" t="e">
        <f t="shared" si="636"/>
        <v>#VALUE!</v>
      </c>
      <c r="T1353" s="47" t="str">
        <f t="shared" si="648"/>
        <v/>
      </c>
      <c r="U1353" s="49"/>
      <c r="V1353" s="50"/>
      <c r="W1353" s="51" t="e">
        <f t="shared" si="649"/>
        <v>#VALUE!</v>
      </c>
      <c r="X1353" s="52"/>
      <c r="Y1353" s="52"/>
      <c r="Z1353" s="52"/>
      <c r="AA1353" s="47" t="e">
        <f>INDEX(VISITORS[INSECT ORDER], MATCH(X1353,VISITORS[NAME USED],0))</f>
        <v>#N/A</v>
      </c>
      <c r="AB1353" s="47" t="e">
        <f t="shared" si="650"/>
        <v>#N/A</v>
      </c>
      <c r="AC1353" s="53" t="e">
        <f t="shared" si="651"/>
        <v>#VALUE!</v>
      </c>
      <c r="AD1353" s="54" t="str">
        <f t="shared" si="652"/>
        <v/>
      </c>
      <c r="AE1353" s="54"/>
      <c r="AF1353" s="54"/>
      <c r="AG1353" s="55" t="str">
        <f t="shared" si="653"/>
        <v/>
      </c>
      <c r="AH1353" s="56" t="str">
        <f t="shared" si="654"/>
        <v/>
      </c>
      <c r="AI1353" s="55"/>
      <c r="AJ1353" s="56" t="str">
        <f t="shared" si="655"/>
        <v/>
      </c>
      <c r="AK1353" s="55"/>
      <c r="AL1353" s="56" t="str">
        <f t="shared" si="656"/>
        <v/>
      </c>
      <c r="AM1353" s="55"/>
      <c r="AN1353" s="56" t="str">
        <f t="shared" si="657"/>
        <v/>
      </c>
      <c r="AO1353" s="55"/>
      <c r="AP1353" s="56" t="str">
        <f t="shared" si="658"/>
        <v/>
      </c>
      <c r="AQ1353" s="55"/>
      <c r="AR1353" s="56" t="str">
        <f t="shared" si="659"/>
        <v/>
      </c>
      <c r="AS1353" s="57"/>
      <c r="AT1353" s="58"/>
      <c r="AU1353" s="58"/>
      <c r="AV1353" s="59"/>
      <c r="AW1353" s="60" t="str">
        <f t="shared" si="637"/>
        <v/>
      </c>
      <c r="AX1353" s="61" t="str">
        <f t="shared" si="638"/>
        <v/>
      </c>
      <c r="AY1353" s="60" t="str">
        <f t="shared" si="639"/>
        <v/>
      </c>
      <c r="AZ1353" s="61" t="str">
        <f t="shared" si="640"/>
        <v/>
      </c>
    </row>
    <row r="1354" spans="1:52" s="3" customFormat="1" hidden="1" x14ac:dyDescent="0.35">
      <c r="A1354" s="72">
        <f t="shared" si="641"/>
        <v>2021</v>
      </c>
      <c r="B1354" s="72" t="str">
        <f t="shared" si="642"/>
        <v>Nov</v>
      </c>
      <c r="C1354" s="73">
        <f t="shared" si="660"/>
        <v>15</v>
      </c>
      <c r="D1354" s="74">
        <f t="shared" si="643"/>
        <v>14</v>
      </c>
      <c r="E1354" s="75">
        <f t="shared" si="644"/>
        <v>30</v>
      </c>
      <c r="F1354" s="79"/>
      <c r="G1354" s="82"/>
      <c r="H1354" s="68" t="str">
        <f t="shared" si="661"/>
        <v>Clesim6_20211115_14_00</v>
      </c>
      <c r="I1354" s="69">
        <f t="shared" si="662"/>
        <v>1</v>
      </c>
      <c r="J1354" s="76" t="str">
        <f t="shared" si="662"/>
        <v>Clematis</v>
      </c>
      <c r="K1354" s="76" t="str">
        <f t="shared" si="662"/>
        <v>simense</v>
      </c>
      <c r="L1354" s="77">
        <f t="shared" si="662"/>
        <v>6</v>
      </c>
      <c r="M1354" s="77">
        <f t="shared" si="662"/>
        <v>20</v>
      </c>
      <c r="N1354" s="71">
        <f t="shared" si="662"/>
        <v>0</v>
      </c>
      <c r="O1354" s="44"/>
      <c r="P1354" s="45" t="str">
        <f t="shared" si="645"/>
        <v/>
      </c>
      <c r="Q1354" s="46" t="str">
        <f t="shared" si="646"/>
        <v/>
      </c>
      <c r="R1354" s="47" t="e">
        <f t="shared" si="647"/>
        <v>#VALUE!</v>
      </c>
      <c r="S1354" s="48" t="e">
        <f t="shared" si="636"/>
        <v>#VALUE!</v>
      </c>
      <c r="T1354" s="47" t="str">
        <f t="shared" si="648"/>
        <v/>
      </c>
      <c r="U1354" s="49"/>
      <c r="V1354" s="50"/>
      <c r="W1354" s="51" t="e">
        <f t="shared" si="649"/>
        <v>#VALUE!</v>
      </c>
      <c r="X1354" s="52"/>
      <c r="Y1354" s="52"/>
      <c r="Z1354" s="52"/>
      <c r="AA1354" s="47" t="e">
        <f>INDEX(VISITORS[INSECT ORDER], MATCH(X1354,VISITORS[NAME USED],0))</f>
        <v>#N/A</v>
      </c>
      <c r="AB1354" s="47" t="e">
        <f t="shared" si="650"/>
        <v>#N/A</v>
      </c>
      <c r="AC1354" s="53" t="e">
        <f t="shared" si="651"/>
        <v>#VALUE!</v>
      </c>
      <c r="AD1354" s="54" t="str">
        <f t="shared" si="652"/>
        <v/>
      </c>
      <c r="AE1354" s="54"/>
      <c r="AF1354" s="54"/>
      <c r="AG1354" s="55" t="str">
        <f t="shared" si="653"/>
        <v/>
      </c>
      <c r="AH1354" s="56" t="str">
        <f t="shared" si="654"/>
        <v/>
      </c>
      <c r="AI1354" s="55"/>
      <c r="AJ1354" s="56" t="str">
        <f t="shared" si="655"/>
        <v/>
      </c>
      <c r="AK1354" s="55"/>
      <c r="AL1354" s="56" t="str">
        <f t="shared" si="656"/>
        <v/>
      </c>
      <c r="AM1354" s="55"/>
      <c r="AN1354" s="56" t="str">
        <f t="shared" si="657"/>
        <v/>
      </c>
      <c r="AO1354" s="55"/>
      <c r="AP1354" s="56" t="str">
        <f t="shared" si="658"/>
        <v/>
      </c>
      <c r="AQ1354" s="55"/>
      <c r="AR1354" s="56" t="str">
        <f t="shared" si="659"/>
        <v/>
      </c>
      <c r="AS1354" s="57"/>
      <c r="AT1354" s="58"/>
      <c r="AU1354" s="58"/>
      <c r="AV1354" s="59"/>
      <c r="AW1354" s="60" t="str">
        <f t="shared" si="637"/>
        <v/>
      </c>
      <c r="AX1354" s="61" t="str">
        <f t="shared" si="638"/>
        <v/>
      </c>
      <c r="AY1354" s="60" t="str">
        <f t="shared" si="639"/>
        <v/>
      </c>
      <c r="AZ1354" s="61" t="str">
        <f t="shared" si="640"/>
        <v/>
      </c>
    </row>
    <row r="1355" spans="1:52" s="3" customFormat="1" hidden="1" x14ac:dyDescent="0.35">
      <c r="A1355" s="72">
        <f t="shared" si="641"/>
        <v>2021</v>
      </c>
      <c r="B1355" s="72" t="str">
        <f t="shared" si="642"/>
        <v>Nov</v>
      </c>
      <c r="C1355" s="73">
        <f t="shared" si="660"/>
        <v>15</v>
      </c>
      <c r="D1355" s="74">
        <f t="shared" si="643"/>
        <v>14</v>
      </c>
      <c r="E1355" s="75">
        <f t="shared" si="644"/>
        <v>31</v>
      </c>
      <c r="F1355" s="79"/>
      <c r="G1355" s="82"/>
      <c r="H1355" s="68" t="str">
        <f t="shared" si="661"/>
        <v>Clesim6_20211115_14_00</v>
      </c>
      <c r="I1355" s="69">
        <f t="shared" si="662"/>
        <v>1</v>
      </c>
      <c r="J1355" s="76" t="str">
        <f t="shared" si="662"/>
        <v>Clematis</v>
      </c>
      <c r="K1355" s="76" t="str">
        <f t="shared" si="662"/>
        <v>simense</v>
      </c>
      <c r="L1355" s="77">
        <f t="shared" si="662"/>
        <v>6</v>
      </c>
      <c r="M1355" s="77">
        <f t="shared" si="662"/>
        <v>20</v>
      </c>
      <c r="N1355" s="71">
        <f t="shared" si="662"/>
        <v>0</v>
      </c>
      <c r="O1355" s="44"/>
      <c r="P1355" s="45" t="str">
        <f t="shared" si="645"/>
        <v/>
      </c>
      <c r="Q1355" s="46" t="str">
        <f t="shared" si="646"/>
        <v/>
      </c>
      <c r="R1355" s="47" t="e">
        <f t="shared" si="647"/>
        <v>#VALUE!</v>
      </c>
      <c r="S1355" s="48" t="e">
        <f t="shared" si="636"/>
        <v>#VALUE!</v>
      </c>
      <c r="T1355" s="47" t="str">
        <f t="shared" si="648"/>
        <v/>
      </c>
      <c r="U1355" s="49"/>
      <c r="V1355" s="50"/>
      <c r="W1355" s="51" t="e">
        <f t="shared" si="649"/>
        <v>#VALUE!</v>
      </c>
      <c r="X1355" s="52"/>
      <c r="Y1355" s="52"/>
      <c r="Z1355" s="52"/>
      <c r="AA1355" s="47" t="e">
        <f>INDEX(VISITORS[INSECT ORDER], MATCH(X1355,VISITORS[NAME USED],0))</f>
        <v>#N/A</v>
      </c>
      <c r="AB1355" s="47" t="e">
        <f t="shared" si="650"/>
        <v>#N/A</v>
      </c>
      <c r="AC1355" s="53" t="e">
        <f t="shared" si="651"/>
        <v>#VALUE!</v>
      </c>
      <c r="AD1355" s="54" t="str">
        <f t="shared" si="652"/>
        <v/>
      </c>
      <c r="AE1355" s="54"/>
      <c r="AF1355" s="54"/>
      <c r="AG1355" s="55" t="str">
        <f t="shared" si="653"/>
        <v/>
      </c>
      <c r="AH1355" s="56" t="str">
        <f t="shared" si="654"/>
        <v/>
      </c>
      <c r="AI1355" s="55"/>
      <c r="AJ1355" s="56" t="str">
        <f t="shared" si="655"/>
        <v/>
      </c>
      <c r="AK1355" s="55"/>
      <c r="AL1355" s="56" t="str">
        <f t="shared" si="656"/>
        <v/>
      </c>
      <c r="AM1355" s="55"/>
      <c r="AN1355" s="56" t="str">
        <f t="shared" si="657"/>
        <v/>
      </c>
      <c r="AO1355" s="55"/>
      <c r="AP1355" s="56" t="str">
        <f t="shared" si="658"/>
        <v/>
      </c>
      <c r="AQ1355" s="55"/>
      <c r="AR1355" s="56" t="str">
        <f t="shared" si="659"/>
        <v/>
      </c>
      <c r="AS1355" s="57"/>
      <c r="AT1355" s="58"/>
      <c r="AU1355" s="58"/>
      <c r="AV1355" s="59"/>
      <c r="AW1355" s="60" t="str">
        <f t="shared" si="637"/>
        <v/>
      </c>
      <c r="AX1355" s="61" t="str">
        <f t="shared" si="638"/>
        <v/>
      </c>
      <c r="AY1355" s="60" t="str">
        <f t="shared" si="639"/>
        <v/>
      </c>
      <c r="AZ1355" s="61" t="str">
        <f t="shared" si="640"/>
        <v/>
      </c>
    </row>
    <row r="1356" spans="1:52" s="3" customFormat="1" hidden="1" x14ac:dyDescent="0.35">
      <c r="A1356" s="72">
        <f t="shared" si="641"/>
        <v>2021</v>
      </c>
      <c r="B1356" s="72" t="str">
        <f t="shared" si="642"/>
        <v>Nov</v>
      </c>
      <c r="C1356" s="73">
        <f t="shared" si="660"/>
        <v>15</v>
      </c>
      <c r="D1356" s="74">
        <f t="shared" si="643"/>
        <v>14</v>
      </c>
      <c r="E1356" s="75">
        <f t="shared" si="644"/>
        <v>32</v>
      </c>
      <c r="F1356" s="79"/>
      <c r="G1356" s="82"/>
      <c r="H1356" s="68" t="str">
        <f t="shared" si="661"/>
        <v>Clesim6_20211115_14_00</v>
      </c>
      <c r="I1356" s="69">
        <f t="shared" si="662"/>
        <v>1</v>
      </c>
      <c r="J1356" s="76" t="str">
        <f t="shared" si="662"/>
        <v>Clematis</v>
      </c>
      <c r="K1356" s="76" t="str">
        <f t="shared" si="662"/>
        <v>simense</v>
      </c>
      <c r="L1356" s="77">
        <f t="shared" si="662"/>
        <v>6</v>
      </c>
      <c r="M1356" s="77">
        <f t="shared" si="662"/>
        <v>20</v>
      </c>
      <c r="N1356" s="71">
        <f t="shared" si="662"/>
        <v>0</v>
      </c>
      <c r="O1356" s="44"/>
      <c r="P1356" s="45" t="str">
        <f t="shared" si="645"/>
        <v/>
      </c>
      <c r="Q1356" s="46" t="str">
        <f t="shared" si="646"/>
        <v/>
      </c>
      <c r="R1356" s="47" t="e">
        <f t="shared" si="647"/>
        <v>#VALUE!</v>
      </c>
      <c r="S1356" s="48" t="e">
        <f t="shared" si="636"/>
        <v>#VALUE!</v>
      </c>
      <c r="T1356" s="47" t="str">
        <f t="shared" si="648"/>
        <v/>
      </c>
      <c r="U1356" s="49"/>
      <c r="V1356" s="50"/>
      <c r="W1356" s="51" t="e">
        <f t="shared" si="649"/>
        <v>#VALUE!</v>
      </c>
      <c r="X1356" s="52"/>
      <c r="Y1356" s="52"/>
      <c r="Z1356" s="52"/>
      <c r="AA1356" s="47" t="e">
        <f>INDEX(VISITORS[INSECT ORDER], MATCH(X1356,VISITORS[NAME USED],0))</f>
        <v>#N/A</v>
      </c>
      <c r="AB1356" s="47" t="e">
        <f t="shared" si="650"/>
        <v>#N/A</v>
      </c>
      <c r="AC1356" s="53" t="e">
        <f t="shared" si="651"/>
        <v>#VALUE!</v>
      </c>
      <c r="AD1356" s="54" t="str">
        <f t="shared" si="652"/>
        <v/>
      </c>
      <c r="AE1356" s="54"/>
      <c r="AF1356" s="54"/>
      <c r="AG1356" s="55" t="str">
        <f t="shared" si="653"/>
        <v/>
      </c>
      <c r="AH1356" s="56" t="str">
        <f t="shared" si="654"/>
        <v/>
      </c>
      <c r="AI1356" s="55"/>
      <c r="AJ1356" s="56" t="str">
        <f t="shared" si="655"/>
        <v/>
      </c>
      <c r="AK1356" s="55"/>
      <c r="AL1356" s="56" t="str">
        <f t="shared" si="656"/>
        <v/>
      </c>
      <c r="AM1356" s="55"/>
      <c r="AN1356" s="56" t="str">
        <f t="shared" si="657"/>
        <v/>
      </c>
      <c r="AO1356" s="55"/>
      <c r="AP1356" s="56" t="str">
        <f t="shared" si="658"/>
        <v/>
      </c>
      <c r="AQ1356" s="55"/>
      <c r="AR1356" s="56" t="str">
        <f t="shared" si="659"/>
        <v/>
      </c>
      <c r="AS1356" s="57"/>
      <c r="AT1356" s="58"/>
      <c r="AU1356" s="58"/>
      <c r="AV1356" s="59"/>
      <c r="AW1356" s="60" t="str">
        <f t="shared" si="637"/>
        <v/>
      </c>
      <c r="AX1356" s="61" t="str">
        <f t="shared" si="638"/>
        <v/>
      </c>
      <c r="AY1356" s="60" t="str">
        <f t="shared" si="639"/>
        <v/>
      </c>
      <c r="AZ1356" s="61" t="str">
        <f t="shared" si="640"/>
        <v/>
      </c>
    </row>
    <row r="1357" spans="1:52" s="3" customFormat="1" hidden="1" x14ac:dyDescent="0.35">
      <c r="A1357" s="72">
        <f t="shared" si="641"/>
        <v>2021</v>
      </c>
      <c r="B1357" s="72" t="str">
        <f t="shared" si="642"/>
        <v>Nov</v>
      </c>
      <c r="C1357" s="73">
        <f t="shared" si="660"/>
        <v>15</v>
      </c>
      <c r="D1357" s="74">
        <f t="shared" si="643"/>
        <v>14</v>
      </c>
      <c r="E1357" s="75">
        <f t="shared" si="644"/>
        <v>33</v>
      </c>
      <c r="F1357" s="79"/>
      <c r="G1357" s="82"/>
      <c r="H1357" s="68" t="str">
        <f t="shared" si="661"/>
        <v>Clesim6_20211115_14_00</v>
      </c>
      <c r="I1357" s="69">
        <f t="shared" si="662"/>
        <v>1</v>
      </c>
      <c r="J1357" s="76" t="str">
        <f t="shared" si="662"/>
        <v>Clematis</v>
      </c>
      <c r="K1357" s="76" t="str">
        <f t="shared" si="662"/>
        <v>simense</v>
      </c>
      <c r="L1357" s="77">
        <f t="shared" si="662"/>
        <v>6</v>
      </c>
      <c r="M1357" s="77">
        <f t="shared" si="662"/>
        <v>20</v>
      </c>
      <c r="N1357" s="71">
        <f t="shared" si="662"/>
        <v>0</v>
      </c>
      <c r="O1357" s="44"/>
      <c r="P1357" s="45" t="str">
        <f t="shared" si="645"/>
        <v/>
      </c>
      <c r="Q1357" s="46" t="str">
        <f t="shared" si="646"/>
        <v/>
      </c>
      <c r="R1357" s="47" t="e">
        <f t="shared" si="647"/>
        <v>#VALUE!</v>
      </c>
      <c r="S1357" s="48" t="e">
        <f t="shared" si="636"/>
        <v>#VALUE!</v>
      </c>
      <c r="T1357" s="47" t="str">
        <f t="shared" si="648"/>
        <v/>
      </c>
      <c r="U1357" s="49"/>
      <c r="V1357" s="50"/>
      <c r="W1357" s="51" t="e">
        <f t="shared" si="649"/>
        <v>#VALUE!</v>
      </c>
      <c r="X1357" s="52"/>
      <c r="Y1357" s="52"/>
      <c r="Z1357" s="52"/>
      <c r="AA1357" s="47" t="e">
        <f>INDEX(VISITORS[INSECT ORDER], MATCH(X1357,VISITORS[NAME USED],0))</f>
        <v>#N/A</v>
      </c>
      <c r="AB1357" s="47" t="e">
        <f t="shared" si="650"/>
        <v>#N/A</v>
      </c>
      <c r="AC1357" s="53" t="e">
        <f t="shared" si="651"/>
        <v>#VALUE!</v>
      </c>
      <c r="AD1357" s="54" t="str">
        <f t="shared" si="652"/>
        <v/>
      </c>
      <c r="AE1357" s="54"/>
      <c r="AF1357" s="54"/>
      <c r="AG1357" s="55" t="str">
        <f t="shared" si="653"/>
        <v/>
      </c>
      <c r="AH1357" s="56" t="str">
        <f t="shared" si="654"/>
        <v/>
      </c>
      <c r="AI1357" s="55"/>
      <c r="AJ1357" s="56" t="str">
        <f t="shared" si="655"/>
        <v/>
      </c>
      <c r="AK1357" s="55"/>
      <c r="AL1357" s="56" t="str">
        <f t="shared" si="656"/>
        <v/>
      </c>
      <c r="AM1357" s="55"/>
      <c r="AN1357" s="56" t="str">
        <f t="shared" si="657"/>
        <v/>
      </c>
      <c r="AO1357" s="55"/>
      <c r="AP1357" s="56" t="str">
        <f t="shared" si="658"/>
        <v/>
      </c>
      <c r="AQ1357" s="55"/>
      <c r="AR1357" s="56" t="str">
        <f t="shared" si="659"/>
        <v/>
      </c>
      <c r="AS1357" s="57"/>
      <c r="AT1357" s="58"/>
      <c r="AU1357" s="58"/>
      <c r="AV1357" s="59"/>
      <c r="AW1357" s="60" t="str">
        <f t="shared" si="637"/>
        <v/>
      </c>
      <c r="AX1357" s="61" t="str">
        <f t="shared" si="638"/>
        <v/>
      </c>
      <c r="AY1357" s="60" t="str">
        <f t="shared" si="639"/>
        <v/>
      </c>
      <c r="AZ1357" s="61" t="str">
        <f t="shared" si="640"/>
        <v/>
      </c>
    </row>
    <row r="1358" spans="1:52" s="3" customFormat="1" hidden="1" x14ac:dyDescent="0.35">
      <c r="A1358" s="72">
        <f t="shared" si="641"/>
        <v>2021</v>
      </c>
      <c r="B1358" s="72" t="str">
        <f t="shared" si="642"/>
        <v>Nov</v>
      </c>
      <c r="C1358" s="73">
        <f t="shared" si="660"/>
        <v>15</v>
      </c>
      <c r="D1358" s="74">
        <f t="shared" si="643"/>
        <v>14</v>
      </c>
      <c r="E1358" s="75">
        <f t="shared" si="644"/>
        <v>34</v>
      </c>
      <c r="F1358" s="79"/>
      <c r="G1358" s="82"/>
      <c r="H1358" s="68" t="str">
        <f t="shared" si="661"/>
        <v>Clesim6_20211115_14_00</v>
      </c>
      <c r="I1358" s="69">
        <f t="shared" si="662"/>
        <v>1</v>
      </c>
      <c r="J1358" s="76" t="str">
        <f t="shared" si="662"/>
        <v>Clematis</v>
      </c>
      <c r="K1358" s="76" t="str">
        <f t="shared" si="662"/>
        <v>simense</v>
      </c>
      <c r="L1358" s="77">
        <f t="shared" si="662"/>
        <v>6</v>
      </c>
      <c r="M1358" s="77">
        <f t="shared" si="662"/>
        <v>20</v>
      </c>
      <c r="N1358" s="71">
        <f t="shared" si="662"/>
        <v>0</v>
      </c>
      <c r="O1358" s="44"/>
      <c r="P1358" s="45" t="str">
        <f t="shared" si="645"/>
        <v/>
      </c>
      <c r="Q1358" s="46" t="str">
        <f t="shared" si="646"/>
        <v/>
      </c>
      <c r="R1358" s="47" t="e">
        <f t="shared" si="647"/>
        <v>#VALUE!</v>
      </c>
      <c r="S1358" s="48" t="e">
        <f t="shared" si="636"/>
        <v>#VALUE!</v>
      </c>
      <c r="T1358" s="47" t="str">
        <f t="shared" si="648"/>
        <v/>
      </c>
      <c r="U1358" s="49"/>
      <c r="V1358" s="50"/>
      <c r="W1358" s="51" t="e">
        <f t="shared" si="649"/>
        <v>#VALUE!</v>
      </c>
      <c r="X1358" s="52"/>
      <c r="Y1358" s="52"/>
      <c r="Z1358" s="52"/>
      <c r="AA1358" s="47" t="e">
        <f>INDEX(VISITORS[INSECT ORDER], MATCH(X1358,VISITORS[NAME USED],0))</f>
        <v>#N/A</v>
      </c>
      <c r="AB1358" s="47" t="e">
        <f t="shared" si="650"/>
        <v>#N/A</v>
      </c>
      <c r="AC1358" s="53" t="e">
        <f t="shared" si="651"/>
        <v>#VALUE!</v>
      </c>
      <c r="AD1358" s="54" t="str">
        <f t="shared" si="652"/>
        <v/>
      </c>
      <c r="AE1358" s="54"/>
      <c r="AF1358" s="54"/>
      <c r="AG1358" s="55" t="str">
        <f t="shared" si="653"/>
        <v/>
      </c>
      <c r="AH1358" s="56" t="str">
        <f t="shared" si="654"/>
        <v/>
      </c>
      <c r="AI1358" s="55"/>
      <c r="AJ1358" s="56" t="str">
        <f t="shared" si="655"/>
        <v/>
      </c>
      <c r="AK1358" s="55"/>
      <c r="AL1358" s="56" t="str">
        <f t="shared" si="656"/>
        <v/>
      </c>
      <c r="AM1358" s="55"/>
      <c r="AN1358" s="56" t="str">
        <f t="shared" si="657"/>
        <v/>
      </c>
      <c r="AO1358" s="55"/>
      <c r="AP1358" s="56" t="str">
        <f t="shared" si="658"/>
        <v/>
      </c>
      <c r="AQ1358" s="55"/>
      <c r="AR1358" s="56" t="str">
        <f t="shared" si="659"/>
        <v/>
      </c>
      <c r="AS1358" s="57"/>
      <c r="AT1358" s="58"/>
      <c r="AU1358" s="58"/>
      <c r="AV1358" s="59"/>
      <c r="AW1358" s="60" t="str">
        <f t="shared" si="637"/>
        <v/>
      </c>
      <c r="AX1358" s="61" t="str">
        <f t="shared" si="638"/>
        <v/>
      </c>
      <c r="AY1358" s="60" t="str">
        <f t="shared" si="639"/>
        <v/>
      </c>
      <c r="AZ1358" s="61" t="str">
        <f t="shared" si="640"/>
        <v/>
      </c>
    </row>
    <row r="1359" spans="1:52" s="3" customFormat="1" hidden="1" x14ac:dyDescent="0.35">
      <c r="A1359" s="72">
        <f t="shared" si="641"/>
        <v>2021</v>
      </c>
      <c r="B1359" s="72" t="str">
        <f t="shared" si="642"/>
        <v>Nov</v>
      </c>
      <c r="C1359" s="73">
        <f t="shared" si="660"/>
        <v>15</v>
      </c>
      <c r="D1359" s="74">
        <f t="shared" si="643"/>
        <v>14</v>
      </c>
      <c r="E1359" s="75">
        <f t="shared" si="644"/>
        <v>35</v>
      </c>
      <c r="F1359" s="79"/>
      <c r="G1359" s="82"/>
      <c r="H1359" s="68" t="str">
        <f t="shared" si="661"/>
        <v>Clesim6_20211115_14_00</v>
      </c>
      <c r="I1359" s="69">
        <f t="shared" si="662"/>
        <v>1</v>
      </c>
      <c r="J1359" s="76" t="str">
        <f t="shared" si="662"/>
        <v>Clematis</v>
      </c>
      <c r="K1359" s="76" t="str">
        <f t="shared" si="662"/>
        <v>simense</v>
      </c>
      <c r="L1359" s="77">
        <f t="shared" si="662"/>
        <v>6</v>
      </c>
      <c r="M1359" s="77">
        <f t="shared" si="662"/>
        <v>20</v>
      </c>
      <c r="N1359" s="71">
        <f t="shared" si="662"/>
        <v>0</v>
      </c>
      <c r="O1359" s="44"/>
      <c r="P1359" s="45" t="str">
        <f t="shared" si="645"/>
        <v/>
      </c>
      <c r="Q1359" s="46" t="str">
        <f t="shared" si="646"/>
        <v/>
      </c>
      <c r="R1359" s="47" t="e">
        <f t="shared" si="647"/>
        <v>#VALUE!</v>
      </c>
      <c r="S1359" s="48" t="e">
        <f t="shared" si="636"/>
        <v>#VALUE!</v>
      </c>
      <c r="T1359" s="47" t="str">
        <f t="shared" si="648"/>
        <v/>
      </c>
      <c r="U1359" s="49"/>
      <c r="V1359" s="50"/>
      <c r="W1359" s="51" t="e">
        <f t="shared" si="649"/>
        <v>#VALUE!</v>
      </c>
      <c r="X1359" s="52"/>
      <c r="Y1359" s="52"/>
      <c r="Z1359" s="52"/>
      <c r="AA1359" s="47" t="e">
        <f>INDEX(VISITORS[INSECT ORDER], MATCH(X1359,VISITORS[NAME USED],0))</f>
        <v>#N/A</v>
      </c>
      <c r="AB1359" s="47" t="e">
        <f t="shared" si="650"/>
        <v>#N/A</v>
      </c>
      <c r="AC1359" s="53" t="e">
        <f t="shared" si="651"/>
        <v>#VALUE!</v>
      </c>
      <c r="AD1359" s="54" t="str">
        <f t="shared" si="652"/>
        <v/>
      </c>
      <c r="AE1359" s="54"/>
      <c r="AF1359" s="54"/>
      <c r="AG1359" s="55" t="str">
        <f t="shared" si="653"/>
        <v/>
      </c>
      <c r="AH1359" s="56" t="str">
        <f t="shared" si="654"/>
        <v/>
      </c>
      <c r="AI1359" s="55"/>
      <c r="AJ1359" s="56" t="str">
        <f t="shared" si="655"/>
        <v/>
      </c>
      <c r="AK1359" s="55"/>
      <c r="AL1359" s="56" t="str">
        <f t="shared" si="656"/>
        <v/>
      </c>
      <c r="AM1359" s="55"/>
      <c r="AN1359" s="56" t="str">
        <f t="shared" si="657"/>
        <v/>
      </c>
      <c r="AO1359" s="55"/>
      <c r="AP1359" s="56" t="str">
        <f t="shared" si="658"/>
        <v/>
      </c>
      <c r="AQ1359" s="55"/>
      <c r="AR1359" s="56" t="str">
        <f t="shared" si="659"/>
        <v/>
      </c>
      <c r="AS1359" s="57"/>
      <c r="AT1359" s="58"/>
      <c r="AU1359" s="58"/>
      <c r="AV1359" s="59"/>
      <c r="AW1359" s="60" t="str">
        <f t="shared" si="637"/>
        <v/>
      </c>
      <c r="AX1359" s="61" t="str">
        <f t="shared" si="638"/>
        <v/>
      </c>
      <c r="AY1359" s="60" t="str">
        <f t="shared" si="639"/>
        <v/>
      </c>
      <c r="AZ1359" s="61" t="str">
        <f t="shared" si="640"/>
        <v/>
      </c>
    </row>
    <row r="1360" spans="1:52" s="3" customFormat="1" hidden="1" x14ac:dyDescent="0.35">
      <c r="A1360" s="72">
        <f t="shared" si="641"/>
        <v>2021</v>
      </c>
      <c r="B1360" s="72" t="str">
        <f t="shared" si="642"/>
        <v>Nov</v>
      </c>
      <c r="C1360" s="73">
        <f t="shared" si="660"/>
        <v>15</v>
      </c>
      <c r="D1360" s="74">
        <f t="shared" si="643"/>
        <v>14</v>
      </c>
      <c r="E1360" s="75">
        <f t="shared" si="644"/>
        <v>36</v>
      </c>
      <c r="F1360" s="79"/>
      <c r="G1360" s="82"/>
      <c r="H1360" s="68" t="str">
        <f t="shared" si="661"/>
        <v>Clesim6_20211115_14_00</v>
      </c>
      <c r="I1360" s="69">
        <f t="shared" si="662"/>
        <v>1</v>
      </c>
      <c r="J1360" s="76" t="str">
        <f t="shared" si="662"/>
        <v>Clematis</v>
      </c>
      <c r="K1360" s="76" t="str">
        <f t="shared" si="662"/>
        <v>simense</v>
      </c>
      <c r="L1360" s="77">
        <f t="shared" si="662"/>
        <v>6</v>
      </c>
      <c r="M1360" s="77">
        <f t="shared" si="662"/>
        <v>20</v>
      </c>
      <c r="N1360" s="71">
        <f t="shared" si="662"/>
        <v>0</v>
      </c>
      <c r="O1360" s="44"/>
      <c r="P1360" s="45" t="str">
        <f t="shared" si="645"/>
        <v/>
      </c>
      <c r="Q1360" s="46" t="str">
        <f t="shared" si="646"/>
        <v/>
      </c>
      <c r="R1360" s="47" t="e">
        <f t="shared" si="647"/>
        <v>#VALUE!</v>
      </c>
      <c r="S1360" s="48" t="e">
        <f t="shared" si="636"/>
        <v>#VALUE!</v>
      </c>
      <c r="T1360" s="47" t="str">
        <f t="shared" si="648"/>
        <v/>
      </c>
      <c r="U1360" s="49"/>
      <c r="V1360" s="50"/>
      <c r="W1360" s="51" t="e">
        <f t="shared" si="649"/>
        <v>#VALUE!</v>
      </c>
      <c r="X1360" s="52"/>
      <c r="Y1360" s="52"/>
      <c r="Z1360" s="52"/>
      <c r="AA1360" s="47" t="e">
        <f>INDEX(VISITORS[INSECT ORDER], MATCH(X1360,VISITORS[NAME USED],0))</f>
        <v>#N/A</v>
      </c>
      <c r="AB1360" s="47" t="e">
        <f t="shared" si="650"/>
        <v>#N/A</v>
      </c>
      <c r="AC1360" s="53" t="e">
        <f t="shared" si="651"/>
        <v>#VALUE!</v>
      </c>
      <c r="AD1360" s="54" t="str">
        <f t="shared" si="652"/>
        <v/>
      </c>
      <c r="AE1360" s="54"/>
      <c r="AF1360" s="54"/>
      <c r="AG1360" s="55" t="str">
        <f t="shared" si="653"/>
        <v/>
      </c>
      <c r="AH1360" s="56" t="str">
        <f t="shared" si="654"/>
        <v/>
      </c>
      <c r="AI1360" s="55"/>
      <c r="AJ1360" s="56" t="str">
        <f t="shared" si="655"/>
        <v/>
      </c>
      <c r="AK1360" s="55"/>
      <c r="AL1360" s="56" t="str">
        <f t="shared" si="656"/>
        <v/>
      </c>
      <c r="AM1360" s="55"/>
      <c r="AN1360" s="56" t="str">
        <f t="shared" si="657"/>
        <v/>
      </c>
      <c r="AO1360" s="55"/>
      <c r="AP1360" s="56" t="str">
        <f t="shared" si="658"/>
        <v/>
      </c>
      <c r="AQ1360" s="55"/>
      <c r="AR1360" s="56" t="str">
        <f t="shared" si="659"/>
        <v/>
      </c>
      <c r="AS1360" s="57"/>
      <c r="AT1360" s="58"/>
      <c r="AU1360" s="58"/>
      <c r="AV1360" s="59"/>
      <c r="AW1360" s="60" t="str">
        <f t="shared" si="637"/>
        <v/>
      </c>
      <c r="AX1360" s="61" t="str">
        <f t="shared" si="638"/>
        <v/>
      </c>
      <c r="AY1360" s="60" t="str">
        <f t="shared" si="639"/>
        <v/>
      </c>
      <c r="AZ1360" s="61" t="str">
        <f t="shared" si="640"/>
        <v/>
      </c>
    </row>
    <row r="1361" spans="1:52" s="3" customFormat="1" hidden="1" x14ac:dyDescent="0.35">
      <c r="A1361" s="72">
        <f t="shared" si="641"/>
        <v>2021</v>
      </c>
      <c r="B1361" s="72" t="str">
        <f t="shared" si="642"/>
        <v>Nov</v>
      </c>
      <c r="C1361" s="73">
        <f t="shared" si="660"/>
        <v>15</v>
      </c>
      <c r="D1361" s="74">
        <f t="shared" si="643"/>
        <v>14</v>
      </c>
      <c r="E1361" s="75">
        <f t="shared" si="644"/>
        <v>37</v>
      </c>
      <c r="F1361" s="79"/>
      <c r="G1361" s="82"/>
      <c r="H1361" s="68" t="str">
        <f t="shared" si="661"/>
        <v>Clesim6_20211115_14_00</v>
      </c>
      <c r="I1361" s="69">
        <f t="shared" si="662"/>
        <v>1</v>
      </c>
      <c r="J1361" s="76" t="str">
        <f t="shared" si="662"/>
        <v>Clematis</v>
      </c>
      <c r="K1361" s="76" t="str">
        <f t="shared" si="662"/>
        <v>simense</v>
      </c>
      <c r="L1361" s="77">
        <f t="shared" si="662"/>
        <v>6</v>
      </c>
      <c r="M1361" s="77">
        <f t="shared" si="662"/>
        <v>20</v>
      </c>
      <c r="N1361" s="71">
        <f t="shared" si="662"/>
        <v>0</v>
      </c>
      <c r="O1361" s="44"/>
      <c r="P1361" s="45" t="str">
        <f t="shared" si="645"/>
        <v/>
      </c>
      <c r="Q1361" s="46" t="str">
        <f t="shared" si="646"/>
        <v/>
      </c>
      <c r="R1361" s="47" t="e">
        <f t="shared" si="647"/>
        <v>#VALUE!</v>
      </c>
      <c r="S1361" s="48" t="e">
        <f t="shared" si="636"/>
        <v>#VALUE!</v>
      </c>
      <c r="T1361" s="47" t="str">
        <f t="shared" si="648"/>
        <v/>
      </c>
      <c r="U1361" s="49"/>
      <c r="V1361" s="50"/>
      <c r="W1361" s="51" t="e">
        <f t="shared" si="649"/>
        <v>#VALUE!</v>
      </c>
      <c r="X1361" s="52"/>
      <c r="Y1361" s="52"/>
      <c r="Z1361" s="52"/>
      <c r="AA1361" s="47" t="e">
        <f>INDEX(VISITORS[INSECT ORDER], MATCH(X1361,VISITORS[NAME USED],0))</f>
        <v>#N/A</v>
      </c>
      <c r="AB1361" s="47" t="e">
        <f t="shared" si="650"/>
        <v>#N/A</v>
      </c>
      <c r="AC1361" s="53" t="e">
        <f t="shared" si="651"/>
        <v>#VALUE!</v>
      </c>
      <c r="AD1361" s="54" t="str">
        <f t="shared" si="652"/>
        <v/>
      </c>
      <c r="AE1361" s="54"/>
      <c r="AF1361" s="54"/>
      <c r="AG1361" s="55" t="str">
        <f t="shared" si="653"/>
        <v/>
      </c>
      <c r="AH1361" s="56" t="str">
        <f t="shared" si="654"/>
        <v/>
      </c>
      <c r="AI1361" s="55"/>
      <c r="AJ1361" s="56" t="str">
        <f t="shared" si="655"/>
        <v/>
      </c>
      <c r="AK1361" s="55"/>
      <c r="AL1361" s="56" t="str">
        <f t="shared" si="656"/>
        <v/>
      </c>
      <c r="AM1361" s="55"/>
      <c r="AN1361" s="56" t="str">
        <f t="shared" si="657"/>
        <v/>
      </c>
      <c r="AO1361" s="55"/>
      <c r="AP1361" s="56" t="str">
        <f t="shared" si="658"/>
        <v/>
      </c>
      <c r="AQ1361" s="55"/>
      <c r="AR1361" s="56" t="str">
        <f t="shared" si="659"/>
        <v/>
      </c>
      <c r="AS1361" s="57"/>
      <c r="AT1361" s="58"/>
      <c r="AU1361" s="58"/>
      <c r="AV1361" s="59"/>
      <c r="AW1361" s="60" t="str">
        <f t="shared" si="637"/>
        <v/>
      </c>
      <c r="AX1361" s="61" t="str">
        <f t="shared" si="638"/>
        <v/>
      </c>
      <c r="AY1361" s="60" t="str">
        <f t="shared" si="639"/>
        <v/>
      </c>
      <c r="AZ1361" s="61" t="str">
        <f t="shared" si="640"/>
        <v/>
      </c>
    </row>
    <row r="1362" spans="1:52" s="3" customFormat="1" hidden="1" x14ac:dyDescent="0.35">
      <c r="A1362" s="72">
        <f t="shared" si="641"/>
        <v>2021</v>
      </c>
      <c r="B1362" s="72" t="str">
        <f t="shared" si="642"/>
        <v>Nov</v>
      </c>
      <c r="C1362" s="73">
        <f t="shared" si="660"/>
        <v>15</v>
      </c>
      <c r="D1362" s="74">
        <f t="shared" si="643"/>
        <v>14</v>
      </c>
      <c r="E1362" s="75">
        <f t="shared" si="644"/>
        <v>38</v>
      </c>
      <c r="F1362" s="79"/>
      <c r="G1362" s="82"/>
      <c r="H1362" s="68" t="str">
        <f t="shared" si="661"/>
        <v>Clesim6_20211115_14_00</v>
      </c>
      <c r="I1362" s="69">
        <f t="shared" si="662"/>
        <v>1</v>
      </c>
      <c r="J1362" s="76" t="str">
        <f t="shared" si="662"/>
        <v>Clematis</v>
      </c>
      <c r="K1362" s="76" t="str">
        <f t="shared" si="662"/>
        <v>simense</v>
      </c>
      <c r="L1362" s="77">
        <f t="shared" si="662"/>
        <v>6</v>
      </c>
      <c r="M1362" s="77">
        <f t="shared" si="662"/>
        <v>20</v>
      </c>
      <c r="N1362" s="71">
        <f t="shared" si="662"/>
        <v>0</v>
      </c>
      <c r="O1362" s="44"/>
      <c r="P1362" s="45" t="str">
        <f t="shared" si="645"/>
        <v/>
      </c>
      <c r="Q1362" s="46" t="str">
        <f t="shared" si="646"/>
        <v/>
      </c>
      <c r="R1362" s="47" t="e">
        <f t="shared" si="647"/>
        <v>#VALUE!</v>
      </c>
      <c r="S1362" s="48" t="e">
        <f t="shared" si="636"/>
        <v>#VALUE!</v>
      </c>
      <c r="T1362" s="47" t="str">
        <f t="shared" si="648"/>
        <v/>
      </c>
      <c r="U1362" s="49"/>
      <c r="V1362" s="50"/>
      <c r="W1362" s="51" t="e">
        <f t="shared" si="649"/>
        <v>#VALUE!</v>
      </c>
      <c r="X1362" s="52"/>
      <c r="Y1362" s="52"/>
      <c r="Z1362" s="52"/>
      <c r="AA1362" s="47" t="e">
        <f>INDEX(VISITORS[INSECT ORDER], MATCH(X1362,VISITORS[NAME USED],0))</f>
        <v>#N/A</v>
      </c>
      <c r="AB1362" s="47" t="e">
        <f t="shared" si="650"/>
        <v>#N/A</v>
      </c>
      <c r="AC1362" s="53" t="e">
        <f t="shared" si="651"/>
        <v>#VALUE!</v>
      </c>
      <c r="AD1362" s="54" t="str">
        <f t="shared" si="652"/>
        <v/>
      </c>
      <c r="AE1362" s="54"/>
      <c r="AF1362" s="54"/>
      <c r="AG1362" s="55" t="str">
        <f t="shared" si="653"/>
        <v/>
      </c>
      <c r="AH1362" s="56" t="str">
        <f t="shared" si="654"/>
        <v/>
      </c>
      <c r="AI1362" s="55"/>
      <c r="AJ1362" s="56" t="str">
        <f t="shared" si="655"/>
        <v/>
      </c>
      <c r="AK1362" s="55"/>
      <c r="AL1362" s="56" t="str">
        <f t="shared" si="656"/>
        <v/>
      </c>
      <c r="AM1362" s="55"/>
      <c r="AN1362" s="56" t="str">
        <f t="shared" si="657"/>
        <v/>
      </c>
      <c r="AO1362" s="55"/>
      <c r="AP1362" s="56" t="str">
        <f t="shared" si="658"/>
        <v/>
      </c>
      <c r="AQ1362" s="55"/>
      <c r="AR1362" s="56" t="str">
        <f t="shared" si="659"/>
        <v/>
      </c>
      <c r="AS1362" s="57"/>
      <c r="AT1362" s="58"/>
      <c r="AU1362" s="58"/>
      <c r="AV1362" s="59"/>
      <c r="AW1362" s="60" t="str">
        <f t="shared" si="637"/>
        <v/>
      </c>
      <c r="AX1362" s="61" t="str">
        <f t="shared" si="638"/>
        <v/>
      </c>
      <c r="AY1362" s="60" t="str">
        <f t="shared" si="639"/>
        <v/>
      </c>
      <c r="AZ1362" s="61" t="str">
        <f t="shared" si="640"/>
        <v/>
      </c>
    </row>
    <row r="1363" spans="1:52" s="3" customFormat="1" hidden="1" x14ac:dyDescent="0.35">
      <c r="A1363" s="72">
        <f t="shared" si="641"/>
        <v>2021</v>
      </c>
      <c r="B1363" s="72" t="str">
        <f t="shared" si="642"/>
        <v>Nov</v>
      </c>
      <c r="C1363" s="73">
        <f t="shared" si="660"/>
        <v>15</v>
      </c>
      <c r="D1363" s="74">
        <f t="shared" si="643"/>
        <v>14</v>
      </c>
      <c r="E1363" s="75">
        <f t="shared" si="644"/>
        <v>39</v>
      </c>
      <c r="F1363" s="79"/>
      <c r="G1363" s="82"/>
      <c r="H1363" s="68" t="str">
        <f t="shared" si="661"/>
        <v>Clesim6_20211115_14_00</v>
      </c>
      <c r="I1363" s="69">
        <f t="shared" si="662"/>
        <v>1</v>
      </c>
      <c r="J1363" s="76" t="str">
        <f t="shared" si="662"/>
        <v>Clematis</v>
      </c>
      <c r="K1363" s="76" t="str">
        <f t="shared" si="662"/>
        <v>simense</v>
      </c>
      <c r="L1363" s="77">
        <f t="shared" si="662"/>
        <v>6</v>
      </c>
      <c r="M1363" s="77">
        <f t="shared" si="662"/>
        <v>20</v>
      </c>
      <c r="N1363" s="71">
        <f t="shared" si="662"/>
        <v>0</v>
      </c>
      <c r="O1363" s="44"/>
      <c r="P1363" s="45" t="str">
        <f t="shared" si="645"/>
        <v/>
      </c>
      <c r="Q1363" s="46" t="str">
        <f t="shared" si="646"/>
        <v/>
      </c>
      <c r="R1363" s="47" t="e">
        <f t="shared" si="647"/>
        <v>#VALUE!</v>
      </c>
      <c r="S1363" s="48" t="e">
        <f t="shared" si="636"/>
        <v>#VALUE!</v>
      </c>
      <c r="T1363" s="47" t="str">
        <f t="shared" si="648"/>
        <v/>
      </c>
      <c r="U1363" s="49"/>
      <c r="V1363" s="50"/>
      <c r="W1363" s="51" t="e">
        <f t="shared" si="649"/>
        <v>#VALUE!</v>
      </c>
      <c r="X1363" s="52"/>
      <c r="Y1363" s="52"/>
      <c r="Z1363" s="52"/>
      <c r="AA1363" s="47" t="e">
        <f>INDEX(VISITORS[INSECT ORDER], MATCH(X1363,VISITORS[NAME USED],0))</f>
        <v>#N/A</v>
      </c>
      <c r="AB1363" s="47" t="e">
        <f t="shared" si="650"/>
        <v>#N/A</v>
      </c>
      <c r="AC1363" s="53" t="e">
        <f t="shared" si="651"/>
        <v>#VALUE!</v>
      </c>
      <c r="AD1363" s="54" t="str">
        <f t="shared" si="652"/>
        <v/>
      </c>
      <c r="AE1363" s="54"/>
      <c r="AF1363" s="54"/>
      <c r="AG1363" s="55" t="str">
        <f t="shared" si="653"/>
        <v/>
      </c>
      <c r="AH1363" s="56" t="str">
        <f t="shared" si="654"/>
        <v/>
      </c>
      <c r="AI1363" s="55"/>
      <c r="AJ1363" s="56" t="str">
        <f t="shared" si="655"/>
        <v/>
      </c>
      <c r="AK1363" s="55"/>
      <c r="AL1363" s="56" t="str">
        <f t="shared" si="656"/>
        <v/>
      </c>
      <c r="AM1363" s="55"/>
      <c r="AN1363" s="56" t="str">
        <f t="shared" si="657"/>
        <v/>
      </c>
      <c r="AO1363" s="55"/>
      <c r="AP1363" s="56" t="str">
        <f t="shared" si="658"/>
        <v/>
      </c>
      <c r="AQ1363" s="55"/>
      <c r="AR1363" s="56" t="str">
        <f t="shared" si="659"/>
        <v/>
      </c>
      <c r="AS1363" s="57"/>
      <c r="AT1363" s="58"/>
      <c r="AU1363" s="58"/>
      <c r="AV1363" s="59"/>
      <c r="AW1363" s="60" t="str">
        <f t="shared" si="637"/>
        <v/>
      </c>
      <c r="AX1363" s="61" t="str">
        <f t="shared" si="638"/>
        <v/>
      </c>
      <c r="AY1363" s="60" t="str">
        <f t="shared" si="639"/>
        <v/>
      </c>
      <c r="AZ1363" s="61" t="str">
        <f t="shared" si="640"/>
        <v/>
      </c>
    </row>
    <row r="1364" spans="1:52" s="3" customFormat="1" hidden="1" x14ac:dyDescent="0.35">
      <c r="A1364" s="72">
        <f t="shared" si="641"/>
        <v>2021</v>
      </c>
      <c r="B1364" s="72" t="str">
        <f t="shared" si="642"/>
        <v>Nov</v>
      </c>
      <c r="C1364" s="73">
        <f t="shared" si="660"/>
        <v>15</v>
      </c>
      <c r="D1364" s="74">
        <f t="shared" si="643"/>
        <v>14</v>
      </c>
      <c r="E1364" s="75">
        <f t="shared" si="644"/>
        <v>40</v>
      </c>
      <c r="F1364" s="79"/>
      <c r="G1364" s="82"/>
      <c r="H1364" s="68" t="str">
        <f t="shared" si="661"/>
        <v>Clesim6_20211115_14_00</v>
      </c>
      <c r="I1364" s="69">
        <f t="shared" si="662"/>
        <v>1</v>
      </c>
      <c r="J1364" s="76" t="str">
        <f t="shared" si="662"/>
        <v>Clematis</v>
      </c>
      <c r="K1364" s="76" t="str">
        <f t="shared" si="662"/>
        <v>simense</v>
      </c>
      <c r="L1364" s="77">
        <f t="shared" si="662"/>
        <v>6</v>
      </c>
      <c r="M1364" s="77">
        <f t="shared" si="662"/>
        <v>20</v>
      </c>
      <c r="N1364" s="71">
        <f t="shared" si="662"/>
        <v>0</v>
      </c>
      <c r="O1364" s="44"/>
      <c r="P1364" s="45" t="str">
        <f t="shared" si="645"/>
        <v/>
      </c>
      <c r="Q1364" s="46" t="str">
        <f t="shared" si="646"/>
        <v/>
      </c>
      <c r="R1364" s="47" t="e">
        <f t="shared" si="647"/>
        <v>#VALUE!</v>
      </c>
      <c r="S1364" s="48" t="e">
        <f t="shared" si="636"/>
        <v>#VALUE!</v>
      </c>
      <c r="T1364" s="47" t="str">
        <f t="shared" si="648"/>
        <v/>
      </c>
      <c r="U1364" s="49"/>
      <c r="V1364" s="50"/>
      <c r="W1364" s="51" t="e">
        <f t="shared" si="649"/>
        <v>#VALUE!</v>
      </c>
      <c r="X1364" s="52"/>
      <c r="Y1364" s="52"/>
      <c r="Z1364" s="52"/>
      <c r="AA1364" s="47" t="e">
        <f>INDEX(VISITORS[INSECT ORDER], MATCH(X1364,VISITORS[NAME USED],0))</f>
        <v>#N/A</v>
      </c>
      <c r="AB1364" s="47" t="e">
        <f t="shared" si="650"/>
        <v>#N/A</v>
      </c>
      <c r="AC1364" s="53" t="e">
        <f t="shared" si="651"/>
        <v>#VALUE!</v>
      </c>
      <c r="AD1364" s="54" t="str">
        <f t="shared" si="652"/>
        <v/>
      </c>
      <c r="AE1364" s="54"/>
      <c r="AF1364" s="54"/>
      <c r="AG1364" s="55" t="str">
        <f t="shared" si="653"/>
        <v/>
      </c>
      <c r="AH1364" s="56" t="str">
        <f t="shared" si="654"/>
        <v/>
      </c>
      <c r="AI1364" s="55"/>
      <c r="AJ1364" s="56" t="str">
        <f t="shared" si="655"/>
        <v/>
      </c>
      <c r="AK1364" s="55"/>
      <c r="AL1364" s="56" t="str">
        <f t="shared" si="656"/>
        <v/>
      </c>
      <c r="AM1364" s="55"/>
      <c r="AN1364" s="56" t="str">
        <f t="shared" si="657"/>
        <v/>
      </c>
      <c r="AO1364" s="55"/>
      <c r="AP1364" s="56" t="str">
        <f t="shared" si="658"/>
        <v/>
      </c>
      <c r="AQ1364" s="55"/>
      <c r="AR1364" s="56" t="str">
        <f t="shared" si="659"/>
        <v/>
      </c>
      <c r="AS1364" s="57"/>
      <c r="AT1364" s="58"/>
      <c r="AU1364" s="58"/>
      <c r="AV1364" s="59"/>
      <c r="AW1364" s="60" t="str">
        <f t="shared" si="637"/>
        <v/>
      </c>
      <c r="AX1364" s="61" t="str">
        <f t="shared" si="638"/>
        <v/>
      </c>
      <c r="AY1364" s="60" t="str">
        <f t="shared" si="639"/>
        <v/>
      </c>
      <c r="AZ1364" s="61" t="str">
        <f t="shared" si="640"/>
        <v/>
      </c>
    </row>
    <row r="1365" spans="1:52" s="3" customFormat="1" hidden="1" x14ac:dyDescent="0.35">
      <c r="A1365" s="72">
        <f t="shared" si="641"/>
        <v>2021</v>
      </c>
      <c r="B1365" s="72" t="str">
        <f t="shared" si="642"/>
        <v>Nov</v>
      </c>
      <c r="C1365" s="73">
        <f t="shared" si="660"/>
        <v>15</v>
      </c>
      <c r="D1365" s="74">
        <f t="shared" si="643"/>
        <v>14</v>
      </c>
      <c r="E1365" s="75">
        <f t="shared" si="644"/>
        <v>41</v>
      </c>
      <c r="F1365" s="79"/>
      <c r="G1365" s="82"/>
      <c r="H1365" s="68" t="str">
        <f t="shared" si="661"/>
        <v>Clesim6_20211115_14_00</v>
      </c>
      <c r="I1365" s="69">
        <f t="shared" si="662"/>
        <v>1</v>
      </c>
      <c r="J1365" s="76" t="str">
        <f t="shared" si="662"/>
        <v>Clematis</v>
      </c>
      <c r="K1365" s="76" t="str">
        <f t="shared" si="662"/>
        <v>simense</v>
      </c>
      <c r="L1365" s="77">
        <f t="shared" si="662"/>
        <v>6</v>
      </c>
      <c r="M1365" s="77">
        <f t="shared" si="662"/>
        <v>20</v>
      </c>
      <c r="N1365" s="71">
        <f t="shared" si="662"/>
        <v>0</v>
      </c>
      <c r="O1365" s="44"/>
      <c r="P1365" s="45" t="str">
        <f t="shared" si="645"/>
        <v/>
      </c>
      <c r="Q1365" s="46" t="str">
        <f t="shared" si="646"/>
        <v/>
      </c>
      <c r="R1365" s="47" t="e">
        <f t="shared" si="647"/>
        <v>#VALUE!</v>
      </c>
      <c r="S1365" s="48" t="e">
        <f t="shared" si="636"/>
        <v>#VALUE!</v>
      </c>
      <c r="T1365" s="47" t="str">
        <f t="shared" si="648"/>
        <v/>
      </c>
      <c r="U1365" s="49"/>
      <c r="V1365" s="50"/>
      <c r="W1365" s="51" t="e">
        <f t="shared" si="649"/>
        <v>#VALUE!</v>
      </c>
      <c r="X1365" s="52"/>
      <c r="Y1365" s="52"/>
      <c r="Z1365" s="52"/>
      <c r="AA1365" s="47" t="e">
        <f>INDEX(VISITORS[INSECT ORDER], MATCH(X1365,VISITORS[NAME USED],0))</f>
        <v>#N/A</v>
      </c>
      <c r="AB1365" s="47" t="e">
        <f t="shared" si="650"/>
        <v>#N/A</v>
      </c>
      <c r="AC1365" s="53" t="e">
        <f t="shared" si="651"/>
        <v>#VALUE!</v>
      </c>
      <c r="AD1365" s="54" t="str">
        <f t="shared" si="652"/>
        <v/>
      </c>
      <c r="AE1365" s="54"/>
      <c r="AF1365" s="54"/>
      <c r="AG1365" s="55" t="str">
        <f t="shared" si="653"/>
        <v/>
      </c>
      <c r="AH1365" s="56" t="str">
        <f t="shared" si="654"/>
        <v/>
      </c>
      <c r="AI1365" s="55"/>
      <c r="AJ1365" s="56" t="str">
        <f t="shared" si="655"/>
        <v/>
      </c>
      <c r="AK1365" s="55"/>
      <c r="AL1365" s="56" t="str">
        <f t="shared" si="656"/>
        <v/>
      </c>
      <c r="AM1365" s="55"/>
      <c r="AN1365" s="56" t="str">
        <f t="shared" si="657"/>
        <v/>
      </c>
      <c r="AO1365" s="55"/>
      <c r="AP1365" s="56" t="str">
        <f t="shared" si="658"/>
        <v/>
      </c>
      <c r="AQ1365" s="55"/>
      <c r="AR1365" s="56" t="str">
        <f t="shared" si="659"/>
        <v/>
      </c>
      <c r="AS1365" s="57"/>
      <c r="AT1365" s="58"/>
      <c r="AU1365" s="58"/>
      <c r="AV1365" s="59"/>
      <c r="AW1365" s="60" t="str">
        <f t="shared" si="637"/>
        <v/>
      </c>
      <c r="AX1365" s="61" t="str">
        <f t="shared" si="638"/>
        <v/>
      </c>
      <c r="AY1365" s="60" t="str">
        <f t="shared" si="639"/>
        <v/>
      </c>
      <c r="AZ1365" s="61" t="str">
        <f t="shared" si="640"/>
        <v/>
      </c>
    </row>
    <row r="1366" spans="1:52" s="3" customFormat="1" hidden="1" x14ac:dyDescent="0.35">
      <c r="A1366" s="72">
        <f t="shared" si="641"/>
        <v>2021</v>
      </c>
      <c r="B1366" s="72" t="str">
        <f t="shared" si="642"/>
        <v>Nov</v>
      </c>
      <c r="C1366" s="73">
        <f t="shared" si="660"/>
        <v>15</v>
      </c>
      <c r="D1366" s="74">
        <f t="shared" si="643"/>
        <v>14</v>
      </c>
      <c r="E1366" s="75">
        <f t="shared" si="644"/>
        <v>42</v>
      </c>
      <c r="F1366" s="79"/>
      <c r="G1366" s="82"/>
      <c r="H1366" s="68" t="str">
        <f t="shared" si="661"/>
        <v>Clesim6_20211115_14_00</v>
      </c>
      <c r="I1366" s="69">
        <f t="shared" ref="I1366:N1381" si="663">I1365</f>
        <v>1</v>
      </c>
      <c r="J1366" s="76" t="str">
        <f t="shared" si="663"/>
        <v>Clematis</v>
      </c>
      <c r="K1366" s="76" t="str">
        <f t="shared" si="663"/>
        <v>simense</v>
      </c>
      <c r="L1366" s="77">
        <f t="shared" si="663"/>
        <v>6</v>
      </c>
      <c r="M1366" s="77">
        <f t="shared" si="663"/>
        <v>20</v>
      </c>
      <c r="N1366" s="71">
        <f t="shared" si="663"/>
        <v>0</v>
      </c>
      <c r="O1366" s="44"/>
      <c r="P1366" s="45" t="str">
        <f t="shared" si="645"/>
        <v/>
      </c>
      <c r="Q1366" s="46" t="str">
        <f t="shared" si="646"/>
        <v/>
      </c>
      <c r="R1366" s="47" t="e">
        <f t="shared" si="647"/>
        <v>#VALUE!</v>
      </c>
      <c r="S1366" s="48" t="e">
        <f t="shared" si="636"/>
        <v>#VALUE!</v>
      </c>
      <c r="T1366" s="47" t="str">
        <f t="shared" si="648"/>
        <v/>
      </c>
      <c r="U1366" s="49"/>
      <c r="V1366" s="50"/>
      <c r="W1366" s="51" t="e">
        <f t="shared" si="649"/>
        <v>#VALUE!</v>
      </c>
      <c r="X1366" s="52"/>
      <c r="Y1366" s="52"/>
      <c r="Z1366" s="52"/>
      <c r="AA1366" s="47" t="e">
        <f>INDEX(VISITORS[INSECT ORDER], MATCH(X1366,VISITORS[NAME USED],0))</f>
        <v>#N/A</v>
      </c>
      <c r="AB1366" s="47" t="e">
        <f t="shared" si="650"/>
        <v>#N/A</v>
      </c>
      <c r="AC1366" s="53" t="e">
        <f t="shared" si="651"/>
        <v>#VALUE!</v>
      </c>
      <c r="AD1366" s="54" t="str">
        <f t="shared" si="652"/>
        <v/>
      </c>
      <c r="AE1366" s="54"/>
      <c r="AF1366" s="54"/>
      <c r="AG1366" s="55" t="str">
        <f t="shared" si="653"/>
        <v/>
      </c>
      <c r="AH1366" s="56" t="str">
        <f t="shared" si="654"/>
        <v/>
      </c>
      <c r="AI1366" s="55"/>
      <c r="AJ1366" s="56" t="str">
        <f t="shared" si="655"/>
        <v/>
      </c>
      <c r="AK1366" s="55"/>
      <c r="AL1366" s="56" t="str">
        <f t="shared" si="656"/>
        <v/>
      </c>
      <c r="AM1366" s="55"/>
      <c r="AN1366" s="56" t="str">
        <f t="shared" si="657"/>
        <v/>
      </c>
      <c r="AO1366" s="55"/>
      <c r="AP1366" s="56" t="str">
        <f t="shared" si="658"/>
        <v/>
      </c>
      <c r="AQ1366" s="55"/>
      <c r="AR1366" s="56" t="str">
        <f t="shared" si="659"/>
        <v/>
      </c>
      <c r="AS1366" s="57"/>
      <c r="AT1366" s="58"/>
      <c r="AU1366" s="58"/>
      <c r="AV1366" s="59"/>
      <c r="AW1366" s="60" t="str">
        <f t="shared" si="637"/>
        <v/>
      </c>
      <c r="AX1366" s="61" t="str">
        <f t="shared" si="638"/>
        <v/>
      </c>
      <c r="AY1366" s="60" t="str">
        <f t="shared" si="639"/>
        <v/>
      </c>
      <c r="AZ1366" s="61" t="str">
        <f t="shared" si="640"/>
        <v/>
      </c>
    </row>
    <row r="1367" spans="1:52" s="3" customFormat="1" hidden="1" x14ac:dyDescent="0.35">
      <c r="A1367" s="72">
        <f t="shared" si="641"/>
        <v>2021</v>
      </c>
      <c r="B1367" s="72" t="str">
        <f t="shared" si="642"/>
        <v>Nov</v>
      </c>
      <c r="C1367" s="73">
        <f t="shared" si="660"/>
        <v>15</v>
      </c>
      <c r="D1367" s="74">
        <f t="shared" si="643"/>
        <v>14</v>
      </c>
      <c r="E1367" s="75">
        <f t="shared" si="644"/>
        <v>43</v>
      </c>
      <c r="F1367" s="79"/>
      <c r="G1367" s="82"/>
      <c r="H1367" s="68" t="str">
        <f t="shared" si="661"/>
        <v>Clesim6_20211115_14_00</v>
      </c>
      <c r="I1367" s="69">
        <f t="shared" si="663"/>
        <v>1</v>
      </c>
      <c r="J1367" s="76" t="str">
        <f t="shared" si="663"/>
        <v>Clematis</v>
      </c>
      <c r="K1367" s="76" t="str">
        <f t="shared" si="663"/>
        <v>simense</v>
      </c>
      <c r="L1367" s="77">
        <f t="shared" si="663"/>
        <v>6</v>
      </c>
      <c r="M1367" s="77">
        <f t="shared" si="663"/>
        <v>20</v>
      </c>
      <c r="N1367" s="71">
        <f t="shared" si="663"/>
        <v>0</v>
      </c>
      <c r="O1367" s="44"/>
      <c r="P1367" s="45" t="str">
        <f t="shared" si="645"/>
        <v/>
      </c>
      <c r="Q1367" s="46" t="str">
        <f t="shared" si="646"/>
        <v/>
      </c>
      <c r="R1367" s="47" t="e">
        <f t="shared" si="647"/>
        <v>#VALUE!</v>
      </c>
      <c r="S1367" s="48" t="e">
        <f t="shared" si="636"/>
        <v>#VALUE!</v>
      </c>
      <c r="T1367" s="47" t="str">
        <f t="shared" si="648"/>
        <v/>
      </c>
      <c r="U1367" s="49"/>
      <c r="V1367" s="50"/>
      <c r="W1367" s="51" t="e">
        <f t="shared" si="649"/>
        <v>#VALUE!</v>
      </c>
      <c r="X1367" s="52"/>
      <c r="Y1367" s="52"/>
      <c r="Z1367" s="52"/>
      <c r="AA1367" s="47" t="e">
        <f>INDEX(VISITORS[INSECT ORDER], MATCH(X1367,VISITORS[NAME USED],0))</f>
        <v>#N/A</v>
      </c>
      <c r="AB1367" s="47" t="e">
        <f t="shared" si="650"/>
        <v>#N/A</v>
      </c>
      <c r="AC1367" s="53" t="e">
        <f t="shared" si="651"/>
        <v>#VALUE!</v>
      </c>
      <c r="AD1367" s="54" t="str">
        <f t="shared" si="652"/>
        <v/>
      </c>
      <c r="AE1367" s="54"/>
      <c r="AF1367" s="54"/>
      <c r="AG1367" s="55" t="str">
        <f t="shared" si="653"/>
        <v/>
      </c>
      <c r="AH1367" s="56" t="str">
        <f t="shared" si="654"/>
        <v/>
      </c>
      <c r="AI1367" s="55"/>
      <c r="AJ1367" s="56" t="str">
        <f t="shared" si="655"/>
        <v/>
      </c>
      <c r="AK1367" s="55"/>
      <c r="AL1367" s="56" t="str">
        <f t="shared" si="656"/>
        <v/>
      </c>
      <c r="AM1367" s="55"/>
      <c r="AN1367" s="56" t="str">
        <f t="shared" si="657"/>
        <v/>
      </c>
      <c r="AO1367" s="55"/>
      <c r="AP1367" s="56" t="str">
        <f t="shared" si="658"/>
        <v/>
      </c>
      <c r="AQ1367" s="55"/>
      <c r="AR1367" s="56" t="str">
        <f t="shared" si="659"/>
        <v/>
      </c>
      <c r="AS1367" s="57"/>
      <c r="AT1367" s="58"/>
      <c r="AU1367" s="58"/>
      <c r="AV1367" s="59"/>
      <c r="AW1367" s="60" t="str">
        <f t="shared" si="637"/>
        <v/>
      </c>
      <c r="AX1367" s="61" t="str">
        <f t="shared" si="638"/>
        <v/>
      </c>
      <c r="AY1367" s="60" t="str">
        <f t="shared" si="639"/>
        <v/>
      </c>
      <c r="AZ1367" s="61" t="str">
        <f t="shared" si="640"/>
        <v/>
      </c>
    </row>
    <row r="1368" spans="1:52" s="3" customFormat="1" hidden="1" x14ac:dyDescent="0.35">
      <c r="A1368" s="72">
        <f t="shared" si="641"/>
        <v>2021</v>
      </c>
      <c r="B1368" s="72" t="str">
        <f t="shared" si="642"/>
        <v>Nov</v>
      </c>
      <c r="C1368" s="73">
        <f t="shared" si="660"/>
        <v>15</v>
      </c>
      <c r="D1368" s="74">
        <f t="shared" si="643"/>
        <v>14</v>
      </c>
      <c r="E1368" s="75">
        <f t="shared" si="644"/>
        <v>44</v>
      </c>
      <c r="F1368" s="79"/>
      <c r="G1368" s="82"/>
      <c r="H1368" s="68" t="str">
        <f t="shared" si="661"/>
        <v>Clesim6_20211115_14_00</v>
      </c>
      <c r="I1368" s="69">
        <f t="shared" si="663"/>
        <v>1</v>
      </c>
      <c r="J1368" s="76" t="str">
        <f t="shared" si="663"/>
        <v>Clematis</v>
      </c>
      <c r="K1368" s="76" t="str">
        <f t="shared" si="663"/>
        <v>simense</v>
      </c>
      <c r="L1368" s="77">
        <f t="shared" si="663"/>
        <v>6</v>
      </c>
      <c r="M1368" s="77">
        <f t="shared" si="663"/>
        <v>20</v>
      </c>
      <c r="N1368" s="71">
        <f t="shared" si="663"/>
        <v>0</v>
      </c>
      <c r="O1368" s="44"/>
      <c r="P1368" s="45" t="str">
        <f t="shared" si="645"/>
        <v/>
      </c>
      <c r="Q1368" s="46" t="str">
        <f t="shared" si="646"/>
        <v/>
      </c>
      <c r="R1368" s="47" t="e">
        <f t="shared" si="647"/>
        <v>#VALUE!</v>
      </c>
      <c r="S1368" s="48" t="e">
        <f t="shared" si="636"/>
        <v>#VALUE!</v>
      </c>
      <c r="T1368" s="47" t="str">
        <f t="shared" si="648"/>
        <v/>
      </c>
      <c r="U1368" s="49"/>
      <c r="V1368" s="50"/>
      <c r="W1368" s="51" t="e">
        <f t="shared" si="649"/>
        <v>#VALUE!</v>
      </c>
      <c r="X1368" s="52"/>
      <c r="Y1368" s="52"/>
      <c r="Z1368" s="52"/>
      <c r="AA1368" s="47" t="e">
        <f>INDEX(VISITORS[INSECT ORDER], MATCH(X1368,VISITORS[NAME USED],0))</f>
        <v>#N/A</v>
      </c>
      <c r="AB1368" s="47" t="e">
        <f t="shared" si="650"/>
        <v>#N/A</v>
      </c>
      <c r="AC1368" s="53" t="e">
        <f t="shared" si="651"/>
        <v>#VALUE!</v>
      </c>
      <c r="AD1368" s="54" t="str">
        <f t="shared" si="652"/>
        <v/>
      </c>
      <c r="AE1368" s="54"/>
      <c r="AF1368" s="54"/>
      <c r="AG1368" s="55" t="str">
        <f t="shared" si="653"/>
        <v/>
      </c>
      <c r="AH1368" s="56" t="str">
        <f t="shared" si="654"/>
        <v/>
      </c>
      <c r="AI1368" s="55"/>
      <c r="AJ1368" s="56" t="str">
        <f t="shared" si="655"/>
        <v/>
      </c>
      <c r="AK1368" s="55"/>
      <c r="AL1368" s="56" t="str">
        <f t="shared" si="656"/>
        <v/>
      </c>
      <c r="AM1368" s="55"/>
      <c r="AN1368" s="56" t="str">
        <f t="shared" si="657"/>
        <v/>
      </c>
      <c r="AO1368" s="55"/>
      <c r="AP1368" s="56" t="str">
        <f t="shared" si="658"/>
        <v/>
      </c>
      <c r="AQ1368" s="55"/>
      <c r="AR1368" s="56" t="str">
        <f t="shared" si="659"/>
        <v/>
      </c>
      <c r="AS1368" s="57"/>
      <c r="AT1368" s="58"/>
      <c r="AU1368" s="58"/>
      <c r="AV1368" s="59"/>
      <c r="AW1368" s="60" t="str">
        <f t="shared" si="637"/>
        <v/>
      </c>
      <c r="AX1368" s="61" t="str">
        <f t="shared" si="638"/>
        <v/>
      </c>
      <c r="AY1368" s="60" t="str">
        <f t="shared" si="639"/>
        <v/>
      </c>
      <c r="AZ1368" s="61" t="str">
        <f t="shared" si="640"/>
        <v/>
      </c>
    </row>
    <row r="1369" spans="1:52" s="3" customFormat="1" hidden="1" x14ac:dyDescent="0.35">
      <c r="A1369" s="72">
        <f t="shared" si="641"/>
        <v>2021</v>
      </c>
      <c r="B1369" s="72" t="str">
        <f t="shared" si="642"/>
        <v>Nov</v>
      </c>
      <c r="C1369" s="73">
        <f t="shared" si="660"/>
        <v>15</v>
      </c>
      <c r="D1369" s="74">
        <f t="shared" si="643"/>
        <v>14</v>
      </c>
      <c r="E1369" s="75">
        <f t="shared" si="644"/>
        <v>45</v>
      </c>
      <c r="F1369" s="79"/>
      <c r="G1369" s="82"/>
      <c r="H1369" s="68" t="str">
        <f t="shared" si="661"/>
        <v>Clesim6_20211115_14_00</v>
      </c>
      <c r="I1369" s="69">
        <f t="shared" si="663"/>
        <v>1</v>
      </c>
      <c r="J1369" s="76" t="str">
        <f t="shared" si="663"/>
        <v>Clematis</v>
      </c>
      <c r="K1369" s="76" t="str">
        <f t="shared" si="663"/>
        <v>simense</v>
      </c>
      <c r="L1369" s="77">
        <f t="shared" si="663"/>
        <v>6</v>
      </c>
      <c r="M1369" s="77">
        <f t="shared" si="663"/>
        <v>20</v>
      </c>
      <c r="N1369" s="71">
        <f t="shared" si="663"/>
        <v>0</v>
      </c>
      <c r="O1369" s="44"/>
      <c r="P1369" s="45" t="str">
        <f t="shared" si="645"/>
        <v/>
      </c>
      <c r="Q1369" s="46" t="str">
        <f t="shared" si="646"/>
        <v/>
      </c>
      <c r="R1369" s="47" t="e">
        <f t="shared" si="647"/>
        <v>#VALUE!</v>
      </c>
      <c r="S1369" s="48" t="e">
        <f t="shared" si="636"/>
        <v>#VALUE!</v>
      </c>
      <c r="T1369" s="47" t="str">
        <f t="shared" si="648"/>
        <v/>
      </c>
      <c r="U1369" s="49"/>
      <c r="V1369" s="50"/>
      <c r="W1369" s="51" t="e">
        <f t="shared" si="649"/>
        <v>#VALUE!</v>
      </c>
      <c r="X1369" s="52"/>
      <c r="Y1369" s="52"/>
      <c r="Z1369" s="52"/>
      <c r="AA1369" s="47" t="e">
        <f>INDEX(VISITORS[INSECT ORDER], MATCH(X1369,VISITORS[NAME USED],0))</f>
        <v>#N/A</v>
      </c>
      <c r="AB1369" s="47" t="e">
        <f t="shared" si="650"/>
        <v>#N/A</v>
      </c>
      <c r="AC1369" s="53" t="e">
        <f t="shared" si="651"/>
        <v>#VALUE!</v>
      </c>
      <c r="AD1369" s="54" t="str">
        <f t="shared" si="652"/>
        <v/>
      </c>
      <c r="AE1369" s="54"/>
      <c r="AF1369" s="54"/>
      <c r="AG1369" s="55" t="str">
        <f t="shared" si="653"/>
        <v/>
      </c>
      <c r="AH1369" s="56" t="str">
        <f t="shared" si="654"/>
        <v/>
      </c>
      <c r="AI1369" s="55"/>
      <c r="AJ1369" s="56" t="str">
        <f t="shared" si="655"/>
        <v/>
      </c>
      <c r="AK1369" s="55"/>
      <c r="AL1369" s="56" t="str">
        <f t="shared" si="656"/>
        <v/>
      </c>
      <c r="AM1369" s="55"/>
      <c r="AN1369" s="56" t="str">
        <f t="shared" si="657"/>
        <v/>
      </c>
      <c r="AO1369" s="55"/>
      <c r="AP1369" s="56" t="str">
        <f t="shared" si="658"/>
        <v/>
      </c>
      <c r="AQ1369" s="55"/>
      <c r="AR1369" s="56" t="str">
        <f t="shared" si="659"/>
        <v/>
      </c>
      <c r="AS1369" s="57"/>
      <c r="AT1369" s="58"/>
      <c r="AU1369" s="58"/>
      <c r="AV1369" s="59"/>
      <c r="AW1369" s="60" t="str">
        <f t="shared" si="637"/>
        <v/>
      </c>
      <c r="AX1369" s="61" t="str">
        <f t="shared" si="638"/>
        <v/>
      </c>
      <c r="AY1369" s="60" t="str">
        <f t="shared" si="639"/>
        <v/>
      </c>
      <c r="AZ1369" s="61" t="str">
        <f t="shared" si="640"/>
        <v/>
      </c>
    </row>
    <row r="1370" spans="1:52" s="3" customFormat="1" hidden="1" x14ac:dyDescent="0.35">
      <c r="A1370" s="72">
        <f t="shared" si="641"/>
        <v>2021</v>
      </c>
      <c r="B1370" s="72" t="str">
        <f t="shared" si="642"/>
        <v>Nov</v>
      </c>
      <c r="C1370" s="73">
        <f t="shared" si="660"/>
        <v>15</v>
      </c>
      <c r="D1370" s="74">
        <f t="shared" si="643"/>
        <v>14</v>
      </c>
      <c r="E1370" s="75">
        <f t="shared" si="644"/>
        <v>46</v>
      </c>
      <c r="F1370" s="79"/>
      <c r="G1370" s="82"/>
      <c r="H1370" s="68" t="str">
        <f t="shared" si="661"/>
        <v>Clesim6_20211115_14_00</v>
      </c>
      <c r="I1370" s="69">
        <f t="shared" si="663"/>
        <v>1</v>
      </c>
      <c r="J1370" s="76" t="str">
        <f t="shared" si="663"/>
        <v>Clematis</v>
      </c>
      <c r="K1370" s="76" t="str">
        <f t="shared" si="663"/>
        <v>simense</v>
      </c>
      <c r="L1370" s="77">
        <f t="shared" si="663"/>
        <v>6</v>
      </c>
      <c r="M1370" s="77">
        <f t="shared" si="663"/>
        <v>20</v>
      </c>
      <c r="N1370" s="71">
        <f t="shared" si="663"/>
        <v>0</v>
      </c>
      <c r="O1370" s="44"/>
      <c r="P1370" s="45" t="str">
        <f t="shared" si="645"/>
        <v/>
      </c>
      <c r="Q1370" s="46" t="str">
        <f t="shared" si="646"/>
        <v/>
      </c>
      <c r="R1370" s="47" t="e">
        <f t="shared" si="647"/>
        <v>#VALUE!</v>
      </c>
      <c r="S1370" s="48" t="e">
        <f t="shared" si="636"/>
        <v>#VALUE!</v>
      </c>
      <c r="T1370" s="47" t="str">
        <f t="shared" si="648"/>
        <v/>
      </c>
      <c r="U1370" s="49"/>
      <c r="V1370" s="50"/>
      <c r="W1370" s="51" t="e">
        <f t="shared" si="649"/>
        <v>#VALUE!</v>
      </c>
      <c r="X1370" s="52"/>
      <c r="Y1370" s="52"/>
      <c r="Z1370" s="52"/>
      <c r="AA1370" s="47" t="e">
        <f>INDEX(VISITORS[INSECT ORDER], MATCH(X1370,VISITORS[NAME USED],0))</f>
        <v>#N/A</v>
      </c>
      <c r="AB1370" s="47" t="e">
        <f t="shared" si="650"/>
        <v>#N/A</v>
      </c>
      <c r="AC1370" s="53" t="e">
        <f t="shared" si="651"/>
        <v>#VALUE!</v>
      </c>
      <c r="AD1370" s="54" t="str">
        <f t="shared" si="652"/>
        <v/>
      </c>
      <c r="AE1370" s="54"/>
      <c r="AF1370" s="54"/>
      <c r="AG1370" s="55" t="str">
        <f t="shared" si="653"/>
        <v/>
      </c>
      <c r="AH1370" s="56" t="str">
        <f t="shared" si="654"/>
        <v/>
      </c>
      <c r="AI1370" s="55"/>
      <c r="AJ1370" s="56" t="str">
        <f t="shared" si="655"/>
        <v/>
      </c>
      <c r="AK1370" s="55"/>
      <c r="AL1370" s="56" t="str">
        <f t="shared" si="656"/>
        <v/>
      </c>
      <c r="AM1370" s="55"/>
      <c r="AN1370" s="56" t="str">
        <f t="shared" si="657"/>
        <v/>
      </c>
      <c r="AO1370" s="55"/>
      <c r="AP1370" s="56" t="str">
        <f t="shared" si="658"/>
        <v/>
      </c>
      <c r="AQ1370" s="55"/>
      <c r="AR1370" s="56" t="str">
        <f t="shared" si="659"/>
        <v/>
      </c>
      <c r="AS1370" s="57"/>
      <c r="AT1370" s="58"/>
      <c r="AU1370" s="58"/>
      <c r="AV1370" s="59"/>
      <c r="AW1370" s="60" t="str">
        <f t="shared" si="637"/>
        <v/>
      </c>
      <c r="AX1370" s="61" t="str">
        <f t="shared" si="638"/>
        <v/>
      </c>
      <c r="AY1370" s="60" t="str">
        <f t="shared" si="639"/>
        <v/>
      </c>
      <c r="AZ1370" s="61" t="str">
        <f t="shared" si="640"/>
        <v/>
      </c>
    </row>
    <row r="1371" spans="1:52" s="3" customFormat="1" hidden="1" x14ac:dyDescent="0.35">
      <c r="A1371" s="72">
        <f t="shared" si="641"/>
        <v>2021</v>
      </c>
      <c r="B1371" s="72" t="str">
        <f t="shared" si="642"/>
        <v>Nov</v>
      </c>
      <c r="C1371" s="73">
        <f t="shared" si="660"/>
        <v>15</v>
      </c>
      <c r="D1371" s="74">
        <f t="shared" si="643"/>
        <v>14</v>
      </c>
      <c r="E1371" s="75">
        <f t="shared" si="644"/>
        <v>47</v>
      </c>
      <c r="F1371" s="79"/>
      <c r="G1371" s="82"/>
      <c r="H1371" s="68" t="str">
        <f t="shared" si="661"/>
        <v>Clesim6_20211115_14_00</v>
      </c>
      <c r="I1371" s="69">
        <f t="shared" si="663"/>
        <v>1</v>
      </c>
      <c r="J1371" s="76" t="str">
        <f t="shared" si="663"/>
        <v>Clematis</v>
      </c>
      <c r="K1371" s="76" t="str">
        <f t="shared" si="663"/>
        <v>simense</v>
      </c>
      <c r="L1371" s="77">
        <f t="shared" si="663"/>
        <v>6</v>
      </c>
      <c r="M1371" s="77">
        <f t="shared" si="663"/>
        <v>20</v>
      </c>
      <c r="N1371" s="71">
        <f t="shared" si="663"/>
        <v>0</v>
      </c>
      <c r="O1371" s="44"/>
      <c r="P1371" s="45" t="str">
        <f t="shared" si="645"/>
        <v/>
      </c>
      <c r="Q1371" s="46" t="str">
        <f t="shared" si="646"/>
        <v/>
      </c>
      <c r="R1371" s="47" t="e">
        <f t="shared" si="647"/>
        <v>#VALUE!</v>
      </c>
      <c r="S1371" s="48" t="e">
        <f t="shared" si="636"/>
        <v>#VALUE!</v>
      </c>
      <c r="T1371" s="47" t="str">
        <f t="shared" si="648"/>
        <v/>
      </c>
      <c r="U1371" s="49"/>
      <c r="V1371" s="50"/>
      <c r="W1371" s="51" t="e">
        <f t="shared" si="649"/>
        <v>#VALUE!</v>
      </c>
      <c r="X1371" s="52"/>
      <c r="Y1371" s="52"/>
      <c r="Z1371" s="52"/>
      <c r="AA1371" s="47" t="e">
        <f>INDEX(VISITORS[INSECT ORDER], MATCH(X1371,VISITORS[NAME USED],0))</f>
        <v>#N/A</v>
      </c>
      <c r="AB1371" s="47" t="e">
        <f t="shared" si="650"/>
        <v>#N/A</v>
      </c>
      <c r="AC1371" s="53" t="e">
        <f t="shared" si="651"/>
        <v>#VALUE!</v>
      </c>
      <c r="AD1371" s="54" t="str">
        <f t="shared" si="652"/>
        <v/>
      </c>
      <c r="AE1371" s="54"/>
      <c r="AF1371" s="54"/>
      <c r="AG1371" s="55" t="str">
        <f t="shared" si="653"/>
        <v/>
      </c>
      <c r="AH1371" s="56" t="str">
        <f t="shared" si="654"/>
        <v/>
      </c>
      <c r="AI1371" s="55"/>
      <c r="AJ1371" s="56" t="str">
        <f t="shared" si="655"/>
        <v/>
      </c>
      <c r="AK1371" s="55"/>
      <c r="AL1371" s="56" t="str">
        <f t="shared" si="656"/>
        <v/>
      </c>
      <c r="AM1371" s="55"/>
      <c r="AN1371" s="56" t="str">
        <f t="shared" si="657"/>
        <v/>
      </c>
      <c r="AO1371" s="55"/>
      <c r="AP1371" s="56" t="str">
        <f t="shared" si="658"/>
        <v/>
      </c>
      <c r="AQ1371" s="55"/>
      <c r="AR1371" s="56" t="str">
        <f t="shared" si="659"/>
        <v/>
      </c>
      <c r="AS1371" s="57"/>
      <c r="AT1371" s="58"/>
      <c r="AU1371" s="58"/>
      <c r="AV1371" s="59"/>
      <c r="AW1371" s="60" t="str">
        <f t="shared" si="637"/>
        <v/>
      </c>
      <c r="AX1371" s="61" t="str">
        <f t="shared" si="638"/>
        <v/>
      </c>
      <c r="AY1371" s="60" t="str">
        <f t="shared" si="639"/>
        <v/>
      </c>
      <c r="AZ1371" s="61" t="str">
        <f t="shared" si="640"/>
        <v/>
      </c>
    </row>
    <row r="1372" spans="1:52" s="3" customFormat="1" hidden="1" x14ac:dyDescent="0.35">
      <c r="A1372" s="72">
        <f t="shared" si="641"/>
        <v>2021</v>
      </c>
      <c r="B1372" s="72" t="str">
        <f t="shared" si="642"/>
        <v>Nov</v>
      </c>
      <c r="C1372" s="73">
        <f t="shared" si="660"/>
        <v>15</v>
      </c>
      <c r="D1372" s="74">
        <f t="shared" si="643"/>
        <v>14</v>
      </c>
      <c r="E1372" s="75">
        <f t="shared" si="644"/>
        <v>48</v>
      </c>
      <c r="F1372" s="79"/>
      <c r="G1372" s="82"/>
      <c r="H1372" s="68" t="str">
        <f t="shared" si="661"/>
        <v>Clesim6_20211115_14_00</v>
      </c>
      <c r="I1372" s="69">
        <f t="shared" si="663"/>
        <v>1</v>
      </c>
      <c r="J1372" s="76" t="str">
        <f t="shared" si="663"/>
        <v>Clematis</v>
      </c>
      <c r="K1372" s="76" t="str">
        <f t="shared" si="663"/>
        <v>simense</v>
      </c>
      <c r="L1372" s="77">
        <f t="shared" si="663"/>
        <v>6</v>
      </c>
      <c r="M1372" s="77">
        <f t="shared" si="663"/>
        <v>20</v>
      </c>
      <c r="N1372" s="71">
        <f t="shared" si="663"/>
        <v>0</v>
      </c>
      <c r="O1372" s="44"/>
      <c r="P1372" s="45" t="str">
        <f t="shared" si="645"/>
        <v/>
      </c>
      <c r="Q1372" s="46" t="str">
        <f t="shared" si="646"/>
        <v/>
      </c>
      <c r="R1372" s="47" t="e">
        <f t="shared" si="647"/>
        <v>#VALUE!</v>
      </c>
      <c r="S1372" s="48" t="e">
        <f t="shared" si="636"/>
        <v>#VALUE!</v>
      </c>
      <c r="T1372" s="47" t="str">
        <f t="shared" si="648"/>
        <v/>
      </c>
      <c r="U1372" s="49"/>
      <c r="V1372" s="50"/>
      <c r="W1372" s="51" t="e">
        <f t="shared" si="649"/>
        <v>#VALUE!</v>
      </c>
      <c r="X1372" s="52"/>
      <c r="Y1372" s="52"/>
      <c r="Z1372" s="52"/>
      <c r="AA1372" s="47" t="e">
        <f>INDEX(VISITORS[INSECT ORDER], MATCH(X1372,VISITORS[NAME USED],0))</f>
        <v>#N/A</v>
      </c>
      <c r="AB1372" s="47" t="e">
        <f t="shared" si="650"/>
        <v>#N/A</v>
      </c>
      <c r="AC1372" s="53" t="e">
        <f t="shared" si="651"/>
        <v>#VALUE!</v>
      </c>
      <c r="AD1372" s="54" t="str">
        <f t="shared" si="652"/>
        <v/>
      </c>
      <c r="AE1372" s="54"/>
      <c r="AF1372" s="54"/>
      <c r="AG1372" s="55" t="str">
        <f t="shared" si="653"/>
        <v/>
      </c>
      <c r="AH1372" s="56" t="str">
        <f t="shared" si="654"/>
        <v/>
      </c>
      <c r="AI1372" s="55"/>
      <c r="AJ1372" s="56" t="str">
        <f t="shared" si="655"/>
        <v/>
      </c>
      <c r="AK1372" s="55"/>
      <c r="AL1372" s="56" t="str">
        <f t="shared" si="656"/>
        <v/>
      </c>
      <c r="AM1372" s="55"/>
      <c r="AN1372" s="56" t="str">
        <f t="shared" si="657"/>
        <v/>
      </c>
      <c r="AO1372" s="55"/>
      <c r="AP1372" s="56" t="str">
        <f t="shared" si="658"/>
        <v/>
      </c>
      <c r="AQ1372" s="55"/>
      <c r="AR1372" s="56" t="str">
        <f t="shared" si="659"/>
        <v/>
      </c>
      <c r="AS1372" s="57"/>
      <c r="AT1372" s="58"/>
      <c r="AU1372" s="58"/>
      <c r="AV1372" s="59"/>
      <c r="AW1372" s="60" t="str">
        <f t="shared" si="637"/>
        <v/>
      </c>
      <c r="AX1372" s="61" t="str">
        <f t="shared" si="638"/>
        <v/>
      </c>
      <c r="AY1372" s="60" t="str">
        <f t="shared" si="639"/>
        <v/>
      </c>
      <c r="AZ1372" s="61" t="str">
        <f t="shared" si="640"/>
        <v/>
      </c>
    </row>
    <row r="1373" spans="1:52" s="3" customFormat="1" hidden="1" x14ac:dyDescent="0.35">
      <c r="A1373" s="72">
        <f t="shared" si="641"/>
        <v>2021</v>
      </c>
      <c r="B1373" s="72" t="str">
        <f t="shared" si="642"/>
        <v>Nov</v>
      </c>
      <c r="C1373" s="73">
        <f t="shared" si="660"/>
        <v>15</v>
      </c>
      <c r="D1373" s="74">
        <f t="shared" si="643"/>
        <v>14</v>
      </c>
      <c r="E1373" s="75">
        <f t="shared" si="644"/>
        <v>49</v>
      </c>
      <c r="F1373" s="79"/>
      <c r="G1373" s="82"/>
      <c r="H1373" s="68" t="str">
        <f t="shared" si="661"/>
        <v>Clesim6_20211115_14_00</v>
      </c>
      <c r="I1373" s="69">
        <f t="shared" si="663"/>
        <v>1</v>
      </c>
      <c r="J1373" s="76" t="str">
        <f t="shared" si="663"/>
        <v>Clematis</v>
      </c>
      <c r="K1373" s="76" t="str">
        <f t="shared" si="663"/>
        <v>simense</v>
      </c>
      <c r="L1373" s="77">
        <f t="shared" si="663"/>
        <v>6</v>
      </c>
      <c r="M1373" s="77">
        <f t="shared" si="663"/>
        <v>20</v>
      </c>
      <c r="N1373" s="71">
        <f t="shared" si="663"/>
        <v>0</v>
      </c>
      <c r="O1373" s="44"/>
      <c r="P1373" s="45" t="str">
        <f t="shared" si="645"/>
        <v/>
      </c>
      <c r="Q1373" s="46" t="str">
        <f t="shared" si="646"/>
        <v/>
      </c>
      <c r="R1373" s="47" t="e">
        <f t="shared" si="647"/>
        <v>#VALUE!</v>
      </c>
      <c r="S1373" s="48" t="e">
        <f t="shared" si="636"/>
        <v>#VALUE!</v>
      </c>
      <c r="T1373" s="47" t="str">
        <f t="shared" si="648"/>
        <v/>
      </c>
      <c r="U1373" s="49"/>
      <c r="V1373" s="50"/>
      <c r="W1373" s="51" t="e">
        <f t="shared" si="649"/>
        <v>#VALUE!</v>
      </c>
      <c r="X1373" s="52"/>
      <c r="Y1373" s="52"/>
      <c r="Z1373" s="52"/>
      <c r="AA1373" s="47" t="e">
        <f>INDEX(VISITORS[INSECT ORDER], MATCH(X1373,VISITORS[NAME USED],0))</f>
        <v>#N/A</v>
      </c>
      <c r="AB1373" s="47" t="e">
        <f t="shared" si="650"/>
        <v>#N/A</v>
      </c>
      <c r="AC1373" s="53" t="e">
        <f t="shared" si="651"/>
        <v>#VALUE!</v>
      </c>
      <c r="AD1373" s="54" t="str">
        <f t="shared" si="652"/>
        <v/>
      </c>
      <c r="AE1373" s="54"/>
      <c r="AF1373" s="54"/>
      <c r="AG1373" s="55" t="str">
        <f t="shared" si="653"/>
        <v/>
      </c>
      <c r="AH1373" s="56" t="str">
        <f t="shared" si="654"/>
        <v/>
      </c>
      <c r="AI1373" s="55"/>
      <c r="AJ1373" s="56" t="str">
        <f t="shared" si="655"/>
        <v/>
      </c>
      <c r="AK1373" s="55"/>
      <c r="AL1373" s="56" t="str">
        <f t="shared" si="656"/>
        <v/>
      </c>
      <c r="AM1373" s="55"/>
      <c r="AN1373" s="56" t="str">
        <f t="shared" si="657"/>
        <v/>
      </c>
      <c r="AO1373" s="55"/>
      <c r="AP1373" s="56" t="str">
        <f t="shared" si="658"/>
        <v/>
      </c>
      <c r="AQ1373" s="55"/>
      <c r="AR1373" s="56" t="str">
        <f t="shared" si="659"/>
        <v/>
      </c>
      <c r="AS1373" s="57"/>
      <c r="AT1373" s="58"/>
      <c r="AU1373" s="58"/>
      <c r="AV1373" s="59"/>
      <c r="AW1373" s="60" t="str">
        <f t="shared" si="637"/>
        <v/>
      </c>
      <c r="AX1373" s="61" t="str">
        <f t="shared" si="638"/>
        <v/>
      </c>
      <c r="AY1373" s="60" t="str">
        <f t="shared" si="639"/>
        <v/>
      </c>
      <c r="AZ1373" s="61" t="str">
        <f t="shared" si="640"/>
        <v/>
      </c>
    </row>
    <row r="1374" spans="1:52" s="3" customFormat="1" hidden="1" x14ac:dyDescent="0.35">
      <c r="A1374" s="72">
        <f t="shared" si="641"/>
        <v>2021</v>
      </c>
      <c r="B1374" s="72" t="str">
        <f t="shared" si="642"/>
        <v>Nov</v>
      </c>
      <c r="C1374" s="73">
        <f t="shared" si="660"/>
        <v>15</v>
      </c>
      <c r="D1374" s="74">
        <f t="shared" si="643"/>
        <v>14</v>
      </c>
      <c r="E1374" s="75">
        <f t="shared" si="644"/>
        <v>50</v>
      </c>
      <c r="F1374" s="79"/>
      <c r="G1374" s="82"/>
      <c r="H1374" s="68" t="str">
        <f t="shared" si="661"/>
        <v>Clesim6_20211115_14_00</v>
      </c>
      <c r="I1374" s="69">
        <f t="shared" si="663"/>
        <v>1</v>
      </c>
      <c r="J1374" s="76" t="str">
        <f t="shared" si="663"/>
        <v>Clematis</v>
      </c>
      <c r="K1374" s="76" t="str">
        <f t="shared" si="663"/>
        <v>simense</v>
      </c>
      <c r="L1374" s="77">
        <f t="shared" si="663"/>
        <v>6</v>
      </c>
      <c r="M1374" s="77">
        <f t="shared" si="663"/>
        <v>20</v>
      </c>
      <c r="N1374" s="71">
        <f t="shared" si="663"/>
        <v>0</v>
      </c>
      <c r="O1374" s="44"/>
      <c r="P1374" s="45" t="str">
        <f t="shared" si="645"/>
        <v/>
      </c>
      <c r="Q1374" s="46" t="str">
        <f t="shared" si="646"/>
        <v/>
      </c>
      <c r="R1374" s="47" t="e">
        <f t="shared" si="647"/>
        <v>#VALUE!</v>
      </c>
      <c r="S1374" s="48" t="e">
        <f t="shared" si="636"/>
        <v>#VALUE!</v>
      </c>
      <c r="T1374" s="47" t="str">
        <f t="shared" si="648"/>
        <v/>
      </c>
      <c r="U1374" s="49"/>
      <c r="V1374" s="50"/>
      <c r="W1374" s="51" t="e">
        <f t="shared" si="649"/>
        <v>#VALUE!</v>
      </c>
      <c r="X1374" s="52"/>
      <c r="Y1374" s="52"/>
      <c r="Z1374" s="52"/>
      <c r="AA1374" s="47" t="e">
        <f>INDEX(VISITORS[INSECT ORDER], MATCH(X1374,VISITORS[NAME USED],0))</f>
        <v>#N/A</v>
      </c>
      <c r="AB1374" s="47" t="e">
        <f t="shared" si="650"/>
        <v>#N/A</v>
      </c>
      <c r="AC1374" s="53" t="e">
        <f t="shared" si="651"/>
        <v>#VALUE!</v>
      </c>
      <c r="AD1374" s="54" t="str">
        <f t="shared" si="652"/>
        <v/>
      </c>
      <c r="AE1374" s="54"/>
      <c r="AF1374" s="54"/>
      <c r="AG1374" s="55" t="str">
        <f t="shared" si="653"/>
        <v/>
      </c>
      <c r="AH1374" s="56" t="str">
        <f t="shared" si="654"/>
        <v/>
      </c>
      <c r="AI1374" s="55"/>
      <c r="AJ1374" s="56" t="str">
        <f t="shared" si="655"/>
        <v/>
      </c>
      <c r="AK1374" s="55"/>
      <c r="AL1374" s="56" t="str">
        <f t="shared" si="656"/>
        <v/>
      </c>
      <c r="AM1374" s="55"/>
      <c r="AN1374" s="56" t="str">
        <f t="shared" si="657"/>
        <v/>
      </c>
      <c r="AO1374" s="55"/>
      <c r="AP1374" s="56" t="str">
        <f t="shared" si="658"/>
        <v/>
      </c>
      <c r="AQ1374" s="55"/>
      <c r="AR1374" s="56" t="str">
        <f t="shared" si="659"/>
        <v/>
      </c>
      <c r="AS1374" s="57"/>
      <c r="AT1374" s="58"/>
      <c r="AU1374" s="58"/>
      <c r="AV1374" s="59"/>
      <c r="AW1374" s="60" t="str">
        <f t="shared" si="637"/>
        <v/>
      </c>
      <c r="AX1374" s="61" t="str">
        <f t="shared" si="638"/>
        <v/>
      </c>
      <c r="AY1374" s="60" t="str">
        <f t="shared" si="639"/>
        <v/>
      </c>
      <c r="AZ1374" s="61" t="str">
        <f t="shared" si="640"/>
        <v/>
      </c>
    </row>
    <row r="1375" spans="1:52" s="3" customFormat="1" hidden="1" x14ac:dyDescent="0.35">
      <c r="A1375" s="72">
        <f t="shared" si="641"/>
        <v>2021</v>
      </c>
      <c r="B1375" s="72" t="str">
        <f t="shared" si="642"/>
        <v>Nov</v>
      </c>
      <c r="C1375" s="73">
        <f t="shared" si="660"/>
        <v>15</v>
      </c>
      <c r="D1375" s="74">
        <f t="shared" si="643"/>
        <v>14</v>
      </c>
      <c r="E1375" s="75">
        <f t="shared" si="644"/>
        <v>51</v>
      </c>
      <c r="F1375" s="79"/>
      <c r="G1375" s="82"/>
      <c r="H1375" s="68" t="str">
        <f t="shared" si="661"/>
        <v>Clesim6_20211115_14_00</v>
      </c>
      <c r="I1375" s="69">
        <f t="shared" si="663"/>
        <v>1</v>
      </c>
      <c r="J1375" s="76" t="str">
        <f t="shared" si="663"/>
        <v>Clematis</v>
      </c>
      <c r="K1375" s="76" t="str">
        <f t="shared" si="663"/>
        <v>simense</v>
      </c>
      <c r="L1375" s="77">
        <f t="shared" si="663"/>
        <v>6</v>
      </c>
      <c r="M1375" s="77">
        <f t="shared" si="663"/>
        <v>20</v>
      </c>
      <c r="N1375" s="71">
        <f t="shared" si="663"/>
        <v>0</v>
      </c>
      <c r="O1375" s="44"/>
      <c r="P1375" s="45" t="str">
        <f t="shared" si="645"/>
        <v/>
      </c>
      <c r="Q1375" s="46" t="str">
        <f t="shared" si="646"/>
        <v/>
      </c>
      <c r="R1375" s="47" t="e">
        <f t="shared" si="647"/>
        <v>#VALUE!</v>
      </c>
      <c r="S1375" s="48" t="e">
        <f t="shared" si="636"/>
        <v>#VALUE!</v>
      </c>
      <c r="T1375" s="47" t="str">
        <f t="shared" si="648"/>
        <v/>
      </c>
      <c r="U1375" s="49"/>
      <c r="V1375" s="50"/>
      <c r="W1375" s="51" t="e">
        <f t="shared" si="649"/>
        <v>#VALUE!</v>
      </c>
      <c r="X1375" s="52"/>
      <c r="Y1375" s="52"/>
      <c r="Z1375" s="52"/>
      <c r="AA1375" s="47" t="e">
        <f>INDEX(VISITORS[INSECT ORDER], MATCH(X1375,VISITORS[NAME USED],0))</f>
        <v>#N/A</v>
      </c>
      <c r="AB1375" s="47" t="e">
        <f t="shared" si="650"/>
        <v>#N/A</v>
      </c>
      <c r="AC1375" s="53" t="e">
        <f t="shared" si="651"/>
        <v>#VALUE!</v>
      </c>
      <c r="AD1375" s="54" t="str">
        <f t="shared" si="652"/>
        <v/>
      </c>
      <c r="AE1375" s="54"/>
      <c r="AF1375" s="54"/>
      <c r="AG1375" s="55" t="str">
        <f t="shared" si="653"/>
        <v/>
      </c>
      <c r="AH1375" s="56" t="str">
        <f t="shared" si="654"/>
        <v/>
      </c>
      <c r="AI1375" s="55"/>
      <c r="AJ1375" s="56" t="str">
        <f t="shared" si="655"/>
        <v/>
      </c>
      <c r="AK1375" s="55"/>
      <c r="AL1375" s="56" t="str">
        <f t="shared" si="656"/>
        <v/>
      </c>
      <c r="AM1375" s="55"/>
      <c r="AN1375" s="56" t="str">
        <f t="shared" si="657"/>
        <v/>
      </c>
      <c r="AO1375" s="55"/>
      <c r="AP1375" s="56" t="str">
        <f t="shared" si="658"/>
        <v/>
      </c>
      <c r="AQ1375" s="55"/>
      <c r="AR1375" s="56" t="str">
        <f t="shared" si="659"/>
        <v/>
      </c>
      <c r="AS1375" s="57"/>
      <c r="AT1375" s="58"/>
      <c r="AU1375" s="58"/>
      <c r="AV1375" s="59"/>
      <c r="AW1375" s="60" t="str">
        <f t="shared" si="637"/>
        <v/>
      </c>
      <c r="AX1375" s="61" t="str">
        <f t="shared" si="638"/>
        <v/>
      </c>
      <c r="AY1375" s="60" t="str">
        <f t="shared" si="639"/>
        <v/>
      </c>
      <c r="AZ1375" s="61" t="str">
        <f t="shared" si="640"/>
        <v/>
      </c>
    </row>
    <row r="1376" spans="1:52" s="3" customFormat="1" hidden="1" x14ac:dyDescent="0.35">
      <c r="A1376" s="72">
        <f t="shared" si="641"/>
        <v>2021</v>
      </c>
      <c r="B1376" s="72" t="str">
        <f t="shared" si="642"/>
        <v>Nov</v>
      </c>
      <c r="C1376" s="73">
        <f t="shared" si="660"/>
        <v>15</v>
      </c>
      <c r="D1376" s="74">
        <f t="shared" si="643"/>
        <v>14</v>
      </c>
      <c r="E1376" s="75">
        <f t="shared" si="644"/>
        <v>52</v>
      </c>
      <c r="F1376" s="79"/>
      <c r="G1376" s="82"/>
      <c r="H1376" s="68" t="str">
        <f t="shared" si="661"/>
        <v>Clesim6_20211115_14_00</v>
      </c>
      <c r="I1376" s="69">
        <f t="shared" si="663"/>
        <v>1</v>
      </c>
      <c r="J1376" s="76" t="str">
        <f t="shared" si="663"/>
        <v>Clematis</v>
      </c>
      <c r="K1376" s="76" t="str">
        <f t="shared" si="663"/>
        <v>simense</v>
      </c>
      <c r="L1376" s="77">
        <f t="shared" si="663"/>
        <v>6</v>
      </c>
      <c r="M1376" s="77">
        <f t="shared" si="663"/>
        <v>20</v>
      </c>
      <c r="N1376" s="71">
        <f t="shared" si="663"/>
        <v>0</v>
      </c>
      <c r="O1376" s="44"/>
      <c r="P1376" s="45" t="str">
        <f t="shared" si="645"/>
        <v/>
      </c>
      <c r="Q1376" s="46" t="str">
        <f t="shared" si="646"/>
        <v/>
      </c>
      <c r="R1376" s="47" t="e">
        <f t="shared" si="647"/>
        <v>#VALUE!</v>
      </c>
      <c r="S1376" s="48" t="e">
        <f t="shared" si="636"/>
        <v>#VALUE!</v>
      </c>
      <c r="T1376" s="47" t="str">
        <f t="shared" si="648"/>
        <v/>
      </c>
      <c r="U1376" s="49"/>
      <c r="V1376" s="50"/>
      <c r="W1376" s="51" t="e">
        <f t="shared" si="649"/>
        <v>#VALUE!</v>
      </c>
      <c r="X1376" s="52"/>
      <c r="Y1376" s="52"/>
      <c r="Z1376" s="52"/>
      <c r="AA1376" s="47" t="e">
        <f>INDEX(VISITORS[INSECT ORDER], MATCH(X1376,VISITORS[NAME USED],0))</f>
        <v>#N/A</v>
      </c>
      <c r="AB1376" s="47" t="e">
        <f t="shared" si="650"/>
        <v>#N/A</v>
      </c>
      <c r="AC1376" s="53" t="e">
        <f t="shared" si="651"/>
        <v>#VALUE!</v>
      </c>
      <c r="AD1376" s="54" t="str">
        <f t="shared" si="652"/>
        <v/>
      </c>
      <c r="AE1376" s="54"/>
      <c r="AF1376" s="54"/>
      <c r="AG1376" s="55" t="str">
        <f t="shared" si="653"/>
        <v/>
      </c>
      <c r="AH1376" s="56" t="str">
        <f t="shared" si="654"/>
        <v/>
      </c>
      <c r="AI1376" s="55"/>
      <c r="AJ1376" s="56" t="str">
        <f t="shared" si="655"/>
        <v/>
      </c>
      <c r="AK1376" s="55"/>
      <c r="AL1376" s="56" t="str">
        <f t="shared" si="656"/>
        <v/>
      </c>
      <c r="AM1376" s="55"/>
      <c r="AN1376" s="56" t="str">
        <f t="shared" si="657"/>
        <v/>
      </c>
      <c r="AO1376" s="55"/>
      <c r="AP1376" s="56" t="str">
        <f t="shared" si="658"/>
        <v/>
      </c>
      <c r="AQ1376" s="55"/>
      <c r="AR1376" s="56" t="str">
        <f t="shared" si="659"/>
        <v/>
      </c>
      <c r="AS1376" s="57"/>
      <c r="AT1376" s="58"/>
      <c r="AU1376" s="58"/>
      <c r="AV1376" s="59"/>
      <c r="AW1376" s="60" t="str">
        <f t="shared" si="637"/>
        <v/>
      </c>
      <c r="AX1376" s="61" t="str">
        <f t="shared" si="638"/>
        <v/>
      </c>
      <c r="AY1376" s="60" t="str">
        <f t="shared" si="639"/>
        <v/>
      </c>
      <c r="AZ1376" s="61" t="str">
        <f t="shared" si="640"/>
        <v/>
      </c>
    </row>
    <row r="1377" spans="1:52" s="3" customFormat="1" hidden="1" x14ac:dyDescent="0.35">
      <c r="A1377" s="72">
        <f t="shared" si="641"/>
        <v>2021</v>
      </c>
      <c r="B1377" s="72" t="str">
        <f t="shared" si="642"/>
        <v>Nov</v>
      </c>
      <c r="C1377" s="73">
        <f t="shared" si="660"/>
        <v>15</v>
      </c>
      <c r="D1377" s="74">
        <f t="shared" si="643"/>
        <v>14</v>
      </c>
      <c r="E1377" s="75">
        <f t="shared" si="644"/>
        <v>53</v>
      </c>
      <c r="F1377" s="79"/>
      <c r="G1377" s="82"/>
      <c r="H1377" s="68" t="str">
        <f t="shared" si="661"/>
        <v>Clesim6_20211115_14_00</v>
      </c>
      <c r="I1377" s="69">
        <f t="shared" si="663"/>
        <v>1</v>
      </c>
      <c r="J1377" s="76" t="str">
        <f t="shared" si="663"/>
        <v>Clematis</v>
      </c>
      <c r="K1377" s="76" t="str">
        <f t="shared" si="663"/>
        <v>simense</v>
      </c>
      <c r="L1377" s="77">
        <f t="shared" si="663"/>
        <v>6</v>
      </c>
      <c r="M1377" s="77">
        <f t="shared" si="663"/>
        <v>20</v>
      </c>
      <c r="N1377" s="71">
        <f t="shared" si="663"/>
        <v>0</v>
      </c>
      <c r="O1377" s="44"/>
      <c r="P1377" s="45" t="str">
        <f t="shared" si="645"/>
        <v/>
      </c>
      <c r="Q1377" s="46" t="str">
        <f t="shared" si="646"/>
        <v/>
      </c>
      <c r="R1377" s="47" t="e">
        <f t="shared" si="647"/>
        <v>#VALUE!</v>
      </c>
      <c r="S1377" s="48" t="e">
        <f t="shared" si="636"/>
        <v>#VALUE!</v>
      </c>
      <c r="T1377" s="47" t="str">
        <f t="shared" si="648"/>
        <v/>
      </c>
      <c r="U1377" s="49"/>
      <c r="V1377" s="50"/>
      <c r="W1377" s="51" t="e">
        <f t="shared" si="649"/>
        <v>#VALUE!</v>
      </c>
      <c r="X1377" s="52"/>
      <c r="Y1377" s="52"/>
      <c r="Z1377" s="52"/>
      <c r="AA1377" s="47" t="e">
        <f>INDEX(VISITORS[INSECT ORDER], MATCH(X1377,VISITORS[NAME USED],0))</f>
        <v>#N/A</v>
      </c>
      <c r="AB1377" s="47" t="e">
        <f t="shared" si="650"/>
        <v>#N/A</v>
      </c>
      <c r="AC1377" s="53" t="e">
        <f t="shared" si="651"/>
        <v>#VALUE!</v>
      </c>
      <c r="AD1377" s="54" t="str">
        <f t="shared" si="652"/>
        <v/>
      </c>
      <c r="AE1377" s="54"/>
      <c r="AF1377" s="54"/>
      <c r="AG1377" s="55" t="str">
        <f t="shared" si="653"/>
        <v/>
      </c>
      <c r="AH1377" s="56" t="str">
        <f t="shared" si="654"/>
        <v/>
      </c>
      <c r="AI1377" s="55"/>
      <c r="AJ1377" s="56" t="str">
        <f t="shared" si="655"/>
        <v/>
      </c>
      <c r="AK1377" s="55"/>
      <c r="AL1377" s="56" t="str">
        <f t="shared" si="656"/>
        <v/>
      </c>
      <c r="AM1377" s="55"/>
      <c r="AN1377" s="56" t="str">
        <f t="shared" si="657"/>
        <v/>
      </c>
      <c r="AO1377" s="55"/>
      <c r="AP1377" s="56" t="str">
        <f t="shared" si="658"/>
        <v/>
      </c>
      <c r="AQ1377" s="55"/>
      <c r="AR1377" s="56" t="str">
        <f t="shared" si="659"/>
        <v/>
      </c>
      <c r="AS1377" s="57"/>
      <c r="AT1377" s="58"/>
      <c r="AU1377" s="58"/>
      <c r="AV1377" s="59"/>
      <c r="AW1377" s="60" t="str">
        <f t="shared" si="637"/>
        <v/>
      </c>
      <c r="AX1377" s="61" t="str">
        <f t="shared" si="638"/>
        <v/>
      </c>
      <c r="AY1377" s="60" t="str">
        <f t="shared" si="639"/>
        <v/>
      </c>
      <c r="AZ1377" s="61" t="str">
        <f t="shared" si="640"/>
        <v/>
      </c>
    </row>
    <row r="1378" spans="1:52" s="3" customFormat="1" x14ac:dyDescent="0.35">
      <c r="A1378" s="72">
        <f t="shared" si="641"/>
        <v>2021</v>
      </c>
      <c r="B1378" s="72" t="str">
        <f t="shared" si="642"/>
        <v>Nov</v>
      </c>
      <c r="C1378" s="73">
        <f t="shared" si="660"/>
        <v>15</v>
      </c>
      <c r="D1378" s="74">
        <f t="shared" si="643"/>
        <v>14</v>
      </c>
      <c r="E1378" s="75">
        <f t="shared" si="644"/>
        <v>54</v>
      </c>
      <c r="F1378" s="79">
        <v>15</v>
      </c>
      <c r="G1378" s="82"/>
      <c r="H1378" s="68" t="str">
        <f t="shared" si="661"/>
        <v>Clesim6_20211115_14_00</v>
      </c>
      <c r="I1378" s="69">
        <f t="shared" si="663"/>
        <v>1</v>
      </c>
      <c r="J1378" s="76" t="str">
        <f t="shared" si="663"/>
        <v>Clematis</v>
      </c>
      <c r="K1378" s="76" t="str">
        <f t="shared" si="663"/>
        <v>simense</v>
      </c>
      <c r="L1378" s="77">
        <f t="shared" si="663"/>
        <v>6</v>
      </c>
      <c r="M1378" s="77">
        <f t="shared" si="663"/>
        <v>20</v>
      </c>
      <c r="N1378" s="71">
        <f t="shared" si="663"/>
        <v>0</v>
      </c>
      <c r="O1378" s="44"/>
      <c r="P1378" s="45">
        <f t="shared" si="645"/>
        <v>1</v>
      </c>
      <c r="Q1378" s="46" t="str">
        <f t="shared" si="646"/>
        <v>14:54:15</v>
      </c>
      <c r="R1378" s="47" t="str">
        <f t="shared" si="647"/>
        <v>54:15</v>
      </c>
      <c r="S1378" s="48">
        <f t="shared" si="636"/>
        <v>124</v>
      </c>
      <c r="T1378" s="47" t="str">
        <f t="shared" si="648"/>
        <v>14</v>
      </c>
      <c r="U1378" s="49">
        <v>56</v>
      </c>
      <c r="V1378" s="50">
        <v>19</v>
      </c>
      <c r="W1378" s="51" t="str">
        <f t="shared" si="649"/>
        <v>56:19</v>
      </c>
      <c r="X1378" s="123" t="s">
        <v>66</v>
      </c>
      <c r="Y1378" s="52" t="s">
        <v>84</v>
      </c>
      <c r="Z1378" s="52"/>
      <c r="AA1378" s="47" t="s">
        <v>67</v>
      </c>
      <c r="AB1378" s="47" t="str">
        <f t="shared" si="650"/>
        <v>NA</v>
      </c>
      <c r="AC1378" s="53" t="str">
        <f t="shared" si="651"/>
        <v/>
      </c>
      <c r="AD1378" s="54">
        <f t="shared" si="652"/>
        <v>1</v>
      </c>
      <c r="AE1378" s="54"/>
      <c r="AF1378" s="54"/>
      <c r="AG1378" s="55" t="str">
        <f t="shared" si="653"/>
        <v/>
      </c>
      <c r="AH1378" s="56" t="str">
        <f t="shared" si="654"/>
        <v/>
      </c>
      <c r="AI1378" s="55"/>
      <c r="AJ1378" s="56" t="str">
        <f t="shared" si="655"/>
        <v/>
      </c>
      <c r="AK1378" s="55"/>
      <c r="AL1378" s="56" t="str">
        <f t="shared" si="656"/>
        <v/>
      </c>
      <c r="AM1378" s="55"/>
      <c r="AN1378" s="56" t="str">
        <f t="shared" si="657"/>
        <v/>
      </c>
      <c r="AO1378" s="55"/>
      <c r="AP1378" s="56" t="str">
        <f t="shared" si="658"/>
        <v/>
      </c>
      <c r="AQ1378" s="55"/>
      <c r="AR1378" s="56" t="str">
        <f t="shared" si="659"/>
        <v/>
      </c>
      <c r="AS1378" s="57"/>
      <c r="AT1378" s="58"/>
      <c r="AU1378" s="58"/>
      <c r="AV1378" s="59"/>
      <c r="AW1378" s="60">
        <f t="shared" si="637"/>
        <v>0</v>
      </c>
      <c r="AX1378" s="61" t="str">
        <f t="shared" si="638"/>
        <v/>
      </c>
      <c r="AY1378" s="60">
        <f t="shared" si="639"/>
        <v>0</v>
      </c>
      <c r="AZ1378" s="61" t="str">
        <f t="shared" si="640"/>
        <v/>
      </c>
    </row>
    <row r="1379" spans="1:52" s="3" customFormat="1" hidden="1" x14ac:dyDescent="0.35">
      <c r="A1379" s="72">
        <f t="shared" si="641"/>
        <v>2021</v>
      </c>
      <c r="B1379" s="72" t="str">
        <f t="shared" si="642"/>
        <v>Nov</v>
      </c>
      <c r="C1379" s="73">
        <f t="shared" si="660"/>
        <v>15</v>
      </c>
      <c r="D1379" s="74">
        <f t="shared" si="643"/>
        <v>14</v>
      </c>
      <c r="E1379" s="75">
        <f t="shared" si="644"/>
        <v>55</v>
      </c>
      <c r="F1379" s="79"/>
      <c r="G1379" s="82"/>
      <c r="H1379" s="68" t="str">
        <f t="shared" si="661"/>
        <v>Clesim6_20211115_14_00</v>
      </c>
      <c r="I1379" s="69">
        <f t="shared" si="663"/>
        <v>1</v>
      </c>
      <c r="J1379" s="76" t="str">
        <f t="shared" si="663"/>
        <v>Clematis</v>
      </c>
      <c r="K1379" s="76" t="str">
        <f t="shared" si="663"/>
        <v>simense</v>
      </c>
      <c r="L1379" s="77">
        <f t="shared" si="663"/>
        <v>6</v>
      </c>
      <c r="M1379" s="77">
        <f t="shared" si="663"/>
        <v>20</v>
      </c>
      <c r="N1379" s="71">
        <f t="shared" si="663"/>
        <v>0</v>
      </c>
      <c r="O1379" s="44"/>
      <c r="P1379" s="45" t="str">
        <f t="shared" si="645"/>
        <v/>
      </c>
      <c r="Q1379" s="46" t="str">
        <f t="shared" si="646"/>
        <v/>
      </c>
      <c r="R1379" s="47" t="e">
        <f t="shared" si="647"/>
        <v>#VALUE!</v>
      </c>
      <c r="S1379" s="48" t="e">
        <f t="shared" si="636"/>
        <v>#VALUE!</v>
      </c>
      <c r="T1379" s="47" t="str">
        <f t="shared" si="648"/>
        <v/>
      </c>
      <c r="U1379" s="49"/>
      <c r="V1379" s="50"/>
      <c r="W1379" s="51" t="e">
        <f t="shared" si="649"/>
        <v>#VALUE!</v>
      </c>
      <c r="X1379" s="52"/>
      <c r="Y1379" s="52"/>
      <c r="Z1379" s="52"/>
      <c r="AA1379" s="47" t="e">
        <f>INDEX(VISITORS[INSECT ORDER], MATCH(X1379,VISITORS[NAME USED],0))</f>
        <v>#N/A</v>
      </c>
      <c r="AB1379" s="47" t="e">
        <f t="shared" si="650"/>
        <v>#N/A</v>
      </c>
      <c r="AC1379" s="53" t="e">
        <f t="shared" si="651"/>
        <v>#VALUE!</v>
      </c>
      <c r="AD1379" s="54" t="str">
        <f t="shared" si="652"/>
        <v/>
      </c>
      <c r="AE1379" s="54"/>
      <c r="AF1379" s="54"/>
      <c r="AG1379" s="55" t="str">
        <f t="shared" si="653"/>
        <v/>
      </c>
      <c r="AH1379" s="56" t="str">
        <f t="shared" si="654"/>
        <v/>
      </c>
      <c r="AI1379" s="55"/>
      <c r="AJ1379" s="56" t="str">
        <f t="shared" si="655"/>
        <v/>
      </c>
      <c r="AK1379" s="55"/>
      <c r="AL1379" s="56" t="str">
        <f t="shared" si="656"/>
        <v/>
      </c>
      <c r="AM1379" s="55"/>
      <c r="AN1379" s="56" t="str">
        <f t="shared" si="657"/>
        <v/>
      </c>
      <c r="AO1379" s="55"/>
      <c r="AP1379" s="56" t="str">
        <f t="shared" si="658"/>
        <v/>
      </c>
      <c r="AQ1379" s="55"/>
      <c r="AR1379" s="56" t="str">
        <f t="shared" si="659"/>
        <v/>
      </c>
      <c r="AS1379" s="57"/>
      <c r="AT1379" s="58"/>
      <c r="AU1379" s="58"/>
      <c r="AV1379" s="59"/>
      <c r="AW1379" s="60" t="str">
        <f t="shared" si="637"/>
        <v/>
      </c>
      <c r="AX1379" s="61" t="str">
        <f t="shared" si="638"/>
        <v/>
      </c>
      <c r="AY1379" s="60" t="str">
        <f t="shared" si="639"/>
        <v/>
      </c>
      <c r="AZ1379" s="61" t="str">
        <f t="shared" si="640"/>
        <v/>
      </c>
    </row>
    <row r="1380" spans="1:52" s="3" customFormat="1" hidden="1" x14ac:dyDescent="0.35">
      <c r="A1380" s="72">
        <f t="shared" si="641"/>
        <v>2021</v>
      </c>
      <c r="B1380" s="72" t="str">
        <f t="shared" si="642"/>
        <v>Nov</v>
      </c>
      <c r="C1380" s="73">
        <f t="shared" si="660"/>
        <v>15</v>
      </c>
      <c r="D1380" s="74">
        <f t="shared" si="643"/>
        <v>14</v>
      </c>
      <c r="E1380" s="75">
        <f t="shared" si="644"/>
        <v>56</v>
      </c>
      <c r="F1380" s="79"/>
      <c r="G1380" s="82"/>
      <c r="H1380" s="68" t="str">
        <f t="shared" si="661"/>
        <v>Clesim6_20211115_14_00</v>
      </c>
      <c r="I1380" s="69">
        <f t="shared" si="663"/>
        <v>1</v>
      </c>
      <c r="J1380" s="76" t="str">
        <f t="shared" si="663"/>
        <v>Clematis</v>
      </c>
      <c r="K1380" s="76" t="str">
        <f t="shared" si="663"/>
        <v>simense</v>
      </c>
      <c r="L1380" s="77">
        <f t="shared" si="663"/>
        <v>6</v>
      </c>
      <c r="M1380" s="77">
        <f t="shared" si="663"/>
        <v>20</v>
      </c>
      <c r="N1380" s="71">
        <f t="shared" si="663"/>
        <v>0</v>
      </c>
      <c r="O1380" s="44"/>
      <c r="P1380" s="45" t="str">
        <f t="shared" si="645"/>
        <v/>
      </c>
      <c r="Q1380" s="46" t="str">
        <f t="shared" si="646"/>
        <v/>
      </c>
      <c r="R1380" s="47" t="e">
        <f t="shared" si="647"/>
        <v>#VALUE!</v>
      </c>
      <c r="S1380" s="48" t="e">
        <f t="shared" si="636"/>
        <v>#VALUE!</v>
      </c>
      <c r="T1380" s="47" t="str">
        <f t="shared" si="648"/>
        <v/>
      </c>
      <c r="U1380" s="49"/>
      <c r="V1380" s="50"/>
      <c r="W1380" s="51" t="e">
        <f t="shared" si="649"/>
        <v>#VALUE!</v>
      </c>
      <c r="X1380" s="52"/>
      <c r="Y1380" s="52"/>
      <c r="Z1380" s="52"/>
      <c r="AA1380" s="47" t="e">
        <f>INDEX(VISITORS[INSECT ORDER], MATCH(X1380,VISITORS[NAME USED],0))</f>
        <v>#N/A</v>
      </c>
      <c r="AB1380" s="47" t="e">
        <f t="shared" si="650"/>
        <v>#N/A</v>
      </c>
      <c r="AC1380" s="53" t="e">
        <f t="shared" si="651"/>
        <v>#VALUE!</v>
      </c>
      <c r="AD1380" s="54" t="str">
        <f t="shared" si="652"/>
        <v/>
      </c>
      <c r="AE1380" s="54"/>
      <c r="AF1380" s="54"/>
      <c r="AG1380" s="55" t="str">
        <f t="shared" si="653"/>
        <v/>
      </c>
      <c r="AH1380" s="56" t="str">
        <f t="shared" si="654"/>
        <v/>
      </c>
      <c r="AI1380" s="55"/>
      <c r="AJ1380" s="56" t="str">
        <f t="shared" si="655"/>
        <v/>
      </c>
      <c r="AK1380" s="55"/>
      <c r="AL1380" s="56" t="str">
        <f t="shared" si="656"/>
        <v/>
      </c>
      <c r="AM1380" s="55"/>
      <c r="AN1380" s="56" t="str">
        <f t="shared" si="657"/>
        <v/>
      </c>
      <c r="AO1380" s="55"/>
      <c r="AP1380" s="56" t="str">
        <f t="shared" si="658"/>
        <v/>
      </c>
      <c r="AQ1380" s="55"/>
      <c r="AR1380" s="56" t="str">
        <f t="shared" si="659"/>
        <v/>
      </c>
      <c r="AS1380" s="57"/>
      <c r="AT1380" s="58"/>
      <c r="AU1380" s="58"/>
      <c r="AV1380" s="59"/>
      <c r="AW1380" s="60" t="str">
        <f t="shared" si="637"/>
        <v/>
      </c>
      <c r="AX1380" s="61" t="str">
        <f t="shared" si="638"/>
        <v/>
      </c>
      <c r="AY1380" s="60" t="str">
        <f t="shared" si="639"/>
        <v/>
      </c>
      <c r="AZ1380" s="61" t="str">
        <f t="shared" si="640"/>
        <v/>
      </c>
    </row>
    <row r="1381" spans="1:52" s="3" customFormat="1" hidden="1" x14ac:dyDescent="0.35">
      <c r="A1381" s="72">
        <f t="shared" si="641"/>
        <v>2021</v>
      </c>
      <c r="B1381" s="72" t="str">
        <f t="shared" si="642"/>
        <v>Nov</v>
      </c>
      <c r="C1381" s="73">
        <f t="shared" si="660"/>
        <v>15</v>
      </c>
      <c r="D1381" s="74">
        <f t="shared" si="643"/>
        <v>14</v>
      </c>
      <c r="E1381" s="75">
        <f t="shared" si="644"/>
        <v>57</v>
      </c>
      <c r="F1381" s="79"/>
      <c r="G1381" s="82"/>
      <c r="H1381" s="68" t="str">
        <f t="shared" si="661"/>
        <v>Clesim6_20211115_14_00</v>
      </c>
      <c r="I1381" s="69">
        <f t="shared" si="663"/>
        <v>1</v>
      </c>
      <c r="J1381" s="76" t="str">
        <f t="shared" si="663"/>
        <v>Clematis</v>
      </c>
      <c r="K1381" s="76" t="str">
        <f t="shared" si="663"/>
        <v>simense</v>
      </c>
      <c r="L1381" s="77">
        <f t="shared" si="663"/>
        <v>6</v>
      </c>
      <c r="M1381" s="77">
        <f t="shared" si="663"/>
        <v>20</v>
      </c>
      <c r="N1381" s="71">
        <f t="shared" si="663"/>
        <v>0</v>
      </c>
      <c r="O1381" s="44"/>
      <c r="P1381" s="45" t="str">
        <f t="shared" si="645"/>
        <v/>
      </c>
      <c r="Q1381" s="46" t="str">
        <f t="shared" si="646"/>
        <v/>
      </c>
      <c r="R1381" s="47" t="e">
        <f t="shared" si="647"/>
        <v>#VALUE!</v>
      </c>
      <c r="S1381" s="48" t="e">
        <f t="shared" si="636"/>
        <v>#VALUE!</v>
      </c>
      <c r="T1381" s="47" t="str">
        <f t="shared" si="648"/>
        <v/>
      </c>
      <c r="U1381" s="49"/>
      <c r="V1381" s="50"/>
      <c r="W1381" s="51" t="e">
        <f t="shared" si="649"/>
        <v>#VALUE!</v>
      </c>
      <c r="X1381" s="52"/>
      <c r="Y1381" s="52"/>
      <c r="Z1381" s="52"/>
      <c r="AA1381" s="47" t="e">
        <f>INDEX(VISITORS[INSECT ORDER], MATCH(X1381,VISITORS[NAME USED],0))</f>
        <v>#N/A</v>
      </c>
      <c r="AB1381" s="47" t="e">
        <f t="shared" si="650"/>
        <v>#N/A</v>
      </c>
      <c r="AC1381" s="53" t="e">
        <f t="shared" si="651"/>
        <v>#VALUE!</v>
      </c>
      <c r="AD1381" s="54" t="str">
        <f t="shared" si="652"/>
        <v/>
      </c>
      <c r="AE1381" s="54"/>
      <c r="AF1381" s="54"/>
      <c r="AG1381" s="55" t="str">
        <f t="shared" si="653"/>
        <v/>
      </c>
      <c r="AH1381" s="56" t="str">
        <f t="shared" si="654"/>
        <v/>
      </c>
      <c r="AI1381" s="55"/>
      <c r="AJ1381" s="56" t="str">
        <f t="shared" si="655"/>
        <v/>
      </c>
      <c r="AK1381" s="55"/>
      <c r="AL1381" s="56" t="str">
        <f t="shared" si="656"/>
        <v/>
      </c>
      <c r="AM1381" s="55"/>
      <c r="AN1381" s="56" t="str">
        <f t="shared" si="657"/>
        <v/>
      </c>
      <c r="AO1381" s="55"/>
      <c r="AP1381" s="56" t="str">
        <f t="shared" si="658"/>
        <v/>
      </c>
      <c r="AQ1381" s="55"/>
      <c r="AR1381" s="56" t="str">
        <f t="shared" si="659"/>
        <v/>
      </c>
      <c r="AS1381" s="57"/>
      <c r="AT1381" s="58"/>
      <c r="AU1381" s="58"/>
      <c r="AV1381" s="59"/>
      <c r="AW1381" s="60" t="str">
        <f t="shared" si="637"/>
        <v/>
      </c>
      <c r="AX1381" s="61" t="str">
        <f t="shared" si="638"/>
        <v/>
      </c>
      <c r="AY1381" s="60" t="str">
        <f t="shared" si="639"/>
        <v/>
      </c>
      <c r="AZ1381" s="61" t="str">
        <f t="shared" si="640"/>
        <v/>
      </c>
    </row>
    <row r="1382" spans="1:52" s="3" customFormat="1" hidden="1" x14ac:dyDescent="0.35">
      <c r="A1382" s="72">
        <f t="shared" si="641"/>
        <v>2021</v>
      </c>
      <c r="B1382" s="72" t="str">
        <f t="shared" si="642"/>
        <v>Nov</v>
      </c>
      <c r="C1382" s="73">
        <f t="shared" si="660"/>
        <v>15</v>
      </c>
      <c r="D1382" s="74">
        <f t="shared" si="643"/>
        <v>14</v>
      </c>
      <c r="E1382" s="75">
        <f t="shared" si="644"/>
        <v>58</v>
      </c>
      <c r="F1382" s="79"/>
      <c r="G1382" s="82"/>
      <c r="H1382" s="68" t="str">
        <f t="shared" si="661"/>
        <v>Clesim6_20211115_14_00</v>
      </c>
      <c r="I1382" s="69">
        <f t="shared" ref="I1382:N1397" si="664">I1381</f>
        <v>1</v>
      </c>
      <c r="J1382" s="76" t="str">
        <f t="shared" si="664"/>
        <v>Clematis</v>
      </c>
      <c r="K1382" s="76" t="str">
        <f t="shared" si="664"/>
        <v>simense</v>
      </c>
      <c r="L1382" s="77">
        <f t="shared" si="664"/>
        <v>6</v>
      </c>
      <c r="M1382" s="77">
        <f t="shared" si="664"/>
        <v>20</v>
      </c>
      <c r="N1382" s="71">
        <f t="shared" si="664"/>
        <v>0</v>
      </c>
      <c r="O1382" s="44"/>
      <c r="P1382" s="45" t="str">
        <f t="shared" si="645"/>
        <v/>
      </c>
      <c r="Q1382" s="46" t="str">
        <f t="shared" si="646"/>
        <v/>
      </c>
      <c r="R1382" s="47" t="e">
        <f t="shared" si="647"/>
        <v>#VALUE!</v>
      </c>
      <c r="S1382" s="48" t="e">
        <f t="shared" si="636"/>
        <v>#VALUE!</v>
      </c>
      <c r="T1382" s="47" t="str">
        <f t="shared" si="648"/>
        <v/>
      </c>
      <c r="U1382" s="49"/>
      <c r="V1382" s="50"/>
      <c r="W1382" s="51" t="e">
        <f t="shared" si="649"/>
        <v>#VALUE!</v>
      </c>
      <c r="X1382" s="52"/>
      <c r="Y1382" s="52"/>
      <c r="Z1382" s="52"/>
      <c r="AA1382" s="47" t="e">
        <f>INDEX(VISITORS[INSECT ORDER], MATCH(X1382,VISITORS[NAME USED],0))</f>
        <v>#N/A</v>
      </c>
      <c r="AB1382" s="47" t="e">
        <f t="shared" si="650"/>
        <v>#N/A</v>
      </c>
      <c r="AC1382" s="53" t="e">
        <f t="shared" si="651"/>
        <v>#VALUE!</v>
      </c>
      <c r="AD1382" s="54" t="str">
        <f t="shared" si="652"/>
        <v/>
      </c>
      <c r="AE1382" s="54"/>
      <c r="AF1382" s="54"/>
      <c r="AG1382" s="55" t="str">
        <f t="shared" si="653"/>
        <v/>
      </c>
      <c r="AH1382" s="56" t="str">
        <f t="shared" si="654"/>
        <v/>
      </c>
      <c r="AI1382" s="55"/>
      <c r="AJ1382" s="56" t="str">
        <f t="shared" si="655"/>
        <v/>
      </c>
      <c r="AK1382" s="55"/>
      <c r="AL1382" s="56" t="str">
        <f t="shared" si="656"/>
        <v/>
      </c>
      <c r="AM1382" s="55"/>
      <c r="AN1382" s="56" t="str">
        <f t="shared" si="657"/>
        <v/>
      </c>
      <c r="AO1382" s="55"/>
      <c r="AP1382" s="56" t="str">
        <f t="shared" si="658"/>
        <v/>
      </c>
      <c r="AQ1382" s="55"/>
      <c r="AR1382" s="56" t="str">
        <f t="shared" si="659"/>
        <v/>
      </c>
      <c r="AS1382" s="57"/>
      <c r="AT1382" s="58"/>
      <c r="AU1382" s="58"/>
      <c r="AV1382" s="59"/>
      <c r="AW1382" s="60" t="str">
        <f t="shared" si="637"/>
        <v/>
      </c>
      <c r="AX1382" s="61" t="str">
        <f t="shared" si="638"/>
        <v/>
      </c>
      <c r="AY1382" s="60" t="str">
        <f t="shared" si="639"/>
        <v/>
      </c>
      <c r="AZ1382" s="61" t="str">
        <f t="shared" si="640"/>
        <v/>
      </c>
    </row>
    <row r="1383" spans="1:52" s="3" customFormat="1" hidden="1" x14ac:dyDescent="0.35">
      <c r="A1383" s="72">
        <f t="shared" si="641"/>
        <v>2021</v>
      </c>
      <c r="B1383" s="72" t="str">
        <f t="shared" si="642"/>
        <v>Nov</v>
      </c>
      <c r="C1383" s="73">
        <f t="shared" si="660"/>
        <v>15</v>
      </c>
      <c r="D1383" s="74">
        <f t="shared" si="643"/>
        <v>14</v>
      </c>
      <c r="E1383" s="75">
        <f t="shared" si="644"/>
        <v>59</v>
      </c>
      <c r="F1383" s="79"/>
      <c r="G1383" s="82"/>
      <c r="H1383" s="68" t="str">
        <f t="shared" si="661"/>
        <v>Clesim6_20211115_14_00</v>
      </c>
      <c r="I1383" s="69">
        <f t="shared" si="664"/>
        <v>1</v>
      </c>
      <c r="J1383" s="76" t="str">
        <f t="shared" si="664"/>
        <v>Clematis</v>
      </c>
      <c r="K1383" s="76" t="str">
        <f t="shared" si="664"/>
        <v>simense</v>
      </c>
      <c r="L1383" s="77">
        <f t="shared" si="664"/>
        <v>6</v>
      </c>
      <c r="M1383" s="77">
        <f t="shared" si="664"/>
        <v>20</v>
      </c>
      <c r="N1383" s="71">
        <f t="shared" si="664"/>
        <v>0</v>
      </c>
      <c r="O1383" s="44"/>
      <c r="P1383" s="45" t="str">
        <f t="shared" si="645"/>
        <v/>
      </c>
      <c r="Q1383" s="46" t="str">
        <f t="shared" si="646"/>
        <v/>
      </c>
      <c r="R1383" s="47" t="e">
        <f t="shared" si="647"/>
        <v>#VALUE!</v>
      </c>
      <c r="S1383" s="48" t="e">
        <f t="shared" si="636"/>
        <v>#VALUE!</v>
      </c>
      <c r="T1383" s="47" t="str">
        <f t="shared" si="648"/>
        <v/>
      </c>
      <c r="U1383" s="49"/>
      <c r="V1383" s="50"/>
      <c r="W1383" s="51" t="e">
        <f t="shared" si="649"/>
        <v>#VALUE!</v>
      </c>
      <c r="X1383" s="52"/>
      <c r="Y1383" s="52"/>
      <c r="Z1383" s="52"/>
      <c r="AA1383" s="47" t="e">
        <f>INDEX(VISITORS[INSECT ORDER], MATCH(X1383,VISITORS[NAME USED],0))</f>
        <v>#N/A</v>
      </c>
      <c r="AB1383" s="47" t="e">
        <f t="shared" si="650"/>
        <v>#N/A</v>
      </c>
      <c r="AC1383" s="53" t="e">
        <f t="shared" si="651"/>
        <v>#VALUE!</v>
      </c>
      <c r="AD1383" s="54" t="str">
        <f t="shared" si="652"/>
        <v/>
      </c>
      <c r="AE1383" s="54"/>
      <c r="AF1383" s="54"/>
      <c r="AG1383" s="55" t="str">
        <f t="shared" si="653"/>
        <v/>
      </c>
      <c r="AH1383" s="56" t="str">
        <f t="shared" si="654"/>
        <v/>
      </c>
      <c r="AI1383" s="55"/>
      <c r="AJ1383" s="56" t="str">
        <f t="shared" si="655"/>
        <v/>
      </c>
      <c r="AK1383" s="55"/>
      <c r="AL1383" s="56" t="str">
        <f t="shared" si="656"/>
        <v/>
      </c>
      <c r="AM1383" s="55"/>
      <c r="AN1383" s="56" t="str">
        <f t="shared" si="657"/>
        <v/>
      </c>
      <c r="AO1383" s="55"/>
      <c r="AP1383" s="56" t="str">
        <f t="shared" si="658"/>
        <v/>
      </c>
      <c r="AQ1383" s="55"/>
      <c r="AR1383" s="56" t="str">
        <f t="shared" si="659"/>
        <v/>
      </c>
      <c r="AS1383" s="57"/>
      <c r="AT1383" s="58"/>
      <c r="AU1383" s="58"/>
      <c r="AV1383" s="59"/>
      <c r="AW1383" s="60" t="str">
        <f t="shared" si="637"/>
        <v/>
      </c>
      <c r="AX1383" s="61" t="str">
        <f t="shared" si="638"/>
        <v/>
      </c>
      <c r="AY1383" s="60" t="str">
        <f t="shared" si="639"/>
        <v/>
      </c>
      <c r="AZ1383" s="61" t="str">
        <f t="shared" si="640"/>
        <v/>
      </c>
    </row>
    <row r="1384" spans="1:52" s="3" customFormat="1" hidden="1" x14ac:dyDescent="0.35">
      <c r="A1384" s="72">
        <f t="shared" si="641"/>
        <v>2021</v>
      </c>
      <c r="B1384" s="72" t="str">
        <f t="shared" si="642"/>
        <v>Nov</v>
      </c>
      <c r="C1384" s="73">
        <f t="shared" si="660"/>
        <v>15</v>
      </c>
      <c r="D1384" s="74">
        <f t="shared" si="643"/>
        <v>15</v>
      </c>
      <c r="E1384" s="75">
        <f t="shared" si="644"/>
        <v>0</v>
      </c>
      <c r="F1384" s="79"/>
      <c r="G1384" s="82"/>
      <c r="H1384" s="68" t="str">
        <f t="shared" si="661"/>
        <v>Clesim6_20211115_15_00</v>
      </c>
      <c r="I1384" s="69">
        <f t="shared" si="664"/>
        <v>1</v>
      </c>
      <c r="J1384" s="76" t="str">
        <f t="shared" si="664"/>
        <v>Clematis</v>
      </c>
      <c r="K1384" s="76" t="str">
        <f t="shared" si="664"/>
        <v>simense</v>
      </c>
      <c r="L1384" s="77">
        <f t="shared" si="664"/>
        <v>6</v>
      </c>
      <c r="M1384" s="77">
        <f t="shared" si="664"/>
        <v>20</v>
      </c>
      <c r="N1384" s="71">
        <f t="shared" si="664"/>
        <v>0</v>
      </c>
      <c r="O1384" s="44"/>
      <c r="P1384" s="45" t="str">
        <f t="shared" si="645"/>
        <v/>
      </c>
      <c r="Q1384" s="46" t="str">
        <f t="shared" si="646"/>
        <v/>
      </c>
      <c r="R1384" s="47" t="e">
        <f t="shared" si="647"/>
        <v>#VALUE!</v>
      </c>
      <c r="S1384" s="48" t="e">
        <f t="shared" si="636"/>
        <v>#VALUE!</v>
      </c>
      <c r="T1384" s="47" t="str">
        <f t="shared" si="648"/>
        <v/>
      </c>
      <c r="U1384" s="49"/>
      <c r="V1384" s="50"/>
      <c r="W1384" s="51" t="e">
        <f t="shared" si="649"/>
        <v>#VALUE!</v>
      </c>
      <c r="X1384" s="52"/>
      <c r="Y1384" s="52"/>
      <c r="Z1384" s="52"/>
      <c r="AA1384" s="47" t="e">
        <f>INDEX(VISITORS[INSECT ORDER], MATCH(X1384,VISITORS[NAME USED],0))</f>
        <v>#N/A</v>
      </c>
      <c r="AB1384" s="47" t="e">
        <f t="shared" si="650"/>
        <v>#N/A</v>
      </c>
      <c r="AC1384" s="53" t="e">
        <f t="shared" si="651"/>
        <v>#VALUE!</v>
      </c>
      <c r="AD1384" s="54" t="str">
        <f t="shared" si="652"/>
        <v/>
      </c>
      <c r="AE1384" s="54"/>
      <c r="AF1384" s="54"/>
      <c r="AG1384" s="55" t="str">
        <f t="shared" si="653"/>
        <v/>
      </c>
      <c r="AH1384" s="56" t="str">
        <f t="shared" si="654"/>
        <v/>
      </c>
      <c r="AI1384" s="55"/>
      <c r="AJ1384" s="56" t="str">
        <f t="shared" si="655"/>
        <v/>
      </c>
      <c r="AK1384" s="55"/>
      <c r="AL1384" s="56" t="str">
        <f t="shared" si="656"/>
        <v/>
      </c>
      <c r="AM1384" s="55"/>
      <c r="AN1384" s="56" t="str">
        <f t="shared" si="657"/>
        <v/>
      </c>
      <c r="AO1384" s="55"/>
      <c r="AP1384" s="56" t="str">
        <f t="shared" si="658"/>
        <v/>
      </c>
      <c r="AQ1384" s="55"/>
      <c r="AR1384" s="56" t="str">
        <f t="shared" si="659"/>
        <v/>
      </c>
      <c r="AS1384" s="57"/>
      <c r="AT1384" s="58"/>
      <c r="AU1384" s="58"/>
      <c r="AV1384" s="59"/>
      <c r="AW1384" s="60" t="str">
        <f t="shared" si="637"/>
        <v/>
      </c>
      <c r="AX1384" s="61" t="str">
        <f t="shared" si="638"/>
        <v/>
      </c>
      <c r="AY1384" s="60" t="str">
        <f t="shared" si="639"/>
        <v/>
      </c>
      <c r="AZ1384" s="61" t="str">
        <f t="shared" si="640"/>
        <v/>
      </c>
    </row>
    <row r="1385" spans="1:52" s="3" customFormat="1" hidden="1" x14ac:dyDescent="0.35">
      <c r="A1385" s="72">
        <f t="shared" si="641"/>
        <v>2021</v>
      </c>
      <c r="B1385" s="72" t="str">
        <f t="shared" si="642"/>
        <v>Nov</v>
      </c>
      <c r="C1385" s="73">
        <f t="shared" si="660"/>
        <v>15</v>
      </c>
      <c r="D1385" s="74">
        <f t="shared" si="643"/>
        <v>15</v>
      </c>
      <c r="E1385" s="75">
        <f t="shared" si="644"/>
        <v>1</v>
      </c>
      <c r="F1385" s="79"/>
      <c r="G1385" s="82"/>
      <c r="H1385" s="68" t="str">
        <f t="shared" si="661"/>
        <v>Clesim6_20211115_15_00</v>
      </c>
      <c r="I1385" s="69">
        <f t="shared" si="664"/>
        <v>1</v>
      </c>
      <c r="J1385" s="76" t="str">
        <f t="shared" si="664"/>
        <v>Clematis</v>
      </c>
      <c r="K1385" s="76" t="str">
        <f t="shared" si="664"/>
        <v>simense</v>
      </c>
      <c r="L1385" s="77">
        <f t="shared" si="664"/>
        <v>6</v>
      </c>
      <c r="M1385" s="77">
        <f t="shared" si="664"/>
        <v>20</v>
      </c>
      <c r="N1385" s="71">
        <f t="shared" si="664"/>
        <v>0</v>
      </c>
      <c r="O1385" s="44"/>
      <c r="P1385" s="45" t="str">
        <f t="shared" si="645"/>
        <v/>
      </c>
      <c r="Q1385" s="46" t="str">
        <f t="shared" si="646"/>
        <v/>
      </c>
      <c r="R1385" s="47" t="e">
        <f t="shared" si="647"/>
        <v>#VALUE!</v>
      </c>
      <c r="S1385" s="48" t="e">
        <f t="shared" si="636"/>
        <v>#VALUE!</v>
      </c>
      <c r="T1385" s="47" t="str">
        <f t="shared" si="648"/>
        <v/>
      </c>
      <c r="U1385" s="49"/>
      <c r="V1385" s="50"/>
      <c r="W1385" s="51" t="e">
        <f t="shared" si="649"/>
        <v>#VALUE!</v>
      </c>
      <c r="X1385" s="52"/>
      <c r="Y1385" s="52"/>
      <c r="Z1385" s="52"/>
      <c r="AA1385" s="47" t="e">
        <f>INDEX(VISITORS[INSECT ORDER], MATCH(X1385,VISITORS[NAME USED],0))</f>
        <v>#N/A</v>
      </c>
      <c r="AB1385" s="47" t="e">
        <f t="shared" si="650"/>
        <v>#N/A</v>
      </c>
      <c r="AC1385" s="53" t="e">
        <f t="shared" si="651"/>
        <v>#VALUE!</v>
      </c>
      <c r="AD1385" s="54" t="str">
        <f t="shared" si="652"/>
        <v/>
      </c>
      <c r="AE1385" s="54"/>
      <c r="AF1385" s="54"/>
      <c r="AG1385" s="55" t="str">
        <f t="shared" si="653"/>
        <v/>
      </c>
      <c r="AH1385" s="56" t="str">
        <f t="shared" si="654"/>
        <v/>
      </c>
      <c r="AI1385" s="55"/>
      <c r="AJ1385" s="56" t="str">
        <f t="shared" si="655"/>
        <v/>
      </c>
      <c r="AK1385" s="55"/>
      <c r="AL1385" s="56" t="str">
        <f t="shared" si="656"/>
        <v/>
      </c>
      <c r="AM1385" s="55"/>
      <c r="AN1385" s="56" t="str">
        <f t="shared" si="657"/>
        <v/>
      </c>
      <c r="AO1385" s="55"/>
      <c r="AP1385" s="56" t="str">
        <f t="shared" si="658"/>
        <v/>
      </c>
      <c r="AQ1385" s="55"/>
      <c r="AR1385" s="56" t="str">
        <f t="shared" si="659"/>
        <v/>
      </c>
      <c r="AS1385" s="57"/>
      <c r="AT1385" s="58"/>
      <c r="AU1385" s="58"/>
      <c r="AV1385" s="59"/>
      <c r="AW1385" s="60" t="str">
        <f t="shared" si="637"/>
        <v/>
      </c>
      <c r="AX1385" s="61" t="str">
        <f t="shared" si="638"/>
        <v/>
      </c>
      <c r="AY1385" s="60" t="str">
        <f t="shared" si="639"/>
        <v/>
      </c>
      <c r="AZ1385" s="61" t="str">
        <f t="shared" si="640"/>
        <v/>
      </c>
    </row>
    <row r="1386" spans="1:52" s="3" customFormat="1" hidden="1" x14ac:dyDescent="0.35">
      <c r="A1386" s="72">
        <f t="shared" si="641"/>
        <v>2021</v>
      </c>
      <c r="B1386" s="72" t="str">
        <f t="shared" si="642"/>
        <v>Nov</v>
      </c>
      <c r="C1386" s="73">
        <f t="shared" si="660"/>
        <v>15</v>
      </c>
      <c r="D1386" s="74">
        <f t="shared" si="643"/>
        <v>15</v>
      </c>
      <c r="E1386" s="75">
        <f t="shared" si="644"/>
        <v>2</v>
      </c>
      <c r="F1386" s="79"/>
      <c r="G1386" s="82"/>
      <c r="H1386" s="68" t="str">
        <f t="shared" si="661"/>
        <v>Clesim6_20211115_15_00</v>
      </c>
      <c r="I1386" s="69">
        <f t="shared" si="664"/>
        <v>1</v>
      </c>
      <c r="J1386" s="76" t="str">
        <f t="shared" si="664"/>
        <v>Clematis</v>
      </c>
      <c r="K1386" s="76" t="str">
        <f t="shared" si="664"/>
        <v>simense</v>
      </c>
      <c r="L1386" s="77">
        <f t="shared" si="664"/>
        <v>6</v>
      </c>
      <c r="M1386" s="77">
        <f t="shared" si="664"/>
        <v>20</v>
      </c>
      <c r="N1386" s="71">
        <f t="shared" si="664"/>
        <v>0</v>
      </c>
      <c r="O1386" s="44"/>
      <c r="P1386" s="45" t="str">
        <f t="shared" si="645"/>
        <v/>
      </c>
      <c r="Q1386" s="46" t="str">
        <f t="shared" si="646"/>
        <v/>
      </c>
      <c r="R1386" s="47" t="e">
        <f t="shared" si="647"/>
        <v>#VALUE!</v>
      </c>
      <c r="S1386" s="48" t="e">
        <f t="shared" si="636"/>
        <v>#VALUE!</v>
      </c>
      <c r="T1386" s="47" t="str">
        <f t="shared" si="648"/>
        <v/>
      </c>
      <c r="U1386" s="49"/>
      <c r="V1386" s="50"/>
      <c r="W1386" s="51" t="e">
        <f t="shared" si="649"/>
        <v>#VALUE!</v>
      </c>
      <c r="X1386" s="52"/>
      <c r="Y1386" s="52"/>
      <c r="Z1386" s="52"/>
      <c r="AA1386" s="47" t="e">
        <f>INDEX(VISITORS[INSECT ORDER], MATCH(X1386,VISITORS[NAME USED],0))</f>
        <v>#N/A</v>
      </c>
      <c r="AB1386" s="47" t="e">
        <f t="shared" si="650"/>
        <v>#N/A</v>
      </c>
      <c r="AC1386" s="53" t="e">
        <f t="shared" si="651"/>
        <v>#VALUE!</v>
      </c>
      <c r="AD1386" s="54" t="str">
        <f t="shared" si="652"/>
        <v/>
      </c>
      <c r="AE1386" s="54"/>
      <c r="AF1386" s="54"/>
      <c r="AG1386" s="55" t="str">
        <f t="shared" si="653"/>
        <v/>
      </c>
      <c r="AH1386" s="56" t="str">
        <f t="shared" si="654"/>
        <v/>
      </c>
      <c r="AI1386" s="55"/>
      <c r="AJ1386" s="56" t="str">
        <f t="shared" si="655"/>
        <v/>
      </c>
      <c r="AK1386" s="55"/>
      <c r="AL1386" s="56" t="str">
        <f t="shared" si="656"/>
        <v/>
      </c>
      <c r="AM1386" s="55"/>
      <c r="AN1386" s="56" t="str">
        <f t="shared" si="657"/>
        <v/>
      </c>
      <c r="AO1386" s="55"/>
      <c r="AP1386" s="56" t="str">
        <f t="shared" si="658"/>
        <v/>
      </c>
      <c r="AQ1386" s="55"/>
      <c r="AR1386" s="56" t="str">
        <f t="shared" si="659"/>
        <v/>
      </c>
      <c r="AS1386" s="57"/>
      <c r="AT1386" s="58"/>
      <c r="AU1386" s="58"/>
      <c r="AV1386" s="59"/>
      <c r="AW1386" s="60" t="str">
        <f t="shared" si="637"/>
        <v/>
      </c>
      <c r="AX1386" s="61" t="str">
        <f t="shared" si="638"/>
        <v/>
      </c>
      <c r="AY1386" s="60" t="str">
        <f t="shared" si="639"/>
        <v/>
      </c>
      <c r="AZ1386" s="61" t="str">
        <f t="shared" si="640"/>
        <v/>
      </c>
    </row>
    <row r="1387" spans="1:52" s="3" customFormat="1" hidden="1" x14ac:dyDescent="0.35">
      <c r="A1387" s="72">
        <f t="shared" si="641"/>
        <v>2021</v>
      </c>
      <c r="B1387" s="72" t="str">
        <f t="shared" si="642"/>
        <v>Nov</v>
      </c>
      <c r="C1387" s="73">
        <f t="shared" si="660"/>
        <v>15</v>
      </c>
      <c r="D1387" s="74">
        <f t="shared" si="643"/>
        <v>15</v>
      </c>
      <c r="E1387" s="75">
        <f t="shared" si="644"/>
        <v>3</v>
      </c>
      <c r="F1387" s="79"/>
      <c r="G1387" s="82"/>
      <c r="H1387" s="68" t="str">
        <f t="shared" si="661"/>
        <v>Clesim6_20211115_15_00</v>
      </c>
      <c r="I1387" s="69">
        <f t="shared" si="664"/>
        <v>1</v>
      </c>
      <c r="J1387" s="76" t="str">
        <f t="shared" si="664"/>
        <v>Clematis</v>
      </c>
      <c r="K1387" s="76" t="str">
        <f t="shared" si="664"/>
        <v>simense</v>
      </c>
      <c r="L1387" s="77">
        <f t="shared" si="664"/>
        <v>6</v>
      </c>
      <c r="M1387" s="77">
        <f t="shared" si="664"/>
        <v>20</v>
      </c>
      <c r="N1387" s="71">
        <f t="shared" si="664"/>
        <v>0</v>
      </c>
      <c r="O1387" s="44"/>
      <c r="P1387" s="45" t="str">
        <f t="shared" si="645"/>
        <v/>
      </c>
      <c r="Q1387" s="46" t="str">
        <f t="shared" si="646"/>
        <v/>
      </c>
      <c r="R1387" s="47" t="e">
        <f t="shared" si="647"/>
        <v>#VALUE!</v>
      </c>
      <c r="S1387" s="48" t="e">
        <f t="shared" si="636"/>
        <v>#VALUE!</v>
      </c>
      <c r="T1387" s="47" t="str">
        <f t="shared" si="648"/>
        <v/>
      </c>
      <c r="U1387" s="49"/>
      <c r="V1387" s="50"/>
      <c r="W1387" s="51" t="e">
        <f t="shared" si="649"/>
        <v>#VALUE!</v>
      </c>
      <c r="X1387" s="52"/>
      <c r="Y1387" s="52"/>
      <c r="Z1387" s="52"/>
      <c r="AA1387" s="47" t="e">
        <f>INDEX(VISITORS[INSECT ORDER], MATCH(X1387,VISITORS[NAME USED],0))</f>
        <v>#N/A</v>
      </c>
      <c r="AB1387" s="47" t="e">
        <f t="shared" si="650"/>
        <v>#N/A</v>
      </c>
      <c r="AC1387" s="53" t="e">
        <f t="shared" si="651"/>
        <v>#VALUE!</v>
      </c>
      <c r="AD1387" s="54" t="str">
        <f t="shared" si="652"/>
        <v/>
      </c>
      <c r="AE1387" s="54"/>
      <c r="AF1387" s="54"/>
      <c r="AG1387" s="55" t="str">
        <f t="shared" si="653"/>
        <v/>
      </c>
      <c r="AH1387" s="56" t="str">
        <f t="shared" si="654"/>
        <v/>
      </c>
      <c r="AI1387" s="55"/>
      <c r="AJ1387" s="56" t="str">
        <f t="shared" si="655"/>
        <v/>
      </c>
      <c r="AK1387" s="55"/>
      <c r="AL1387" s="56" t="str">
        <f t="shared" si="656"/>
        <v/>
      </c>
      <c r="AM1387" s="55"/>
      <c r="AN1387" s="56" t="str">
        <f t="shared" si="657"/>
        <v/>
      </c>
      <c r="AO1387" s="55"/>
      <c r="AP1387" s="56" t="str">
        <f t="shared" si="658"/>
        <v/>
      </c>
      <c r="AQ1387" s="55"/>
      <c r="AR1387" s="56" t="str">
        <f t="shared" si="659"/>
        <v/>
      </c>
      <c r="AS1387" s="57"/>
      <c r="AT1387" s="58"/>
      <c r="AU1387" s="58"/>
      <c r="AV1387" s="59"/>
      <c r="AW1387" s="60" t="str">
        <f t="shared" si="637"/>
        <v/>
      </c>
      <c r="AX1387" s="61" t="str">
        <f t="shared" si="638"/>
        <v/>
      </c>
      <c r="AY1387" s="60" t="str">
        <f t="shared" si="639"/>
        <v/>
      </c>
      <c r="AZ1387" s="61" t="str">
        <f t="shared" si="640"/>
        <v/>
      </c>
    </row>
    <row r="1388" spans="1:52" s="3" customFormat="1" hidden="1" x14ac:dyDescent="0.35">
      <c r="A1388" s="72">
        <f t="shared" si="641"/>
        <v>2021</v>
      </c>
      <c r="B1388" s="72" t="str">
        <f t="shared" si="642"/>
        <v>Nov</v>
      </c>
      <c r="C1388" s="73">
        <f t="shared" si="660"/>
        <v>15</v>
      </c>
      <c r="D1388" s="74">
        <f t="shared" si="643"/>
        <v>15</v>
      </c>
      <c r="E1388" s="75">
        <f t="shared" si="644"/>
        <v>4</v>
      </c>
      <c r="F1388" s="79"/>
      <c r="G1388" s="82"/>
      <c r="H1388" s="68" t="str">
        <f t="shared" si="661"/>
        <v>Clesim6_20211115_15_00</v>
      </c>
      <c r="I1388" s="69">
        <f t="shared" si="664"/>
        <v>1</v>
      </c>
      <c r="J1388" s="76" t="str">
        <f t="shared" si="664"/>
        <v>Clematis</v>
      </c>
      <c r="K1388" s="76" t="str">
        <f t="shared" si="664"/>
        <v>simense</v>
      </c>
      <c r="L1388" s="77">
        <f t="shared" si="664"/>
        <v>6</v>
      </c>
      <c r="M1388" s="77">
        <f t="shared" si="664"/>
        <v>20</v>
      </c>
      <c r="N1388" s="71">
        <f t="shared" si="664"/>
        <v>0</v>
      </c>
      <c r="O1388" s="44"/>
      <c r="P1388" s="45" t="str">
        <f t="shared" si="645"/>
        <v/>
      </c>
      <c r="Q1388" s="46" t="str">
        <f t="shared" si="646"/>
        <v/>
      </c>
      <c r="R1388" s="47" t="e">
        <f t="shared" si="647"/>
        <v>#VALUE!</v>
      </c>
      <c r="S1388" s="48" t="e">
        <f t="shared" si="636"/>
        <v>#VALUE!</v>
      </c>
      <c r="T1388" s="47" t="str">
        <f t="shared" si="648"/>
        <v/>
      </c>
      <c r="U1388" s="49"/>
      <c r="V1388" s="50"/>
      <c r="W1388" s="51" t="e">
        <f t="shared" si="649"/>
        <v>#VALUE!</v>
      </c>
      <c r="X1388" s="52"/>
      <c r="Y1388" s="52"/>
      <c r="Z1388" s="52"/>
      <c r="AA1388" s="47" t="e">
        <f>INDEX(VISITORS[INSECT ORDER], MATCH(X1388,VISITORS[NAME USED],0))</f>
        <v>#N/A</v>
      </c>
      <c r="AB1388" s="47" t="e">
        <f t="shared" si="650"/>
        <v>#N/A</v>
      </c>
      <c r="AC1388" s="53" t="e">
        <f t="shared" si="651"/>
        <v>#VALUE!</v>
      </c>
      <c r="AD1388" s="54" t="str">
        <f t="shared" si="652"/>
        <v/>
      </c>
      <c r="AE1388" s="54"/>
      <c r="AF1388" s="54"/>
      <c r="AG1388" s="55" t="str">
        <f t="shared" si="653"/>
        <v/>
      </c>
      <c r="AH1388" s="56" t="str">
        <f t="shared" si="654"/>
        <v/>
      </c>
      <c r="AI1388" s="55"/>
      <c r="AJ1388" s="56" t="str">
        <f t="shared" si="655"/>
        <v/>
      </c>
      <c r="AK1388" s="55"/>
      <c r="AL1388" s="56" t="str">
        <f t="shared" si="656"/>
        <v/>
      </c>
      <c r="AM1388" s="55"/>
      <c r="AN1388" s="56" t="str">
        <f t="shared" si="657"/>
        <v/>
      </c>
      <c r="AO1388" s="55"/>
      <c r="AP1388" s="56" t="str">
        <f t="shared" si="658"/>
        <v/>
      </c>
      <c r="AQ1388" s="55"/>
      <c r="AR1388" s="56" t="str">
        <f t="shared" si="659"/>
        <v/>
      </c>
      <c r="AS1388" s="57"/>
      <c r="AT1388" s="58"/>
      <c r="AU1388" s="58"/>
      <c r="AV1388" s="59"/>
      <c r="AW1388" s="60" t="str">
        <f t="shared" si="637"/>
        <v/>
      </c>
      <c r="AX1388" s="61" t="str">
        <f t="shared" si="638"/>
        <v/>
      </c>
      <c r="AY1388" s="60" t="str">
        <f t="shared" si="639"/>
        <v/>
      </c>
      <c r="AZ1388" s="61" t="str">
        <f t="shared" si="640"/>
        <v/>
      </c>
    </row>
    <row r="1389" spans="1:52" s="3" customFormat="1" hidden="1" x14ac:dyDescent="0.35">
      <c r="A1389" s="72">
        <f t="shared" si="641"/>
        <v>2021</v>
      </c>
      <c r="B1389" s="72" t="str">
        <f t="shared" si="642"/>
        <v>Nov</v>
      </c>
      <c r="C1389" s="73">
        <f t="shared" si="660"/>
        <v>15</v>
      </c>
      <c r="D1389" s="74">
        <f t="shared" si="643"/>
        <v>15</v>
      </c>
      <c r="E1389" s="75">
        <f t="shared" si="644"/>
        <v>5</v>
      </c>
      <c r="F1389" s="79"/>
      <c r="G1389" s="82"/>
      <c r="H1389" s="68" t="str">
        <f t="shared" si="661"/>
        <v>Clesim6_20211115_15_00</v>
      </c>
      <c r="I1389" s="69">
        <f t="shared" si="664"/>
        <v>1</v>
      </c>
      <c r="J1389" s="76" t="str">
        <f t="shared" si="664"/>
        <v>Clematis</v>
      </c>
      <c r="K1389" s="76" t="str">
        <f t="shared" si="664"/>
        <v>simense</v>
      </c>
      <c r="L1389" s="77">
        <f t="shared" si="664"/>
        <v>6</v>
      </c>
      <c r="M1389" s="77">
        <f t="shared" si="664"/>
        <v>20</v>
      </c>
      <c r="N1389" s="71">
        <f t="shared" si="664"/>
        <v>0</v>
      </c>
      <c r="O1389" s="44"/>
      <c r="P1389" s="45" t="str">
        <f t="shared" si="645"/>
        <v/>
      </c>
      <c r="Q1389" s="46" t="str">
        <f t="shared" si="646"/>
        <v/>
      </c>
      <c r="R1389" s="47" t="e">
        <f t="shared" si="647"/>
        <v>#VALUE!</v>
      </c>
      <c r="S1389" s="48" t="e">
        <f t="shared" si="636"/>
        <v>#VALUE!</v>
      </c>
      <c r="T1389" s="47" t="str">
        <f t="shared" si="648"/>
        <v/>
      </c>
      <c r="U1389" s="49"/>
      <c r="V1389" s="50"/>
      <c r="W1389" s="51" t="e">
        <f t="shared" si="649"/>
        <v>#VALUE!</v>
      </c>
      <c r="X1389" s="52"/>
      <c r="Y1389" s="52"/>
      <c r="Z1389" s="52"/>
      <c r="AA1389" s="47" t="e">
        <f>INDEX(VISITORS[INSECT ORDER], MATCH(X1389,VISITORS[NAME USED],0))</f>
        <v>#N/A</v>
      </c>
      <c r="AB1389" s="47" t="e">
        <f t="shared" si="650"/>
        <v>#N/A</v>
      </c>
      <c r="AC1389" s="53" t="e">
        <f t="shared" si="651"/>
        <v>#VALUE!</v>
      </c>
      <c r="AD1389" s="54" t="str">
        <f t="shared" si="652"/>
        <v/>
      </c>
      <c r="AE1389" s="54"/>
      <c r="AF1389" s="54"/>
      <c r="AG1389" s="55" t="str">
        <f t="shared" si="653"/>
        <v/>
      </c>
      <c r="AH1389" s="56" t="str">
        <f t="shared" si="654"/>
        <v/>
      </c>
      <c r="AI1389" s="55"/>
      <c r="AJ1389" s="56" t="str">
        <f t="shared" si="655"/>
        <v/>
      </c>
      <c r="AK1389" s="55"/>
      <c r="AL1389" s="56" t="str">
        <f t="shared" si="656"/>
        <v/>
      </c>
      <c r="AM1389" s="55"/>
      <c r="AN1389" s="56" t="str">
        <f t="shared" si="657"/>
        <v/>
      </c>
      <c r="AO1389" s="55"/>
      <c r="AP1389" s="56" t="str">
        <f t="shared" si="658"/>
        <v/>
      </c>
      <c r="AQ1389" s="55"/>
      <c r="AR1389" s="56" t="str">
        <f t="shared" si="659"/>
        <v/>
      </c>
      <c r="AS1389" s="57"/>
      <c r="AT1389" s="58"/>
      <c r="AU1389" s="58"/>
      <c r="AV1389" s="59"/>
      <c r="AW1389" s="60" t="str">
        <f t="shared" si="637"/>
        <v/>
      </c>
      <c r="AX1389" s="61" t="str">
        <f t="shared" si="638"/>
        <v/>
      </c>
      <c r="AY1389" s="60" t="str">
        <f t="shared" si="639"/>
        <v/>
      </c>
      <c r="AZ1389" s="61" t="str">
        <f t="shared" si="640"/>
        <v/>
      </c>
    </row>
    <row r="1390" spans="1:52" s="3" customFormat="1" hidden="1" x14ac:dyDescent="0.35">
      <c r="A1390" s="72">
        <f t="shared" si="641"/>
        <v>2021</v>
      </c>
      <c r="B1390" s="72" t="str">
        <f t="shared" si="642"/>
        <v>Nov</v>
      </c>
      <c r="C1390" s="73">
        <f t="shared" si="660"/>
        <v>15</v>
      </c>
      <c r="D1390" s="74">
        <f t="shared" si="643"/>
        <v>15</v>
      </c>
      <c r="E1390" s="75">
        <f t="shared" si="644"/>
        <v>6</v>
      </c>
      <c r="F1390" s="79"/>
      <c r="G1390" s="82"/>
      <c r="H1390" s="68" t="str">
        <f t="shared" si="661"/>
        <v>Clesim6_20211115_15_00</v>
      </c>
      <c r="I1390" s="69">
        <f t="shared" si="664"/>
        <v>1</v>
      </c>
      <c r="J1390" s="76" t="str">
        <f t="shared" si="664"/>
        <v>Clematis</v>
      </c>
      <c r="K1390" s="76" t="str">
        <f t="shared" si="664"/>
        <v>simense</v>
      </c>
      <c r="L1390" s="77">
        <f t="shared" si="664"/>
        <v>6</v>
      </c>
      <c r="M1390" s="77">
        <f t="shared" si="664"/>
        <v>20</v>
      </c>
      <c r="N1390" s="71">
        <f t="shared" si="664"/>
        <v>0</v>
      </c>
      <c r="O1390" s="44"/>
      <c r="P1390" s="45" t="str">
        <f t="shared" si="645"/>
        <v/>
      </c>
      <c r="Q1390" s="46" t="str">
        <f t="shared" si="646"/>
        <v/>
      </c>
      <c r="R1390" s="47" t="e">
        <f t="shared" si="647"/>
        <v>#VALUE!</v>
      </c>
      <c r="S1390" s="48" t="e">
        <f t="shared" si="636"/>
        <v>#VALUE!</v>
      </c>
      <c r="T1390" s="47" t="str">
        <f t="shared" si="648"/>
        <v/>
      </c>
      <c r="U1390" s="49"/>
      <c r="V1390" s="50"/>
      <c r="W1390" s="51" t="e">
        <f t="shared" si="649"/>
        <v>#VALUE!</v>
      </c>
      <c r="X1390" s="52"/>
      <c r="Y1390" s="52"/>
      <c r="Z1390" s="52"/>
      <c r="AA1390" s="47" t="e">
        <f>INDEX(VISITORS[INSECT ORDER], MATCH(X1390,VISITORS[NAME USED],0))</f>
        <v>#N/A</v>
      </c>
      <c r="AB1390" s="47" t="e">
        <f t="shared" si="650"/>
        <v>#N/A</v>
      </c>
      <c r="AC1390" s="53" t="e">
        <f t="shared" si="651"/>
        <v>#VALUE!</v>
      </c>
      <c r="AD1390" s="54" t="str">
        <f t="shared" si="652"/>
        <v/>
      </c>
      <c r="AE1390" s="54"/>
      <c r="AF1390" s="54"/>
      <c r="AG1390" s="55" t="str">
        <f t="shared" si="653"/>
        <v/>
      </c>
      <c r="AH1390" s="56" t="str">
        <f t="shared" si="654"/>
        <v/>
      </c>
      <c r="AI1390" s="55"/>
      <c r="AJ1390" s="56" t="str">
        <f t="shared" si="655"/>
        <v/>
      </c>
      <c r="AK1390" s="55"/>
      <c r="AL1390" s="56" t="str">
        <f t="shared" si="656"/>
        <v/>
      </c>
      <c r="AM1390" s="55"/>
      <c r="AN1390" s="56" t="str">
        <f t="shared" si="657"/>
        <v/>
      </c>
      <c r="AO1390" s="55"/>
      <c r="AP1390" s="56" t="str">
        <f t="shared" si="658"/>
        <v/>
      </c>
      <c r="AQ1390" s="55"/>
      <c r="AR1390" s="56" t="str">
        <f t="shared" si="659"/>
        <v/>
      </c>
      <c r="AS1390" s="57"/>
      <c r="AT1390" s="58"/>
      <c r="AU1390" s="58"/>
      <c r="AV1390" s="59"/>
      <c r="AW1390" s="60" t="str">
        <f t="shared" si="637"/>
        <v/>
      </c>
      <c r="AX1390" s="61" t="str">
        <f t="shared" si="638"/>
        <v/>
      </c>
      <c r="AY1390" s="60" t="str">
        <f t="shared" si="639"/>
        <v/>
      </c>
      <c r="AZ1390" s="61" t="str">
        <f t="shared" si="640"/>
        <v/>
      </c>
    </row>
    <row r="1391" spans="1:52" s="3" customFormat="1" hidden="1" x14ac:dyDescent="0.35">
      <c r="A1391" s="72">
        <f t="shared" si="641"/>
        <v>2021</v>
      </c>
      <c r="B1391" s="72" t="str">
        <f t="shared" si="642"/>
        <v>Nov</v>
      </c>
      <c r="C1391" s="73">
        <f t="shared" si="660"/>
        <v>15</v>
      </c>
      <c r="D1391" s="74">
        <f t="shared" si="643"/>
        <v>15</v>
      </c>
      <c r="E1391" s="75">
        <f t="shared" si="644"/>
        <v>7</v>
      </c>
      <c r="F1391" s="79"/>
      <c r="G1391" s="82"/>
      <c r="H1391" s="68" t="str">
        <f t="shared" si="661"/>
        <v>Clesim6_20211115_15_00</v>
      </c>
      <c r="I1391" s="69">
        <f t="shared" si="664"/>
        <v>1</v>
      </c>
      <c r="J1391" s="76" t="str">
        <f t="shared" si="664"/>
        <v>Clematis</v>
      </c>
      <c r="K1391" s="76" t="str">
        <f t="shared" si="664"/>
        <v>simense</v>
      </c>
      <c r="L1391" s="77">
        <f t="shared" si="664"/>
        <v>6</v>
      </c>
      <c r="M1391" s="77">
        <f t="shared" si="664"/>
        <v>20</v>
      </c>
      <c r="N1391" s="71">
        <f t="shared" si="664"/>
        <v>0</v>
      </c>
      <c r="O1391" s="44"/>
      <c r="P1391" s="45" t="str">
        <f t="shared" si="645"/>
        <v/>
      </c>
      <c r="Q1391" s="46" t="str">
        <f t="shared" si="646"/>
        <v/>
      </c>
      <c r="R1391" s="47" t="e">
        <f t="shared" si="647"/>
        <v>#VALUE!</v>
      </c>
      <c r="S1391" s="48" t="e">
        <f t="shared" si="636"/>
        <v>#VALUE!</v>
      </c>
      <c r="T1391" s="47" t="str">
        <f t="shared" si="648"/>
        <v/>
      </c>
      <c r="U1391" s="49"/>
      <c r="V1391" s="50"/>
      <c r="W1391" s="51" t="e">
        <f t="shared" si="649"/>
        <v>#VALUE!</v>
      </c>
      <c r="X1391" s="52"/>
      <c r="Y1391" s="52"/>
      <c r="Z1391" s="52"/>
      <c r="AA1391" s="47" t="e">
        <f>INDEX(VISITORS[INSECT ORDER], MATCH(X1391,VISITORS[NAME USED],0))</f>
        <v>#N/A</v>
      </c>
      <c r="AB1391" s="47" t="e">
        <f t="shared" si="650"/>
        <v>#N/A</v>
      </c>
      <c r="AC1391" s="53" t="e">
        <f t="shared" si="651"/>
        <v>#VALUE!</v>
      </c>
      <c r="AD1391" s="54" t="str">
        <f t="shared" si="652"/>
        <v/>
      </c>
      <c r="AE1391" s="54"/>
      <c r="AF1391" s="54"/>
      <c r="AG1391" s="55" t="str">
        <f t="shared" si="653"/>
        <v/>
      </c>
      <c r="AH1391" s="56" t="str">
        <f t="shared" si="654"/>
        <v/>
      </c>
      <c r="AI1391" s="55"/>
      <c r="AJ1391" s="56" t="str">
        <f t="shared" si="655"/>
        <v/>
      </c>
      <c r="AK1391" s="55"/>
      <c r="AL1391" s="56" t="str">
        <f t="shared" si="656"/>
        <v/>
      </c>
      <c r="AM1391" s="55"/>
      <c r="AN1391" s="56" t="str">
        <f t="shared" si="657"/>
        <v/>
      </c>
      <c r="AO1391" s="55"/>
      <c r="AP1391" s="56" t="str">
        <f t="shared" si="658"/>
        <v/>
      </c>
      <c r="AQ1391" s="55"/>
      <c r="AR1391" s="56" t="str">
        <f t="shared" si="659"/>
        <v/>
      </c>
      <c r="AS1391" s="57"/>
      <c r="AT1391" s="58"/>
      <c r="AU1391" s="58"/>
      <c r="AV1391" s="59"/>
      <c r="AW1391" s="60" t="str">
        <f t="shared" si="637"/>
        <v/>
      </c>
      <c r="AX1391" s="61" t="str">
        <f t="shared" si="638"/>
        <v/>
      </c>
      <c r="AY1391" s="60" t="str">
        <f t="shared" si="639"/>
        <v/>
      </c>
      <c r="AZ1391" s="61" t="str">
        <f t="shared" si="640"/>
        <v/>
      </c>
    </row>
    <row r="1392" spans="1:52" s="3" customFormat="1" hidden="1" x14ac:dyDescent="0.35">
      <c r="A1392" s="72">
        <f t="shared" si="641"/>
        <v>2021</v>
      </c>
      <c r="B1392" s="72" t="str">
        <f t="shared" si="642"/>
        <v>Nov</v>
      </c>
      <c r="C1392" s="73">
        <f t="shared" si="660"/>
        <v>15</v>
      </c>
      <c r="D1392" s="74">
        <f t="shared" si="643"/>
        <v>15</v>
      </c>
      <c r="E1392" s="75">
        <f t="shared" si="644"/>
        <v>8</v>
      </c>
      <c r="F1392" s="79"/>
      <c r="G1392" s="82"/>
      <c r="H1392" s="68" t="str">
        <f t="shared" si="661"/>
        <v>Clesim6_20211115_15_00</v>
      </c>
      <c r="I1392" s="69">
        <f t="shared" si="664"/>
        <v>1</v>
      </c>
      <c r="J1392" s="76" t="str">
        <f t="shared" si="664"/>
        <v>Clematis</v>
      </c>
      <c r="K1392" s="76" t="str">
        <f t="shared" si="664"/>
        <v>simense</v>
      </c>
      <c r="L1392" s="77">
        <f t="shared" si="664"/>
        <v>6</v>
      </c>
      <c r="M1392" s="77">
        <f t="shared" si="664"/>
        <v>20</v>
      </c>
      <c r="N1392" s="71">
        <f t="shared" si="664"/>
        <v>0</v>
      </c>
      <c r="O1392" s="44"/>
      <c r="P1392" s="45" t="str">
        <f t="shared" si="645"/>
        <v/>
      </c>
      <c r="Q1392" s="46" t="str">
        <f t="shared" si="646"/>
        <v/>
      </c>
      <c r="R1392" s="47" t="e">
        <f t="shared" si="647"/>
        <v>#VALUE!</v>
      </c>
      <c r="S1392" s="48" t="e">
        <f t="shared" si="636"/>
        <v>#VALUE!</v>
      </c>
      <c r="T1392" s="47" t="str">
        <f t="shared" si="648"/>
        <v/>
      </c>
      <c r="U1392" s="49"/>
      <c r="V1392" s="50"/>
      <c r="W1392" s="51" t="e">
        <f t="shared" si="649"/>
        <v>#VALUE!</v>
      </c>
      <c r="X1392" s="52"/>
      <c r="Y1392" s="52"/>
      <c r="Z1392" s="52"/>
      <c r="AA1392" s="47" t="e">
        <f>INDEX(VISITORS[INSECT ORDER], MATCH(X1392,VISITORS[NAME USED],0))</f>
        <v>#N/A</v>
      </c>
      <c r="AB1392" s="47" t="e">
        <f t="shared" si="650"/>
        <v>#N/A</v>
      </c>
      <c r="AC1392" s="53" t="e">
        <f t="shared" si="651"/>
        <v>#VALUE!</v>
      </c>
      <c r="AD1392" s="54" t="str">
        <f t="shared" si="652"/>
        <v/>
      </c>
      <c r="AE1392" s="54"/>
      <c r="AF1392" s="54"/>
      <c r="AG1392" s="55" t="str">
        <f t="shared" si="653"/>
        <v/>
      </c>
      <c r="AH1392" s="56" t="str">
        <f t="shared" si="654"/>
        <v/>
      </c>
      <c r="AI1392" s="55"/>
      <c r="AJ1392" s="56" t="str">
        <f t="shared" si="655"/>
        <v/>
      </c>
      <c r="AK1392" s="55"/>
      <c r="AL1392" s="56" t="str">
        <f t="shared" si="656"/>
        <v/>
      </c>
      <c r="AM1392" s="55"/>
      <c r="AN1392" s="56" t="str">
        <f t="shared" si="657"/>
        <v/>
      </c>
      <c r="AO1392" s="55"/>
      <c r="AP1392" s="56" t="str">
        <f t="shared" si="658"/>
        <v/>
      </c>
      <c r="AQ1392" s="55"/>
      <c r="AR1392" s="56" t="str">
        <f t="shared" si="659"/>
        <v/>
      </c>
      <c r="AS1392" s="57"/>
      <c r="AT1392" s="58"/>
      <c r="AU1392" s="58"/>
      <c r="AV1392" s="59"/>
      <c r="AW1392" s="60" t="str">
        <f t="shared" si="637"/>
        <v/>
      </c>
      <c r="AX1392" s="61" t="str">
        <f t="shared" si="638"/>
        <v/>
      </c>
      <c r="AY1392" s="60" t="str">
        <f t="shared" si="639"/>
        <v/>
      </c>
      <c r="AZ1392" s="61" t="str">
        <f t="shared" si="640"/>
        <v/>
      </c>
    </row>
    <row r="1393" spans="1:52" s="3" customFormat="1" hidden="1" x14ac:dyDescent="0.35">
      <c r="A1393" s="72">
        <f t="shared" si="641"/>
        <v>2021</v>
      </c>
      <c r="B1393" s="72" t="str">
        <f t="shared" si="642"/>
        <v>Nov</v>
      </c>
      <c r="C1393" s="73">
        <f t="shared" si="660"/>
        <v>15</v>
      </c>
      <c r="D1393" s="74">
        <f t="shared" si="643"/>
        <v>15</v>
      </c>
      <c r="E1393" s="75">
        <f t="shared" si="644"/>
        <v>9</v>
      </c>
      <c r="F1393" s="79"/>
      <c r="G1393" s="82"/>
      <c r="H1393" s="68" t="str">
        <f t="shared" si="661"/>
        <v>Clesim6_20211115_15_00</v>
      </c>
      <c r="I1393" s="69">
        <f t="shared" si="664"/>
        <v>1</v>
      </c>
      <c r="J1393" s="76" t="str">
        <f t="shared" si="664"/>
        <v>Clematis</v>
      </c>
      <c r="K1393" s="76" t="str">
        <f t="shared" si="664"/>
        <v>simense</v>
      </c>
      <c r="L1393" s="77">
        <f t="shared" si="664"/>
        <v>6</v>
      </c>
      <c r="M1393" s="77">
        <f t="shared" si="664"/>
        <v>20</v>
      </c>
      <c r="N1393" s="71">
        <f t="shared" si="664"/>
        <v>0</v>
      </c>
      <c r="O1393" s="44"/>
      <c r="P1393" s="45" t="str">
        <f t="shared" si="645"/>
        <v/>
      </c>
      <c r="Q1393" s="46" t="str">
        <f t="shared" si="646"/>
        <v/>
      </c>
      <c r="R1393" s="47" t="e">
        <f t="shared" si="647"/>
        <v>#VALUE!</v>
      </c>
      <c r="S1393" s="48" t="e">
        <f t="shared" si="636"/>
        <v>#VALUE!</v>
      </c>
      <c r="T1393" s="47" t="str">
        <f t="shared" si="648"/>
        <v/>
      </c>
      <c r="U1393" s="49"/>
      <c r="V1393" s="50"/>
      <c r="W1393" s="51" t="e">
        <f t="shared" si="649"/>
        <v>#VALUE!</v>
      </c>
      <c r="X1393" s="52"/>
      <c r="Y1393" s="52"/>
      <c r="Z1393" s="52"/>
      <c r="AA1393" s="47" t="e">
        <f>INDEX(VISITORS[INSECT ORDER], MATCH(X1393,VISITORS[NAME USED],0))</f>
        <v>#N/A</v>
      </c>
      <c r="AB1393" s="47" t="e">
        <f t="shared" si="650"/>
        <v>#N/A</v>
      </c>
      <c r="AC1393" s="53" t="e">
        <f t="shared" si="651"/>
        <v>#VALUE!</v>
      </c>
      <c r="AD1393" s="54" t="str">
        <f t="shared" si="652"/>
        <v/>
      </c>
      <c r="AE1393" s="54"/>
      <c r="AF1393" s="54"/>
      <c r="AG1393" s="55" t="str">
        <f t="shared" si="653"/>
        <v/>
      </c>
      <c r="AH1393" s="56" t="str">
        <f t="shared" si="654"/>
        <v/>
      </c>
      <c r="AI1393" s="55"/>
      <c r="AJ1393" s="56" t="str">
        <f t="shared" si="655"/>
        <v/>
      </c>
      <c r="AK1393" s="55"/>
      <c r="AL1393" s="56" t="str">
        <f t="shared" si="656"/>
        <v/>
      </c>
      <c r="AM1393" s="55"/>
      <c r="AN1393" s="56" t="str">
        <f t="shared" si="657"/>
        <v/>
      </c>
      <c r="AO1393" s="55"/>
      <c r="AP1393" s="56" t="str">
        <f t="shared" si="658"/>
        <v/>
      </c>
      <c r="AQ1393" s="55"/>
      <c r="AR1393" s="56" t="str">
        <f t="shared" si="659"/>
        <v/>
      </c>
      <c r="AS1393" s="57"/>
      <c r="AT1393" s="58"/>
      <c r="AU1393" s="58"/>
      <c r="AV1393" s="59"/>
      <c r="AW1393" s="60" t="str">
        <f t="shared" si="637"/>
        <v/>
      </c>
      <c r="AX1393" s="61" t="str">
        <f t="shared" si="638"/>
        <v/>
      </c>
      <c r="AY1393" s="60" t="str">
        <f t="shared" si="639"/>
        <v/>
      </c>
      <c r="AZ1393" s="61" t="str">
        <f t="shared" si="640"/>
        <v/>
      </c>
    </row>
    <row r="1394" spans="1:52" s="3" customFormat="1" hidden="1" x14ac:dyDescent="0.35">
      <c r="A1394" s="72">
        <f t="shared" si="641"/>
        <v>2021</v>
      </c>
      <c r="B1394" s="72" t="str">
        <f t="shared" si="642"/>
        <v>Nov</v>
      </c>
      <c r="C1394" s="73">
        <f t="shared" si="660"/>
        <v>15</v>
      </c>
      <c r="D1394" s="74">
        <f t="shared" si="643"/>
        <v>15</v>
      </c>
      <c r="E1394" s="75">
        <f t="shared" si="644"/>
        <v>10</v>
      </c>
      <c r="F1394" s="79"/>
      <c r="G1394" s="82"/>
      <c r="H1394" s="68" t="str">
        <f t="shared" si="661"/>
        <v>Clesim6_20211115_15_00</v>
      </c>
      <c r="I1394" s="69">
        <f t="shared" si="664"/>
        <v>1</v>
      </c>
      <c r="J1394" s="76" t="str">
        <f t="shared" si="664"/>
        <v>Clematis</v>
      </c>
      <c r="K1394" s="76" t="str">
        <f t="shared" si="664"/>
        <v>simense</v>
      </c>
      <c r="L1394" s="77">
        <f t="shared" si="664"/>
        <v>6</v>
      </c>
      <c r="M1394" s="77">
        <f t="shared" si="664"/>
        <v>20</v>
      </c>
      <c r="N1394" s="71">
        <f t="shared" si="664"/>
        <v>0</v>
      </c>
      <c r="O1394" s="44"/>
      <c r="P1394" s="45" t="str">
        <f t="shared" si="645"/>
        <v/>
      </c>
      <c r="Q1394" s="46" t="str">
        <f t="shared" si="646"/>
        <v/>
      </c>
      <c r="R1394" s="47" t="e">
        <f t="shared" si="647"/>
        <v>#VALUE!</v>
      </c>
      <c r="S1394" s="48" t="e">
        <f t="shared" si="636"/>
        <v>#VALUE!</v>
      </c>
      <c r="T1394" s="47" t="str">
        <f t="shared" si="648"/>
        <v/>
      </c>
      <c r="U1394" s="49"/>
      <c r="V1394" s="50"/>
      <c r="W1394" s="51" t="e">
        <f t="shared" si="649"/>
        <v>#VALUE!</v>
      </c>
      <c r="X1394" s="52"/>
      <c r="Y1394" s="52"/>
      <c r="Z1394" s="52"/>
      <c r="AA1394" s="47" t="e">
        <f>INDEX(VISITORS[INSECT ORDER], MATCH(X1394,VISITORS[NAME USED],0))</f>
        <v>#N/A</v>
      </c>
      <c r="AB1394" s="47" t="e">
        <f t="shared" si="650"/>
        <v>#N/A</v>
      </c>
      <c r="AC1394" s="53" t="e">
        <f t="shared" si="651"/>
        <v>#VALUE!</v>
      </c>
      <c r="AD1394" s="54" t="str">
        <f t="shared" si="652"/>
        <v/>
      </c>
      <c r="AE1394" s="54"/>
      <c r="AF1394" s="54"/>
      <c r="AG1394" s="55" t="str">
        <f t="shared" si="653"/>
        <v/>
      </c>
      <c r="AH1394" s="56" t="str">
        <f t="shared" si="654"/>
        <v/>
      </c>
      <c r="AI1394" s="55"/>
      <c r="AJ1394" s="56" t="str">
        <f t="shared" si="655"/>
        <v/>
      </c>
      <c r="AK1394" s="55"/>
      <c r="AL1394" s="56" t="str">
        <f t="shared" si="656"/>
        <v/>
      </c>
      <c r="AM1394" s="55"/>
      <c r="AN1394" s="56" t="str">
        <f t="shared" si="657"/>
        <v/>
      </c>
      <c r="AO1394" s="55"/>
      <c r="AP1394" s="56" t="str">
        <f t="shared" si="658"/>
        <v/>
      </c>
      <c r="AQ1394" s="55"/>
      <c r="AR1394" s="56" t="str">
        <f t="shared" si="659"/>
        <v/>
      </c>
      <c r="AS1394" s="57"/>
      <c r="AT1394" s="58"/>
      <c r="AU1394" s="58"/>
      <c r="AV1394" s="59"/>
      <c r="AW1394" s="60" t="str">
        <f t="shared" si="637"/>
        <v/>
      </c>
      <c r="AX1394" s="61" t="str">
        <f t="shared" si="638"/>
        <v/>
      </c>
      <c r="AY1394" s="60" t="str">
        <f t="shared" si="639"/>
        <v/>
      </c>
      <c r="AZ1394" s="61" t="str">
        <f t="shared" si="640"/>
        <v/>
      </c>
    </row>
    <row r="1395" spans="1:52" s="3" customFormat="1" hidden="1" x14ac:dyDescent="0.35">
      <c r="A1395" s="72">
        <f t="shared" si="641"/>
        <v>2021</v>
      </c>
      <c r="B1395" s="72" t="str">
        <f t="shared" si="642"/>
        <v>Nov</v>
      </c>
      <c r="C1395" s="73">
        <f t="shared" si="660"/>
        <v>15</v>
      </c>
      <c r="D1395" s="74">
        <f t="shared" si="643"/>
        <v>15</v>
      </c>
      <c r="E1395" s="75">
        <f t="shared" si="644"/>
        <v>11</v>
      </c>
      <c r="F1395" s="79"/>
      <c r="G1395" s="82"/>
      <c r="H1395" s="68" t="str">
        <f t="shared" si="661"/>
        <v>Clesim6_20211115_15_00</v>
      </c>
      <c r="I1395" s="69">
        <f t="shared" si="664"/>
        <v>1</v>
      </c>
      <c r="J1395" s="76" t="str">
        <f t="shared" si="664"/>
        <v>Clematis</v>
      </c>
      <c r="K1395" s="76" t="str">
        <f t="shared" si="664"/>
        <v>simense</v>
      </c>
      <c r="L1395" s="77">
        <f t="shared" si="664"/>
        <v>6</v>
      </c>
      <c r="M1395" s="77">
        <f t="shared" si="664"/>
        <v>20</v>
      </c>
      <c r="N1395" s="71">
        <f t="shared" si="664"/>
        <v>0</v>
      </c>
      <c r="O1395" s="44"/>
      <c r="P1395" s="45" t="str">
        <f t="shared" si="645"/>
        <v/>
      </c>
      <c r="Q1395" s="46" t="str">
        <f t="shared" si="646"/>
        <v/>
      </c>
      <c r="R1395" s="47" t="e">
        <f t="shared" si="647"/>
        <v>#VALUE!</v>
      </c>
      <c r="S1395" s="48" t="e">
        <f t="shared" si="636"/>
        <v>#VALUE!</v>
      </c>
      <c r="T1395" s="47" t="str">
        <f t="shared" si="648"/>
        <v/>
      </c>
      <c r="U1395" s="49"/>
      <c r="V1395" s="50"/>
      <c r="W1395" s="51" t="e">
        <f t="shared" si="649"/>
        <v>#VALUE!</v>
      </c>
      <c r="X1395" s="52"/>
      <c r="Y1395" s="52"/>
      <c r="Z1395" s="52"/>
      <c r="AA1395" s="47" t="e">
        <f>INDEX(VISITORS[INSECT ORDER], MATCH(X1395,VISITORS[NAME USED],0))</f>
        <v>#N/A</v>
      </c>
      <c r="AB1395" s="47" t="e">
        <f t="shared" si="650"/>
        <v>#N/A</v>
      </c>
      <c r="AC1395" s="53" t="e">
        <f t="shared" si="651"/>
        <v>#VALUE!</v>
      </c>
      <c r="AD1395" s="54" t="str">
        <f t="shared" si="652"/>
        <v/>
      </c>
      <c r="AE1395" s="54"/>
      <c r="AF1395" s="54"/>
      <c r="AG1395" s="55" t="str">
        <f t="shared" si="653"/>
        <v/>
      </c>
      <c r="AH1395" s="56" t="str">
        <f t="shared" si="654"/>
        <v/>
      </c>
      <c r="AI1395" s="55"/>
      <c r="AJ1395" s="56" t="str">
        <f t="shared" si="655"/>
        <v/>
      </c>
      <c r="AK1395" s="55"/>
      <c r="AL1395" s="56" t="str">
        <f t="shared" si="656"/>
        <v/>
      </c>
      <c r="AM1395" s="55"/>
      <c r="AN1395" s="56" t="str">
        <f t="shared" si="657"/>
        <v/>
      </c>
      <c r="AO1395" s="55"/>
      <c r="AP1395" s="56" t="str">
        <f t="shared" si="658"/>
        <v/>
      </c>
      <c r="AQ1395" s="55"/>
      <c r="AR1395" s="56" t="str">
        <f t="shared" si="659"/>
        <v/>
      </c>
      <c r="AS1395" s="57"/>
      <c r="AT1395" s="58"/>
      <c r="AU1395" s="58"/>
      <c r="AV1395" s="59"/>
      <c r="AW1395" s="60" t="str">
        <f t="shared" si="637"/>
        <v/>
      </c>
      <c r="AX1395" s="61" t="str">
        <f t="shared" si="638"/>
        <v/>
      </c>
      <c r="AY1395" s="60" t="str">
        <f t="shared" si="639"/>
        <v/>
      </c>
      <c r="AZ1395" s="61" t="str">
        <f t="shared" si="640"/>
        <v/>
      </c>
    </row>
    <row r="1396" spans="1:52" s="3" customFormat="1" hidden="1" x14ac:dyDescent="0.35">
      <c r="A1396" s="72">
        <f t="shared" si="641"/>
        <v>2021</v>
      </c>
      <c r="B1396" s="72" t="str">
        <f t="shared" si="642"/>
        <v>Nov</v>
      </c>
      <c r="C1396" s="73">
        <f t="shared" si="660"/>
        <v>15</v>
      </c>
      <c r="D1396" s="74">
        <f t="shared" si="643"/>
        <v>15</v>
      </c>
      <c r="E1396" s="75">
        <f t="shared" si="644"/>
        <v>12</v>
      </c>
      <c r="F1396" s="79"/>
      <c r="G1396" s="82"/>
      <c r="H1396" s="68" t="str">
        <f t="shared" si="661"/>
        <v>Clesim6_20211115_15_00</v>
      </c>
      <c r="I1396" s="69">
        <f t="shared" si="664"/>
        <v>1</v>
      </c>
      <c r="J1396" s="76" t="str">
        <f t="shared" si="664"/>
        <v>Clematis</v>
      </c>
      <c r="K1396" s="76" t="str">
        <f t="shared" si="664"/>
        <v>simense</v>
      </c>
      <c r="L1396" s="77">
        <f t="shared" si="664"/>
        <v>6</v>
      </c>
      <c r="M1396" s="77">
        <f t="shared" si="664"/>
        <v>20</v>
      </c>
      <c r="N1396" s="71">
        <f t="shared" si="664"/>
        <v>0</v>
      </c>
      <c r="O1396" s="44"/>
      <c r="P1396" s="45" t="str">
        <f t="shared" si="645"/>
        <v/>
      </c>
      <c r="Q1396" s="46" t="str">
        <f t="shared" si="646"/>
        <v/>
      </c>
      <c r="R1396" s="47" t="e">
        <f t="shared" si="647"/>
        <v>#VALUE!</v>
      </c>
      <c r="S1396" s="48" t="e">
        <f t="shared" si="636"/>
        <v>#VALUE!</v>
      </c>
      <c r="T1396" s="47" t="str">
        <f t="shared" si="648"/>
        <v/>
      </c>
      <c r="U1396" s="49"/>
      <c r="V1396" s="50"/>
      <c r="W1396" s="51" t="e">
        <f t="shared" si="649"/>
        <v>#VALUE!</v>
      </c>
      <c r="X1396" s="52"/>
      <c r="Y1396" s="52"/>
      <c r="Z1396" s="52"/>
      <c r="AA1396" s="47" t="e">
        <f>INDEX(VISITORS[INSECT ORDER], MATCH(X1396,VISITORS[NAME USED],0))</f>
        <v>#N/A</v>
      </c>
      <c r="AB1396" s="47" t="e">
        <f t="shared" si="650"/>
        <v>#N/A</v>
      </c>
      <c r="AC1396" s="53" t="e">
        <f t="shared" si="651"/>
        <v>#VALUE!</v>
      </c>
      <c r="AD1396" s="54" t="str">
        <f t="shared" si="652"/>
        <v/>
      </c>
      <c r="AE1396" s="54"/>
      <c r="AF1396" s="54"/>
      <c r="AG1396" s="55" t="str">
        <f t="shared" si="653"/>
        <v/>
      </c>
      <c r="AH1396" s="56" t="str">
        <f t="shared" si="654"/>
        <v/>
      </c>
      <c r="AI1396" s="55"/>
      <c r="AJ1396" s="56" t="str">
        <f t="shared" si="655"/>
        <v/>
      </c>
      <c r="AK1396" s="55"/>
      <c r="AL1396" s="56" t="str">
        <f t="shared" si="656"/>
        <v/>
      </c>
      <c r="AM1396" s="55"/>
      <c r="AN1396" s="56" t="str">
        <f t="shared" si="657"/>
        <v/>
      </c>
      <c r="AO1396" s="55"/>
      <c r="AP1396" s="56" t="str">
        <f t="shared" si="658"/>
        <v/>
      </c>
      <c r="AQ1396" s="55"/>
      <c r="AR1396" s="56" t="str">
        <f t="shared" si="659"/>
        <v/>
      </c>
      <c r="AS1396" s="57"/>
      <c r="AT1396" s="58"/>
      <c r="AU1396" s="58"/>
      <c r="AV1396" s="59"/>
      <c r="AW1396" s="60" t="str">
        <f t="shared" si="637"/>
        <v/>
      </c>
      <c r="AX1396" s="61" t="str">
        <f t="shared" si="638"/>
        <v/>
      </c>
      <c r="AY1396" s="60" t="str">
        <f t="shared" si="639"/>
        <v/>
      </c>
      <c r="AZ1396" s="61" t="str">
        <f t="shared" si="640"/>
        <v/>
      </c>
    </row>
    <row r="1397" spans="1:52" s="3" customFormat="1" hidden="1" x14ac:dyDescent="0.35">
      <c r="A1397" s="72">
        <f t="shared" si="641"/>
        <v>2021</v>
      </c>
      <c r="B1397" s="72" t="str">
        <f t="shared" si="642"/>
        <v>Nov</v>
      </c>
      <c r="C1397" s="73">
        <f t="shared" si="660"/>
        <v>15</v>
      </c>
      <c r="D1397" s="74">
        <f t="shared" si="643"/>
        <v>15</v>
      </c>
      <c r="E1397" s="75">
        <f t="shared" si="644"/>
        <v>13</v>
      </c>
      <c r="F1397" s="79"/>
      <c r="G1397" s="82"/>
      <c r="H1397" s="68" t="str">
        <f t="shared" si="661"/>
        <v>Clesim6_20211115_15_00</v>
      </c>
      <c r="I1397" s="69">
        <f t="shared" si="664"/>
        <v>1</v>
      </c>
      <c r="J1397" s="76" t="str">
        <f t="shared" si="664"/>
        <v>Clematis</v>
      </c>
      <c r="K1397" s="76" t="str">
        <f t="shared" si="664"/>
        <v>simense</v>
      </c>
      <c r="L1397" s="77">
        <f t="shared" si="664"/>
        <v>6</v>
      </c>
      <c r="M1397" s="77">
        <f t="shared" si="664"/>
        <v>20</v>
      </c>
      <c r="N1397" s="71">
        <f t="shared" si="664"/>
        <v>0</v>
      </c>
      <c r="O1397" s="44"/>
      <c r="P1397" s="45" t="str">
        <f t="shared" si="645"/>
        <v/>
      </c>
      <c r="Q1397" s="46" t="str">
        <f t="shared" si="646"/>
        <v/>
      </c>
      <c r="R1397" s="47" t="e">
        <f t="shared" si="647"/>
        <v>#VALUE!</v>
      </c>
      <c r="S1397" s="48" t="e">
        <f t="shared" si="636"/>
        <v>#VALUE!</v>
      </c>
      <c r="T1397" s="47" t="str">
        <f t="shared" si="648"/>
        <v/>
      </c>
      <c r="U1397" s="49"/>
      <c r="V1397" s="50"/>
      <c r="W1397" s="51" t="e">
        <f t="shared" si="649"/>
        <v>#VALUE!</v>
      </c>
      <c r="X1397" s="52"/>
      <c r="Y1397" s="52"/>
      <c r="Z1397" s="52"/>
      <c r="AA1397" s="47" t="e">
        <f>INDEX(VISITORS[INSECT ORDER], MATCH(X1397,VISITORS[NAME USED],0))</f>
        <v>#N/A</v>
      </c>
      <c r="AB1397" s="47" t="e">
        <f t="shared" si="650"/>
        <v>#N/A</v>
      </c>
      <c r="AC1397" s="53" t="e">
        <f t="shared" si="651"/>
        <v>#VALUE!</v>
      </c>
      <c r="AD1397" s="54" t="str">
        <f t="shared" si="652"/>
        <v/>
      </c>
      <c r="AE1397" s="54"/>
      <c r="AF1397" s="54"/>
      <c r="AG1397" s="55" t="str">
        <f t="shared" si="653"/>
        <v/>
      </c>
      <c r="AH1397" s="56" t="str">
        <f t="shared" si="654"/>
        <v/>
      </c>
      <c r="AI1397" s="55"/>
      <c r="AJ1397" s="56" t="str">
        <f t="shared" si="655"/>
        <v/>
      </c>
      <c r="AK1397" s="55"/>
      <c r="AL1397" s="56" t="str">
        <f t="shared" si="656"/>
        <v/>
      </c>
      <c r="AM1397" s="55"/>
      <c r="AN1397" s="56" t="str">
        <f t="shared" si="657"/>
        <v/>
      </c>
      <c r="AO1397" s="55"/>
      <c r="AP1397" s="56" t="str">
        <f t="shared" si="658"/>
        <v/>
      </c>
      <c r="AQ1397" s="55"/>
      <c r="AR1397" s="56" t="str">
        <f t="shared" si="659"/>
        <v/>
      </c>
      <c r="AS1397" s="57"/>
      <c r="AT1397" s="58"/>
      <c r="AU1397" s="58"/>
      <c r="AV1397" s="59"/>
      <c r="AW1397" s="60" t="str">
        <f t="shared" si="637"/>
        <v/>
      </c>
      <c r="AX1397" s="61" t="str">
        <f t="shared" si="638"/>
        <v/>
      </c>
      <c r="AY1397" s="60" t="str">
        <f t="shared" si="639"/>
        <v/>
      </c>
      <c r="AZ1397" s="61" t="str">
        <f t="shared" si="640"/>
        <v/>
      </c>
    </row>
    <row r="1398" spans="1:52" s="3" customFormat="1" hidden="1" x14ac:dyDescent="0.35">
      <c r="A1398" s="72">
        <f t="shared" si="641"/>
        <v>2021</v>
      </c>
      <c r="B1398" s="72" t="str">
        <f t="shared" si="642"/>
        <v>Nov</v>
      </c>
      <c r="C1398" s="73">
        <f t="shared" si="660"/>
        <v>15</v>
      </c>
      <c r="D1398" s="74">
        <f t="shared" si="643"/>
        <v>15</v>
      </c>
      <c r="E1398" s="75">
        <f t="shared" si="644"/>
        <v>14</v>
      </c>
      <c r="F1398" s="79"/>
      <c r="G1398" s="82"/>
      <c r="H1398" s="68" t="str">
        <f t="shared" si="661"/>
        <v>Clesim6_20211115_15_00</v>
      </c>
      <c r="I1398" s="69">
        <f t="shared" ref="I1398:N1413" si="665">I1397</f>
        <v>1</v>
      </c>
      <c r="J1398" s="76" t="str">
        <f t="shared" si="665"/>
        <v>Clematis</v>
      </c>
      <c r="K1398" s="76" t="str">
        <f t="shared" si="665"/>
        <v>simense</v>
      </c>
      <c r="L1398" s="77">
        <f t="shared" si="665"/>
        <v>6</v>
      </c>
      <c r="M1398" s="77">
        <f t="shared" si="665"/>
        <v>20</v>
      </c>
      <c r="N1398" s="71">
        <f t="shared" si="665"/>
        <v>0</v>
      </c>
      <c r="O1398" s="44"/>
      <c r="P1398" s="45" t="str">
        <f t="shared" si="645"/>
        <v/>
      </c>
      <c r="Q1398" s="46" t="str">
        <f t="shared" si="646"/>
        <v/>
      </c>
      <c r="R1398" s="47" t="e">
        <f t="shared" si="647"/>
        <v>#VALUE!</v>
      </c>
      <c r="S1398" s="48" t="e">
        <f t="shared" si="636"/>
        <v>#VALUE!</v>
      </c>
      <c r="T1398" s="47" t="str">
        <f t="shared" si="648"/>
        <v/>
      </c>
      <c r="U1398" s="49"/>
      <c r="V1398" s="50"/>
      <c r="W1398" s="51" t="e">
        <f t="shared" si="649"/>
        <v>#VALUE!</v>
      </c>
      <c r="X1398" s="52"/>
      <c r="Y1398" s="52"/>
      <c r="Z1398" s="52"/>
      <c r="AA1398" s="47" t="e">
        <f>INDEX(VISITORS[INSECT ORDER], MATCH(X1398,VISITORS[NAME USED],0))</f>
        <v>#N/A</v>
      </c>
      <c r="AB1398" s="47" t="e">
        <f t="shared" si="650"/>
        <v>#N/A</v>
      </c>
      <c r="AC1398" s="53" t="e">
        <f t="shared" si="651"/>
        <v>#VALUE!</v>
      </c>
      <c r="AD1398" s="54" t="str">
        <f t="shared" si="652"/>
        <v/>
      </c>
      <c r="AE1398" s="54"/>
      <c r="AF1398" s="54"/>
      <c r="AG1398" s="55" t="str">
        <f t="shared" si="653"/>
        <v/>
      </c>
      <c r="AH1398" s="56" t="str">
        <f t="shared" si="654"/>
        <v/>
      </c>
      <c r="AI1398" s="55"/>
      <c r="AJ1398" s="56" t="str">
        <f t="shared" si="655"/>
        <v/>
      </c>
      <c r="AK1398" s="55"/>
      <c r="AL1398" s="56" t="str">
        <f t="shared" si="656"/>
        <v/>
      </c>
      <c r="AM1398" s="55"/>
      <c r="AN1398" s="56" t="str">
        <f t="shared" si="657"/>
        <v/>
      </c>
      <c r="AO1398" s="55"/>
      <c r="AP1398" s="56" t="str">
        <f t="shared" si="658"/>
        <v/>
      </c>
      <c r="AQ1398" s="55"/>
      <c r="AR1398" s="56" t="str">
        <f t="shared" si="659"/>
        <v/>
      </c>
      <c r="AS1398" s="57"/>
      <c r="AT1398" s="58"/>
      <c r="AU1398" s="58"/>
      <c r="AV1398" s="59"/>
      <c r="AW1398" s="60" t="str">
        <f t="shared" si="637"/>
        <v/>
      </c>
      <c r="AX1398" s="61" t="str">
        <f t="shared" si="638"/>
        <v/>
      </c>
      <c r="AY1398" s="60" t="str">
        <f t="shared" si="639"/>
        <v/>
      </c>
      <c r="AZ1398" s="61" t="str">
        <f t="shared" si="640"/>
        <v/>
      </c>
    </row>
    <row r="1399" spans="1:52" s="3" customFormat="1" hidden="1" x14ac:dyDescent="0.35">
      <c r="A1399" s="72">
        <f t="shared" si="641"/>
        <v>2021</v>
      </c>
      <c r="B1399" s="72" t="str">
        <f t="shared" si="642"/>
        <v>Nov</v>
      </c>
      <c r="C1399" s="73">
        <f t="shared" si="660"/>
        <v>15</v>
      </c>
      <c r="D1399" s="74">
        <f t="shared" si="643"/>
        <v>15</v>
      </c>
      <c r="E1399" s="75">
        <f t="shared" si="644"/>
        <v>15</v>
      </c>
      <c r="F1399" s="79"/>
      <c r="G1399" s="82"/>
      <c r="H1399" s="68" t="str">
        <f t="shared" si="661"/>
        <v>Clesim6_20211115_15_00</v>
      </c>
      <c r="I1399" s="69">
        <f t="shared" si="665"/>
        <v>1</v>
      </c>
      <c r="J1399" s="76" t="str">
        <f t="shared" si="665"/>
        <v>Clematis</v>
      </c>
      <c r="K1399" s="76" t="str">
        <f t="shared" si="665"/>
        <v>simense</v>
      </c>
      <c r="L1399" s="77">
        <f t="shared" si="665"/>
        <v>6</v>
      </c>
      <c r="M1399" s="77">
        <f t="shared" si="665"/>
        <v>20</v>
      </c>
      <c r="N1399" s="71">
        <f t="shared" si="665"/>
        <v>0</v>
      </c>
      <c r="O1399" s="44"/>
      <c r="P1399" s="45" t="str">
        <f t="shared" si="645"/>
        <v/>
      </c>
      <c r="Q1399" s="46" t="str">
        <f t="shared" si="646"/>
        <v/>
      </c>
      <c r="R1399" s="47" t="e">
        <f t="shared" si="647"/>
        <v>#VALUE!</v>
      </c>
      <c r="S1399" s="48" t="e">
        <f t="shared" si="636"/>
        <v>#VALUE!</v>
      </c>
      <c r="T1399" s="47" t="str">
        <f t="shared" si="648"/>
        <v/>
      </c>
      <c r="U1399" s="49"/>
      <c r="V1399" s="50"/>
      <c r="W1399" s="51" t="e">
        <f t="shared" si="649"/>
        <v>#VALUE!</v>
      </c>
      <c r="X1399" s="52"/>
      <c r="Y1399" s="52"/>
      <c r="Z1399" s="52"/>
      <c r="AA1399" s="47" t="e">
        <f>INDEX(VISITORS[INSECT ORDER], MATCH(X1399,VISITORS[NAME USED],0))</f>
        <v>#N/A</v>
      </c>
      <c r="AB1399" s="47" t="e">
        <f t="shared" si="650"/>
        <v>#N/A</v>
      </c>
      <c r="AC1399" s="53" t="e">
        <f t="shared" si="651"/>
        <v>#VALUE!</v>
      </c>
      <c r="AD1399" s="54" t="str">
        <f t="shared" si="652"/>
        <v/>
      </c>
      <c r="AE1399" s="54"/>
      <c r="AF1399" s="54"/>
      <c r="AG1399" s="55" t="str">
        <f t="shared" si="653"/>
        <v/>
      </c>
      <c r="AH1399" s="56" t="str">
        <f t="shared" si="654"/>
        <v/>
      </c>
      <c r="AI1399" s="55"/>
      <c r="AJ1399" s="56" t="str">
        <f t="shared" si="655"/>
        <v/>
      </c>
      <c r="AK1399" s="55"/>
      <c r="AL1399" s="56" t="str">
        <f t="shared" si="656"/>
        <v/>
      </c>
      <c r="AM1399" s="55"/>
      <c r="AN1399" s="56" t="str">
        <f t="shared" si="657"/>
        <v/>
      </c>
      <c r="AO1399" s="55"/>
      <c r="AP1399" s="56" t="str">
        <f t="shared" si="658"/>
        <v/>
      </c>
      <c r="AQ1399" s="55"/>
      <c r="AR1399" s="56" t="str">
        <f t="shared" si="659"/>
        <v/>
      </c>
      <c r="AS1399" s="57"/>
      <c r="AT1399" s="58"/>
      <c r="AU1399" s="58"/>
      <c r="AV1399" s="59"/>
      <c r="AW1399" s="60" t="str">
        <f t="shared" si="637"/>
        <v/>
      </c>
      <c r="AX1399" s="61" t="str">
        <f t="shared" si="638"/>
        <v/>
      </c>
      <c r="AY1399" s="60" t="str">
        <f t="shared" si="639"/>
        <v/>
      </c>
      <c r="AZ1399" s="61" t="str">
        <f t="shared" si="640"/>
        <v/>
      </c>
    </row>
    <row r="1400" spans="1:52" s="3" customFormat="1" hidden="1" x14ac:dyDescent="0.35">
      <c r="A1400" s="72">
        <f t="shared" si="641"/>
        <v>2021</v>
      </c>
      <c r="B1400" s="72" t="str">
        <f t="shared" si="642"/>
        <v>Nov</v>
      </c>
      <c r="C1400" s="73">
        <f t="shared" si="660"/>
        <v>15</v>
      </c>
      <c r="D1400" s="74">
        <f t="shared" si="643"/>
        <v>15</v>
      </c>
      <c r="E1400" s="75">
        <f t="shared" si="644"/>
        <v>16</v>
      </c>
      <c r="F1400" s="79"/>
      <c r="G1400" s="82"/>
      <c r="H1400" s="68" t="str">
        <f t="shared" si="661"/>
        <v>Clesim6_20211115_15_00</v>
      </c>
      <c r="I1400" s="69">
        <f t="shared" si="665"/>
        <v>1</v>
      </c>
      <c r="J1400" s="76" t="str">
        <f t="shared" si="665"/>
        <v>Clematis</v>
      </c>
      <c r="K1400" s="76" t="str">
        <f t="shared" si="665"/>
        <v>simense</v>
      </c>
      <c r="L1400" s="77">
        <f t="shared" si="665"/>
        <v>6</v>
      </c>
      <c r="M1400" s="77">
        <f t="shared" si="665"/>
        <v>20</v>
      </c>
      <c r="N1400" s="71">
        <f t="shared" si="665"/>
        <v>0</v>
      </c>
      <c r="O1400" s="44"/>
      <c r="P1400" s="45" t="str">
        <f t="shared" si="645"/>
        <v/>
      </c>
      <c r="Q1400" s="46" t="str">
        <f t="shared" si="646"/>
        <v/>
      </c>
      <c r="R1400" s="47" t="e">
        <f t="shared" si="647"/>
        <v>#VALUE!</v>
      </c>
      <c r="S1400" s="48" t="e">
        <f t="shared" si="636"/>
        <v>#VALUE!</v>
      </c>
      <c r="T1400" s="47" t="str">
        <f t="shared" si="648"/>
        <v/>
      </c>
      <c r="U1400" s="49"/>
      <c r="V1400" s="50"/>
      <c r="W1400" s="51" t="e">
        <f t="shared" si="649"/>
        <v>#VALUE!</v>
      </c>
      <c r="X1400" s="52"/>
      <c r="Y1400" s="52"/>
      <c r="Z1400" s="52"/>
      <c r="AA1400" s="47" t="e">
        <f>INDEX(VISITORS[INSECT ORDER], MATCH(X1400,VISITORS[NAME USED],0))</f>
        <v>#N/A</v>
      </c>
      <c r="AB1400" s="47" t="e">
        <f t="shared" si="650"/>
        <v>#N/A</v>
      </c>
      <c r="AC1400" s="53" t="e">
        <f t="shared" si="651"/>
        <v>#VALUE!</v>
      </c>
      <c r="AD1400" s="54" t="str">
        <f t="shared" si="652"/>
        <v/>
      </c>
      <c r="AE1400" s="54"/>
      <c r="AF1400" s="54"/>
      <c r="AG1400" s="55" t="str">
        <f t="shared" si="653"/>
        <v/>
      </c>
      <c r="AH1400" s="56" t="str">
        <f t="shared" si="654"/>
        <v/>
      </c>
      <c r="AI1400" s="55"/>
      <c r="AJ1400" s="56" t="str">
        <f t="shared" si="655"/>
        <v/>
      </c>
      <c r="AK1400" s="55"/>
      <c r="AL1400" s="56" t="str">
        <f t="shared" si="656"/>
        <v/>
      </c>
      <c r="AM1400" s="55"/>
      <c r="AN1400" s="56" t="str">
        <f t="shared" si="657"/>
        <v/>
      </c>
      <c r="AO1400" s="55"/>
      <c r="AP1400" s="56" t="str">
        <f t="shared" si="658"/>
        <v/>
      </c>
      <c r="AQ1400" s="55"/>
      <c r="AR1400" s="56" t="str">
        <f t="shared" si="659"/>
        <v/>
      </c>
      <c r="AS1400" s="57"/>
      <c r="AT1400" s="58"/>
      <c r="AU1400" s="58"/>
      <c r="AV1400" s="59"/>
      <c r="AW1400" s="60" t="str">
        <f t="shared" si="637"/>
        <v/>
      </c>
      <c r="AX1400" s="61" t="str">
        <f t="shared" si="638"/>
        <v/>
      </c>
      <c r="AY1400" s="60" t="str">
        <f t="shared" si="639"/>
        <v/>
      </c>
      <c r="AZ1400" s="61" t="str">
        <f t="shared" si="640"/>
        <v/>
      </c>
    </row>
    <row r="1401" spans="1:52" s="3" customFormat="1" hidden="1" x14ac:dyDescent="0.35">
      <c r="A1401" s="72">
        <f t="shared" si="641"/>
        <v>2021</v>
      </c>
      <c r="B1401" s="72" t="str">
        <f t="shared" si="642"/>
        <v>Nov</v>
      </c>
      <c r="C1401" s="73">
        <f t="shared" si="660"/>
        <v>15</v>
      </c>
      <c r="D1401" s="74">
        <f t="shared" si="643"/>
        <v>15</v>
      </c>
      <c r="E1401" s="75">
        <f t="shared" si="644"/>
        <v>17</v>
      </c>
      <c r="F1401" s="79"/>
      <c r="G1401" s="82"/>
      <c r="H1401" s="68" t="str">
        <f t="shared" si="661"/>
        <v>Clesim6_20211115_15_00</v>
      </c>
      <c r="I1401" s="69">
        <f t="shared" si="665"/>
        <v>1</v>
      </c>
      <c r="J1401" s="76" t="str">
        <f t="shared" si="665"/>
        <v>Clematis</v>
      </c>
      <c r="K1401" s="76" t="str">
        <f t="shared" si="665"/>
        <v>simense</v>
      </c>
      <c r="L1401" s="77">
        <f t="shared" si="665"/>
        <v>6</v>
      </c>
      <c r="M1401" s="77">
        <f t="shared" si="665"/>
        <v>20</v>
      </c>
      <c r="N1401" s="71">
        <f t="shared" si="665"/>
        <v>0</v>
      </c>
      <c r="O1401" s="44"/>
      <c r="P1401" s="45" t="str">
        <f t="shared" si="645"/>
        <v/>
      </c>
      <c r="Q1401" s="46" t="str">
        <f t="shared" si="646"/>
        <v/>
      </c>
      <c r="R1401" s="47" t="e">
        <f t="shared" si="647"/>
        <v>#VALUE!</v>
      </c>
      <c r="S1401" s="48" t="e">
        <f t="shared" si="636"/>
        <v>#VALUE!</v>
      </c>
      <c r="T1401" s="47" t="str">
        <f t="shared" si="648"/>
        <v/>
      </c>
      <c r="U1401" s="49"/>
      <c r="V1401" s="50"/>
      <c r="W1401" s="51" t="e">
        <f t="shared" si="649"/>
        <v>#VALUE!</v>
      </c>
      <c r="X1401" s="52"/>
      <c r="Y1401" s="52"/>
      <c r="Z1401" s="52"/>
      <c r="AA1401" s="47" t="e">
        <f>INDEX(VISITORS[INSECT ORDER], MATCH(X1401,VISITORS[NAME USED],0))</f>
        <v>#N/A</v>
      </c>
      <c r="AB1401" s="47" t="e">
        <f t="shared" si="650"/>
        <v>#N/A</v>
      </c>
      <c r="AC1401" s="53" t="e">
        <f t="shared" si="651"/>
        <v>#VALUE!</v>
      </c>
      <c r="AD1401" s="54" t="str">
        <f t="shared" si="652"/>
        <v/>
      </c>
      <c r="AE1401" s="54"/>
      <c r="AF1401" s="54"/>
      <c r="AG1401" s="55" t="str">
        <f t="shared" si="653"/>
        <v/>
      </c>
      <c r="AH1401" s="56" t="str">
        <f t="shared" si="654"/>
        <v/>
      </c>
      <c r="AI1401" s="55"/>
      <c r="AJ1401" s="56" t="str">
        <f t="shared" si="655"/>
        <v/>
      </c>
      <c r="AK1401" s="55"/>
      <c r="AL1401" s="56" t="str">
        <f t="shared" si="656"/>
        <v/>
      </c>
      <c r="AM1401" s="55"/>
      <c r="AN1401" s="56" t="str">
        <f t="shared" si="657"/>
        <v/>
      </c>
      <c r="AO1401" s="55"/>
      <c r="AP1401" s="56" t="str">
        <f t="shared" si="658"/>
        <v/>
      </c>
      <c r="AQ1401" s="55"/>
      <c r="AR1401" s="56" t="str">
        <f t="shared" si="659"/>
        <v/>
      </c>
      <c r="AS1401" s="57"/>
      <c r="AT1401" s="58"/>
      <c r="AU1401" s="58"/>
      <c r="AV1401" s="59"/>
      <c r="AW1401" s="60" t="str">
        <f t="shared" si="637"/>
        <v/>
      </c>
      <c r="AX1401" s="61" t="str">
        <f t="shared" si="638"/>
        <v/>
      </c>
      <c r="AY1401" s="60" t="str">
        <f t="shared" si="639"/>
        <v/>
      </c>
      <c r="AZ1401" s="61" t="str">
        <f t="shared" si="640"/>
        <v/>
      </c>
    </row>
    <row r="1402" spans="1:52" s="3" customFormat="1" hidden="1" x14ac:dyDescent="0.35">
      <c r="A1402" s="72">
        <f t="shared" si="641"/>
        <v>2021</v>
      </c>
      <c r="B1402" s="72" t="str">
        <f t="shared" si="642"/>
        <v>Nov</v>
      </c>
      <c r="C1402" s="73">
        <f t="shared" si="660"/>
        <v>15</v>
      </c>
      <c r="D1402" s="74">
        <f t="shared" si="643"/>
        <v>15</v>
      </c>
      <c r="E1402" s="75">
        <f t="shared" si="644"/>
        <v>18</v>
      </c>
      <c r="F1402" s="79"/>
      <c r="G1402" s="82"/>
      <c r="H1402" s="68" t="str">
        <f t="shared" si="661"/>
        <v>Clesim6_20211115_15_00</v>
      </c>
      <c r="I1402" s="69">
        <f t="shared" si="665"/>
        <v>1</v>
      </c>
      <c r="J1402" s="76" t="str">
        <f t="shared" si="665"/>
        <v>Clematis</v>
      </c>
      <c r="K1402" s="76" t="str">
        <f t="shared" si="665"/>
        <v>simense</v>
      </c>
      <c r="L1402" s="77">
        <f t="shared" si="665"/>
        <v>6</v>
      </c>
      <c r="M1402" s="77">
        <f t="shared" si="665"/>
        <v>20</v>
      </c>
      <c r="N1402" s="71">
        <f t="shared" si="665"/>
        <v>0</v>
      </c>
      <c r="O1402" s="44"/>
      <c r="P1402" s="45" t="str">
        <f t="shared" si="645"/>
        <v/>
      </c>
      <c r="Q1402" s="46" t="str">
        <f t="shared" si="646"/>
        <v/>
      </c>
      <c r="R1402" s="47" t="e">
        <f t="shared" si="647"/>
        <v>#VALUE!</v>
      </c>
      <c r="S1402" s="48" t="e">
        <f t="shared" si="636"/>
        <v>#VALUE!</v>
      </c>
      <c r="T1402" s="47" t="str">
        <f t="shared" si="648"/>
        <v/>
      </c>
      <c r="U1402" s="49"/>
      <c r="V1402" s="50"/>
      <c r="W1402" s="51" t="e">
        <f t="shared" si="649"/>
        <v>#VALUE!</v>
      </c>
      <c r="X1402" s="52"/>
      <c r="Y1402" s="52"/>
      <c r="Z1402" s="52"/>
      <c r="AA1402" s="47" t="e">
        <f>INDEX(VISITORS[INSECT ORDER], MATCH(X1402,VISITORS[NAME USED],0))</f>
        <v>#N/A</v>
      </c>
      <c r="AB1402" s="47" t="e">
        <f t="shared" si="650"/>
        <v>#N/A</v>
      </c>
      <c r="AC1402" s="53" t="e">
        <f t="shared" si="651"/>
        <v>#VALUE!</v>
      </c>
      <c r="AD1402" s="54" t="str">
        <f t="shared" si="652"/>
        <v/>
      </c>
      <c r="AE1402" s="54"/>
      <c r="AF1402" s="54"/>
      <c r="AG1402" s="55" t="str">
        <f t="shared" si="653"/>
        <v/>
      </c>
      <c r="AH1402" s="56" t="str">
        <f t="shared" si="654"/>
        <v/>
      </c>
      <c r="AI1402" s="55"/>
      <c r="AJ1402" s="56" t="str">
        <f t="shared" si="655"/>
        <v/>
      </c>
      <c r="AK1402" s="55"/>
      <c r="AL1402" s="56" t="str">
        <f t="shared" si="656"/>
        <v/>
      </c>
      <c r="AM1402" s="55"/>
      <c r="AN1402" s="56" t="str">
        <f t="shared" si="657"/>
        <v/>
      </c>
      <c r="AO1402" s="55"/>
      <c r="AP1402" s="56" t="str">
        <f t="shared" si="658"/>
        <v/>
      </c>
      <c r="AQ1402" s="55"/>
      <c r="AR1402" s="56" t="str">
        <f t="shared" si="659"/>
        <v/>
      </c>
      <c r="AS1402" s="57"/>
      <c r="AT1402" s="58"/>
      <c r="AU1402" s="58"/>
      <c r="AV1402" s="59"/>
      <c r="AW1402" s="60" t="str">
        <f t="shared" si="637"/>
        <v/>
      </c>
      <c r="AX1402" s="61" t="str">
        <f t="shared" si="638"/>
        <v/>
      </c>
      <c r="AY1402" s="60" t="str">
        <f t="shared" si="639"/>
        <v/>
      </c>
      <c r="AZ1402" s="61" t="str">
        <f t="shared" si="640"/>
        <v/>
      </c>
    </row>
    <row r="1403" spans="1:52" s="3" customFormat="1" hidden="1" x14ac:dyDescent="0.35">
      <c r="A1403" s="72">
        <f t="shared" si="641"/>
        <v>2021</v>
      </c>
      <c r="B1403" s="72" t="str">
        <f t="shared" si="642"/>
        <v>Nov</v>
      </c>
      <c r="C1403" s="73">
        <f t="shared" si="660"/>
        <v>15</v>
      </c>
      <c r="D1403" s="74">
        <f t="shared" si="643"/>
        <v>15</v>
      </c>
      <c r="E1403" s="75">
        <f t="shared" si="644"/>
        <v>19</v>
      </c>
      <c r="F1403" s="79"/>
      <c r="G1403" s="82"/>
      <c r="H1403" s="68" t="str">
        <f t="shared" si="661"/>
        <v>Clesim6_20211115_15_00</v>
      </c>
      <c r="I1403" s="69">
        <f t="shared" si="665"/>
        <v>1</v>
      </c>
      <c r="J1403" s="76" t="str">
        <f t="shared" si="665"/>
        <v>Clematis</v>
      </c>
      <c r="K1403" s="76" t="str">
        <f t="shared" si="665"/>
        <v>simense</v>
      </c>
      <c r="L1403" s="77">
        <f t="shared" si="665"/>
        <v>6</v>
      </c>
      <c r="M1403" s="77">
        <f t="shared" si="665"/>
        <v>20</v>
      </c>
      <c r="N1403" s="71">
        <f t="shared" si="665"/>
        <v>0</v>
      </c>
      <c r="O1403" s="44"/>
      <c r="P1403" s="45" t="str">
        <f t="shared" si="645"/>
        <v/>
      </c>
      <c r="Q1403" s="46" t="str">
        <f t="shared" si="646"/>
        <v/>
      </c>
      <c r="R1403" s="47" t="e">
        <f t="shared" si="647"/>
        <v>#VALUE!</v>
      </c>
      <c r="S1403" s="48" t="e">
        <f t="shared" si="636"/>
        <v>#VALUE!</v>
      </c>
      <c r="T1403" s="47" t="str">
        <f t="shared" si="648"/>
        <v/>
      </c>
      <c r="U1403" s="49"/>
      <c r="V1403" s="50"/>
      <c r="W1403" s="51" t="e">
        <f t="shared" si="649"/>
        <v>#VALUE!</v>
      </c>
      <c r="X1403" s="52"/>
      <c r="Y1403" s="52"/>
      <c r="Z1403" s="52"/>
      <c r="AA1403" s="47" t="e">
        <f>INDEX(VISITORS[INSECT ORDER], MATCH(X1403,VISITORS[NAME USED],0))</f>
        <v>#N/A</v>
      </c>
      <c r="AB1403" s="47" t="e">
        <f t="shared" si="650"/>
        <v>#N/A</v>
      </c>
      <c r="AC1403" s="53" t="e">
        <f t="shared" si="651"/>
        <v>#VALUE!</v>
      </c>
      <c r="AD1403" s="54" t="str">
        <f t="shared" si="652"/>
        <v/>
      </c>
      <c r="AE1403" s="54"/>
      <c r="AF1403" s="54"/>
      <c r="AG1403" s="55" t="str">
        <f t="shared" si="653"/>
        <v/>
      </c>
      <c r="AH1403" s="56" t="str">
        <f t="shared" si="654"/>
        <v/>
      </c>
      <c r="AI1403" s="55"/>
      <c r="AJ1403" s="56" t="str">
        <f t="shared" si="655"/>
        <v/>
      </c>
      <c r="AK1403" s="55"/>
      <c r="AL1403" s="56" t="str">
        <f t="shared" si="656"/>
        <v/>
      </c>
      <c r="AM1403" s="55"/>
      <c r="AN1403" s="56" t="str">
        <f t="shared" si="657"/>
        <v/>
      </c>
      <c r="AO1403" s="55"/>
      <c r="AP1403" s="56" t="str">
        <f t="shared" si="658"/>
        <v/>
      </c>
      <c r="AQ1403" s="55"/>
      <c r="AR1403" s="56" t="str">
        <f t="shared" si="659"/>
        <v/>
      </c>
      <c r="AS1403" s="57"/>
      <c r="AT1403" s="58"/>
      <c r="AU1403" s="58"/>
      <c r="AV1403" s="59"/>
      <c r="AW1403" s="60" t="str">
        <f t="shared" si="637"/>
        <v/>
      </c>
      <c r="AX1403" s="61" t="str">
        <f t="shared" si="638"/>
        <v/>
      </c>
      <c r="AY1403" s="60" t="str">
        <f t="shared" si="639"/>
        <v/>
      </c>
      <c r="AZ1403" s="61" t="str">
        <f t="shared" si="640"/>
        <v/>
      </c>
    </row>
    <row r="1404" spans="1:52" s="3" customFormat="1" hidden="1" x14ac:dyDescent="0.35">
      <c r="A1404" s="72">
        <f t="shared" si="641"/>
        <v>2021</v>
      </c>
      <c r="B1404" s="72" t="str">
        <f t="shared" si="642"/>
        <v>Nov</v>
      </c>
      <c r="C1404" s="73">
        <f t="shared" si="660"/>
        <v>15</v>
      </c>
      <c r="D1404" s="74">
        <f t="shared" si="643"/>
        <v>15</v>
      </c>
      <c r="E1404" s="75">
        <f t="shared" si="644"/>
        <v>20</v>
      </c>
      <c r="F1404" s="79"/>
      <c r="G1404" s="82"/>
      <c r="H1404" s="68" t="str">
        <f t="shared" si="661"/>
        <v>Clesim6_20211115_15_00</v>
      </c>
      <c r="I1404" s="69">
        <f t="shared" si="665"/>
        <v>1</v>
      </c>
      <c r="J1404" s="76" t="str">
        <f t="shared" si="665"/>
        <v>Clematis</v>
      </c>
      <c r="K1404" s="76" t="str">
        <f t="shared" si="665"/>
        <v>simense</v>
      </c>
      <c r="L1404" s="77">
        <f t="shared" si="665"/>
        <v>6</v>
      </c>
      <c r="M1404" s="77">
        <f t="shared" si="665"/>
        <v>20</v>
      </c>
      <c r="N1404" s="71">
        <f t="shared" si="665"/>
        <v>0</v>
      </c>
      <c r="O1404" s="44"/>
      <c r="P1404" s="45" t="str">
        <f t="shared" si="645"/>
        <v/>
      </c>
      <c r="Q1404" s="46" t="str">
        <f t="shared" si="646"/>
        <v/>
      </c>
      <c r="R1404" s="47" t="e">
        <f t="shared" si="647"/>
        <v>#VALUE!</v>
      </c>
      <c r="S1404" s="48" t="e">
        <f t="shared" si="636"/>
        <v>#VALUE!</v>
      </c>
      <c r="T1404" s="47" t="str">
        <f t="shared" si="648"/>
        <v/>
      </c>
      <c r="U1404" s="49"/>
      <c r="V1404" s="50"/>
      <c r="W1404" s="51" t="e">
        <f t="shared" si="649"/>
        <v>#VALUE!</v>
      </c>
      <c r="X1404" s="52"/>
      <c r="Y1404" s="52"/>
      <c r="Z1404" s="52"/>
      <c r="AA1404" s="47" t="e">
        <f>INDEX(VISITORS[INSECT ORDER], MATCH(X1404,VISITORS[NAME USED],0))</f>
        <v>#N/A</v>
      </c>
      <c r="AB1404" s="47" t="e">
        <f t="shared" si="650"/>
        <v>#N/A</v>
      </c>
      <c r="AC1404" s="53" t="e">
        <f t="shared" si="651"/>
        <v>#VALUE!</v>
      </c>
      <c r="AD1404" s="54" t="str">
        <f t="shared" si="652"/>
        <v/>
      </c>
      <c r="AE1404" s="54"/>
      <c r="AF1404" s="54"/>
      <c r="AG1404" s="55" t="str">
        <f t="shared" si="653"/>
        <v/>
      </c>
      <c r="AH1404" s="56" t="str">
        <f t="shared" si="654"/>
        <v/>
      </c>
      <c r="AI1404" s="55"/>
      <c r="AJ1404" s="56" t="str">
        <f t="shared" si="655"/>
        <v/>
      </c>
      <c r="AK1404" s="55"/>
      <c r="AL1404" s="56" t="str">
        <f t="shared" si="656"/>
        <v/>
      </c>
      <c r="AM1404" s="55"/>
      <c r="AN1404" s="56" t="str">
        <f t="shared" si="657"/>
        <v/>
      </c>
      <c r="AO1404" s="55"/>
      <c r="AP1404" s="56" t="str">
        <f t="shared" si="658"/>
        <v/>
      </c>
      <c r="AQ1404" s="55"/>
      <c r="AR1404" s="56" t="str">
        <f t="shared" si="659"/>
        <v/>
      </c>
      <c r="AS1404" s="57"/>
      <c r="AT1404" s="58"/>
      <c r="AU1404" s="58"/>
      <c r="AV1404" s="59"/>
      <c r="AW1404" s="60" t="str">
        <f t="shared" si="637"/>
        <v/>
      </c>
      <c r="AX1404" s="61" t="str">
        <f t="shared" si="638"/>
        <v/>
      </c>
      <c r="AY1404" s="60" t="str">
        <f t="shared" si="639"/>
        <v/>
      </c>
      <c r="AZ1404" s="61" t="str">
        <f t="shared" si="640"/>
        <v/>
      </c>
    </row>
    <row r="1405" spans="1:52" s="3" customFormat="1" hidden="1" x14ac:dyDescent="0.35">
      <c r="A1405" s="72">
        <f t="shared" si="641"/>
        <v>2021</v>
      </c>
      <c r="B1405" s="72" t="str">
        <f t="shared" si="642"/>
        <v>Nov</v>
      </c>
      <c r="C1405" s="73">
        <f t="shared" si="660"/>
        <v>15</v>
      </c>
      <c r="D1405" s="74">
        <f t="shared" si="643"/>
        <v>15</v>
      </c>
      <c r="E1405" s="75">
        <f t="shared" si="644"/>
        <v>21</v>
      </c>
      <c r="F1405" s="79"/>
      <c r="G1405" s="82"/>
      <c r="H1405" s="68" t="str">
        <f t="shared" si="661"/>
        <v>Clesim6_20211115_15_00</v>
      </c>
      <c r="I1405" s="69">
        <f t="shared" si="665"/>
        <v>1</v>
      </c>
      <c r="J1405" s="76" t="str">
        <f t="shared" si="665"/>
        <v>Clematis</v>
      </c>
      <c r="K1405" s="76" t="str">
        <f t="shared" si="665"/>
        <v>simense</v>
      </c>
      <c r="L1405" s="77">
        <f t="shared" si="665"/>
        <v>6</v>
      </c>
      <c r="M1405" s="77">
        <f t="shared" si="665"/>
        <v>20</v>
      </c>
      <c r="N1405" s="71">
        <f t="shared" si="665"/>
        <v>0</v>
      </c>
      <c r="O1405" s="44"/>
      <c r="P1405" s="45" t="str">
        <f t="shared" si="645"/>
        <v/>
      </c>
      <c r="Q1405" s="46" t="str">
        <f t="shared" si="646"/>
        <v/>
      </c>
      <c r="R1405" s="47" t="e">
        <f t="shared" si="647"/>
        <v>#VALUE!</v>
      </c>
      <c r="S1405" s="48" t="e">
        <f t="shared" si="636"/>
        <v>#VALUE!</v>
      </c>
      <c r="T1405" s="47" t="str">
        <f t="shared" si="648"/>
        <v/>
      </c>
      <c r="U1405" s="49"/>
      <c r="V1405" s="50"/>
      <c r="W1405" s="51" t="e">
        <f t="shared" si="649"/>
        <v>#VALUE!</v>
      </c>
      <c r="X1405" s="52"/>
      <c r="Y1405" s="52"/>
      <c r="Z1405" s="52"/>
      <c r="AA1405" s="47" t="e">
        <f>INDEX(VISITORS[INSECT ORDER], MATCH(X1405,VISITORS[NAME USED],0))</f>
        <v>#N/A</v>
      </c>
      <c r="AB1405" s="47" t="e">
        <f t="shared" si="650"/>
        <v>#N/A</v>
      </c>
      <c r="AC1405" s="53" t="e">
        <f t="shared" si="651"/>
        <v>#VALUE!</v>
      </c>
      <c r="AD1405" s="54" t="str">
        <f t="shared" si="652"/>
        <v/>
      </c>
      <c r="AE1405" s="54"/>
      <c r="AF1405" s="54"/>
      <c r="AG1405" s="55" t="str">
        <f t="shared" si="653"/>
        <v/>
      </c>
      <c r="AH1405" s="56" t="str">
        <f t="shared" si="654"/>
        <v/>
      </c>
      <c r="AI1405" s="55"/>
      <c r="AJ1405" s="56" t="str">
        <f t="shared" si="655"/>
        <v/>
      </c>
      <c r="AK1405" s="55"/>
      <c r="AL1405" s="56" t="str">
        <f t="shared" si="656"/>
        <v/>
      </c>
      <c r="AM1405" s="55"/>
      <c r="AN1405" s="56" t="str">
        <f t="shared" si="657"/>
        <v/>
      </c>
      <c r="AO1405" s="55"/>
      <c r="AP1405" s="56" t="str">
        <f t="shared" si="658"/>
        <v/>
      </c>
      <c r="AQ1405" s="55"/>
      <c r="AR1405" s="56" t="str">
        <f t="shared" si="659"/>
        <v/>
      </c>
      <c r="AS1405" s="57"/>
      <c r="AT1405" s="58"/>
      <c r="AU1405" s="58"/>
      <c r="AV1405" s="59"/>
      <c r="AW1405" s="60" t="str">
        <f t="shared" si="637"/>
        <v/>
      </c>
      <c r="AX1405" s="61" t="str">
        <f t="shared" si="638"/>
        <v/>
      </c>
      <c r="AY1405" s="60" t="str">
        <f t="shared" si="639"/>
        <v/>
      </c>
      <c r="AZ1405" s="61" t="str">
        <f t="shared" si="640"/>
        <v/>
      </c>
    </row>
    <row r="1406" spans="1:52" s="3" customFormat="1" hidden="1" x14ac:dyDescent="0.35">
      <c r="A1406" s="72">
        <f t="shared" si="641"/>
        <v>2021</v>
      </c>
      <c r="B1406" s="72" t="str">
        <f t="shared" si="642"/>
        <v>Nov</v>
      </c>
      <c r="C1406" s="73">
        <f t="shared" si="660"/>
        <v>15</v>
      </c>
      <c r="D1406" s="74">
        <f t="shared" si="643"/>
        <v>15</v>
      </c>
      <c r="E1406" s="75">
        <f t="shared" si="644"/>
        <v>22</v>
      </c>
      <c r="F1406" s="79"/>
      <c r="G1406" s="82"/>
      <c r="H1406" s="68" t="str">
        <f t="shared" si="661"/>
        <v>Clesim6_20211115_15_00</v>
      </c>
      <c r="I1406" s="69">
        <f t="shared" si="665"/>
        <v>1</v>
      </c>
      <c r="J1406" s="76" t="str">
        <f t="shared" si="665"/>
        <v>Clematis</v>
      </c>
      <c r="K1406" s="76" t="str">
        <f t="shared" si="665"/>
        <v>simense</v>
      </c>
      <c r="L1406" s="77">
        <f t="shared" si="665"/>
        <v>6</v>
      </c>
      <c r="M1406" s="77">
        <f t="shared" si="665"/>
        <v>20</v>
      </c>
      <c r="N1406" s="71">
        <f t="shared" si="665"/>
        <v>0</v>
      </c>
      <c r="O1406" s="44"/>
      <c r="P1406" s="45" t="str">
        <f t="shared" si="645"/>
        <v/>
      </c>
      <c r="Q1406" s="46" t="str">
        <f t="shared" si="646"/>
        <v/>
      </c>
      <c r="R1406" s="47" t="e">
        <f t="shared" si="647"/>
        <v>#VALUE!</v>
      </c>
      <c r="S1406" s="48" t="e">
        <f t="shared" si="636"/>
        <v>#VALUE!</v>
      </c>
      <c r="T1406" s="47" t="str">
        <f t="shared" si="648"/>
        <v/>
      </c>
      <c r="U1406" s="49"/>
      <c r="V1406" s="50"/>
      <c r="W1406" s="51" t="e">
        <f t="shared" si="649"/>
        <v>#VALUE!</v>
      </c>
      <c r="X1406" s="52"/>
      <c r="Y1406" s="52"/>
      <c r="Z1406" s="52"/>
      <c r="AA1406" s="47" t="e">
        <f>INDEX(VISITORS[INSECT ORDER], MATCH(X1406,VISITORS[NAME USED],0))</f>
        <v>#N/A</v>
      </c>
      <c r="AB1406" s="47" t="e">
        <f t="shared" si="650"/>
        <v>#N/A</v>
      </c>
      <c r="AC1406" s="53" t="e">
        <f t="shared" si="651"/>
        <v>#VALUE!</v>
      </c>
      <c r="AD1406" s="54" t="str">
        <f t="shared" si="652"/>
        <v/>
      </c>
      <c r="AE1406" s="54"/>
      <c r="AF1406" s="54"/>
      <c r="AG1406" s="55" t="str">
        <f t="shared" si="653"/>
        <v/>
      </c>
      <c r="AH1406" s="56" t="str">
        <f t="shared" si="654"/>
        <v/>
      </c>
      <c r="AI1406" s="55"/>
      <c r="AJ1406" s="56" t="str">
        <f t="shared" si="655"/>
        <v/>
      </c>
      <c r="AK1406" s="55"/>
      <c r="AL1406" s="56" t="str">
        <f t="shared" si="656"/>
        <v/>
      </c>
      <c r="AM1406" s="55"/>
      <c r="AN1406" s="56" t="str">
        <f t="shared" si="657"/>
        <v/>
      </c>
      <c r="AO1406" s="55"/>
      <c r="AP1406" s="56" t="str">
        <f t="shared" si="658"/>
        <v/>
      </c>
      <c r="AQ1406" s="55"/>
      <c r="AR1406" s="56" t="str">
        <f t="shared" si="659"/>
        <v/>
      </c>
      <c r="AS1406" s="57"/>
      <c r="AT1406" s="58"/>
      <c r="AU1406" s="58"/>
      <c r="AV1406" s="59"/>
      <c r="AW1406" s="60" t="str">
        <f t="shared" si="637"/>
        <v/>
      </c>
      <c r="AX1406" s="61" t="str">
        <f t="shared" si="638"/>
        <v/>
      </c>
      <c r="AY1406" s="60" t="str">
        <f t="shared" si="639"/>
        <v/>
      </c>
      <c r="AZ1406" s="61" t="str">
        <f t="shared" si="640"/>
        <v/>
      </c>
    </row>
    <row r="1407" spans="1:52" s="3" customFormat="1" hidden="1" x14ac:dyDescent="0.35">
      <c r="A1407" s="72">
        <f t="shared" si="641"/>
        <v>2021</v>
      </c>
      <c r="B1407" s="72" t="str">
        <f t="shared" si="642"/>
        <v>Nov</v>
      </c>
      <c r="C1407" s="73">
        <f t="shared" si="660"/>
        <v>15</v>
      </c>
      <c r="D1407" s="74">
        <f t="shared" si="643"/>
        <v>15</v>
      </c>
      <c r="E1407" s="75">
        <f t="shared" si="644"/>
        <v>23</v>
      </c>
      <c r="F1407" s="79"/>
      <c r="G1407" s="82"/>
      <c r="H1407" s="68" t="str">
        <f t="shared" si="661"/>
        <v>Clesim6_20211115_15_00</v>
      </c>
      <c r="I1407" s="69">
        <f t="shared" si="665"/>
        <v>1</v>
      </c>
      <c r="J1407" s="76" t="str">
        <f t="shared" si="665"/>
        <v>Clematis</v>
      </c>
      <c r="K1407" s="76" t="str">
        <f t="shared" si="665"/>
        <v>simense</v>
      </c>
      <c r="L1407" s="77">
        <f t="shared" si="665"/>
        <v>6</v>
      </c>
      <c r="M1407" s="77">
        <f t="shared" si="665"/>
        <v>20</v>
      </c>
      <c r="N1407" s="71">
        <f t="shared" si="665"/>
        <v>0</v>
      </c>
      <c r="O1407" s="44"/>
      <c r="P1407" s="45" t="str">
        <f t="shared" si="645"/>
        <v/>
      </c>
      <c r="Q1407" s="46" t="str">
        <f t="shared" si="646"/>
        <v/>
      </c>
      <c r="R1407" s="47" t="e">
        <f t="shared" si="647"/>
        <v>#VALUE!</v>
      </c>
      <c r="S1407" s="48" t="e">
        <f t="shared" si="636"/>
        <v>#VALUE!</v>
      </c>
      <c r="T1407" s="47" t="str">
        <f t="shared" si="648"/>
        <v/>
      </c>
      <c r="U1407" s="49"/>
      <c r="V1407" s="50"/>
      <c r="W1407" s="51" t="e">
        <f t="shared" si="649"/>
        <v>#VALUE!</v>
      </c>
      <c r="X1407" s="52"/>
      <c r="Y1407" s="52"/>
      <c r="Z1407" s="52"/>
      <c r="AA1407" s="47" t="e">
        <f>INDEX(VISITORS[INSECT ORDER], MATCH(X1407,VISITORS[NAME USED],0))</f>
        <v>#N/A</v>
      </c>
      <c r="AB1407" s="47" t="e">
        <f t="shared" si="650"/>
        <v>#N/A</v>
      </c>
      <c r="AC1407" s="53" t="e">
        <f t="shared" si="651"/>
        <v>#VALUE!</v>
      </c>
      <c r="AD1407" s="54" t="str">
        <f t="shared" si="652"/>
        <v/>
      </c>
      <c r="AE1407" s="54"/>
      <c r="AF1407" s="54"/>
      <c r="AG1407" s="55" t="str">
        <f t="shared" si="653"/>
        <v/>
      </c>
      <c r="AH1407" s="56" t="str">
        <f t="shared" si="654"/>
        <v/>
      </c>
      <c r="AI1407" s="55"/>
      <c r="AJ1407" s="56" t="str">
        <f t="shared" si="655"/>
        <v/>
      </c>
      <c r="AK1407" s="55"/>
      <c r="AL1407" s="56" t="str">
        <f t="shared" si="656"/>
        <v/>
      </c>
      <c r="AM1407" s="55"/>
      <c r="AN1407" s="56" t="str">
        <f t="shared" si="657"/>
        <v/>
      </c>
      <c r="AO1407" s="55"/>
      <c r="AP1407" s="56" t="str">
        <f t="shared" si="658"/>
        <v/>
      </c>
      <c r="AQ1407" s="55"/>
      <c r="AR1407" s="56" t="str">
        <f t="shared" si="659"/>
        <v/>
      </c>
      <c r="AS1407" s="57"/>
      <c r="AT1407" s="58"/>
      <c r="AU1407" s="58"/>
      <c r="AV1407" s="59"/>
      <c r="AW1407" s="60" t="str">
        <f t="shared" si="637"/>
        <v/>
      </c>
      <c r="AX1407" s="61" t="str">
        <f t="shared" si="638"/>
        <v/>
      </c>
      <c r="AY1407" s="60" t="str">
        <f t="shared" si="639"/>
        <v/>
      </c>
      <c r="AZ1407" s="61" t="str">
        <f t="shared" si="640"/>
        <v/>
      </c>
    </row>
    <row r="1408" spans="1:52" s="3" customFormat="1" hidden="1" x14ac:dyDescent="0.35">
      <c r="A1408" s="72">
        <f t="shared" si="641"/>
        <v>2021</v>
      </c>
      <c r="B1408" s="72" t="str">
        <f t="shared" si="642"/>
        <v>Nov</v>
      </c>
      <c r="C1408" s="73">
        <f t="shared" si="660"/>
        <v>15</v>
      </c>
      <c r="D1408" s="74">
        <f t="shared" si="643"/>
        <v>15</v>
      </c>
      <c r="E1408" s="75">
        <f t="shared" si="644"/>
        <v>24</v>
      </c>
      <c r="F1408" s="79"/>
      <c r="G1408" s="82"/>
      <c r="H1408" s="68" t="str">
        <f t="shared" si="661"/>
        <v>Clesim6_20211115_15_00</v>
      </c>
      <c r="I1408" s="69">
        <f t="shared" si="665"/>
        <v>1</v>
      </c>
      <c r="J1408" s="76" t="str">
        <f t="shared" si="665"/>
        <v>Clematis</v>
      </c>
      <c r="K1408" s="76" t="str">
        <f t="shared" si="665"/>
        <v>simense</v>
      </c>
      <c r="L1408" s="77">
        <f t="shared" si="665"/>
        <v>6</v>
      </c>
      <c r="M1408" s="77">
        <f t="shared" si="665"/>
        <v>20</v>
      </c>
      <c r="N1408" s="71">
        <f t="shared" si="665"/>
        <v>0</v>
      </c>
      <c r="O1408" s="44"/>
      <c r="P1408" s="45" t="str">
        <f t="shared" si="645"/>
        <v/>
      </c>
      <c r="Q1408" s="46" t="str">
        <f t="shared" si="646"/>
        <v/>
      </c>
      <c r="R1408" s="47" t="e">
        <f t="shared" si="647"/>
        <v>#VALUE!</v>
      </c>
      <c r="S1408" s="48" t="e">
        <f t="shared" si="636"/>
        <v>#VALUE!</v>
      </c>
      <c r="T1408" s="47" t="str">
        <f t="shared" si="648"/>
        <v/>
      </c>
      <c r="U1408" s="49"/>
      <c r="V1408" s="50"/>
      <c r="W1408" s="51" t="e">
        <f t="shared" si="649"/>
        <v>#VALUE!</v>
      </c>
      <c r="X1408" s="52"/>
      <c r="Y1408" s="52"/>
      <c r="Z1408" s="52"/>
      <c r="AA1408" s="47" t="e">
        <f>INDEX(VISITORS[INSECT ORDER], MATCH(X1408,VISITORS[NAME USED],0))</f>
        <v>#N/A</v>
      </c>
      <c r="AB1408" s="47" t="e">
        <f t="shared" si="650"/>
        <v>#N/A</v>
      </c>
      <c r="AC1408" s="53" t="e">
        <f t="shared" si="651"/>
        <v>#VALUE!</v>
      </c>
      <c r="AD1408" s="54" t="str">
        <f t="shared" si="652"/>
        <v/>
      </c>
      <c r="AE1408" s="54"/>
      <c r="AF1408" s="54"/>
      <c r="AG1408" s="55" t="str">
        <f t="shared" si="653"/>
        <v/>
      </c>
      <c r="AH1408" s="56" t="str">
        <f t="shared" si="654"/>
        <v/>
      </c>
      <c r="AI1408" s="55"/>
      <c r="AJ1408" s="56" t="str">
        <f t="shared" si="655"/>
        <v/>
      </c>
      <c r="AK1408" s="55"/>
      <c r="AL1408" s="56" t="str">
        <f t="shared" si="656"/>
        <v/>
      </c>
      <c r="AM1408" s="55"/>
      <c r="AN1408" s="56" t="str">
        <f t="shared" si="657"/>
        <v/>
      </c>
      <c r="AO1408" s="55"/>
      <c r="AP1408" s="56" t="str">
        <f t="shared" si="658"/>
        <v/>
      </c>
      <c r="AQ1408" s="55"/>
      <c r="AR1408" s="56" t="str">
        <f t="shared" si="659"/>
        <v/>
      </c>
      <c r="AS1408" s="57"/>
      <c r="AT1408" s="58"/>
      <c r="AU1408" s="58"/>
      <c r="AV1408" s="59"/>
      <c r="AW1408" s="60" t="str">
        <f t="shared" si="637"/>
        <v/>
      </c>
      <c r="AX1408" s="61" t="str">
        <f t="shared" si="638"/>
        <v/>
      </c>
      <c r="AY1408" s="60" t="str">
        <f t="shared" si="639"/>
        <v/>
      </c>
      <c r="AZ1408" s="61" t="str">
        <f t="shared" si="640"/>
        <v/>
      </c>
    </row>
    <row r="1409" spans="1:52" s="3" customFormat="1" hidden="1" x14ac:dyDescent="0.35">
      <c r="A1409" s="72">
        <f t="shared" si="641"/>
        <v>2021</v>
      </c>
      <c r="B1409" s="72" t="str">
        <f t="shared" si="642"/>
        <v>Nov</v>
      </c>
      <c r="C1409" s="73">
        <f t="shared" si="660"/>
        <v>15</v>
      </c>
      <c r="D1409" s="74">
        <f t="shared" si="643"/>
        <v>15</v>
      </c>
      <c r="E1409" s="75">
        <f t="shared" si="644"/>
        <v>25</v>
      </c>
      <c r="F1409" s="79"/>
      <c r="G1409" s="82"/>
      <c r="H1409" s="68" t="str">
        <f t="shared" si="661"/>
        <v>Clesim6_20211115_15_00</v>
      </c>
      <c r="I1409" s="69">
        <f t="shared" si="665"/>
        <v>1</v>
      </c>
      <c r="J1409" s="76" t="str">
        <f t="shared" si="665"/>
        <v>Clematis</v>
      </c>
      <c r="K1409" s="76" t="str">
        <f t="shared" si="665"/>
        <v>simense</v>
      </c>
      <c r="L1409" s="77">
        <f t="shared" si="665"/>
        <v>6</v>
      </c>
      <c r="M1409" s="77">
        <f t="shared" si="665"/>
        <v>20</v>
      </c>
      <c r="N1409" s="71">
        <f t="shared" si="665"/>
        <v>0</v>
      </c>
      <c r="O1409" s="44"/>
      <c r="P1409" s="45" t="str">
        <f t="shared" si="645"/>
        <v/>
      </c>
      <c r="Q1409" s="46" t="str">
        <f t="shared" si="646"/>
        <v/>
      </c>
      <c r="R1409" s="47" t="e">
        <f t="shared" si="647"/>
        <v>#VALUE!</v>
      </c>
      <c r="S1409" s="48" t="e">
        <f t="shared" si="636"/>
        <v>#VALUE!</v>
      </c>
      <c r="T1409" s="47" t="str">
        <f t="shared" si="648"/>
        <v/>
      </c>
      <c r="U1409" s="49"/>
      <c r="V1409" s="50"/>
      <c r="W1409" s="51" t="e">
        <f t="shared" si="649"/>
        <v>#VALUE!</v>
      </c>
      <c r="X1409" s="52"/>
      <c r="Y1409" s="52"/>
      <c r="Z1409" s="52"/>
      <c r="AA1409" s="47" t="e">
        <f>INDEX(VISITORS[INSECT ORDER], MATCH(X1409,VISITORS[NAME USED],0))</f>
        <v>#N/A</v>
      </c>
      <c r="AB1409" s="47" t="e">
        <f t="shared" si="650"/>
        <v>#N/A</v>
      </c>
      <c r="AC1409" s="53" t="e">
        <f t="shared" si="651"/>
        <v>#VALUE!</v>
      </c>
      <c r="AD1409" s="54" t="str">
        <f t="shared" si="652"/>
        <v/>
      </c>
      <c r="AE1409" s="54"/>
      <c r="AF1409" s="54"/>
      <c r="AG1409" s="55" t="str">
        <f t="shared" si="653"/>
        <v/>
      </c>
      <c r="AH1409" s="56" t="str">
        <f t="shared" si="654"/>
        <v/>
      </c>
      <c r="AI1409" s="55"/>
      <c r="AJ1409" s="56" t="str">
        <f t="shared" si="655"/>
        <v/>
      </c>
      <c r="AK1409" s="55"/>
      <c r="AL1409" s="56" t="str">
        <f t="shared" si="656"/>
        <v/>
      </c>
      <c r="AM1409" s="55"/>
      <c r="AN1409" s="56" t="str">
        <f t="shared" si="657"/>
        <v/>
      </c>
      <c r="AO1409" s="55"/>
      <c r="AP1409" s="56" t="str">
        <f t="shared" si="658"/>
        <v/>
      </c>
      <c r="AQ1409" s="55"/>
      <c r="AR1409" s="56" t="str">
        <f t="shared" si="659"/>
        <v/>
      </c>
      <c r="AS1409" s="57"/>
      <c r="AT1409" s="58"/>
      <c r="AU1409" s="58"/>
      <c r="AV1409" s="59"/>
      <c r="AW1409" s="60" t="str">
        <f t="shared" si="637"/>
        <v/>
      </c>
      <c r="AX1409" s="61" t="str">
        <f t="shared" si="638"/>
        <v/>
      </c>
      <c r="AY1409" s="60" t="str">
        <f t="shared" si="639"/>
        <v/>
      </c>
      <c r="AZ1409" s="61" t="str">
        <f t="shared" si="640"/>
        <v/>
      </c>
    </row>
    <row r="1410" spans="1:52" s="3" customFormat="1" hidden="1" x14ac:dyDescent="0.35">
      <c r="A1410" s="72">
        <f t="shared" si="641"/>
        <v>2021</v>
      </c>
      <c r="B1410" s="72" t="str">
        <f t="shared" si="642"/>
        <v>Nov</v>
      </c>
      <c r="C1410" s="73">
        <f t="shared" si="660"/>
        <v>15</v>
      </c>
      <c r="D1410" s="74">
        <f t="shared" si="643"/>
        <v>15</v>
      </c>
      <c r="E1410" s="75">
        <f t="shared" si="644"/>
        <v>26</v>
      </c>
      <c r="F1410" s="79"/>
      <c r="G1410" s="82"/>
      <c r="H1410" s="68" t="str">
        <f t="shared" si="661"/>
        <v>Clesim6_20211115_15_00</v>
      </c>
      <c r="I1410" s="69">
        <f t="shared" si="665"/>
        <v>1</v>
      </c>
      <c r="J1410" s="76" t="str">
        <f t="shared" si="665"/>
        <v>Clematis</v>
      </c>
      <c r="K1410" s="76" t="str">
        <f t="shared" si="665"/>
        <v>simense</v>
      </c>
      <c r="L1410" s="77">
        <f t="shared" si="665"/>
        <v>6</v>
      </c>
      <c r="M1410" s="77">
        <f t="shared" si="665"/>
        <v>20</v>
      </c>
      <c r="N1410" s="71">
        <f t="shared" si="665"/>
        <v>0</v>
      </c>
      <c r="O1410" s="44"/>
      <c r="P1410" s="45" t="str">
        <f t="shared" si="645"/>
        <v/>
      </c>
      <c r="Q1410" s="46" t="str">
        <f t="shared" si="646"/>
        <v/>
      </c>
      <c r="R1410" s="47" t="e">
        <f t="shared" si="647"/>
        <v>#VALUE!</v>
      </c>
      <c r="S1410" s="48" t="e">
        <f t="shared" si="636"/>
        <v>#VALUE!</v>
      </c>
      <c r="T1410" s="47" t="str">
        <f t="shared" si="648"/>
        <v/>
      </c>
      <c r="U1410" s="49"/>
      <c r="V1410" s="50"/>
      <c r="W1410" s="51" t="e">
        <f t="shared" si="649"/>
        <v>#VALUE!</v>
      </c>
      <c r="X1410" s="52"/>
      <c r="Y1410" s="52"/>
      <c r="Z1410" s="52"/>
      <c r="AA1410" s="47" t="e">
        <f>INDEX(VISITORS[INSECT ORDER], MATCH(X1410,VISITORS[NAME USED],0))</f>
        <v>#N/A</v>
      </c>
      <c r="AB1410" s="47" t="e">
        <f t="shared" si="650"/>
        <v>#N/A</v>
      </c>
      <c r="AC1410" s="53" t="e">
        <f t="shared" si="651"/>
        <v>#VALUE!</v>
      </c>
      <c r="AD1410" s="54" t="str">
        <f t="shared" si="652"/>
        <v/>
      </c>
      <c r="AE1410" s="54"/>
      <c r="AF1410" s="54"/>
      <c r="AG1410" s="55" t="str">
        <f t="shared" si="653"/>
        <v/>
      </c>
      <c r="AH1410" s="56" t="str">
        <f t="shared" si="654"/>
        <v/>
      </c>
      <c r="AI1410" s="55"/>
      <c r="AJ1410" s="56" t="str">
        <f t="shared" si="655"/>
        <v/>
      </c>
      <c r="AK1410" s="55"/>
      <c r="AL1410" s="56" t="str">
        <f t="shared" si="656"/>
        <v/>
      </c>
      <c r="AM1410" s="55"/>
      <c r="AN1410" s="56" t="str">
        <f t="shared" si="657"/>
        <v/>
      </c>
      <c r="AO1410" s="55"/>
      <c r="AP1410" s="56" t="str">
        <f t="shared" si="658"/>
        <v/>
      </c>
      <c r="AQ1410" s="55"/>
      <c r="AR1410" s="56" t="str">
        <f t="shared" si="659"/>
        <v/>
      </c>
      <c r="AS1410" s="57"/>
      <c r="AT1410" s="58"/>
      <c r="AU1410" s="58"/>
      <c r="AV1410" s="59"/>
      <c r="AW1410" s="60" t="str">
        <f t="shared" si="637"/>
        <v/>
      </c>
      <c r="AX1410" s="61" t="str">
        <f t="shared" si="638"/>
        <v/>
      </c>
      <c r="AY1410" s="60" t="str">
        <f t="shared" si="639"/>
        <v/>
      </c>
      <c r="AZ1410" s="61" t="str">
        <f t="shared" si="640"/>
        <v/>
      </c>
    </row>
    <row r="1411" spans="1:52" s="3" customFormat="1" hidden="1" x14ac:dyDescent="0.35">
      <c r="A1411" s="72">
        <f t="shared" si="641"/>
        <v>2021</v>
      </c>
      <c r="B1411" s="72" t="str">
        <f t="shared" si="642"/>
        <v>Nov</v>
      </c>
      <c r="C1411" s="73">
        <f t="shared" si="660"/>
        <v>15</v>
      </c>
      <c r="D1411" s="74">
        <f t="shared" si="643"/>
        <v>15</v>
      </c>
      <c r="E1411" s="75">
        <f t="shared" si="644"/>
        <v>27</v>
      </c>
      <c r="F1411" s="79"/>
      <c r="G1411" s="82"/>
      <c r="H1411" s="68" t="str">
        <f t="shared" si="661"/>
        <v>Clesim6_20211115_15_00</v>
      </c>
      <c r="I1411" s="69">
        <f t="shared" si="665"/>
        <v>1</v>
      </c>
      <c r="J1411" s="76" t="str">
        <f t="shared" si="665"/>
        <v>Clematis</v>
      </c>
      <c r="K1411" s="76" t="str">
        <f t="shared" si="665"/>
        <v>simense</v>
      </c>
      <c r="L1411" s="77">
        <f t="shared" si="665"/>
        <v>6</v>
      </c>
      <c r="M1411" s="77">
        <f t="shared" si="665"/>
        <v>20</v>
      </c>
      <c r="N1411" s="71">
        <f t="shared" si="665"/>
        <v>0</v>
      </c>
      <c r="O1411" s="44"/>
      <c r="P1411" s="45" t="str">
        <f t="shared" si="645"/>
        <v/>
      </c>
      <c r="Q1411" s="46" t="str">
        <f t="shared" si="646"/>
        <v/>
      </c>
      <c r="R1411" s="47" t="e">
        <f t="shared" si="647"/>
        <v>#VALUE!</v>
      </c>
      <c r="S1411" s="48" t="e">
        <f t="shared" si="636"/>
        <v>#VALUE!</v>
      </c>
      <c r="T1411" s="47" t="str">
        <f t="shared" si="648"/>
        <v/>
      </c>
      <c r="U1411" s="49"/>
      <c r="V1411" s="50"/>
      <c r="W1411" s="51" t="e">
        <f t="shared" si="649"/>
        <v>#VALUE!</v>
      </c>
      <c r="X1411" s="52"/>
      <c r="Y1411" s="52"/>
      <c r="Z1411" s="52"/>
      <c r="AA1411" s="47" t="e">
        <f>INDEX(VISITORS[INSECT ORDER], MATCH(X1411,VISITORS[NAME USED],0))</f>
        <v>#N/A</v>
      </c>
      <c r="AB1411" s="47" t="e">
        <f t="shared" si="650"/>
        <v>#N/A</v>
      </c>
      <c r="AC1411" s="53" t="e">
        <f t="shared" si="651"/>
        <v>#VALUE!</v>
      </c>
      <c r="AD1411" s="54" t="str">
        <f t="shared" si="652"/>
        <v/>
      </c>
      <c r="AE1411" s="54"/>
      <c r="AF1411" s="54"/>
      <c r="AG1411" s="55" t="str">
        <f t="shared" si="653"/>
        <v/>
      </c>
      <c r="AH1411" s="56" t="str">
        <f t="shared" si="654"/>
        <v/>
      </c>
      <c r="AI1411" s="55"/>
      <c r="AJ1411" s="56" t="str">
        <f t="shared" si="655"/>
        <v/>
      </c>
      <c r="AK1411" s="55"/>
      <c r="AL1411" s="56" t="str">
        <f t="shared" si="656"/>
        <v/>
      </c>
      <c r="AM1411" s="55"/>
      <c r="AN1411" s="56" t="str">
        <f t="shared" si="657"/>
        <v/>
      </c>
      <c r="AO1411" s="55"/>
      <c r="AP1411" s="56" t="str">
        <f t="shared" si="658"/>
        <v/>
      </c>
      <c r="AQ1411" s="55"/>
      <c r="AR1411" s="56" t="str">
        <f t="shared" si="659"/>
        <v/>
      </c>
      <c r="AS1411" s="57"/>
      <c r="AT1411" s="58"/>
      <c r="AU1411" s="58"/>
      <c r="AV1411" s="59"/>
      <c r="AW1411" s="60" t="str">
        <f t="shared" si="637"/>
        <v/>
      </c>
      <c r="AX1411" s="61" t="str">
        <f t="shared" si="638"/>
        <v/>
      </c>
      <c r="AY1411" s="60" t="str">
        <f t="shared" si="639"/>
        <v/>
      </c>
      <c r="AZ1411" s="61" t="str">
        <f t="shared" si="640"/>
        <v/>
      </c>
    </row>
    <row r="1412" spans="1:52" s="3" customFormat="1" hidden="1" x14ac:dyDescent="0.35">
      <c r="A1412" s="72">
        <f t="shared" si="641"/>
        <v>2021</v>
      </c>
      <c r="B1412" s="72" t="str">
        <f t="shared" si="642"/>
        <v>Nov</v>
      </c>
      <c r="C1412" s="73">
        <f t="shared" si="660"/>
        <v>15</v>
      </c>
      <c r="D1412" s="74">
        <f t="shared" si="643"/>
        <v>15</v>
      </c>
      <c r="E1412" s="75">
        <f t="shared" si="644"/>
        <v>28</v>
      </c>
      <c r="F1412" s="79"/>
      <c r="G1412" s="82"/>
      <c r="H1412" s="68" t="str">
        <f t="shared" si="661"/>
        <v>Clesim6_20211115_15_00</v>
      </c>
      <c r="I1412" s="69">
        <f t="shared" si="665"/>
        <v>1</v>
      </c>
      <c r="J1412" s="76" t="str">
        <f t="shared" si="665"/>
        <v>Clematis</v>
      </c>
      <c r="K1412" s="76" t="str">
        <f t="shared" si="665"/>
        <v>simense</v>
      </c>
      <c r="L1412" s="77">
        <f t="shared" si="665"/>
        <v>6</v>
      </c>
      <c r="M1412" s="77">
        <f t="shared" si="665"/>
        <v>20</v>
      </c>
      <c r="N1412" s="71">
        <f t="shared" si="665"/>
        <v>0</v>
      </c>
      <c r="O1412" s="44"/>
      <c r="P1412" s="45" t="str">
        <f t="shared" si="645"/>
        <v/>
      </c>
      <c r="Q1412" s="46" t="str">
        <f t="shared" si="646"/>
        <v/>
      </c>
      <c r="R1412" s="47" t="e">
        <f t="shared" si="647"/>
        <v>#VALUE!</v>
      </c>
      <c r="S1412" s="48" t="e">
        <f t="shared" ref="S1412:S1442" si="666">IF(T1412&lt;D1412, (T1412*3600+U1412*60+V1412)+((23*3600+59*60+60)-(D1412*3600+E1412*60+LEFT(F1412,2))), (T1412*3600+U1412*60+V1412)-(D1412*3600+E1412*60+LEFT(F1412,2)))</f>
        <v>#VALUE!</v>
      </c>
      <c r="T1412" s="47" t="str">
        <f t="shared" si="648"/>
        <v/>
      </c>
      <c r="U1412" s="49"/>
      <c r="V1412" s="50"/>
      <c r="W1412" s="51" t="e">
        <f t="shared" si="649"/>
        <v>#VALUE!</v>
      </c>
      <c r="X1412" s="52"/>
      <c r="Y1412" s="52"/>
      <c r="Z1412" s="52"/>
      <c r="AA1412" s="47" t="e">
        <f>INDEX(VISITORS[INSECT ORDER], MATCH(X1412,VISITORS[NAME USED],0))</f>
        <v>#N/A</v>
      </c>
      <c r="AB1412" s="47" t="e">
        <f t="shared" si="650"/>
        <v>#N/A</v>
      </c>
      <c r="AC1412" s="53" t="e">
        <f t="shared" si="651"/>
        <v>#VALUE!</v>
      </c>
      <c r="AD1412" s="54" t="str">
        <f t="shared" si="652"/>
        <v/>
      </c>
      <c r="AE1412" s="54"/>
      <c r="AF1412" s="54"/>
      <c r="AG1412" s="55" t="str">
        <f t="shared" si="653"/>
        <v/>
      </c>
      <c r="AH1412" s="56" t="str">
        <f t="shared" si="654"/>
        <v/>
      </c>
      <c r="AI1412" s="55"/>
      <c r="AJ1412" s="56" t="str">
        <f t="shared" si="655"/>
        <v/>
      </c>
      <c r="AK1412" s="55"/>
      <c r="AL1412" s="56" t="str">
        <f t="shared" si="656"/>
        <v/>
      </c>
      <c r="AM1412" s="55"/>
      <c r="AN1412" s="56" t="str">
        <f t="shared" si="657"/>
        <v/>
      </c>
      <c r="AO1412" s="55"/>
      <c r="AP1412" s="56" t="str">
        <f t="shared" si="658"/>
        <v/>
      </c>
      <c r="AQ1412" s="55"/>
      <c r="AR1412" s="56" t="str">
        <f t="shared" si="659"/>
        <v/>
      </c>
      <c r="AS1412" s="57"/>
      <c r="AT1412" s="58"/>
      <c r="AU1412" s="58"/>
      <c r="AV1412" s="59"/>
      <c r="AW1412" s="60" t="str">
        <f t="shared" ref="AW1412:AW1443" si="667">IF(P1412=1,0,"")</f>
        <v/>
      </c>
      <c r="AX1412" s="61" t="str">
        <f t="shared" ref="AX1412:AX1443" si="668">IF(AW1412=1,AD1412,"")</f>
        <v/>
      </c>
      <c r="AY1412" s="60" t="str">
        <f t="shared" ref="AY1412:AY1443" si="669">IF(P1412=1,0,"")</f>
        <v/>
      </c>
      <c r="AZ1412" s="61" t="str">
        <f t="shared" ref="AZ1412:AZ1443" si="670">IF(AY1412=1,AD1412,"")</f>
        <v/>
      </c>
    </row>
    <row r="1413" spans="1:52" s="3" customFormat="1" hidden="1" x14ac:dyDescent="0.35">
      <c r="A1413" s="72">
        <f t="shared" ref="A1413:A1418" si="671">A1412</f>
        <v>2021</v>
      </c>
      <c r="B1413" s="72" t="str">
        <f t="shared" ref="B1413:B1418" si="672">IF(C1412-C1413&gt;0, TEXT(DATE(2016,(MONTH(DATEVALUE(B1412&amp;"1"))+1),1),"mmm"), B1412)</f>
        <v>Nov</v>
      </c>
      <c r="C1413" s="73">
        <f t="shared" si="660"/>
        <v>15</v>
      </c>
      <c r="D1413" s="74">
        <f t="shared" ref="D1413:D1418" si="673">IF(IF(E1412=59,D1412+1,D1412)=24,0,IF(E1412=59,D1412+1,D1412))</f>
        <v>15</v>
      </c>
      <c r="E1413" s="75">
        <f t="shared" ref="E1413:E1418" si="674">IF(E1412&lt;59,E1412+1,0)</f>
        <v>29</v>
      </c>
      <c r="F1413" s="79"/>
      <c r="G1413" s="82"/>
      <c r="H1413" s="68" t="str">
        <f t="shared" si="661"/>
        <v>Clesim6_20211115_15_00</v>
      </c>
      <c r="I1413" s="69">
        <f t="shared" si="665"/>
        <v>1</v>
      </c>
      <c r="J1413" s="76" t="str">
        <f t="shared" si="665"/>
        <v>Clematis</v>
      </c>
      <c r="K1413" s="76" t="str">
        <f t="shared" si="665"/>
        <v>simense</v>
      </c>
      <c r="L1413" s="77">
        <f t="shared" si="665"/>
        <v>6</v>
      </c>
      <c r="M1413" s="77">
        <f t="shared" si="665"/>
        <v>20</v>
      </c>
      <c r="N1413" s="71">
        <f t="shared" si="665"/>
        <v>0</v>
      </c>
      <c r="O1413" s="44"/>
      <c r="P1413" s="45" t="str">
        <f t="shared" ref="P1413:P1443" si="675">IF(F1413="","",1)</f>
        <v/>
      </c>
      <c r="Q1413" s="46" t="str">
        <f t="shared" ref="Q1413:Q1443" si="676">TEXT(IF(P1413=1,CONCATENATE($D1413,":",$E1413,":",(LEFT($F1413,2))),""),"hh:mm:ss")</f>
        <v/>
      </c>
      <c r="R1413" s="47" t="e">
        <f t="shared" ref="R1413:R1443" si="677">TEXT(Q1413-TIME(0,RIGHT($H1413,2),$G$9)+(Q1413&gt;TIME(0,RIGHT($H1413,2),$G$9)),"mm:ss")</f>
        <v>#VALUE!</v>
      </c>
      <c r="S1413" s="48" t="e">
        <f t="shared" si="666"/>
        <v>#VALUE!</v>
      </c>
      <c r="T1413" s="47" t="str">
        <f t="shared" ref="T1413:T1443" si="678">TEXT(IF(P1413=1,D1413,""),"00")</f>
        <v/>
      </c>
      <c r="U1413" s="49"/>
      <c r="V1413" s="50"/>
      <c r="W1413" s="51" t="e">
        <f t="shared" ref="W1413:W1443" si="679">IF(O1413=0,TEXT(TIME(T1413,U1413,V1413)-TIME(D1413,E1413,RIGHT(F1413,2))+TIME(0,LEFT(R1413,2),RIGHT(R1413,2)),"mm:ss"),TEXT(TIME(T1413,U1413,V1413)-TIME(D1413,E1413,RIGHT(F1413,2))+TIME(0,LEFT(R1413,2),RIGHT(R1413,2))-TIME(0,($G$10*O1413),0),"mm:ss"))</f>
        <v>#VALUE!</v>
      </c>
      <c r="X1413" s="52"/>
      <c r="Y1413" s="52"/>
      <c r="Z1413" s="52"/>
      <c r="AA1413" s="47" t="e">
        <f>INDEX(VISITORS[INSECT ORDER], MATCH(X1413,VISITORS[NAME USED],0))</f>
        <v>#N/A</v>
      </c>
      <c r="AB1413" s="47" t="e">
        <f t="shared" ref="AB1413:AB1443" si="680">IF(AA1413&lt;&gt;0,"NA","")</f>
        <v>#N/A</v>
      </c>
      <c r="AC1413" s="53" t="e">
        <f t="shared" ref="AC1413:AC1443" si="681">IF(SUM(AH1413,AJ1413,AL1413,AN1413,AP1413,AR1413)=S1413,,"")</f>
        <v>#VALUE!</v>
      </c>
      <c r="AD1413" s="54" t="str">
        <f t="shared" ref="AD1413:AD1443" si="682">IF(P1413=1,1,"")</f>
        <v/>
      </c>
      <c r="AE1413" s="54"/>
      <c r="AF1413" s="54"/>
      <c r="AG1413" s="55" t="str">
        <f t="shared" ref="AG1413:AG1443" si="683">IF(OR(X1413="Something small"),1,"")</f>
        <v/>
      </c>
      <c r="AH1413" s="56" t="str">
        <f t="shared" ref="AH1413:AH1443" si="684">IF(AG1413=1,$S1413,"")</f>
        <v/>
      </c>
      <c r="AI1413" s="55"/>
      <c r="AJ1413" s="56" t="str">
        <f t="shared" ref="AJ1413:AJ1443" si="685">IF(AI1413=1,$S1413,"")</f>
        <v/>
      </c>
      <c r="AK1413" s="55"/>
      <c r="AL1413" s="56" t="str">
        <f t="shared" ref="AL1413:AL1443" si="686">IF(AK1413=1,$S1413,"")</f>
        <v/>
      </c>
      <c r="AM1413" s="55"/>
      <c r="AN1413" s="56" t="str">
        <f t="shared" ref="AN1413:AN1443" si="687">IF(AM1413=1,$S1413,"")</f>
        <v/>
      </c>
      <c r="AO1413" s="55"/>
      <c r="AP1413" s="56" t="str">
        <f t="shared" ref="AP1413:AP1443" si="688">IF(AO1413=1,$S1413,"")</f>
        <v/>
      </c>
      <c r="AQ1413" s="55"/>
      <c r="AR1413" s="56" t="str">
        <f t="shared" ref="AR1413:AR1443" si="689">IF(AQ1413=1,$S1413,"")</f>
        <v/>
      </c>
      <c r="AS1413" s="57"/>
      <c r="AT1413" s="58"/>
      <c r="AU1413" s="58"/>
      <c r="AV1413" s="59"/>
      <c r="AW1413" s="60" t="str">
        <f t="shared" si="667"/>
        <v/>
      </c>
      <c r="AX1413" s="61" t="str">
        <f t="shared" si="668"/>
        <v/>
      </c>
      <c r="AY1413" s="60" t="str">
        <f t="shared" si="669"/>
        <v/>
      </c>
      <c r="AZ1413" s="61" t="str">
        <f t="shared" si="670"/>
        <v/>
      </c>
    </row>
    <row r="1414" spans="1:52" s="3" customFormat="1" hidden="1" x14ac:dyDescent="0.35">
      <c r="A1414" s="72">
        <f t="shared" si="671"/>
        <v>2021</v>
      </c>
      <c r="B1414" s="72" t="str">
        <f t="shared" si="672"/>
        <v>Nov</v>
      </c>
      <c r="C1414" s="73">
        <f t="shared" ref="C1414:C1443" si="690">IF(AND(D1414=0, E1414=0), IF(TEXT(C1413,"dd")=TEXT(EOMONTH(DATE(A1413,MONTH(DATEVALUE(B1413&amp;"1")),C1413),0), "dd"), 1, C1413+1), C1413)</f>
        <v>15</v>
      </c>
      <c r="D1414" s="74">
        <f t="shared" si="673"/>
        <v>15</v>
      </c>
      <c r="E1414" s="75">
        <f t="shared" si="674"/>
        <v>30</v>
      </c>
      <c r="F1414" s="79"/>
      <c r="G1414" s="82"/>
      <c r="H1414" s="68" t="str">
        <f t="shared" ref="H1414:H1443" si="691">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Clesim6_20211115_15_00</v>
      </c>
      <c r="I1414" s="69">
        <f t="shared" ref="I1414:N1429" si="692">I1413</f>
        <v>1</v>
      </c>
      <c r="J1414" s="76" t="str">
        <f t="shared" si="692"/>
        <v>Clematis</v>
      </c>
      <c r="K1414" s="76" t="str">
        <f t="shared" si="692"/>
        <v>simense</v>
      </c>
      <c r="L1414" s="77">
        <f t="shared" si="692"/>
        <v>6</v>
      </c>
      <c r="M1414" s="77">
        <f t="shared" si="692"/>
        <v>20</v>
      </c>
      <c r="N1414" s="71">
        <f t="shared" si="692"/>
        <v>0</v>
      </c>
      <c r="O1414" s="44"/>
      <c r="P1414" s="45" t="str">
        <f t="shared" si="675"/>
        <v/>
      </c>
      <c r="Q1414" s="46" t="str">
        <f t="shared" si="676"/>
        <v/>
      </c>
      <c r="R1414" s="47" t="e">
        <f t="shared" si="677"/>
        <v>#VALUE!</v>
      </c>
      <c r="S1414" s="48" t="e">
        <f t="shared" si="666"/>
        <v>#VALUE!</v>
      </c>
      <c r="T1414" s="47" t="str">
        <f t="shared" si="678"/>
        <v/>
      </c>
      <c r="U1414" s="49"/>
      <c r="V1414" s="50"/>
      <c r="W1414" s="51" t="e">
        <f t="shared" si="679"/>
        <v>#VALUE!</v>
      </c>
      <c r="X1414" s="52"/>
      <c r="Y1414" s="52"/>
      <c r="Z1414" s="52"/>
      <c r="AA1414" s="47" t="e">
        <f>INDEX(VISITORS[INSECT ORDER], MATCH(X1414,VISITORS[NAME USED],0))</f>
        <v>#N/A</v>
      </c>
      <c r="AB1414" s="47" t="e">
        <f t="shared" si="680"/>
        <v>#N/A</v>
      </c>
      <c r="AC1414" s="53" t="e">
        <f t="shared" si="681"/>
        <v>#VALUE!</v>
      </c>
      <c r="AD1414" s="54" t="str">
        <f t="shared" si="682"/>
        <v/>
      </c>
      <c r="AE1414" s="54"/>
      <c r="AF1414" s="54"/>
      <c r="AG1414" s="55" t="str">
        <f t="shared" si="683"/>
        <v/>
      </c>
      <c r="AH1414" s="56" t="str">
        <f t="shared" si="684"/>
        <v/>
      </c>
      <c r="AI1414" s="55"/>
      <c r="AJ1414" s="56" t="str">
        <f t="shared" si="685"/>
        <v/>
      </c>
      <c r="AK1414" s="55"/>
      <c r="AL1414" s="56" t="str">
        <f t="shared" si="686"/>
        <v/>
      </c>
      <c r="AM1414" s="55"/>
      <c r="AN1414" s="56" t="str">
        <f t="shared" si="687"/>
        <v/>
      </c>
      <c r="AO1414" s="55"/>
      <c r="AP1414" s="56" t="str">
        <f t="shared" si="688"/>
        <v/>
      </c>
      <c r="AQ1414" s="55"/>
      <c r="AR1414" s="56" t="str">
        <f t="shared" si="689"/>
        <v/>
      </c>
      <c r="AS1414" s="57"/>
      <c r="AT1414" s="58"/>
      <c r="AU1414" s="58"/>
      <c r="AV1414" s="59"/>
      <c r="AW1414" s="60" t="str">
        <f t="shared" si="667"/>
        <v/>
      </c>
      <c r="AX1414" s="61" t="str">
        <f t="shared" si="668"/>
        <v/>
      </c>
      <c r="AY1414" s="60" t="str">
        <f t="shared" si="669"/>
        <v/>
      </c>
      <c r="AZ1414" s="61" t="str">
        <f t="shared" si="670"/>
        <v/>
      </c>
    </row>
    <row r="1415" spans="1:52" s="3" customFormat="1" hidden="1" x14ac:dyDescent="0.35">
      <c r="A1415" s="72">
        <f t="shared" si="671"/>
        <v>2021</v>
      </c>
      <c r="B1415" s="72" t="str">
        <f t="shared" si="672"/>
        <v>Nov</v>
      </c>
      <c r="C1415" s="73">
        <f t="shared" si="690"/>
        <v>15</v>
      </c>
      <c r="D1415" s="74">
        <f t="shared" si="673"/>
        <v>15</v>
      </c>
      <c r="E1415" s="75">
        <f t="shared" si="674"/>
        <v>31</v>
      </c>
      <c r="F1415" s="79"/>
      <c r="G1415" s="82"/>
      <c r="H1415" s="68" t="str">
        <f t="shared" si="691"/>
        <v>Clesim6_20211115_15_00</v>
      </c>
      <c r="I1415" s="69">
        <f t="shared" si="692"/>
        <v>1</v>
      </c>
      <c r="J1415" s="76" t="str">
        <f t="shared" si="692"/>
        <v>Clematis</v>
      </c>
      <c r="K1415" s="76" t="str">
        <f t="shared" si="692"/>
        <v>simense</v>
      </c>
      <c r="L1415" s="77">
        <f t="shared" si="692"/>
        <v>6</v>
      </c>
      <c r="M1415" s="77">
        <f t="shared" si="692"/>
        <v>20</v>
      </c>
      <c r="N1415" s="71">
        <f t="shared" si="692"/>
        <v>0</v>
      </c>
      <c r="O1415" s="44"/>
      <c r="P1415" s="45" t="str">
        <f t="shared" si="675"/>
        <v/>
      </c>
      <c r="Q1415" s="46" t="str">
        <f t="shared" si="676"/>
        <v/>
      </c>
      <c r="R1415" s="47" t="e">
        <f t="shared" si="677"/>
        <v>#VALUE!</v>
      </c>
      <c r="S1415" s="48" t="e">
        <f t="shared" si="666"/>
        <v>#VALUE!</v>
      </c>
      <c r="T1415" s="47" t="str">
        <f t="shared" si="678"/>
        <v/>
      </c>
      <c r="U1415" s="49"/>
      <c r="V1415" s="50"/>
      <c r="W1415" s="51" t="e">
        <f t="shared" si="679"/>
        <v>#VALUE!</v>
      </c>
      <c r="X1415" s="52"/>
      <c r="Y1415" s="52"/>
      <c r="Z1415" s="52"/>
      <c r="AA1415" s="47" t="e">
        <f>INDEX(VISITORS[INSECT ORDER], MATCH(X1415,VISITORS[NAME USED],0))</f>
        <v>#N/A</v>
      </c>
      <c r="AB1415" s="47" t="e">
        <f t="shared" si="680"/>
        <v>#N/A</v>
      </c>
      <c r="AC1415" s="53" t="e">
        <f t="shared" si="681"/>
        <v>#VALUE!</v>
      </c>
      <c r="AD1415" s="54" t="str">
        <f t="shared" si="682"/>
        <v/>
      </c>
      <c r="AE1415" s="54"/>
      <c r="AF1415" s="54"/>
      <c r="AG1415" s="55" t="str">
        <f t="shared" si="683"/>
        <v/>
      </c>
      <c r="AH1415" s="56" t="str">
        <f t="shared" si="684"/>
        <v/>
      </c>
      <c r="AI1415" s="55"/>
      <c r="AJ1415" s="56" t="str">
        <f t="shared" si="685"/>
        <v/>
      </c>
      <c r="AK1415" s="55"/>
      <c r="AL1415" s="56" t="str">
        <f t="shared" si="686"/>
        <v/>
      </c>
      <c r="AM1415" s="55"/>
      <c r="AN1415" s="56" t="str">
        <f t="shared" si="687"/>
        <v/>
      </c>
      <c r="AO1415" s="55"/>
      <c r="AP1415" s="56" t="str">
        <f t="shared" si="688"/>
        <v/>
      </c>
      <c r="AQ1415" s="55"/>
      <c r="AR1415" s="56" t="str">
        <f t="shared" si="689"/>
        <v/>
      </c>
      <c r="AS1415" s="57"/>
      <c r="AT1415" s="58"/>
      <c r="AU1415" s="58"/>
      <c r="AV1415" s="59"/>
      <c r="AW1415" s="60" t="str">
        <f t="shared" si="667"/>
        <v/>
      </c>
      <c r="AX1415" s="61" t="str">
        <f t="shared" si="668"/>
        <v/>
      </c>
      <c r="AY1415" s="60" t="str">
        <f t="shared" si="669"/>
        <v/>
      </c>
      <c r="AZ1415" s="61" t="str">
        <f t="shared" si="670"/>
        <v/>
      </c>
    </row>
    <row r="1416" spans="1:52" s="3" customFormat="1" hidden="1" x14ac:dyDescent="0.35">
      <c r="A1416" s="72">
        <f t="shared" si="671"/>
        <v>2021</v>
      </c>
      <c r="B1416" s="72" t="str">
        <f t="shared" si="672"/>
        <v>Nov</v>
      </c>
      <c r="C1416" s="73">
        <f t="shared" si="690"/>
        <v>15</v>
      </c>
      <c r="D1416" s="74">
        <f t="shared" si="673"/>
        <v>15</v>
      </c>
      <c r="E1416" s="75">
        <f t="shared" si="674"/>
        <v>32</v>
      </c>
      <c r="F1416" s="79"/>
      <c r="G1416" s="82"/>
      <c r="H1416" s="68" t="str">
        <f t="shared" si="691"/>
        <v>Clesim6_20211115_15_00</v>
      </c>
      <c r="I1416" s="69">
        <f t="shared" si="692"/>
        <v>1</v>
      </c>
      <c r="J1416" s="76" t="str">
        <f t="shared" si="692"/>
        <v>Clematis</v>
      </c>
      <c r="K1416" s="76" t="str">
        <f t="shared" si="692"/>
        <v>simense</v>
      </c>
      <c r="L1416" s="77">
        <f t="shared" si="692"/>
        <v>6</v>
      </c>
      <c r="M1416" s="77">
        <f t="shared" si="692"/>
        <v>20</v>
      </c>
      <c r="N1416" s="71">
        <f t="shared" si="692"/>
        <v>0</v>
      </c>
      <c r="O1416" s="44"/>
      <c r="P1416" s="45" t="str">
        <f t="shared" si="675"/>
        <v/>
      </c>
      <c r="Q1416" s="46" t="str">
        <f t="shared" si="676"/>
        <v/>
      </c>
      <c r="R1416" s="47" t="e">
        <f t="shared" si="677"/>
        <v>#VALUE!</v>
      </c>
      <c r="S1416" s="48" t="e">
        <f t="shared" si="666"/>
        <v>#VALUE!</v>
      </c>
      <c r="T1416" s="47" t="str">
        <f t="shared" si="678"/>
        <v/>
      </c>
      <c r="U1416" s="49"/>
      <c r="V1416" s="50"/>
      <c r="W1416" s="51" t="e">
        <f t="shared" si="679"/>
        <v>#VALUE!</v>
      </c>
      <c r="X1416" s="52"/>
      <c r="Y1416" s="52"/>
      <c r="Z1416" s="52"/>
      <c r="AA1416" s="47" t="e">
        <f>INDEX(VISITORS[INSECT ORDER], MATCH(X1416,VISITORS[NAME USED],0))</f>
        <v>#N/A</v>
      </c>
      <c r="AB1416" s="47" t="e">
        <f t="shared" si="680"/>
        <v>#N/A</v>
      </c>
      <c r="AC1416" s="53" t="e">
        <f t="shared" si="681"/>
        <v>#VALUE!</v>
      </c>
      <c r="AD1416" s="54" t="str">
        <f t="shared" si="682"/>
        <v/>
      </c>
      <c r="AE1416" s="54"/>
      <c r="AF1416" s="54"/>
      <c r="AG1416" s="55" t="str">
        <f t="shared" si="683"/>
        <v/>
      </c>
      <c r="AH1416" s="56" t="str">
        <f t="shared" si="684"/>
        <v/>
      </c>
      <c r="AI1416" s="55"/>
      <c r="AJ1416" s="56" t="str">
        <f t="shared" si="685"/>
        <v/>
      </c>
      <c r="AK1416" s="55"/>
      <c r="AL1416" s="56" t="str">
        <f t="shared" si="686"/>
        <v/>
      </c>
      <c r="AM1416" s="55"/>
      <c r="AN1416" s="56" t="str">
        <f t="shared" si="687"/>
        <v/>
      </c>
      <c r="AO1416" s="55"/>
      <c r="AP1416" s="56" t="str">
        <f t="shared" si="688"/>
        <v/>
      </c>
      <c r="AQ1416" s="55"/>
      <c r="AR1416" s="56" t="str">
        <f t="shared" si="689"/>
        <v/>
      </c>
      <c r="AS1416" s="57"/>
      <c r="AT1416" s="58"/>
      <c r="AU1416" s="58"/>
      <c r="AV1416" s="59"/>
      <c r="AW1416" s="60" t="str">
        <f t="shared" si="667"/>
        <v/>
      </c>
      <c r="AX1416" s="61" t="str">
        <f t="shared" si="668"/>
        <v/>
      </c>
      <c r="AY1416" s="60" t="str">
        <f t="shared" si="669"/>
        <v/>
      </c>
      <c r="AZ1416" s="61" t="str">
        <f t="shared" si="670"/>
        <v/>
      </c>
    </row>
    <row r="1417" spans="1:52" s="3" customFormat="1" hidden="1" x14ac:dyDescent="0.35">
      <c r="A1417" s="72">
        <f t="shared" si="671"/>
        <v>2021</v>
      </c>
      <c r="B1417" s="72" t="str">
        <f t="shared" si="672"/>
        <v>Nov</v>
      </c>
      <c r="C1417" s="73">
        <f t="shared" si="690"/>
        <v>15</v>
      </c>
      <c r="D1417" s="74">
        <f t="shared" si="673"/>
        <v>15</v>
      </c>
      <c r="E1417" s="75">
        <f t="shared" si="674"/>
        <v>33</v>
      </c>
      <c r="F1417" s="79"/>
      <c r="G1417" s="82"/>
      <c r="H1417" s="68" t="str">
        <f t="shared" si="691"/>
        <v>Clesim6_20211115_15_00</v>
      </c>
      <c r="I1417" s="69">
        <f t="shared" si="692"/>
        <v>1</v>
      </c>
      <c r="J1417" s="76" t="str">
        <f t="shared" si="692"/>
        <v>Clematis</v>
      </c>
      <c r="K1417" s="76" t="str">
        <f t="shared" si="692"/>
        <v>simense</v>
      </c>
      <c r="L1417" s="77">
        <f t="shared" si="692"/>
        <v>6</v>
      </c>
      <c r="M1417" s="77">
        <f t="shared" si="692"/>
        <v>20</v>
      </c>
      <c r="N1417" s="71">
        <f t="shared" si="692"/>
        <v>0</v>
      </c>
      <c r="O1417" s="44"/>
      <c r="P1417" s="45" t="str">
        <f t="shared" si="675"/>
        <v/>
      </c>
      <c r="Q1417" s="46" t="str">
        <f t="shared" si="676"/>
        <v/>
      </c>
      <c r="R1417" s="47" t="e">
        <f t="shared" si="677"/>
        <v>#VALUE!</v>
      </c>
      <c r="S1417" s="48" t="e">
        <f t="shared" si="666"/>
        <v>#VALUE!</v>
      </c>
      <c r="T1417" s="47" t="str">
        <f t="shared" si="678"/>
        <v/>
      </c>
      <c r="U1417" s="49"/>
      <c r="V1417" s="50"/>
      <c r="W1417" s="51" t="e">
        <f t="shared" si="679"/>
        <v>#VALUE!</v>
      </c>
      <c r="X1417" s="52"/>
      <c r="Y1417" s="52"/>
      <c r="Z1417" s="52"/>
      <c r="AA1417" s="47" t="e">
        <f>INDEX(VISITORS[INSECT ORDER], MATCH(X1417,VISITORS[NAME USED],0))</f>
        <v>#N/A</v>
      </c>
      <c r="AB1417" s="47" t="e">
        <f t="shared" si="680"/>
        <v>#N/A</v>
      </c>
      <c r="AC1417" s="53" t="e">
        <f t="shared" si="681"/>
        <v>#VALUE!</v>
      </c>
      <c r="AD1417" s="54" t="str">
        <f t="shared" si="682"/>
        <v/>
      </c>
      <c r="AE1417" s="54"/>
      <c r="AF1417" s="54"/>
      <c r="AG1417" s="55" t="str">
        <f t="shared" si="683"/>
        <v/>
      </c>
      <c r="AH1417" s="56" t="str">
        <f t="shared" si="684"/>
        <v/>
      </c>
      <c r="AI1417" s="55"/>
      <c r="AJ1417" s="56" t="str">
        <f t="shared" si="685"/>
        <v/>
      </c>
      <c r="AK1417" s="55"/>
      <c r="AL1417" s="56" t="str">
        <f t="shared" si="686"/>
        <v/>
      </c>
      <c r="AM1417" s="55"/>
      <c r="AN1417" s="56" t="str">
        <f t="shared" si="687"/>
        <v/>
      </c>
      <c r="AO1417" s="55"/>
      <c r="AP1417" s="56" t="str">
        <f t="shared" si="688"/>
        <v/>
      </c>
      <c r="AQ1417" s="55"/>
      <c r="AR1417" s="56" t="str">
        <f t="shared" si="689"/>
        <v/>
      </c>
      <c r="AS1417" s="57"/>
      <c r="AT1417" s="58"/>
      <c r="AU1417" s="58"/>
      <c r="AV1417" s="59"/>
      <c r="AW1417" s="60" t="str">
        <f t="shared" si="667"/>
        <v/>
      </c>
      <c r="AX1417" s="61" t="str">
        <f t="shared" si="668"/>
        <v/>
      </c>
      <c r="AY1417" s="60" t="str">
        <f t="shared" si="669"/>
        <v/>
      </c>
      <c r="AZ1417" s="61" t="str">
        <f t="shared" si="670"/>
        <v/>
      </c>
    </row>
    <row r="1418" spans="1:52" s="3" customFormat="1" hidden="1" x14ac:dyDescent="0.35">
      <c r="A1418" s="72">
        <f t="shared" si="671"/>
        <v>2021</v>
      </c>
      <c r="B1418" s="72" t="str">
        <f t="shared" si="672"/>
        <v>Nov</v>
      </c>
      <c r="C1418" s="73">
        <f t="shared" si="690"/>
        <v>15</v>
      </c>
      <c r="D1418" s="74">
        <f t="shared" si="673"/>
        <v>15</v>
      </c>
      <c r="E1418" s="75">
        <f t="shared" si="674"/>
        <v>34</v>
      </c>
      <c r="F1418" s="79"/>
      <c r="G1418" s="82"/>
      <c r="H1418" s="68" t="str">
        <f t="shared" si="691"/>
        <v>Clesim6_20211115_15_00</v>
      </c>
      <c r="I1418" s="69">
        <f t="shared" si="692"/>
        <v>1</v>
      </c>
      <c r="J1418" s="76" t="str">
        <f t="shared" si="692"/>
        <v>Clematis</v>
      </c>
      <c r="K1418" s="76" t="str">
        <f t="shared" si="692"/>
        <v>simense</v>
      </c>
      <c r="L1418" s="77">
        <f t="shared" si="692"/>
        <v>6</v>
      </c>
      <c r="M1418" s="77">
        <f t="shared" si="692"/>
        <v>20</v>
      </c>
      <c r="N1418" s="71">
        <f t="shared" si="692"/>
        <v>0</v>
      </c>
      <c r="O1418" s="44"/>
      <c r="P1418" s="45" t="str">
        <f t="shared" si="675"/>
        <v/>
      </c>
      <c r="Q1418" s="46" t="str">
        <f t="shared" si="676"/>
        <v/>
      </c>
      <c r="R1418" s="47" t="e">
        <f t="shared" si="677"/>
        <v>#VALUE!</v>
      </c>
      <c r="S1418" s="48" t="e">
        <f t="shared" si="666"/>
        <v>#VALUE!</v>
      </c>
      <c r="T1418" s="47" t="str">
        <f t="shared" si="678"/>
        <v/>
      </c>
      <c r="U1418" s="49"/>
      <c r="V1418" s="50"/>
      <c r="W1418" s="51" t="e">
        <f t="shared" si="679"/>
        <v>#VALUE!</v>
      </c>
      <c r="X1418" s="52"/>
      <c r="Y1418" s="52"/>
      <c r="Z1418" s="52"/>
      <c r="AA1418" s="47" t="e">
        <f>INDEX(VISITORS[INSECT ORDER], MATCH(X1418,VISITORS[NAME USED],0))</f>
        <v>#N/A</v>
      </c>
      <c r="AB1418" s="47" t="e">
        <f t="shared" si="680"/>
        <v>#N/A</v>
      </c>
      <c r="AC1418" s="53" t="e">
        <f t="shared" si="681"/>
        <v>#VALUE!</v>
      </c>
      <c r="AD1418" s="54" t="str">
        <f t="shared" si="682"/>
        <v/>
      </c>
      <c r="AE1418" s="54"/>
      <c r="AF1418" s="54"/>
      <c r="AG1418" s="55" t="str">
        <f t="shared" si="683"/>
        <v/>
      </c>
      <c r="AH1418" s="56" t="str">
        <f t="shared" si="684"/>
        <v/>
      </c>
      <c r="AI1418" s="55"/>
      <c r="AJ1418" s="56" t="str">
        <f t="shared" si="685"/>
        <v/>
      </c>
      <c r="AK1418" s="55"/>
      <c r="AL1418" s="56" t="str">
        <f t="shared" si="686"/>
        <v/>
      </c>
      <c r="AM1418" s="55"/>
      <c r="AN1418" s="56" t="str">
        <f t="shared" si="687"/>
        <v/>
      </c>
      <c r="AO1418" s="55"/>
      <c r="AP1418" s="56" t="str">
        <f t="shared" si="688"/>
        <v/>
      </c>
      <c r="AQ1418" s="55"/>
      <c r="AR1418" s="56" t="str">
        <f t="shared" si="689"/>
        <v/>
      </c>
      <c r="AS1418" s="57"/>
      <c r="AT1418" s="58"/>
      <c r="AU1418" s="58"/>
      <c r="AV1418" s="59"/>
      <c r="AW1418" s="60" t="str">
        <f t="shared" si="667"/>
        <v/>
      </c>
      <c r="AX1418" s="61" t="str">
        <f t="shared" si="668"/>
        <v/>
      </c>
      <c r="AY1418" s="60" t="str">
        <f t="shared" si="669"/>
        <v/>
      </c>
      <c r="AZ1418" s="61" t="str">
        <f t="shared" si="670"/>
        <v/>
      </c>
    </row>
    <row r="1419" spans="1:52" s="3" customFormat="1" hidden="1" x14ac:dyDescent="0.35">
      <c r="A1419" s="72">
        <f>A1418</f>
        <v>2021</v>
      </c>
      <c r="B1419" s="72" t="str">
        <f>IF(C1418-C1419&gt;0, TEXT(DATE(2016,(MONTH(DATEVALUE(B1418&amp;"1"))+1),1),"mmm"), B1418)</f>
        <v>Nov</v>
      </c>
      <c r="C1419" s="73">
        <f t="shared" si="690"/>
        <v>15</v>
      </c>
      <c r="D1419" s="74">
        <f>IF(IF(E1418=59,D1418+1,D1418)=24,0,IF(E1418=59,D1418+1,D1418))</f>
        <v>15</v>
      </c>
      <c r="E1419" s="75">
        <f>IF(E1418&lt;59,E1418+1,0)</f>
        <v>35</v>
      </c>
      <c r="F1419" s="79"/>
      <c r="G1419" s="82"/>
      <c r="H1419" s="68" t="str">
        <f t="shared" si="691"/>
        <v>Clesim6_20211115_15_00</v>
      </c>
      <c r="I1419" s="69">
        <f t="shared" si="692"/>
        <v>1</v>
      </c>
      <c r="J1419" s="76" t="str">
        <f>J1418</f>
        <v>Clematis</v>
      </c>
      <c r="K1419" s="76" t="str">
        <f>K1418</f>
        <v>simense</v>
      </c>
      <c r="L1419" s="77">
        <f>L1418</f>
        <v>6</v>
      </c>
      <c r="M1419" s="77">
        <f t="shared" si="692"/>
        <v>20</v>
      </c>
      <c r="N1419" s="71">
        <f>N1418</f>
        <v>0</v>
      </c>
      <c r="O1419" s="44"/>
      <c r="P1419" s="45" t="str">
        <f t="shared" si="675"/>
        <v/>
      </c>
      <c r="Q1419" s="46" t="str">
        <f t="shared" si="676"/>
        <v/>
      </c>
      <c r="R1419" s="47" t="e">
        <f t="shared" si="677"/>
        <v>#VALUE!</v>
      </c>
      <c r="S1419" s="48" t="e">
        <f t="shared" si="666"/>
        <v>#VALUE!</v>
      </c>
      <c r="T1419" s="47" t="str">
        <f t="shared" si="678"/>
        <v/>
      </c>
      <c r="U1419" s="49"/>
      <c r="V1419" s="50"/>
      <c r="W1419" s="51" t="e">
        <f t="shared" si="679"/>
        <v>#VALUE!</v>
      </c>
      <c r="X1419" s="52"/>
      <c r="Y1419" s="52"/>
      <c r="Z1419" s="52"/>
      <c r="AA1419" s="47" t="e">
        <f>INDEX(VISITORS[INSECT ORDER], MATCH(X1419,VISITORS[NAME USED],0))</f>
        <v>#N/A</v>
      </c>
      <c r="AB1419" s="47" t="e">
        <f t="shared" si="680"/>
        <v>#N/A</v>
      </c>
      <c r="AC1419" s="53" t="e">
        <f t="shared" si="681"/>
        <v>#VALUE!</v>
      </c>
      <c r="AD1419" s="54" t="str">
        <f t="shared" si="682"/>
        <v/>
      </c>
      <c r="AE1419" s="54"/>
      <c r="AF1419" s="54"/>
      <c r="AG1419" s="55" t="str">
        <f t="shared" si="683"/>
        <v/>
      </c>
      <c r="AH1419" s="56" t="str">
        <f t="shared" si="684"/>
        <v/>
      </c>
      <c r="AI1419" s="55"/>
      <c r="AJ1419" s="56" t="str">
        <f t="shared" si="685"/>
        <v/>
      </c>
      <c r="AK1419" s="55"/>
      <c r="AL1419" s="56" t="str">
        <f t="shared" si="686"/>
        <v/>
      </c>
      <c r="AM1419" s="55"/>
      <c r="AN1419" s="56" t="str">
        <f t="shared" si="687"/>
        <v/>
      </c>
      <c r="AO1419" s="55"/>
      <c r="AP1419" s="56" t="str">
        <f t="shared" si="688"/>
        <v/>
      </c>
      <c r="AQ1419" s="55"/>
      <c r="AR1419" s="56" t="str">
        <f t="shared" si="689"/>
        <v/>
      </c>
      <c r="AS1419" s="57"/>
      <c r="AT1419" s="58"/>
      <c r="AU1419" s="58"/>
      <c r="AV1419" s="59"/>
      <c r="AW1419" s="60" t="str">
        <f t="shared" si="667"/>
        <v/>
      </c>
      <c r="AX1419" s="61" t="str">
        <f t="shared" si="668"/>
        <v/>
      </c>
      <c r="AY1419" s="60" t="str">
        <f t="shared" si="669"/>
        <v/>
      </c>
      <c r="AZ1419" s="61" t="str">
        <f t="shared" si="670"/>
        <v/>
      </c>
    </row>
    <row r="1420" spans="1:52" s="3" customFormat="1" hidden="1" x14ac:dyDescent="0.35">
      <c r="A1420" s="72">
        <f t="shared" ref="A1420:A1425" si="693">A1419</f>
        <v>2021</v>
      </c>
      <c r="B1420" s="72" t="str">
        <f t="shared" ref="B1420:B1425" si="694">IF(C1419-C1420&gt;0, TEXT(DATE(2016,(MONTH(DATEVALUE(B1419&amp;"1"))+1),1),"mmm"), B1419)</f>
        <v>Nov</v>
      </c>
      <c r="C1420" s="73">
        <f t="shared" si="690"/>
        <v>15</v>
      </c>
      <c r="D1420" s="74">
        <f t="shared" ref="D1420:D1425" si="695">IF(IF(E1419=59,D1419+1,D1419)=24,0,IF(E1419=59,D1419+1,D1419))</f>
        <v>15</v>
      </c>
      <c r="E1420" s="75">
        <f t="shared" ref="E1420:E1425" si="696">IF(E1419&lt;59,E1419+1,0)</f>
        <v>36</v>
      </c>
      <c r="F1420" s="79"/>
      <c r="G1420" s="82"/>
      <c r="H1420" s="68" t="str">
        <f t="shared" si="691"/>
        <v>Clesim6_20211115_15_00</v>
      </c>
      <c r="I1420" s="69">
        <f t="shared" si="692"/>
        <v>1</v>
      </c>
      <c r="J1420" s="76" t="str">
        <f t="shared" si="692"/>
        <v>Clematis</v>
      </c>
      <c r="K1420" s="76" t="str">
        <f t="shared" si="692"/>
        <v>simense</v>
      </c>
      <c r="L1420" s="77">
        <f t="shared" si="692"/>
        <v>6</v>
      </c>
      <c r="M1420" s="77">
        <f t="shared" si="692"/>
        <v>20</v>
      </c>
      <c r="N1420" s="71">
        <f t="shared" si="692"/>
        <v>0</v>
      </c>
      <c r="O1420" s="44"/>
      <c r="P1420" s="45" t="str">
        <f t="shared" si="675"/>
        <v/>
      </c>
      <c r="Q1420" s="46" t="str">
        <f t="shared" si="676"/>
        <v/>
      </c>
      <c r="R1420" s="47" t="e">
        <f t="shared" si="677"/>
        <v>#VALUE!</v>
      </c>
      <c r="S1420" s="48" t="e">
        <f t="shared" si="666"/>
        <v>#VALUE!</v>
      </c>
      <c r="T1420" s="47" t="str">
        <f t="shared" si="678"/>
        <v/>
      </c>
      <c r="U1420" s="49"/>
      <c r="V1420" s="50"/>
      <c r="W1420" s="51" t="e">
        <f t="shared" si="679"/>
        <v>#VALUE!</v>
      </c>
      <c r="X1420" s="52"/>
      <c r="Y1420" s="52"/>
      <c r="Z1420" s="52"/>
      <c r="AA1420" s="47" t="e">
        <f>INDEX(VISITORS[INSECT ORDER], MATCH(X1420,VISITORS[NAME USED],0))</f>
        <v>#N/A</v>
      </c>
      <c r="AB1420" s="47" t="e">
        <f t="shared" si="680"/>
        <v>#N/A</v>
      </c>
      <c r="AC1420" s="53" t="e">
        <f t="shared" si="681"/>
        <v>#VALUE!</v>
      </c>
      <c r="AD1420" s="54" t="str">
        <f t="shared" si="682"/>
        <v/>
      </c>
      <c r="AE1420" s="54"/>
      <c r="AF1420" s="54"/>
      <c r="AG1420" s="55" t="str">
        <f t="shared" si="683"/>
        <v/>
      </c>
      <c r="AH1420" s="56" t="str">
        <f t="shared" si="684"/>
        <v/>
      </c>
      <c r="AI1420" s="55"/>
      <c r="AJ1420" s="56" t="str">
        <f t="shared" si="685"/>
        <v/>
      </c>
      <c r="AK1420" s="55"/>
      <c r="AL1420" s="56" t="str">
        <f t="shared" si="686"/>
        <v/>
      </c>
      <c r="AM1420" s="55"/>
      <c r="AN1420" s="56" t="str">
        <f t="shared" si="687"/>
        <v/>
      </c>
      <c r="AO1420" s="55"/>
      <c r="AP1420" s="56" t="str">
        <f t="shared" si="688"/>
        <v/>
      </c>
      <c r="AQ1420" s="55"/>
      <c r="AR1420" s="56" t="str">
        <f t="shared" si="689"/>
        <v/>
      </c>
      <c r="AS1420" s="57"/>
      <c r="AT1420" s="58"/>
      <c r="AU1420" s="58"/>
      <c r="AV1420" s="59"/>
      <c r="AW1420" s="60" t="str">
        <f t="shared" si="667"/>
        <v/>
      </c>
      <c r="AX1420" s="61" t="str">
        <f t="shared" si="668"/>
        <v/>
      </c>
      <c r="AY1420" s="60" t="str">
        <f t="shared" si="669"/>
        <v/>
      </c>
      <c r="AZ1420" s="61" t="str">
        <f t="shared" si="670"/>
        <v/>
      </c>
    </row>
    <row r="1421" spans="1:52" s="3" customFormat="1" hidden="1" x14ac:dyDescent="0.35">
      <c r="A1421" s="72">
        <f t="shared" si="693"/>
        <v>2021</v>
      </c>
      <c r="B1421" s="72" t="str">
        <f t="shared" si="694"/>
        <v>Nov</v>
      </c>
      <c r="C1421" s="73">
        <f t="shared" si="690"/>
        <v>15</v>
      </c>
      <c r="D1421" s="74">
        <f t="shared" si="695"/>
        <v>15</v>
      </c>
      <c r="E1421" s="75">
        <f t="shared" si="696"/>
        <v>37</v>
      </c>
      <c r="F1421" s="79"/>
      <c r="G1421" s="82"/>
      <c r="H1421" s="68" t="str">
        <f t="shared" si="691"/>
        <v>Clesim6_20211115_15_00</v>
      </c>
      <c r="I1421" s="69">
        <f t="shared" si="692"/>
        <v>1</v>
      </c>
      <c r="J1421" s="76" t="str">
        <f t="shared" si="692"/>
        <v>Clematis</v>
      </c>
      <c r="K1421" s="76" t="str">
        <f t="shared" si="692"/>
        <v>simense</v>
      </c>
      <c r="L1421" s="77">
        <f t="shared" si="692"/>
        <v>6</v>
      </c>
      <c r="M1421" s="77">
        <f t="shared" si="692"/>
        <v>20</v>
      </c>
      <c r="N1421" s="71">
        <f t="shared" si="692"/>
        <v>0</v>
      </c>
      <c r="O1421" s="44"/>
      <c r="P1421" s="45" t="str">
        <f t="shared" si="675"/>
        <v/>
      </c>
      <c r="Q1421" s="46" t="str">
        <f t="shared" si="676"/>
        <v/>
      </c>
      <c r="R1421" s="47" t="e">
        <f t="shared" si="677"/>
        <v>#VALUE!</v>
      </c>
      <c r="S1421" s="48" t="e">
        <f t="shared" si="666"/>
        <v>#VALUE!</v>
      </c>
      <c r="T1421" s="47" t="str">
        <f t="shared" si="678"/>
        <v/>
      </c>
      <c r="U1421" s="49"/>
      <c r="V1421" s="50"/>
      <c r="W1421" s="51" t="e">
        <f t="shared" si="679"/>
        <v>#VALUE!</v>
      </c>
      <c r="X1421" s="52"/>
      <c r="Y1421" s="52"/>
      <c r="Z1421" s="52"/>
      <c r="AA1421" s="47" t="e">
        <f>INDEX(VISITORS[INSECT ORDER], MATCH(X1421,VISITORS[NAME USED],0))</f>
        <v>#N/A</v>
      </c>
      <c r="AB1421" s="47" t="e">
        <f t="shared" si="680"/>
        <v>#N/A</v>
      </c>
      <c r="AC1421" s="53" t="e">
        <f t="shared" si="681"/>
        <v>#VALUE!</v>
      </c>
      <c r="AD1421" s="54" t="str">
        <f t="shared" si="682"/>
        <v/>
      </c>
      <c r="AE1421" s="54"/>
      <c r="AF1421" s="54"/>
      <c r="AG1421" s="55" t="str">
        <f t="shared" si="683"/>
        <v/>
      </c>
      <c r="AH1421" s="56" t="str">
        <f t="shared" si="684"/>
        <v/>
      </c>
      <c r="AI1421" s="55"/>
      <c r="AJ1421" s="56" t="str">
        <f t="shared" si="685"/>
        <v/>
      </c>
      <c r="AK1421" s="55"/>
      <c r="AL1421" s="56" t="str">
        <f t="shared" si="686"/>
        <v/>
      </c>
      <c r="AM1421" s="55"/>
      <c r="AN1421" s="56" t="str">
        <f t="shared" si="687"/>
        <v/>
      </c>
      <c r="AO1421" s="55"/>
      <c r="AP1421" s="56" t="str">
        <f t="shared" si="688"/>
        <v/>
      </c>
      <c r="AQ1421" s="55"/>
      <c r="AR1421" s="56" t="str">
        <f t="shared" si="689"/>
        <v/>
      </c>
      <c r="AS1421" s="57"/>
      <c r="AT1421" s="58"/>
      <c r="AU1421" s="58"/>
      <c r="AV1421" s="59"/>
      <c r="AW1421" s="60" t="str">
        <f t="shared" si="667"/>
        <v/>
      </c>
      <c r="AX1421" s="61" t="str">
        <f t="shared" si="668"/>
        <v/>
      </c>
      <c r="AY1421" s="60" t="str">
        <f t="shared" si="669"/>
        <v/>
      </c>
      <c r="AZ1421" s="61" t="str">
        <f t="shared" si="670"/>
        <v/>
      </c>
    </row>
    <row r="1422" spans="1:52" s="3" customFormat="1" hidden="1" x14ac:dyDescent="0.35">
      <c r="A1422" s="72">
        <f t="shared" si="693"/>
        <v>2021</v>
      </c>
      <c r="B1422" s="72" t="str">
        <f t="shared" si="694"/>
        <v>Nov</v>
      </c>
      <c r="C1422" s="73">
        <f t="shared" si="690"/>
        <v>15</v>
      </c>
      <c r="D1422" s="74">
        <f t="shared" si="695"/>
        <v>15</v>
      </c>
      <c r="E1422" s="75">
        <f t="shared" si="696"/>
        <v>38</v>
      </c>
      <c r="F1422" s="79"/>
      <c r="G1422" s="82"/>
      <c r="H1422" s="68" t="str">
        <f t="shared" si="691"/>
        <v>Clesim6_20211115_15_00</v>
      </c>
      <c r="I1422" s="69">
        <f t="shared" si="692"/>
        <v>1</v>
      </c>
      <c r="J1422" s="76" t="str">
        <f t="shared" si="692"/>
        <v>Clematis</v>
      </c>
      <c r="K1422" s="76" t="str">
        <f t="shared" si="692"/>
        <v>simense</v>
      </c>
      <c r="L1422" s="77">
        <f t="shared" si="692"/>
        <v>6</v>
      </c>
      <c r="M1422" s="77">
        <f t="shared" si="692"/>
        <v>20</v>
      </c>
      <c r="N1422" s="71">
        <f t="shared" si="692"/>
        <v>0</v>
      </c>
      <c r="O1422" s="44"/>
      <c r="P1422" s="45" t="str">
        <f t="shared" si="675"/>
        <v/>
      </c>
      <c r="Q1422" s="46" t="str">
        <f t="shared" si="676"/>
        <v/>
      </c>
      <c r="R1422" s="47" t="e">
        <f t="shared" si="677"/>
        <v>#VALUE!</v>
      </c>
      <c r="S1422" s="48" t="e">
        <f t="shared" si="666"/>
        <v>#VALUE!</v>
      </c>
      <c r="T1422" s="47" t="str">
        <f t="shared" si="678"/>
        <v/>
      </c>
      <c r="U1422" s="49"/>
      <c r="V1422" s="50"/>
      <c r="W1422" s="51" t="e">
        <f t="shared" si="679"/>
        <v>#VALUE!</v>
      </c>
      <c r="X1422" s="52"/>
      <c r="Y1422" s="52"/>
      <c r="Z1422" s="52"/>
      <c r="AA1422" s="47" t="e">
        <f>INDEX(VISITORS[INSECT ORDER], MATCH(X1422,VISITORS[NAME USED],0))</f>
        <v>#N/A</v>
      </c>
      <c r="AB1422" s="47" t="e">
        <f t="shared" si="680"/>
        <v>#N/A</v>
      </c>
      <c r="AC1422" s="53" t="e">
        <f t="shared" si="681"/>
        <v>#VALUE!</v>
      </c>
      <c r="AD1422" s="54" t="str">
        <f t="shared" si="682"/>
        <v/>
      </c>
      <c r="AE1422" s="54"/>
      <c r="AF1422" s="54"/>
      <c r="AG1422" s="55" t="str">
        <f t="shared" si="683"/>
        <v/>
      </c>
      <c r="AH1422" s="56" t="str">
        <f t="shared" si="684"/>
        <v/>
      </c>
      <c r="AI1422" s="55"/>
      <c r="AJ1422" s="56" t="str">
        <f t="shared" si="685"/>
        <v/>
      </c>
      <c r="AK1422" s="55"/>
      <c r="AL1422" s="56" t="str">
        <f t="shared" si="686"/>
        <v/>
      </c>
      <c r="AM1422" s="55"/>
      <c r="AN1422" s="56" t="str">
        <f t="shared" si="687"/>
        <v/>
      </c>
      <c r="AO1422" s="55"/>
      <c r="AP1422" s="56" t="str">
        <f t="shared" si="688"/>
        <v/>
      </c>
      <c r="AQ1422" s="55"/>
      <c r="AR1422" s="56" t="str">
        <f t="shared" si="689"/>
        <v/>
      </c>
      <c r="AS1422" s="57"/>
      <c r="AT1422" s="58"/>
      <c r="AU1422" s="58"/>
      <c r="AV1422" s="59"/>
      <c r="AW1422" s="60" t="str">
        <f t="shared" si="667"/>
        <v/>
      </c>
      <c r="AX1422" s="61" t="str">
        <f t="shared" si="668"/>
        <v/>
      </c>
      <c r="AY1422" s="60" t="str">
        <f t="shared" si="669"/>
        <v/>
      </c>
      <c r="AZ1422" s="61" t="str">
        <f t="shared" si="670"/>
        <v/>
      </c>
    </row>
    <row r="1423" spans="1:52" s="3" customFormat="1" hidden="1" x14ac:dyDescent="0.35">
      <c r="A1423" s="72">
        <f t="shared" si="693"/>
        <v>2021</v>
      </c>
      <c r="B1423" s="72" t="str">
        <f t="shared" si="694"/>
        <v>Nov</v>
      </c>
      <c r="C1423" s="73">
        <f t="shared" si="690"/>
        <v>15</v>
      </c>
      <c r="D1423" s="74">
        <f t="shared" si="695"/>
        <v>15</v>
      </c>
      <c r="E1423" s="75">
        <f t="shared" si="696"/>
        <v>39</v>
      </c>
      <c r="F1423" s="79"/>
      <c r="G1423" s="82"/>
      <c r="H1423" s="68" t="str">
        <f t="shared" si="691"/>
        <v>Clesim6_20211115_15_00</v>
      </c>
      <c r="I1423" s="69">
        <f t="shared" si="692"/>
        <v>1</v>
      </c>
      <c r="J1423" s="76" t="str">
        <f t="shared" si="692"/>
        <v>Clematis</v>
      </c>
      <c r="K1423" s="76" t="str">
        <f t="shared" si="692"/>
        <v>simense</v>
      </c>
      <c r="L1423" s="77">
        <f t="shared" si="692"/>
        <v>6</v>
      </c>
      <c r="M1423" s="77">
        <f t="shared" si="692"/>
        <v>20</v>
      </c>
      <c r="N1423" s="71">
        <f t="shared" si="692"/>
        <v>0</v>
      </c>
      <c r="O1423" s="44"/>
      <c r="P1423" s="45" t="str">
        <f t="shared" si="675"/>
        <v/>
      </c>
      <c r="Q1423" s="46" t="str">
        <f t="shared" si="676"/>
        <v/>
      </c>
      <c r="R1423" s="47" t="e">
        <f t="shared" si="677"/>
        <v>#VALUE!</v>
      </c>
      <c r="S1423" s="48" t="e">
        <f t="shared" si="666"/>
        <v>#VALUE!</v>
      </c>
      <c r="T1423" s="47" t="str">
        <f t="shared" si="678"/>
        <v/>
      </c>
      <c r="U1423" s="49"/>
      <c r="V1423" s="50"/>
      <c r="W1423" s="51" t="e">
        <f t="shared" si="679"/>
        <v>#VALUE!</v>
      </c>
      <c r="X1423" s="52"/>
      <c r="Y1423" s="52"/>
      <c r="Z1423" s="52"/>
      <c r="AA1423" s="47" t="e">
        <f>INDEX(VISITORS[INSECT ORDER], MATCH(X1423,VISITORS[NAME USED],0))</f>
        <v>#N/A</v>
      </c>
      <c r="AB1423" s="47" t="e">
        <f t="shared" si="680"/>
        <v>#N/A</v>
      </c>
      <c r="AC1423" s="53" t="e">
        <f t="shared" si="681"/>
        <v>#VALUE!</v>
      </c>
      <c r="AD1423" s="54" t="str">
        <f t="shared" si="682"/>
        <v/>
      </c>
      <c r="AE1423" s="54"/>
      <c r="AF1423" s="54"/>
      <c r="AG1423" s="55" t="str">
        <f t="shared" si="683"/>
        <v/>
      </c>
      <c r="AH1423" s="56" t="str">
        <f t="shared" si="684"/>
        <v/>
      </c>
      <c r="AI1423" s="55"/>
      <c r="AJ1423" s="56" t="str">
        <f t="shared" si="685"/>
        <v/>
      </c>
      <c r="AK1423" s="55"/>
      <c r="AL1423" s="56" t="str">
        <f t="shared" si="686"/>
        <v/>
      </c>
      <c r="AM1423" s="55"/>
      <c r="AN1423" s="56" t="str">
        <f t="shared" si="687"/>
        <v/>
      </c>
      <c r="AO1423" s="55"/>
      <c r="AP1423" s="56" t="str">
        <f t="shared" si="688"/>
        <v/>
      </c>
      <c r="AQ1423" s="55"/>
      <c r="AR1423" s="56" t="str">
        <f t="shared" si="689"/>
        <v/>
      </c>
      <c r="AS1423" s="57"/>
      <c r="AT1423" s="58"/>
      <c r="AU1423" s="58"/>
      <c r="AV1423" s="59"/>
      <c r="AW1423" s="60" t="str">
        <f t="shared" si="667"/>
        <v/>
      </c>
      <c r="AX1423" s="61" t="str">
        <f t="shared" si="668"/>
        <v/>
      </c>
      <c r="AY1423" s="60" t="str">
        <f t="shared" si="669"/>
        <v/>
      </c>
      <c r="AZ1423" s="61" t="str">
        <f t="shared" si="670"/>
        <v/>
      </c>
    </row>
    <row r="1424" spans="1:52" s="3" customFormat="1" hidden="1" x14ac:dyDescent="0.35">
      <c r="A1424" s="72">
        <f t="shared" si="693"/>
        <v>2021</v>
      </c>
      <c r="B1424" s="72" t="str">
        <f t="shared" si="694"/>
        <v>Nov</v>
      </c>
      <c r="C1424" s="73">
        <f t="shared" si="690"/>
        <v>15</v>
      </c>
      <c r="D1424" s="74">
        <f t="shared" si="695"/>
        <v>15</v>
      </c>
      <c r="E1424" s="75">
        <f t="shared" si="696"/>
        <v>40</v>
      </c>
      <c r="F1424" s="79"/>
      <c r="G1424" s="82"/>
      <c r="H1424" s="68" t="str">
        <f t="shared" si="691"/>
        <v>Clesim6_20211115_15_00</v>
      </c>
      <c r="I1424" s="69">
        <f t="shared" si="692"/>
        <v>1</v>
      </c>
      <c r="J1424" s="76" t="str">
        <f t="shared" si="692"/>
        <v>Clematis</v>
      </c>
      <c r="K1424" s="76" t="str">
        <f t="shared" si="692"/>
        <v>simense</v>
      </c>
      <c r="L1424" s="77">
        <f t="shared" si="692"/>
        <v>6</v>
      </c>
      <c r="M1424" s="77">
        <f t="shared" si="692"/>
        <v>20</v>
      </c>
      <c r="N1424" s="71">
        <f t="shared" si="692"/>
        <v>0</v>
      </c>
      <c r="O1424" s="44"/>
      <c r="P1424" s="45" t="str">
        <f t="shared" si="675"/>
        <v/>
      </c>
      <c r="Q1424" s="46" t="str">
        <f t="shared" si="676"/>
        <v/>
      </c>
      <c r="R1424" s="47" t="e">
        <f t="shared" si="677"/>
        <v>#VALUE!</v>
      </c>
      <c r="S1424" s="48" t="e">
        <f t="shared" si="666"/>
        <v>#VALUE!</v>
      </c>
      <c r="T1424" s="47" t="str">
        <f t="shared" si="678"/>
        <v/>
      </c>
      <c r="U1424" s="49"/>
      <c r="V1424" s="50"/>
      <c r="W1424" s="51" t="e">
        <f t="shared" si="679"/>
        <v>#VALUE!</v>
      </c>
      <c r="X1424" s="52"/>
      <c r="Y1424" s="52"/>
      <c r="Z1424" s="52"/>
      <c r="AA1424" s="47" t="e">
        <f>INDEX(VISITORS[INSECT ORDER], MATCH(X1424,VISITORS[NAME USED],0))</f>
        <v>#N/A</v>
      </c>
      <c r="AB1424" s="47" t="e">
        <f t="shared" si="680"/>
        <v>#N/A</v>
      </c>
      <c r="AC1424" s="53" t="e">
        <f t="shared" si="681"/>
        <v>#VALUE!</v>
      </c>
      <c r="AD1424" s="54" t="str">
        <f t="shared" si="682"/>
        <v/>
      </c>
      <c r="AE1424" s="54"/>
      <c r="AF1424" s="54"/>
      <c r="AG1424" s="55" t="str">
        <f t="shared" si="683"/>
        <v/>
      </c>
      <c r="AH1424" s="56" t="str">
        <f t="shared" si="684"/>
        <v/>
      </c>
      <c r="AI1424" s="55"/>
      <c r="AJ1424" s="56" t="str">
        <f t="shared" si="685"/>
        <v/>
      </c>
      <c r="AK1424" s="55"/>
      <c r="AL1424" s="56" t="str">
        <f t="shared" si="686"/>
        <v/>
      </c>
      <c r="AM1424" s="55"/>
      <c r="AN1424" s="56" t="str">
        <f t="shared" si="687"/>
        <v/>
      </c>
      <c r="AO1424" s="55"/>
      <c r="AP1424" s="56" t="str">
        <f t="shared" si="688"/>
        <v/>
      </c>
      <c r="AQ1424" s="55"/>
      <c r="AR1424" s="56" t="str">
        <f t="shared" si="689"/>
        <v/>
      </c>
      <c r="AS1424" s="57"/>
      <c r="AT1424" s="58"/>
      <c r="AU1424" s="58"/>
      <c r="AV1424" s="59"/>
      <c r="AW1424" s="60" t="str">
        <f t="shared" si="667"/>
        <v/>
      </c>
      <c r="AX1424" s="61" t="str">
        <f t="shared" si="668"/>
        <v/>
      </c>
      <c r="AY1424" s="60" t="str">
        <f t="shared" si="669"/>
        <v/>
      </c>
      <c r="AZ1424" s="61" t="str">
        <f t="shared" si="670"/>
        <v/>
      </c>
    </row>
    <row r="1425" spans="1:52" s="3" customFormat="1" hidden="1" x14ac:dyDescent="0.35">
      <c r="A1425" s="72">
        <f t="shared" si="693"/>
        <v>2021</v>
      </c>
      <c r="B1425" s="72" t="str">
        <f t="shared" si="694"/>
        <v>Nov</v>
      </c>
      <c r="C1425" s="73">
        <f t="shared" si="690"/>
        <v>15</v>
      </c>
      <c r="D1425" s="74">
        <f t="shared" si="695"/>
        <v>15</v>
      </c>
      <c r="E1425" s="75">
        <f t="shared" si="696"/>
        <v>41</v>
      </c>
      <c r="F1425" s="79"/>
      <c r="G1425" s="82"/>
      <c r="H1425" s="68" t="str">
        <f t="shared" si="691"/>
        <v>Clesim6_20211115_15_00</v>
      </c>
      <c r="I1425" s="69">
        <f t="shared" si="692"/>
        <v>1</v>
      </c>
      <c r="J1425" s="76" t="str">
        <f t="shared" si="692"/>
        <v>Clematis</v>
      </c>
      <c r="K1425" s="76" t="str">
        <f t="shared" si="692"/>
        <v>simense</v>
      </c>
      <c r="L1425" s="77">
        <f t="shared" si="692"/>
        <v>6</v>
      </c>
      <c r="M1425" s="77">
        <f t="shared" si="692"/>
        <v>20</v>
      </c>
      <c r="N1425" s="71">
        <f t="shared" si="692"/>
        <v>0</v>
      </c>
      <c r="O1425" s="44"/>
      <c r="P1425" s="45" t="str">
        <f t="shared" si="675"/>
        <v/>
      </c>
      <c r="Q1425" s="46" t="str">
        <f t="shared" si="676"/>
        <v/>
      </c>
      <c r="R1425" s="47" t="e">
        <f t="shared" si="677"/>
        <v>#VALUE!</v>
      </c>
      <c r="S1425" s="48" t="e">
        <f t="shared" si="666"/>
        <v>#VALUE!</v>
      </c>
      <c r="T1425" s="47" t="str">
        <f t="shared" si="678"/>
        <v/>
      </c>
      <c r="U1425" s="49"/>
      <c r="V1425" s="50"/>
      <c r="W1425" s="51" t="e">
        <f t="shared" si="679"/>
        <v>#VALUE!</v>
      </c>
      <c r="X1425" s="52"/>
      <c r="Y1425" s="52"/>
      <c r="Z1425" s="52"/>
      <c r="AA1425" s="47" t="e">
        <f>INDEX(VISITORS[INSECT ORDER], MATCH(X1425,VISITORS[NAME USED],0))</f>
        <v>#N/A</v>
      </c>
      <c r="AB1425" s="47" t="e">
        <f t="shared" si="680"/>
        <v>#N/A</v>
      </c>
      <c r="AC1425" s="53" t="e">
        <f t="shared" si="681"/>
        <v>#VALUE!</v>
      </c>
      <c r="AD1425" s="54" t="str">
        <f t="shared" si="682"/>
        <v/>
      </c>
      <c r="AE1425" s="54"/>
      <c r="AF1425" s="54"/>
      <c r="AG1425" s="55" t="str">
        <f t="shared" si="683"/>
        <v/>
      </c>
      <c r="AH1425" s="56" t="str">
        <f t="shared" si="684"/>
        <v/>
      </c>
      <c r="AI1425" s="55"/>
      <c r="AJ1425" s="56" t="str">
        <f t="shared" si="685"/>
        <v/>
      </c>
      <c r="AK1425" s="55"/>
      <c r="AL1425" s="56" t="str">
        <f t="shared" si="686"/>
        <v/>
      </c>
      <c r="AM1425" s="55"/>
      <c r="AN1425" s="56" t="str">
        <f t="shared" si="687"/>
        <v/>
      </c>
      <c r="AO1425" s="55"/>
      <c r="AP1425" s="56" t="str">
        <f t="shared" si="688"/>
        <v/>
      </c>
      <c r="AQ1425" s="55"/>
      <c r="AR1425" s="56" t="str">
        <f t="shared" si="689"/>
        <v/>
      </c>
      <c r="AS1425" s="57"/>
      <c r="AT1425" s="58"/>
      <c r="AU1425" s="58"/>
      <c r="AV1425" s="59"/>
      <c r="AW1425" s="60" t="str">
        <f t="shared" si="667"/>
        <v/>
      </c>
      <c r="AX1425" s="61" t="str">
        <f t="shared" si="668"/>
        <v/>
      </c>
      <c r="AY1425" s="60" t="str">
        <f t="shared" si="669"/>
        <v/>
      </c>
      <c r="AZ1425" s="61" t="str">
        <f t="shared" si="670"/>
        <v/>
      </c>
    </row>
    <row r="1426" spans="1:52" s="3" customFormat="1" hidden="1" x14ac:dyDescent="0.35">
      <c r="A1426" s="72">
        <f>A1425</f>
        <v>2021</v>
      </c>
      <c r="B1426" s="72" t="str">
        <f>IF(C1425-C1426&gt;0, TEXT(DATE(2016,(MONTH(DATEVALUE(B1425&amp;"1"))+1),1),"mmm"), B1425)</f>
        <v>Nov</v>
      </c>
      <c r="C1426" s="73">
        <f t="shared" si="690"/>
        <v>15</v>
      </c>
      <c r="D1426" s="74">
        <f>IF(IF(E1425=59,D1425+1,D1425)=24,0,IF(E1425=59,D1425+1,D1425))</f>
        <v>15</v>
      </c>
      <c r="E1426" s="75">
        <f>IF(E1425&lt;59,E1425+1,0)</f>
        <v>42</v>
      </c>
      <c r="F1426" s="79"/>
      <c r="G1426" s="82"/>
      <c r="H1426" s="68" t="str">
        <f t="shared" si="691"/>
        <v>Clesim6_20211115_15_00</v>
      </c>
      <c r="I1426" s="69">
        <f t="shared" si="692"/>
        <v>1</v>
      </c>
      <c r="J1426" s="76" t="str">
        <f>J1425</f>
        <v>Clematis</v>
      </c>
      <c r="K1426" s="76" t="str">
        <f>K1425</f>
        <v>simense</v>
      </c>
      <c r="L1426" s="77">
        <f>L1425</f>
        <v>6</v>
      </c>
      <c r="M1426" s="77">
        <f t="shared" si="692"/>
        <v>20</v>
      </c>
      <c r="N1426" s="71">
        <f>N1425</f>
        <v>0</v>
      </c>
      <c r="O1426" s="44"/>
      <c r="P1426" s="45" t="str">
        <f t="shared" si="675"/>
        <v/>
      </c>
      <c r="Q1426" s="46" t="str">
        <f t="shared" si="676"/>
        <v/>
      </c>
      <c r="R1426" s="47" t="e">
        <f t="shared" si="677"/>
        <v>#VALUE!</v>
      </c>
      <c r="S1426" s="48" t="e">
        <f t="shared" si="666"/>
        <v>#VALUE!</v>
      </c>
      <c r="T1426" s="47" t="str">
        <f t="shared" si="678"/>
        <v/>
      </c>
      <c r="U1426" s="49"/>
      <c r="V1426" s="50"/>
      <c r="W1426" s="51" t="e">
        <f t="shared" si="679"/>
        <v>#VALUE!</v>
      </c>
      <c r="X1426" s="52"/>
      <c r="Y1426" s="52"/>
      <c r="Z1426" s="52"/>
      <c r="AA1426" s="47" t="e">
        <f>INDEX(VISITORS[INSECT ORDER], MATCH(X1426,VISITORS[NAME USED],0))</f>
        <v>#N/A</v>
      </c>
      <c r="AB1426" s="47" t="e">
        <f t="shared" si="680"/>
        <v>#N/A</v>
      </c>
      <c r="AC1426" s="53" t="e">
        <f t="shared" si="681"/>
        <v>#VALUE!</v>
      </c>
      <c r="AD1426" s="54" t="str">
        <f t="shared" si="682"/>
        <v/>
      </c>
      <c r="AE1426" s="54"/>
      <c r="AF1426" s="54"/>
      <c r="AG1426" s="55" t="str">
        <f t="shared" si="683"/>
        <v/>
      </c>
      <c r="AH1426" s="56" t="str">
        <f t="shared" si="684"/>
        <v/>
      </c>
      <c r="AI1426" s="55"/>
      <c r="AJ1426" s="56" t="str">
        <f t="shared" si="685"/>
        <v/>
      </c>
      <c r="AK1426" s="55"/>
      <c r="AL1426" s="56" t="str">
        <f t="shared" si="686"/>
        <v/>
      </c>
      <c r="AM1426" s="55"/>
      <c r="AN1426" s="56" t="str">
        <f t="shared" si="687"/>
        <v/>
      </c>
      <c r="AO1426" s="55"/>
      <c r="AP1426" s="56" t="str">
        <f t="shared" si="688"/>
        <v/>
      </c>
      <c r="AQ1426" s="55"/>
      <c r="AR1426" s="56" t="str">
        <f t="shared" si="689"/>
        <v/>
      </c>
      <c r="AS1426" s="57"/>
      <c r="AT1426" s="58"/>
      <c r="AU1426" s="58"/>
      <c r="AV1426" s="59"/>
      <c r="AW1426" s="60" t="str">
        <f t="shared" si="667"/>
        <v/>
      </c>
      <c r="AX1426" s="61" t="str">
        <f t="shared" si="668"/>
        <v/>
      </c>
      <c r="AY1426" s="60" t="str">
        <f t="shared" si="669"/>
        <v/>
      </c>
      <c r="AZ1426" s="61" t="str">
        <f t="shared" si="670"/>
        <v/>
      </c>
    </row>
    <row r="1427" spans="1:52" s="3" customFormat="1" hidden="1" x14ac:dyDescent="0.35">
      <c r="A1427" s="72">
        <f t="shared" ref="A1427:A1443" si="697">A1426</f>
        <v>2021</v>
      </c>
      <c r="B1427" s="72" t="str">
        <f t="shared" ref="B1427:B1443" si="698">IF(C1426-C1427&gt;0, TEXT(DATE(2016,(MONTH(DATEVALUE(B1426&amp;"1"))+1),1),"mmm"), B1426)</f>
        <v>Nov</v>
      </c>
      <c r="C1427" s="73">
        <f t="shared" si="690"/>
        <v>15</v>
      </c>
      <c r="D1427" s="74">
        <f t="shared" ref="D1427:D1443" si="699">IF(IF(E1426=59,D1426+1,D1426)=24,0,IF(E1426=59,D1426+1,D1426))</f>
        <v>15</v>
      </c>
      <c r="E1427" s="75">
        <f t="shared" ref="E1427:E1443" si="700">IF(E1426&lt;59,E1426+1,0)</f>
        <v>43</v>
      </c>
      <c r="F1427" s="79"/>
      <c r="G1427" s="82"/>
      <c r="H1427" s="68" t="str">
        <f t="shared" si="691"/>
        <v>Clesim6_20211115_15_00</v>
      </c>
      <c r="I1427" s="69">
        <f t="shared" si="692"/>
        <v>1</v>
      </c>
      <c r="J1427" s="76" t="str">
        <f t="shared" si="692"/>
        <v>Clematis</v>
      </c>
      <c r="K1427" s="76" t="str">
        <f t="shared" si="692"/>
        <v>simense</v>
      </c>
      <c r="L1427" s="77">
        <f t="shared" si="692"/>
        <v>6</v>
      </c>
      <c r="M1427" s="77">
        <f t="shared" si="692"/>
        <v>20</v>
      </c>
      <c r="N1427" s="71">
        <f t="shared" si="692"/>
        <v>0</v>
      </c>
      <c r="O1427" s="44"/>
      <c r="P1427" s="45" t="str">
        <f t="shared" si="675"/>
        <v/>
      </c>
      <c r="Q1427" s="46" t="str">
        <f t="shared" si="676"/>
        <v/>
      </c>
      <c r="R1427" s="47" t="e">
        <f t="shared" si="677"/>
        <v>#VALUE!</v>
      </c>
      <c r="S1427" s="48" t="e">
        <f t="shared" si="666"/>
        <v>#VALUE!</v>
      </c>
      <c r="T1427" s="47" t="str">
        <f t="shared" si="678"/>
        <v/>
      </c>
      <c r="U1427" s="49"/>
      <c r="V1427" s="50"/>
      <c r="W1427" s="51" t="e">
        <f t="shared" si="679"/>
        <v>#VALUE!</v>
      </c>
      <c r="X1427" s="52"/>
      <c r="Y1427" s="52"/>
      <c r="Z1427" s="52"/>
      <c r="AA1427" s="47" t="e">
        <f>INDEX(VISITORS[INSECT ORDER], MATCH(X1427,VISITORS[NAME USED],0))</f>
        <v>#N/A</v>
      </c>
      <c r="AB1427" s="47" t="e">
        <f t="shared" si="680"/>
        <v>#N/A</v>
      </c>
      <c r="AC1427" s="53" t="e">
        <f t="shared" si="681"/>
        <v>#VALUE!</v>
      </c>
      <c r="AD1427" s="54" t="str">
        <f t="shared" si="682"/>
        <v/>
      </c>
      <c r="AE1427" s="54"/>
      <c r="AF1427" s="54"/>
      <c r="AG1427" s="55" t="str">
        <f t="shared" si="683"/>
        <v/>
      </c>
      <c r="AH1427" s="56" t="str">
        <f t="shared" si="684"/>
        <v/>
      </c>
      <c r="AI1427" s="55"/>
      <c r="AJ1427" s="56" t="str">
        <f t="shared" si="685"/>
        <v/>
      </c>
      <c r="AK1427" s="55"/>
      <c r="AL1427" s="56" t="str">
        <f t="shared" si="686"/>
        <v/>
      </c>
      <c r="AM1427" s="55"/>
      <c r="AN1427" s="56" t="str">
        <f t="shared" si="687"/>
        <v/>
      </c>
      <c r="AO1427" s="55"/>
      <c r="AP1427" s="56" t="str">
        <f t="shared" si="688"/>
        <v/>
      </c>
      <c r="AQ1427" s="55"/>
      <c r="AR1427" s="56" t="str">
        <f t="shared" si="689"/>
        <v/>
      </c>
      <c r="AS1427" s="57"/>
      <c r="AT1427" s="58"/>
      <c r="AU1427" s="58"/>
      <c r="AV1427" s="59"/>
      <c r="AW1427" s="60" t="str">
        <f t="shared" si="667"/>
        <v/>
      </c>
      <c r="AX1427" s="61" t="str">
        <f t="shared" si="668"/>
        <v/>
      </c>
      <c r="AY1427" s="60" t="str">
        <f t="shared" si="669"/>
        <v/>
      </c>
      <c r="AZ1427" s="61" t="str">
        <f t="shared" si="670"/>
        <v/>
      </c>
    </row>
    <row r="1428" spans="1:52" s="3" customFormat="1" hidden="1" x14ac:dyDescent="0.35">
      <c r="A1428" s="72">
        <f t="shared" si="697"/>
        <v>2021</v>
      </c>
      <c r="B1428" s="72" t="str">
        <f t="shared" si="698"/>
        <v>Nov</v>
      </c>
      <c r="C1428" s="73">
        <f t="shared" si="690"/>
        <v>15</v>
      </c>
      <c r="D1428" s="74">
        <f t="shared" si="699"/>
        <v>15</v>
      </c>
      <c r="E1428" s="75">
        <f t="shared" si="700"/>
        <v>44</v>
      </c>
      <c r="F1428" s="79"/>
      <c r="G1428" s="82"/>
      <c r="H1428" s="68" t="str">
        <f t="shared" si="691"/>
        <v>Clesim6_20211115_15_00</v>
      </c>
      <c r="I1428" s="69">
        <f t="shared" si="692"/>
        <v>1</v>
      </c>
      <c r="J1428" s="76" t="str">
        <f t="shared" si="692"/>
        <v>Clematis</v>
      </c>
      <c r="K1428" s="76" t="str">
        <f t="shared" si="692"/>
        <v>simense</v>
      </c>
      <c r="L1428" s="77">
        <f t="shared" si="692"/>
        <v>6</v>
      </c>
      <c r="M1428" s="77">
        <f t="shared" si="692"/>
        <v>20</v>
      </c>
      <c r="N1428" s="71">
        <f t="shared" si="692"/>
        <v>0</v>
      </c>
      <c r="O1428" s="44"/>
      <c r="P1428" s="45" t="str">
        <f t="shared" si="675"/>
        <v/>
      </c>
      <c r="Q1428" s="46" t="str">
        <f t="shared" si="676"/>
        <v/>
      </c>
      <c r="R1428" s="47" t="e">
        <f t="shared" si="677"/>
        <v>#VALUE!</v>
      </c>
      <c r="S1428" s="48" t="e">
        <f t="shared" si="666"/>
        <v>#VALUE!</v>
      </c>
      <c r="T1428" s="47" t="str">
        <f t="shared" si="678"/>
        <v/>
      </c>
      <c r="U1428" s="49"/>
      <c r="V1428" s="50"/>
      <c r="W1428" s="51" t="e">
        <f t="shared" si="679"/>
        <v>#VALUE!</v>
      </c>
      <c r="X1428" s="52"/>
      <c r="Y1428" s="52"/>
      <c r="Z1428" s="52"/>
      <c r="AA1428" s="47" t="e">
        <f>INDEX(VISITORS[INSECT ORDER], MATCH(X1428,VISITORS[NAME USED],0))</f>
        <v>#N/A</v>
      </c>
      <c r="AB1428" s="47" t="e">
        <f t="shared" si="680"/>
        <v>#N/A</v>
      </c>
      <c r="AC1428" s="53" t="e">
        <f t="shared" si="681"/>
        <v>#VALUE!</v>
      </c>
      <c r="AD1428" s="54" t="str">
        <f t="shared" si="682"/>
        <v/>
      </c>
      <c r="AE1428" s="54"/>
      <c r="AF1428" s="54"/>
      <c r="AG1428" s="55" t="str">
        <f t="shared" si="683"/>
        <v/>
      </c>
      <c r="AH1428" s="56" t="str">
        <f t="shared" si="684"/>
        <v/>
      </c>
      <c r="AI1428" s="55"/>
      <c r="AJ1428" s="56" t="str">
        <f t="shared" si="685"/>
        <v/>
      </c>
      <c r="AK1428" s="55"/>
      <c r="AL1428" s="56" t="str">
        <f t="shared" si="686"/>
        <v/>
      </c>
      <c r="AM1428" s="55"/>
      <c r="AN1428" s="56" t="str">
        <f t="shared" si="687"/>
        <v/>
      </c>
      <c r="AO1428" s="55"/>
      <c r="AP1428" s="56" t="str">
        <f t="shared" si="688"/>
        <v/>
      </c>
      <c r="AQ1428" s="55"/>
      <c r="AR1428" s="56" t="str">
        <f t="shared" si="689"/>
        <v/>
      </c>
      <c r="AS1428" s="57"/>
      <c r="AT1428" s="58"/>
      <c r="AU1428" s="58"/>
      <c r="AV1428" s="59"/>
      <c r="AW1428" s="60" t="str">
        <f t="shared" si="667"/>
        <v/>
      </c>
      <c r="AX1428" s="61" t="str">
        <f t="shared" si="668"/>
        <v/>
      </c>
      <c r="AY1428" s="60" t="str">
        <f t="shared" si="669"/>
        <v/>
      </c>
      <c r="AZ1428" s="61" t="str">
        <f t="shared" si="670"/>
        <v/>
      </c>
    </row>
    <row r="1429" spans="1:52" s="3" customFormat="1" hidden="1" x14ac:dyDescent="0.35">
      <c r="A1429" s="72">
        <f t="shared" si="697"/>
        <v>2021</v>
      </c>
      <c r="B1429" s="72" t="str">
        <f t="shared" si="698"/>
        <v>Nov</v>
      </c>
      <c r="C1429" s="73">
        <f t="shared" si="690"/>
        <v>15</v>
      </c>
      <c r="D1429" s="74">
        <f t="shared" si="699"/>
        <v>15</v>
      </c>
      <c r="E1429" s="75">
        <f t="shared" si="700"/>
        <v>45</v>
      </c>
      <c r="F1429" s="79"/>
      <c r="G1429" s="82"/>
      <c r="H1429" s="68" t="str">
        <f t="shared" si="691"/>
        <v>Clesim6_20211115_15_00</v>
      </c>
      <c r="I1429" s="69">
        <f t="shared" si="692"/>
        <v>1</v>
      </c>
      <c r="J1429" s="76" t="str">
        <f t="shared" si="692"/>
        <v>Clematis</v>
      </c>
      <c r="K1429" s="76" t="str">
        <f t="shared" si="692"/>
        <v>simense</v>
      </c>
      <c r="L1429" s="77">
        <f t="shared" si="692"/>
        <v>6</v>
      </c>
      <c r="M1429" s="77">
        <f t="shared" si="692"/>
        <v>20</v>
      </c>
      <c r="N1429" s="71">
        <f t="shared" si="692"/>
        <v>0</v>
      </c>
      <c r="O1429" s="44"/>
      <c r="P1429" s="45" t="str">
        <f t="shared" si="675"/>
        <v/>
      </c>
      <c r="Q1429" s="46" t="str">
        <f t="shared" si="676"/>
        <v/>
      </c>
      <c r="R1429" s="47" t="e">
        <f t="shared" si="677"/>
        <v>#VALUE!</v>
      </c>
      <c r="S1429" s="48" t="e">
        <f t="shared" si="666"/>
        <v>#VALUE!</v>
      </c>
      <c r="T1429" s="47" t="str">
        <f t="shared" si="678"/>
        <v/>
      </c>
      <c r="U1429" s="49"/>
      <c r="V1429" s="50"/>
      <c r="W1429" s="51" t="e">
        <f t="shared" si="679"/>
        <v>#VALUE!</v>
      </c>
      <c r="X1429" s="52"/>
      <c r="Y1429" s="52"/>
      <c r="Z1429" s="52"/>
      <c r="AA1429" s="47" t="e">
        <f>INDEX(VISITORS[INSECT ORDER], MATCH(X1429,VISITORS[NAME USED],0))</f>
        <v>#N/A</v>
      </c>
      <c r="AB1429" s="47" t="e">
        <f t="shared" si="680"/>
        <v>#N/A</v>
      </c>
      <c r="AC1429" s="53" t="e">
        <f t="shared" si="681"/>
        <v>#VALUE!</v>
      </c>
      <c r="AD1429" s="54" t="str">
        <f t="shared" si="682"/>
        <v/>
      </c>
      <c r="AE1429" s="54"/>
      <c r="AF1429" s="54"/>
      <c r="AG1429" s="55" t="str">
        <f t="shared" si="683"/>
        <v/>
      </c>
      <c r="AH1429" s="56" t="str">
        <f t="shared" si="684"/>
        <v/>
      </c>
      <c r="AI1429" s="55"/>
      <c r="AJ1429" s="56" t="str">
        <f t="shared" si="685"/>
        <v/>
      </c>
      <c r="AK1429" s="55"/>
      <c r="AL1429" s="56" t="str">
        <f t="shared" si="686"/>
        <v/>
      </c>
      <c r="AM1429" s="55"/>
      <c r="AN1429" s="56" t="str">
        <f t="shared" si="687"/>
        <v/>
      </c>
      <c r="AO1429" s="55"/>
      <c r="AP1429" s="56" t="str">
        <f t="shared" si="688"/>
        <v/>
      </c>
      <c r="AQ1429" s="55"/>
      <c r="AR1429" s="56" t="str">
        <f t="shared" si="689"/>
        <v/>
      </c>
      <c r="AS1429" s="57"/>
      <c r="AT1429" s="58"/>
      <c r="AU1429" s="58"/>
      <c r="AV1429" s="59"/>
      <c r="AW1429" s="60" t="str">
        <f t="shared" si="667"/>
        <v/>
      </c>
      <c r="AX1429" s="61" t="str">
        <f t="shared" si="668"/>
        <v/>
      </c>
      <c r="AY1429" s="60" t="str">
        <f t="shared" si="669"/>
        <v/>
      </c>
      <c r="AZ1429" s="61" t="str">
        <f t="shared" si="670"/>
        <v/>
      </c>
    </row>
    <row r="1430" spans="1:52" s="3" customFormat="1" hidden="1" x14ac:dyDescent="0.35">
      <c r="A1430" s="72">
        <f t="shared" si="697"/>
        <v>2021</v>
      </c>
      <c r="B1430" s="72" t="str">
        <f t="shared" si="698"/>
        <v>Nov</v>
      </c>
      <c r="C1430" s="73">
        <f t="shared" si="690"/>
        <v>15</v>
      </c>
      <c r="D1430" s="74">
        <f t="shared" si="699"/>
        <v>15</v>
      </c>
      <c r="E1430" s="75">
        <f t="shared" si="700"/>
        <v>46</v>
      </c>
      <c r="F1430" s="79"/>
      <c r="G1430" s="82"/>
      <c r="H1430" s="68" t="str">
        <f t="shared" si="691"/>
        <v>Clesim6_20211115_15_00</v>
      </c>
      <c r="I1430" s="69">
        <f t="shared" ref="I1430:N1443" si="701">I1429</f>
        <v>1</v>
      </c>
      <c r="J1430" s="76" t="str">
        <f t="shared" si="701"/>
        <v>Clematis</v>
      </c>
      <c r="K1430" s="76" t="str">
        <f t="shared" si="701"/>
        <v>simense</v>
      </c>
      <c r="L1430" s="77">
        <f t="shared" si="701"/>
        <v>6</v>
      </c>
      <c r="M1430" s="77">
        <f t="shared" si="701"/>
        <v>20</v>
      </c>
      <c r="N1430" s="71">
        <f t="shared" si="701"/>
        <v>0</v>
      </c>
      <c r="O1430" s="44"/>
      <c r="P1430" s="45" t="str">
        <f t="shared" si="675"/>
        <v/>
      </c>
      <c r="Q1430" s="46" t="str">
        <f t="shared" si="676"/>
        <v/>
      </c>
      <c r="R1430" s="47" t="e">
        <f t="shared" si="677"/>
        <v>#VALUE!</v>
      </c>
      <c r="S1430" s="48" t="e">
        <f t="shared" si="666"/>
        <v>#VALUE!</v>
      </c>
      <c r="T1430" s="47" t="str">
        <f t="shared" si="678"/>
        <v/>
      </c>
      <c r="U1430" s="49"/>
      <c r="V1430" s="50"/>
      <c r="W1430" s="51" t="e">
        <f t="shared" si="679"/>
        <v>#VALUE!</v>
      </c>
      <c r="X1430" s="52"/>
      <c r="Y1430" s="52"/>
      <c r="Z1430" s="52"/>
      <c r="AA1430" s="47" t="e">
        <f>INDEX(VISITORS[INSECT ORDER], MATCH(X1430,VISITORS[NAME USED],0))</f>
        <v>#N/A</v>
      </c>
      <c r="AB1430" s="47" t="e">
        <f t="shared" si="680"/>
        <v>#N/A</v>
      </c>
      <c r="AC1430" s="53" t="e">
        <f t="shared" si="681"/>
        <v>#VALUE!</v>
      </c>
      <c r="AD1430" s="54" t="str">
        <f t="shared" si="682"/>
        <v/>
      </c>
      <c r="AE1430" s="54"/>
      <c r="AF1430" s="54"/>
      <c r="AG1430" s="55" t="str">
        <f t="shared" si="683"/>
        <v/>
      </c>
      <c r="AH1430" s="56" t="str">
        <f t="shared" si="684"/>
        <v/>
      </c>
      <c r="AI1430" s="55"/>
      <c r="AJ1430" s="56" t="str">
        <f t="shared" si="685"/>
        <v/>
      </c>
      <c r="AK1430" s="55"/>
      <c r="AL1430" s="56" t="str">
        <f t="shared" si="686"/>
        <v/>
      </c>
      <c r="AM1430" s="55"/>
      <c r="AN1430" s="56" t="str">
        <f t="shared" si="687"/>
        <v/>
      </c>
      <c r="AO1430" s="55"/>
      <c r="AP1430" s="56" t="str">
        <f t="shared" si="688"/>
        <v/>
      </c>
      <c r="AQ1430" s="55"/>
      <c r="AR1430" s="56" t="str">
        <f t="shared" si="689"/>
        <v/>
      </c>
      <c r="AS1430" s="57"/>
      <c r="AT1430" s="58"/>
      <c r="AU1430" s="58"/>
      <c r="AV1430" s="59"/>
      <c r="AW1430" s="60" t="str">
        <f t="shared" si="667"/>
        <v/>
      </c>
      <c r="AX1430" s="61" t="str">
        <f t="shared" si="668"/>
        <v/>
      </c>
      <c r="AY1430" s="60" t="str">
        <f t="shared" si="669"/>
        <v/>
      </c>
      <c r="AZ1430" s="61" t="str">
        <f t="shared" si="670"/>
        <v/>
      </c>
    </row>
    <row r="1431" spans="1:52" s="3" customFormat="1" hidden="1" x14ac:dyDescent="0.35">
      <c r="A1431" s="72">
        <f t="shared" si="697"/>
        <v>2021</v>
      </c>
      <c r="B1431" s="72" t="str">
        <f t="shared" si="698"/>
        <v>Nov</v>
      </c>
      <c r="C1431" s="73">
        <f t="shared" si="690"/>
        <v>15</v>
      </c>
      <c r="D1431" s="74">
        <f t="shared" si="699"/>
        <v>15</v>
      </c>
      <c r="E1431" s="75">
        <f t="shared" si="700"/>
        <v>47</v>
      </c>
      <c r="F1431" s="79"/>
      <c r="G1431" s="82"/>
      <c r="H1431" s="68" t="str">
        <f t="shared" si="691"/>
        <v>Clesim6_20211115_15_00</v>
      </c>
      <c r="I1431" s="69">
        <f t="shared" si="701"/>
        <v>1</v>
      </c>
      <c r="J1431" s="76" t="str">
        <f t="shared" si="701"/>
        <v>Clematis</v>
      </c>
      <c r="K1431" s="76" t="str">
        <f t="shared" si="701"/>
        <v>simense</v>
      </c>
      <c r="L1431" s="77">
        <f t="shared" si="701"/>
        <v>6</v>
      </c>
      <c r="M1431" s="77">
        <f t="shared" si="701"/>
        <v>20</v>
      </c>
      <c r="N1431" s="71">
        <f t="shared" si="701"/>
        <v>0</v>
      </c>
      <c r="O1431" s="44"/>
      <c r="P1431" s="45" t="str">
        <f t="shared" si="675"/>
        <v/>
      </c>
      <c r="Q1431" s="46" t="str">
        <f t="shared" si="676"/>
        <v/>
      </c>
      <c r="R1431" s="47" t="e">
        <f t="shared" si="677"/>
        <v>#VALUE!</v>
      </c>
      <c r="S1431" s="48" t="e">
        <f t="shared" si="666"/>
        <v>#VALUE!</v>
      </c>
      <c r="T1431" s="47" t="str">
        <f t="shared" si="678"/>
        <v/>
      </c>
      <c r="U1431" s="49"/>
      <c r="V1431" s="50"/>
      <c r="W1431" s="51" t="e">
        <f t="shared" si="679"/>
        <v>#VALUE!</v>
      </c>
      <c r="X1431" s="52"/>
      <c r="Y1431" s="52"/>
      <c r="Z1431" s="52"/>
      <c r="AA1431" s="47" t="e">
        <f>INDEX(VISITORS[INSECT ORDER], MATCH(X1431,VISITORS[NAME USED],0))</f>
        <v>#N/A</v>
      </c>
      <c r="AB1431" s="47" t="e">
        <f t="shared" si="680"/>
        <v>#N/A</v>
      </c>
      <c r="AC1431" s="53" t="e">
        <f t="shared" si="681"/>
        <v>#VALUE!</v>
      </c>
      <c r="AD1431" s="54" t="str">
        <f t="shared" si="682"/>
        <v/>
      </c>
      <c r="AE1431" s="54"/>
      <c r="AF1431" s="54"/>
      <c r="AG1431" s="55" t="str">
        <f t="shared" si="683"/>
        <v/>
      </c>
      <c r="AH1431" s="56" t="str">
        <f t="shared" si="684"/>
        <v/>
      </c>
      <c r="AI1431" s="55"/>
      <c r="AJ1431" s="56" t="str">
        <f t="shared" si="685"/>
        <v/>
      </c>
      <c r="AK1431" s="55"/>
      <c r="AL1431" s="56" t="str">
        <f t="shared" si="686"/>
        <v/>
      </c>
      <c r="AM1431" s="55"/>
      <c r="AN1431" s="56" t="str">
        <f t="shared" si="687"/>
        <v/>
      </c>
      <c r="AO1431" s="55"/>
      <c r="AP1431" s="56" t="str">
        <f t="shared" si="688"/>
        <v/>
      </c>
      <c r="AQ1431" s="55"/>
      <c r="AR1431" s="56" t="str">
        <f t="shared" si="689"/>
        <v/>
      </c>
      <c r="AS1431" s="57"/>
      <c r="AT1431" s="58"/>
      <c r="AU1431" s="58"/>
      <c r="AV1431" s="59"/>
      <c r="AW1431" s="60" t="str">
        <f t="shared" si="667"/>
        <v/>
      </c>
      <c r="AX1431" s="61" t="str">
        <f t="shared" si="668"/>
        <v/>
      </c>
      <c r="AY1431" s="60" t="str">
        <f t="shared" si="669"/>
        <v/>
      </c>
      <c r="AZ1431" s="61" t="str">
        <f t="shared" si="670"/>
        <v/>
      </c>
    </row>
    <row r="1432" spans="1:52" s="3" customFormat="1" hidden="1" x14ac:dyDescent="0.35">
      <c r="A1432" s="72">
        <f t="shared" si="697"/>
        <v>2021</v>
      </c>
      <c r="B1432" s="72" t="str">
        <f t="shared" si="698"/>
        <v>Nov</v>
      </c>
      <c r="C1432" s="73">
        <f t="shared" si="690"/>
        <v>15</v>
      </c>
      <c r="D1432" s="74">
        <f t="shared" si="699"/>
        <v>15</v>
      </c>
      <c r="E1432" s="75">
        <f t="shared" si="700"/>
        <v>48</v>
      </c>
      <c r="F1432" s="79"/>
      <c r="G1432" s="82"/>
      <c r="H1432" s="68" t="str">
        <f t="shared" si="691"/>
        <v>Clesim6_20211115_15_00</v>
      </c>
      <c r="I1432" s="69">
        <f t="shared" si="701"/>
        <v>1</v>
      </c>
      <c r="J1432" s="76" t="str">
        <f t="shared" si="701"/>
        <v>Clematis</v>
      </c>
      <c r="K1432" s="76" t="str">
        <f t="shared" si="701"/>
        <v>simense</v>
      </c>
      <c r="L1432" s="77">
        <f t="shared" si="701"/>
        <v>6</v>
      </c>
      <c r="M1432" s="77">
        <f t="shared" si="701"/>
        <v>20</v>
      </c>
      <c r="N1432" s="71">
        <f t="shared" si="701"/>
        <v>0</v>
      </c>
      <c r="O1432" s="44"/>
      <c r="P1432" s="45" t="str">
        <f t="shared" si="675"/>
        <v/>
      </c>
      <c r="Q1432" s="46" t="str">
        <f t="shared" si="676"/>
        <v/>
      </c>
      <c r="R1432" s="47" t="e">
        <f t="shared" si="677"/>
        <v>#VALUE!</v>
      </c>
      <c r="S1432" s="48" t="e">
        <f t="shared" si="666"/>
        <v>#VALUE!</v>
      </c>
      <c r="T1432" s="47" t="str">
        <f t="shared" si="678"/>
        <v/>
      </c>
      <c r="U1432" s="49"/>
      <c r="V1432" s="50"/>
      <c r="W1432" s="51" t="e">
        <f t="shared" si="679"/>
        <v>#VALUE!</v>
      </c>
      <c r="X1432" s="52"/>
      <c r="Y1432" s="52"/>
      <c r="Z1432" s="52"/>
      <c r="AA1432" s="47" t="e">
        <f>INDEX(VISITORS[INSECT ORDER], MATCH(X1432,VISITORS[NAME USED],0))</f>
        <v>#N/A</v>
      </c>
      <c r="AB1432" s="47" t="e">
        <f t="shared" si="680"/>
        <v>#N/A</v>
      </c>
      <c r="AC1432" s="53" t="e">
        <f t="shared" si="681"/>
        <v>#VALUE!</v>
      </c>
      <c r="AD1432" s="54" t="str">
        <f t="shared" si="682"/>
        <v/>
      </c>
      <c r="AE1432" s="54"/>
      <c r="AF1432" s="54"/>
      <c r="AG1432" s="55" t="str">
        <f t="shared" si="683"/>
        <v/>
      </c>
      <c r="AH1432" s="56" t="str">
        <f t="shared" si="684"/>
        <v/>
      </c>
      <c r="AI1432" s="55"/>
      <c r="AJ1432" s="56" t="str">
        <f t="shared" si="685"/>
        <v/>
      </c>
      <c r="AK1432" s="55"/>
      <c r="AL1432" s="56" t="str">
        <f t="shared" si="686"/>
        <v/>
      </c>
      <c r="AM1432" s="55"/>
      <c r="AN1432" s="56" t="str">
        <f t="shared" si="687"/>
        <v/>
      </c>
      <c r="AO1432" s="55"/>
      <c r="AP1432" s="56" t="str">
        <f t="shared" si="688"/>
        <v/>
      </c>
      <c r="AQ1432" s="55"/>
      <c r="AR1432" s="56" t="str">
        <f t="shared" si="689"/>
        <v/>
      </c>
      <c r="AS1432" s="57"/>
      <c r="AT1432" s="58"/>
      <c r="AU1432" s="58"/>
      <c r="AV1432" s="59"/>
      <c r="AW1432" s="60" t="str">
        <f t="shared" si="667"/>
        <v/>
      </c>
      <c r="AX1432" s="61" t="str">
        <f t="shared" si="668"/>
        <v/>
      </c>
      <c r="AY1432" s="60" t="str">
        <f t="shared" si="669"/>
        <v/>
      </c>
      <c r="AZ1432" s="61" t="str">
        <f t="shared" si="670"/>
        <v/>
      </c>
    </row>
    <row r="1433" spans="1:52" s="3" customFormat="1" hidden="1" x14ac:dyDescent="0.35">
      <c r="A1433" s="72">
        <f t="shared" si="697"/>
        <v>2021</v>
      </c>
      <c r="B1433" s="72" t="str">
        <f t="shared" si="698"/>
        <v>Nov</v>
      </c>
      <c r="C1433" s="73">
        <f t="shared" si="690"/>
        <v>15</v>
      </c>
      <c r="D1433" s="74">
        <f t="shared" si="699"/>
        <v>15</v>
      </c>
      <c r="E1433" s="75">
        <f t="shared" si="700"/>
        <v>49</v>
      </c>
      <c r="F1433" s="79"/>
      <c r="G1433" s="82"/>
      <c r="H1433" s="68" t="str">
        <f t="shared" si="691"/>
        <v>Clesim6_20211115_15_00</v>
      </c>
      <c r="I1433" s="69">
        <f t="shared" si="701"/>
        <v>1</v>
      </c>
      <c r="J1433" s="76" t="str">
        <f t="shared" si="701"/>
        <v>Clematis</v>
      </c>
      <c r="K1433" s="76" t="str">
        <f t="shared" si="701"/>
        <v>simense</v>
      </c>
      <c r="L1433" s="77">
        <f t="shared" si="701"/>
        <v>6</v>
      </c>
      <c r="M1433" s="77">
        <f t="shared" si="701"/>
        <v>20</v>
      </c>
      <c r="N1433" s="71">
        <f t="shared" si="701"/>
        <v>0</v>
      </c>
      <c r="O1433" s="44"/>
      <c r="P1433" s="45" t="str">
        <f t="shared" si="675"/>
        <v/>
      </c>
      <c r="Q1433" s="46" t="str">
        <f t="shared" si="676"/>
        <v/>
      </c>
      <c r="R1433" s="47" t="e">
        <f t="shared" si="677"/>
        <v>#VALUE!</v>
      </c>
      <c r="S1433" s="48" t="e">
        <f t="shared" si="666"/>
        <v>#VALUE!</v>
      </c>
      <c r="T1433" s="47" t="str">
        <f t="shared" si="678"/>
        <v/>
      </c>
      <c r="U1433" s="49"/>
      <c r="V1433" s="50"/>
      <c r="W1433" s="51" t="e">
        <f t="shared" si="679"/>
        <v>#VALUE!</v>
      </c>
      <c r="X1433" s="52"/>
      <c r="Y1433" s="52"/>
      <c r="Z1433" s="52"/>
      <c r="AA1433" s="47" t="e">
        <f>INDEX(VISITORS[INSECT ORDER], MATCH(X1433,VISITORS[NAME USED],0))</f>
        <v>#N/A</v>
      </c>
      <c r="AB1433" s="47" t="e">
        <f t="shared" si="680"/>
        <v>#N/A</v>
      </c>
      <c r="AC1433" s="53" t="e">
        <f t="shared" si="681"/>
        <v>#VALUE!</v>
      </c>
      <c r="AD1433" s="54" t="str">
        <f t="shared" si="682"/>
        <v/>
      </c>
      <c r="AE1433" s="54"/>
      <c r="AF1433" s="54"/>
      <c r="AG1433" s="55" t="str">
        <f t="shared" si="683"/>
        <v/>
      </c>
      <c r="AH1433" s="56" t="str">
        <f t="shared" si="684"/>
        <v/>
      </c>
      <c r="AI1433" s="55"/>
      <c r="AJ1433" s="56" t="str">
        <f t="shared" si="685"/>
        <v/>
      </c>
      <c r="AK1433" s="55"/>
      <c r="AL1433" s="56" t="str">
        <f t="shared" si="686"/>
        <v/>
      </c>
      <c r="AM1433" s="55"/>
      <c r="AN1433" s="56" t="str">
        <f t="shared" si="687"/>
        <v/>
      </c>
      <c r="AO1433" s="55"/>
      <c r="AP1433" s="56" t="str">
        <f t="shared" si="688"/>
        <v/>
      </c>
      <c r="AQ1433" s="55"/>
      <c r="AR1433" s="56" t="str">
        <f t="shared" si="689"/>
        <v/>
      </c>
      <c r="AS1433" s="57"/>
      <c r="AT1433" s="58"/>
      <c r="AU1433" s="58"/>
      <c r="AV1433" s="59"/>
      <c r="AW1433" s="60" t="str">
        <f t="shared" si="667"/>
        <v/>
      </c>
      <c r="AX1433" s="61" t="str">
        <f t="shared" si="668"/>
        <v/>
      </c>
      <c r="AY1433" s="60" t="str">
        <f t="shared" si="669"/>
        <v/>
      </c>
      <c r="AZ1433" s="61" t="str">
        <f t="shared" si="670"/>
        <v/>
      </c>
    </row>
    <row r="1434" spans="1:52" s="3" customFormat="1" hidden="1" x14ac:dyDescent="0.35">
      <c r="A1434" s="72">
        <f t="shared" si="697"/>
        <v>2021</v>
      </c>
      <c r="B1434" s="72" t="str">
        <f t="shared" si="698"/>
        <v>Nov</v>
      </c>
      <c r="C1434" s="73">
        <f t="shared" si="690"/>
        <v>15</v>
      </c>
      <c r="D1434" s="74">
        <f t="shared" si="699"/>
        <v>15</v>
      </c>
      <c r="E1434" s="75">
        <f t="shared" si="700"/>
        <v>50</v>
      </c>
      <c r="F1434" s="79"/>
      <c r="G1434" s="82"/>
      <c r="H1434" s="68" t="str">
        <f t="shared" si="691"/>
        <v>Clesim6_20211115_15_00</v>
      </c>
      <c r="I1434" s="69">
        <f t="shared" si="701"/>
        <v>1</v>
      </c>
      <c r="J1434" s="76" t="str">
        <f t="shared" si="701"/>
        <v>Clematis</v>
      </c>
      <c r="K1434" s="76" t="str">
        <f t="shared" si="701"/>
        <v>simense</v>
      </c>
      <c r="L1434" s="77">
        <f t="shared" si="701"/>
        <v>6</v>
      </c>
      <c r="M1434" s="77">
        <f t="shared" si="701"/>
        <v>20</v>
      </c>
      <c r="N1434" s="71">
        <f t="shared" si="701"/>
        <v>0</v>
      </c>
      <c r="O1434" s="44"/>
      <c r="P1434" s="45" t="str">
        <f t="shared" si="675"/>
        <v/>
      </c>
      <c r="Q1434" s="46" t="str">
        <f t="shared" si="676"/>
        <v/>
      </c>
      <c r="R1434" s="47" t="e">
        <f t="shared" si="677"/>
        <v>#VALUE!</v>
      </c>
      <c r="S1434" s="48" t="e">
        <f t="shared" si="666"/>
        <v>#VALUE!</v>
      </c>
      <c r="T1434" s="47" t="str">
        <f t="shared" si="678"/>
        <v/>
      </c>
      <c r="U1434" s="49"/>
      <c r="V1434" s="50"/>
      <c r="W1434" s="51" t="e">
        <f t="shared" si="679"/>
        <v>#VALUE!</v>
      </c>
      <c r="X1434" s="52"/>
      <c r="Y1434" s="52"/>
      <c r="Z1434" s="52"/>
      <c r="AA1434" s="47" t="e">
        <f>INDEX(VISITORS[INSECT ORDER], MATCH(X1434,VISITORS[NAME USED],0))</f>
        <v>#N/A</v>
      </c>
      <c r="AB1434" s="47" t="e">
        <f t="shared" si="680"/>
        <v>#N/A</v>
      </c>
      <c r="AC1434" s="53" t="e">
        <f t="shared" si="681"/>
        <v>#VALUE!</v>
      </c>
      <c r="AD1434" s="54" t="str">
        <f t="shared" si="682"/>
        <v/>
      </c>
      <c r="AE1434" s="54"/>
      <c r="AF1434" s="54"/>
      <c r="AG1434" s="55" t="str">
        <f t="shared" si="683"/>
        <v/>
      </c>
      <c r="AH1434" s="56" t="str">
        <f t="shared" si="684"/>
        <v/>
      </c>
      <c r="AI1434" s="55"/>
      <c r="AJ1434" s="56" t="str">
        <f t="shared" si="685"/>
        <v/>
      </c>
      <c r="AK1434" s="55"/>
      <c r="AL1434" s="56" t="str">
        <f t="shared" si="686"/>
        <v/>
      </c>
      <c r="AM1434" s="55"/>
      <c r="AN1434" s="56" t="str">
        <f t="shared" si="687"/>
        <v/>
      </c>
      <c r="AO1434" s="55"/>
      <c r="AP1434" s="56" t="str">
        <f t="shared" si="688"/>
        <v/>
      </c>
      <c r="AQ1434" s="55"/>
      <c r="AR1434" s="56" t="str">
        <f t="shared" si="689"/>
        <v/>
      </c>
      <c r="AS1434" s="57"/>
      <c r="AT1434" s="58"/>
      <c r="AU1434" s="58"/>
      <c r="AV1434" s="59"/>
      <c r="AW1434" s="60" t="str">
        <f t="shared" si="667"/>
        <v/>
      </c>
      <c r="AX1434" s="61" t="str">
        <f t="shared" si="668"/>
        <v/>
      </c>
      <c r="AY1434" s="60" t="str">
        <f t="shared" si="669"/>
        <v/>
      </c>
      <c r="AZ1434" s="61" t="str">
        <f t="shared" si="670"/>
        <v/>
      </c>
    </row>
    <row r="1435" spans="1:52" s="3" customFormat="1" hidden="1" x14ac:dyDescent="0.35">
      <c r="A1435" s="72">
        <f t="shared" si="697"/>
        <v>2021</v>
      </c>
      <c r="B1435" s="72" t="str">
        <f t="shared" si="698"/>
        <v>Nov</v>
      </c>
      <c r="C1435" s="73">
        <f t="shared" si="690"/>
        <v>15</v>
      </c>
      <c r="D1435" s="74">
        <f t="shared" si="699"/>
        <v>15</v>
      </c>
      <c r="E1435" s="75">
        <f t="shared" si="700"/>
        <v>51</v>
      </c>
      <c r="F1435" s="79"/>
      <c r="G1435" s="82"/>
      <c r="H1435" s="68" t="str">
        <f t="shared" si="691"/>
        <v>Clesim6_20211115_15_00</v>
      </c>
      <c r="I1435" s="69">
        <f t="shared" si="701"/>
        <v>1</v>
      </c>
      <c r="J1435" s="76" t="str">
        <f t="shared" si="701"/>
        <v>Clematis</v>
      </c>
      <c r="K1435" s="76" t="str">
        <f t="shared" si="701"/>
        <v>simense</v>
      </c>
      <c r="L1435" s="77">
        <f t="shared" si="701"/>
        <v>6</v>
      </c>
      <c r="M1435" s="77">
        <f t="shared" si="701"/>
        <v>20</v>
      </c>
      <c r="N1435" s="71">
        <f t="shared" si="701"/>
        <v>0</v>
      </c>
      <c r="O1435" s="44"/>
      <c r="P1435" s="45" t="str">
        <f t="shared" si="675"/>
        <v/>
      </c>
      <c r="Q1435" s="46" t="str">
        <f t="shared" si="676"/>
        <v/>
      </c>
      <c r="R1435" s="47" t="e">
        <f t="shared" si="677"/>
        <v>#VALUE!</v>
      </c>
      <c r="S1435" s="48" t="e">
        <f t="shared" si="666"/>
        <v>#VALUE!</v>
      </c>
      <c r="T1435" s="47" t="str">
        <f t="shared" si="678"/>
        <v/>
      </c>
      <c r="U1435" s="49"/>
      <c r="V1435" s="50"/>
      <c r="W1435" s="51" t="e">
        <f t="shared" si="679"/>
        <v>#VALUE!</v>
      </c>
      <c r="X1435" s="52"/>
      <c r="Y1435" s="52"/>
      <c r="Z1435" s="52"/>
      <c r="AA1435" s="47" t="e">
        <f>INDEX(VISITORS[INSECT ORDER], MATCH(X1435,VISITORS[NAME USED],0))</f>
        <v>#N/A</v>
      </c>
      <c r="AB1435" s="47" t="e">
        <f t="shared" si="680"/>
        <v>#N/A</v>
      </c>
      <c r="AC1435" s="53" t="e">
        <f t="shared" si="681"/>
        <v>#VALUE!</v>
      </c>
      <c r="AD1435" s="54" t="str">
        <f t="shared" si="682"/>
        <v/>
      </c>
      <c r="AE1435" s="54"/>
      <c r="AF1435" s="54"/>
      <c r="AG1435" s="55" t="str">
        <f t="shared" si="683"/>
        <v/>
      </c>
      <c r="AH1435" s="56" t="str">
        <f t="shared" si="684"/>
        <v/>
      </c>
      <c r="AI1435" s="55"/>
      <c r="AJ1435" s="56" t="str">
        <f t="shared" si="685"/>
        <v/>
      </c>
      <c r="AK1435" s="55"/>
      <c r="AL1435" s="56" t="str">
        <f t="shared" si="686"/>
        <v/>
      </c>
      <c r="AM1435" s="55"/>
      <c r="AN1435" s="56" t="str">
        <f t="shared" si="687"/>
        <v/>
      </c>
      <c r="AO1435" s="55"/>
      <c r="AP1435" s="56" t="str">
        <f t="shared" si="688"/>
        <v/>
      </c>
      <c r="AQ1435" s="55"/>
      <c r="AR1435" s="56" t="str">
        <f t="shared" si="689"/>
        <v/>
      </c>
      <c r="AS1435" s="57"/>
      <c r="AT1435" s="58"/>
      <c r="AU1435" s="58"/>
      <c r="AV1435" s="59"/>
      <c r="AW1435" s="60" t="str">
        <f t="shared" si="667"/>
        <v/>
      </c>
      <c r="AX1435" s="61" t="str">
        <f t="shared" si="668"/>
        <v/>
      </c>
      <c r="AY1435" s="60" t="str">
        <f t="shared" si="669"/>
        <v/>
      </c>
      <c r="AZ1435" s="61" t="str">
        <f t="shared" si="670"/>
        <v/>
      </c>
    </row>
    <row r="1436" spans="1:52" s="3" customFormat="1" hidden="1" x14ac:dyDescent="0.35">
      <c r="A1436" s="72">
        <f t="shared" si="697"/>
        <v>2021</v>
      </c>
      <c r="B1436" s="72" t="str">
        <f t="shared" si="698"/>
        <v>Nov</v>
      </c>
      <c r="C1436" s="73">
        <f t="shared" si="690"/>
        <v>15</v>
      </c>
      <c r="D1436" s="74">
        <f t="shared" si="699"/>
        <v>15</v>
      </c>
      <c r="E1436" s="75">
        <f t="shared" si="700"/>
        <v>52</v>
      </c>
      <c r="F1436" s="79"/>
      <c r="G1436" s="82"/>
      <c r="H1436" s="68" t="str">
        <f t="shared" si="691"/>
        <v>Clesim6_20211115_15_00</v>
      </c>
      <c r="I1436" s="69">
        <f t="shared" si="701"/>
        <v>1</v>
      </c>
      <c r="J1436" s="76" t="str">
        <f t="shared" si="701"/>
        <v>Clematis</v>
      </c>
      <c r="K1436" s="76" t="str">
        <f t="shared" si="701"/>
        <v>simense</v>
      </c>
      <c r="L1436" s="77">
        <f t="shared" si="701"/>
        <v>6</v>
      </c>
      <c r="M1436" s="77">
        <f t="shared" si="701"/>
        <v>20</v>
      </c>
      <c r="N1436" s="71">
        <f t="shared" si="701"/>
        <v>0</v>
      </c>
      <c r="O1436" s="44"/>
      <c r="P1436" s="45" t="str">
        <f t="shared" si="675"/>
        <v/>
      </c>
      <c r="Q1436" s="46" t="str">
        <f t="shared" si="676"/>
        <v/>
      </c>
      <c r="R1436" s="47" t="e">
        <f t="shared" si="677"/>
        <v>#VALUE!</v>
      </c>
      <c r="S1436" s="48" t="e">
        <f t="shared" si="666"/>
        <v>#VALUE!</v>
      </c>
      <c r="T1436" s="47" t="str">
        <f t="shared" si="678"/>
        <v/>
      </c>
      <c r="U1436" s="49"/>
      <c r="V1436" s="50"/>
      <c r="W1436" s="51" t="e">
        <f t="shared" si="679"/>
        <v>#VALUE!</v>
      </c>
      <c r="X1436" s="52"/>
      <c r="Y1436" s="52"/>
      <c r="Z1436" s="52"/>
      <c r="AA1436" s="47" t="e">
        <f>INDEX(VISITORS[INSECT ORDER], MATCH(X1436,VISITORS[NAME USED],0))</f>
        <v>#N/A</v>
      </c>
      <c r="AB1436" s="47" t="e">
        <f t="shared" si="680"/>
        <v>#N/A</v>
      </c>
      <c r="AC1436" s="53" t="e">
        <f t="shared" si="681"/>
        <v>#VALUE!</v>
      </c>
      <c r="AD1436" s="54" t="str">
        <f t="shared" si="682"/>
        <v/>
      </c>
      <c r="AE1436" s="54"/>
      <c r="AF1436" s="54"/>
      <c r="AG1436" s="55" t="str">
        <f t="shared" si="683"/>
        <v/>
      </c>
      <c r="AH1436" s="56" t="str">
        <f t="shared" si="684"/>
        <v/>
      </c>
      <c r="AI1436" s="55"/>
      <c r="AJ1436" s="56" t="str">
        <f t="shared" si="685"/>
        <v/>
      </c>
      <c r="AK1436" s="55"/>
      <c r="AL1436" s="56" t="str">
        <f t="shared" si="686"/>
        <v/>
      </c>
      <c r="AM1436" s="55"/>
      <c r="AN1436" s="56" t="str">
        <f t="shared" si="687"/>
        <v/>
      </c>
      <c r="AO1436" s="55"/>
      <c r="AP1436" s="56" t="str">
        <f t="shared" si="688"/>
        <v/>
      </c>
      <c r="AQ1436" s="55"/>
      <c r="AR1436" s="56" t="str">
        <f t="shared" si="689"/>
        <v/>
      </c>
      <c r="AS1436" s="57"/>
      <c r="AT1436" s="58"/>
      <c r="AU1436" s="58"/>
      <c r="AV1436" s="59"/>
      <c r="AW1436" s="60" t="str">
        <f t="shared" si="667"/>
        <v/>
      </c>
      <c r="AX1436" s="61" t="str">
        <f t="shared" si="668"/>
        <v/>
      </c>
      <c r="AY1436" s="60" t="str">
        <f t="shared" si="669"/>
        <v/>
      </c>
      <c r="AZ1436" s="61" t="str">
        <f t="shared" si="670"/>
        <v/>
      </c>
    </row>
    <row r="1437" spans="1:52" s="3" customFormat="1" x14ac:dyDescent="0.35">
      <c r="A1437" s="72">
        <f t="shared" si="697"/>
        <v>2021</v>
      </c>
      <c r="B1437" s="72" t="str">
        <f t="shared" si="698"/>
        <v>Nov</v>
      </c>
      <c r="C1437" s="73">
        <f t="shared" si="690"/>
        <v>15</v>
      </c>
      <c r="D1437" s="74">
        <f t="shared" si="699"/>
        <v>15</v>
      </c>
      <c r="E1437" s="75">
        <f t="shared" si="700"/>
        <v>53</v>
      </c>
      <c r="F1437" s="79">
        <v>46</v>
      </c>
      <c r="G1437" s="82"/>
      <c r="H1437" s="68" t="str">
        <f t="shared" si="691"/>
        <v>Clesim6_20211115_15_00</v>
      </c>
      <c r="I1437" s="69">
        <f t="shared" si="701"/>
        <v>1</v>
      </c>
      <c r="J1437" s="76" t="str">
        <f t="shared" si="701"/>
        <v>Clematis</v>
      </c>
      <c r="K1437" s="76" t="str">
        <f t="shared" si="701"/>
        <v>simense</v>
      </c>
      <c r="L1437" s="77">
        <f t="shared" si="701"/>
        <v>6</v>
      </c>
      <c r="M1437" s="77">
        <f t="shared" si="701"/>
        <v>20</v>
      </c>
      <c r="N1437" s="71">
        <f t="shared" si="701"/>
        <v>0</v>
      </c>
      <c r="O1437" s="44"/>
      <c r="P1437" s="45">
        <f t="shared" si="675"/>
        <v>1</v>
      </c>
      <c r="Q1437" s="46" t="str">
        <f t="shared" si="676"/>
        <v>15:53:46</v>
      </c>
      <c r="R1437" s="47" t="str">
        <f t="shared" si="677"/>
        <v>53:46</v>
      </c>
      <c r="S1437" s="48">
        <f t="shared" si="666"/>
        <v>224</v>
      </c>
      <c r="T1437" s="47" t="str">
        <f t="shared" si="678"/>
        <v>15</v>
      </c>
      <c r="U1437" s="49">
        <v>57</v>
      </c>
      <c r="V1437" s="50">
        <v>30</v>
      </c>
      <c r="W1437" s="51" t="str">
        <f t="shared" si="679"/>
        <v>57:30</v>
      </c>
      <c r="X1437" s="123" t="s">
        <v>66</v>
      </c>
      <c r="Y1437" s="52" t="s">
        <v>70</v>
      </c>
      <c r="Z1437" s="52" t="s">
        <v>87</v>
      </c>
      <c r="AA1437" s="47" t="s">
        <v>67</v>
      </c>
      <c r="AB1437" s="47" t="str">
        <f t="shared" si="680"/>
        <v>NA</v>
      </c>
      <c r="AC1437" s="53" t="str">
        <f t="shared" si="681"/>
        <v/>
      </c>
      <c r="AD1437" s="54">
        <f t="shared" si="682"/>
        <v>1</v>
      </c>
      <c r="AE1437" s="54"/>
      <c r="AF1437" s="54"/>
      <c r="AG1437" s="55" t="str">
        <f t="shared" si="683"/>
        <v/>
      </c>
      <c r="AH1437" s="56" t="str">
        <f t="shared" si="684"/>
        <v/>
      </c>
      <c r="AI1437" s="55"/>
      <c r="AJ1437" s="56" t="str">
        <f t="shared" si="685"/>
        <v/>
      </c>
      <c r="AK1437" s="55"/>
      <c r="AL1437" s="56" t="str">
        <f t="shared" si="686"/>
        <v/>
      </c>
      <c r="AM1437" s="55"/>
      <c r="AN1437" s="56" t="str">
        <f t="shared" si="687"/>
        <v/>
      </c>
      <c r="AO1437" s="55"/>
      <c r="AP1437" s="56" t="str">
        <f t="shared" si="688"/>
        <v/>
      </c>
      <c r="AQ1437" s="55"/>
      <c r="AR1437" s="56" t="str">
        <f t="shared" si="689"/>
        <v/>
      </c>
      <c r="AS1437" s="57"/>
      <c r="AT1437" s="58"/>
      <c r="AU1437" s="58"/>
      <c r="AV1437" s="59"/>
      <c r="AW1437" s="60">
        <f t="shared" si="667"/>
        <v>0</v>
      </c>
      <c r="AX1437" s="61" t="str">
        <f t="shared" si="668"/>
        <v/>
      </c>
      <c r="AY1437" s="60">
        <f t="shared" si="669"/>
        <v>0</v>
      </c>
      <c r="AZ1437" s="61" t="str">
        <f t="shared" si="670"/>
        <v/>
      </c>
    </row>
    <row r="1438" spans="1:52" s="3" customFormat="1" hidden="1" x14ac:dyDescent="0.35">
      <c r="A1438" s="72">
        <f t="shared" si="697"/>
        <v>2021</v>
      </c>
      <c r="B1438" s="72" t="str">
        <f t="shared" si="698"/>
        <v>Nov</v>
      </c>
      <c r="C1438" s="73">
        <f t="shared" si="690"/>
        <v>15</v>
      </c>
      <c r="D1438" s="74">
        <f t="shared" si="699"/>
        <v>15</v>
      </c>
      <c r="E1438" s="75">
        <f t="shared" si="700"/>
        <v>54</v>
      </c>
      <c r="F1438" s="79"/>
      <c r="G1438" s="82"/>
      <c r="H1438" s="68" t="str">
        <f t="shared" si="691"/>
        <v>Clesim6_20211115_15_00</v>
      </c>
      <c r="I1438" s="69">
        <f t="shared" si="701"/>
        <v>1</v>
      </c>
      <c r="J1438" s="76" t="str">
        <f t="shared" si="701"/>
        <v>Clematis</v>
      </c>
      <c r="K1438" s="76" t="str">
        <f t="shared" si="701"/>
        <v>simense</v>
      </c>
      <c r="L1438" s="77">
        <f t="shared" si="701"/>
        <v>6</v>
      </c>
      <c r="M1438" s="77">
        <f t="shared" si="701"/>
        <v>20</v>
      </c>
      <c r="N1438" s="71">
        <f t="shared" si="701"/>
        <v>0</v>
      </c>
      <c r="O1438" s="44"/>
      <c r="P1438" s="45" t="str">
        <f t="shared" si="675"/>
        <v/>
      </c>
      <c r="Q1438" s="46" t="str">
        <f t="shared" si="676"/>
        <v/>
      </c>
      <c r="R1438" s="47" t="e">
        <f t="shared" si="677"/>
        <v>#VALUE!</v>
      </c>
      <c r="S1438" s="48" t="e">
        <f t="shared" si="666"/>
        <v>#VALUE!</v>
      </c>
      <c r="T1438" s="47" t="str">
        <f t="shared" si="678"/>
        <v/>
      </c>
      <c r="U1438" s="49"/>
      <c r="V1438" s="50"/>
      <c r="W1438" s="51" t="e">
        <f t="shared" si="679"/>
        <v>#VALUE!</v>
      </c>
      <c r="X1438" s="52"/>
      <c r="Y1438" s="52"/>
      <c r="Z1438" s="52"/>
      <c r="AA1438" s="47" t="e">
        <f>INDEX(VISITORS[INSECT ORDER], MATCH(X1438,VISITORS[NAME USED],0))</f>
        <v>#N/A</v>
      </c>
      <c r="AB1438" s="47" t="e">
        <f t="shared" si="680"/>
        <v>#N/A</v>
      </c>
      <c r="AC1438" s="53" t="e">
        <f t="shared" si="681"/>
        <v>#VALUE!</v>
      </c>
      <c r="AD1438" s="54" t="str">
        <f t="shared" si="682"/>
        <v/>
      </c>
      <c r="AE1438" s="54"/>
      <c r="AF1438" s="54"/>
      <c r="AG1438" s="55" t="str">
        <f t="shared" si="683"/>
        <v/>
      </c>
      <c r="AH1438" s="56" t="str">
        <f t="shared" si="684"/>
        <v/>
      </c>
      <c r="AI1438" s="55"/>
      <c r="AJ1438" s="56" t="str">
        <f t="shared" si="685"/>
        <v/>
      </c>
      <c r="AK1438" s="55"/>
      <c r="AL1438" s="56" t="str">
        <f t="shared" si="686"/>
        <v/>
      </c>
      <c r="AM1438" s="55"/>
      <c r="AN1438" s="56" t="str">
        <f t="shared" si="687"/>
        <v/>
      </c>
      <c r="AO1438" s="55"/>
      <c r="AP1438" s="56" t="str">
        <f t="shared" si="688"/>
        <v/>
      </c>
      <c r="AQ1438" s="55"/>
      <c r="AR1438" s="56" t="str">
        <f t="shared" si="689"/>
        <v/>
      </c>
      <c r="AS1438" s="57"/>
      <c r="AT1438" s="58"/>
      <c r="AU1438" s="58"/>
      <c r="AV1438" s="59"/>
      <c r="AW1438" s="60" t="str">
        <f t="shared" si="667"/>
        <v/>
      </c>
      <c r="AX1438" s="61" t="str">
        <f t="shared" si="668"/>
        <v/>
      </c>
      <c r="AY1438" s="60" t="str">
        <f t="shared" si="669"/>
        <v/>
      </c>
      <c r="AZ1438" s="61" t="str">
        <f t="shared" si="670"/>
        <v/>
      </c>
    </row>
    <row r="1439" spans="1:52" s="3" customFormat="1" hidden="1" x14ac:dyDescent="0.35">
      <c r="A1439" s="72">
        <f t="shared" si="697"/>
        <v>2021</v>
      </c>
      <c r="B1439" s="72" t="str">
        <f t="shared" si="698"/>
        <v>Nov</v>
      </c>
      <c r="C1439" s="73">
        <f t="shared" si="690"/>
        <v>15</v>
      </c>
      <c r="D1439" s="74">
        <f t="shared" si="699"/>
        <v>15</v>
      </c>
      <c r="E1439" s="75">
        <f t="shared" si="700"/>
        <v>55</v>
      </c>
      <c r="F1439" s="79"/>
      <c r="G1439" s="82"/>
      <c r="H1439" s="68" t="str">
        <f t="shared" si="691"/>
        <v>Clesim6_20211115_15_00</v>
      </c>
      <c r="I1439" s="69">
        <f t="shared" si="701"/>
        <v>1</v>
      </c>
      <c r="J1439" s="76" t="str">
        <f t="shared" si="701"/>
        <v>Clematis</v>
      </c>
      <c r="K1439" s="76" t="str">
        <f t="shared" si="701"/>
        <v>simense</v>
      </c>
      <c r="L1439" s="77">
        <f t="shared" si="701"/>
        <v>6</v>
      </c>
      <c r="M1439" s="77">
        <f t="shared" si="701"/>
        <v>20</v>
      </c>
      <c r="N1439" s="71">
        <f t="shared" si="701"/>
        <v>0</v>
      </c>
      <c r="O1439" s="44"/>
      <c r="P1439" s="45" t="str">
        <f t="shared" si="675"/>
        <v/>
      </c>
      <c r="Q1439" s="46" t="str">
        <f t="shared" si="676"/>
        <v/>
      </c>
      <c r="R1439" s="47" t="e">
        <f t="shared" si="677"/>
        <v>#VALUE!</v>
      </c>
      <c r="S1439" s="48" t="e">
        <f t="shared" si="666"/>
        <v>#VALUE!</v>
      </c>
      <c r="T1439" s="47" t="str">
        <f t="shared" si="678"/>
        <v/>
      </c>
      <c r="U1439" s="49"/>
      <c r="V1439" s="50"/>
      <c r="W1439" s="51" t="e">
        <f t="shared" si="679"/>
        <v>#VALUE!</v>
      </c>
      <c r="X1439" s="52"/>
      <c r="Y1439" s="52"/>
      <c r="Z1439" s="52"/>
      <c r="AA1439" s="47" t="e">
        <f>INDEX(VISITORS[INSECT ORDER], MATCH(X1439,VISITORS[NAME USED],0))</f>
        <v>#N/A</v>
      </c>
      <c r="AB1439" s="47" t="e">
        <f t="shared" si="680"/>
        <v>#N/A</v>
      </c>
      <c r="AC1439" s="53" t="e">
        <f t="shared" si="681"/>
        <v>#VALUE!</v>
      </c>
      <c r="AD1439" s="54" t="str">
        <f t="shared" si="682"/>
        <v/>
      </c>
      <c r="AE1439" s="54"/>
      <c r="AF1439" s="54"/>
      <c r="AG1439" s="55" t="str">
        <f t="shared" si="683"/>
        <v/>
      </c>
      <c r="AH1439" s="56" t="str">
        <f t="shared" si="684"/>
        <v/>
      </c>
      <c r="AI1439" s="55"/>
      <c r="AJ1439" s="56" t="str">
        <f t="shared" si="685"/>
        <v/>
      </c>
      <c r="AK1439" s="55"/>
      <c r="AL1439" s="56" t="str">
        <f t="shared" si="686"/>
        <v/>
      </c>
      <c r="AM1439" s="55"/>
      <c r="AN1439" s="56" t="str">
        <f t="shared" si="687"/>
        <v/>
      </c>
      <c r="AO1439" s="55"/>
      <c r="AP1439" s="56" t="str">
        <f t="shared" si="688"/>
        <v/>
      </c>
      <c r="AQ1439" s="55"/>
      <c r="AR1439" s="56" t="str">
        <f t="shared" si="689"/>
        <v/>
      </c>
      <c r="AS1439" s="57"/>
      <c r="AT1439" s="58"/>
      <c r="AU1439" s="58"/>
      <c r="AV1439" s="59"/>
      <c r="AW1439" s="60" t="str">
        <f t="shared" si="667"/>
        <v/>
      </c>
      <c r="AX1439" s="61" t="str">
        <f t="shared" si="668"/>
        <v/>
      </c>
      <c r="AY1439" s="60" t="str">
        <f t="shared" si="669"/>
        <v/>
      </c>
      <c r="AZ1439" s="61" t="str">
        <f t="shared" si="670"/>
        <v/>
      </c>
    </row>
    <row r="1440" spans="1:52" s="3" customFormat="1" hidden="1" x14ac:dyDescent="0.35">
      <c r="A1440" s="72">
        <f t="shared" si="697"/>
        <v>2021</v>
      </c>
      <c r="B1440" s="72" t="str">
        <f t="shared" si="698"/>
        <v>Nov</v>
      </c>
      <c r="C1440" s="73">
        <f t="shared" si="690"/>
        <v>15</v>
      </c>
      <c r="D1440" s="74">
        <f t="shared" si="699"/>
        <v>15</v>
      </c>
      <c r="E1440" s="75">
        <f t="shared" si="700"/>
        <v>56</v>
      </c>
      <c r="F1440" s="79"/>
      <c r="G1440" s="82"/>
      <c r="H1440" s="68" t="str">
        <f t="shared" si="691"/>
        <v>Clesim6_20211115_15_00</v>
      </c>
      <c r="I1440" s="69">
        <f t="shared" si="701"/>
        <v>1</v>
      </c>
      <c r="J1440" s="76" t="str">
        <f t="shared" si="701"/>
        <v>Clematis</v>
      </c>
      <c r="K1440" s="76" t="str">
        <f t="shared" si="701"/>
        <v>simense</v>
      </c>
      <c r="L1440" s="77">
        <f t="shared" si="701"/>
        <v>6</v>
      </c>
      <c r="M1440" s="77">
        <f t="shared" si="701"/>
        <v>20</v>
      </c>
      <c r="N1440" s="71">
        <f t="shared" si="701"/>
        <v>0</v>
      </c>
      <c r="O1440" s="44"/>
      <c r="P1440" s="45" t="str">
        <f t="shared" si="675"/>
        <v/>
      </c>
      <c r="Q1440" s="46" t="str">
        <f t="shared" si="676"/>
        <v/>
      </c>
      <c r="R1440" s="47" t="e">
        <f t="shared" si="677"/>
        <v>#VALUE!</v>
      </c>
      <c r="S1440" s="48" t="e">
        <f t="shared" si="666"/>
        <v>#VALUE!</v>
      </c>
      <c r="T1440" s="47" t="str">
        <f t="shared" si="678"/>
        <v/>
      </c>
      <c r="U1440" s="49"/>
      <c r="V1440" s="50"/>
      <c r="W1440" s="51" t="e">
        <f t="shared" si="679"/>
        <v>#VALUE!</v>
      </c>
      <c r="X1440" s="52"/>
      <c r="Y1440" s="52"/>
      <c r="Z1440" s="52"/>
      <c r="AA1440" s="47" t="e">
        <f>INDEX(VISITORS[INSECT ORDER], MATCH(X1440,VISITORS[NAME USED],0))</f>
        <v>#N/A</v>
      </c>
      <c r="AB1440" s="47" t="e">
        <f t="shared" si="680"/>
        <v>#N/A</v>
      </c>
      <c r="AC1440" s="53" t="e">
        <f t="shared" si="681"/>
        <v>#VALUE!</v>
      </c>
      <c r="AD1440" s="54" t="str">
        <f t="shared" si="682"/>
        <v/>
      </c>
      <c r="AE1440" s="54"/>
      <c r="AF1440" s="54"/>
      <c r="AG1440" s="55" t="str">
        <f t="shared" si="683"/>
        <v/>
      </c>
      <c r="AH1440" s="56" t="str">
        <f t="shared" si="684"/>
        <v/>
      </c>
      <c r="AI1440" s="55"/>
      <c r="AJ1440" s="56" t="str">
        <f t="shared" si="685"/>
        <v/>
      </c>
      <c r="AK1440" s="55"/>
      <c r="AL1440" s="56" t="str">
        <f t="shared" si="686"/>
        <v/>
      </c>
      <c r="AM1440" s="55"/>
      <c r="AN1440" s="56" t="str">
        <f t="shared" si="687"/>
        <v/>
      </c>
      <c r="AO1440" s="55"/>
      <c r="AP1440" s="56" t="str">
        <f t="shared" si="688"/>
        <v/>
      </c>
      <c r="AQ1440" s="55"/>
      <c r="AR1440" s="56" t="str">
        <f t="shared" si="689"/>
        <v/>
      </c>
      <c r="AS1440" s="57"/>
      <c r="AT1440" s="58"/>
      <c r="AU1440" s="58"/>
      <c r="AV1440" s="59"/>
      <c r="AW1440" s="60" t="str">
        <f t="shared" si="667"/>
        <v/>
      </c>
      <c r="AX1440" s="61" t="str">
        <f t="shared" si="668"/>
        <v/>
      </c>
      <c r="AY1440" s="60" t="str">
        <f t="shared" si="669"/>
        <v/>
      </c>
      <c r="AZ1440" s="61" t="str">
        <f t="shared" si="670"/>
        <v/>
      </c>
    </row>
    <row r="1441" spans="1:52" s="3" customFormat="1" x14ac:dyDescent="0.35">
      <c r="A1441" s="72">
        <f t="shared" si="697"/>
        <v>2021</v>
      </c>
      <c r="B1441" s="72" t="str">
        <f t="shared" si="698"/>
        <v>Nov</v>
      </c>
      <c r="C1441" s="73">
        <f t="shared" si="690"/>
        <v>15</v>
      </c>
      <c r="D1441" s="74">
        <f t="shared" si="699"/>
        <v>15</v>
      </c>
      <c r="E1441" s="75">
        <f t="shared" si="700"/>
        <v>57</v>
      </c>
      <c r="F1441" s="79">
        <v>20</v>
      </c>
      <c r="G1441" s="82"/>
      <c r="H1441" s="68" t="str">
        <f t="shared" si="691"/>
        <v>Clesim6_20211115_15_00</v>
      </c>
      <c r="I1441" s="69">
        <f t="shared" si="701"/>
        <v>1</v>
      </c>
      <c r="J1441" s="76" t="str">
        <f t="shared" si="701"/>
        <v>Clematis</v>
      </c>
      <c r="K1441" s="76" t="str">
        <f t="shared" si="701"/>
        <v>simense</v>
      </c>
      <c r="L1441" s="77">
        <f t="shared" si="701"/>
        <v>6</v>
      </c>
      <c r="M1441" s="77">
        <f t="shared" si="701"/>
        <v>20</v>
      </c>
      <c r="N1441" s="71">
        <f t="shared" si="701"/>
        <v>0</v>
      </c>
      <c r="O1441" s="44"/>
      <c r="P1441" s="45">
        <f t="shared" si="675"/>
        <v>1</v>
      </c>
      <c r="Q1441" s="46" t="str">
        <f t="shared" si="676"/>
        <v>15:57:20</v>
      </c>
      <c r="R1441" s="47" t="str">
        <f t="shared" si="677"/>
        <v>57:20</v>
      </c>
      <c r="S1441" s="48">
        <f t="shared" si="666"/>
        <v>150</v>
      </c>
      <c r="T1441" s="47" t="str">
        <f t="shared" si="678"/>
        <v>15</v>
      </c>
      <c r="U1441" s="49">
        <v>59</v>
      </c>
      <c r="V1441" s="50">
        <v>50</v>
      </c>
      <c r="W1441" s="51" t="str">
        <f t="shared" si="679"/>
        <v>59:50</v>
      </c>
      <c r="X1441" s="123" t="s">
        <v>66</v>
      </c>
      <c r="Y1441" s="52" t="s">
        <v>70</v>
      </c>
      <c r="Z1441" s="52" t="s">
        <v>91</v>
      </c>
      <c r="AA1441" s="47" t="s">
        <v>67</v>
      </c>
      <c r="AB1441" s="47" t="str">
        <f t="shared" si="680"/>
        <v>NA</v>
      </c>
      <c r="AC1441" s="53" t="str">
        <f t="shared" si="681"/>
        <v/>
      </c>
      <c r="AD1441" s="54">
        <f t="shared" si="682"/>
        <v>1</v>
      </c>
      <c r="AE1441" s="54"/>
      <c r="AF1441" s="54"/>
      <c r="AG1441" s="55" t="str">
        <f t="shared" si="683"/>
        <v/>
      </c>
      <c r="AH1441" s="56" t="str">
        <f t="shared" si="684"/>
        <v/>
      </c>
      <c r="AI1441" s="55"/>
      <c r="AJ1441" s="56" t="str">
        <f t="shared" si="685"/>
        <v/>
      </c>
      <c r="AK1441" s="55"/>
      <c r="AL1441" s="56" t="str">
        <f t="shared" si="686"/>
        <v/>
      </c>
      <c r="AM1441" s="55"/>
      <c r="AN1441" s="56" t="str">
        <f t="shared" si="687"/>
        <v/>
      </c>
      <c r="AO1441" s="55"/>
      <c r="AP1441" s="56" t="str">
        <f t="shared" si="688"/>
        <v/>
      </c>
      <c r="AQ1441" s="55"/>
      <c r="AR1441" s="56" t="str">
        <f t="shared" si="689"/>
        <v/>
      </c>
      <c r="AS1441" s="57"/>
      <c r="AT1441" s="58"/>
      <c r="AU1441" s="58"/>
      <c r="AV1441" s="59"/>
      <c r="AW1441" s="60">
        <f t="shared" si="667"/>
        <v>0</v>
      </c>
      <c r="AX1441" s="61" t="str">
        <f t="shared" si="668"/>
        <v/>
      </c>
      <c r="AY1441" s="60">
        <f t="shared" si="669"/>
        <v>0</v>
      </c>
      <c r="AZ1441" s="61" t="str">
        <f t="shared" si="670"/>
        <v/>
      </c>
    </row>
    <row r="1442" spans="1:52" s="3" customFormat="1" hidden="1" x14ac:dyDescent="0.35">
      <c r="A1442" s="72">
        <f t="shared" si="697"/>
        <v>2021</v>
      </c>
      <c r="B1442" s="72" t="str">
        <f t="shared" si="698"/>
        <v>Nov</v>
      </c>
      <c r="C1442" s="73">
        <f t="shared" si="690"/>
        <v>15</v>
      </c>
      <c r="D1442" s="74">
        <f t="shared" si="699"/>
        <v>15</v>
      </c>
      <c r="E1442" s="75">
        <f t="shared" si="700"/>
        <v>58</v>
      </c>
      <c r="F1442" s="79"/>
      <c r="G1442" s="82"/>
      <c r="H1442" s="68" t="str">
        <f t="shared" si="691"/>
        <v>Clesim6_20211115_15_00</v>
      </c>
      <c r="I1442" s="69">
        <f t="shared" si="701"/>
        <v>1</v>
      </c>
      <c r="J1442" s="76" t="str">
        <f t="shared" si="701"/>
        <v>Clematis</v>
      </c>
      <c r="K1442" s="76" t="str">
        <f t="shared" si="701"/>
        <v>simense</v>
      </c>
      <c r="L1442" s="77">
        <f t="shared" si="701"/>
        <v>6</v>
      </c>
      <c r="M1442" s="77">
        <f t="shared" si="701"/>
        <v>20</v>
      </c>
      <c r="N1442" s="71">
        <f t="shared" si="701"/>
        <v>0</v>
      </c>
      <c r="O1442" s="44"/>
      <c r="P1442" s="45" t="str">
        <f t="shared" si="675"/>
        <v/>
      </c>
      <c r="Q1442" s="46" t="str">
        <f t="shared" si="676"/>
        <v/>
      </c>
      <c r="R1442" s="47" t="e">
        <f t="shared" si="677"/>
        <v>#VALUE!</v>
      </c>
      <c r="S1442" s="48" t="e">
        <f t="shared" si="666"/>
        <v>#VALUE!</v>
      </c>
      <c r="T1442" s="47" t="str">
        <f t="shared" si="678"/>
        <v/>
      </c>
      <c r="U1442" s="49"/>
      <c r="V1442" s="50"/>
      <c r="W1442" s="51" t="e">
        <f t="shared" si="679"/>
        <v>#VALUE!</v>
      </c>
      <c r="X1442" s="52"/>
      <c r="Y1442" s="52"/>
      <c r="Z1442" s="52"/>
      <c r="AA1442" s="47" t="e">
        <f>INDEX(VISITORS[INSECT ORDER], MATCH(X1442,VISITORS[NAME USED],0))</f>
        <v>#N/A</v>
      </c>
      <c r="AB1442" s="47" t="e">
        <f t="shared" si="680"/>
        <v>#N/A</v>
      </c>
      <c r="AC1442" s="53" t="e">
        <f t="shared" si="681"/>
        <v>#VALUE!</v>
      </c>
      <c r="AD1442" s="54" t="str">
        <f t="shared" si="682"/>
        <v/>
      </c>
      <c r="AE1442" s="54"/>
      <c r="AF1442" s="54"/>
      <c r="AG1442" s="55" t="str">
        <f t="shared" si="683"/>
        <v/>
      </c>
      <c r="AH1442" s="56" t="str">
        <f t="shared" si="684"/>
        <v/>
      </c>
      <c r="AI1442" s="55"/>
      <c r="AJ1442" s="56" t="str">
        <f t="shared" si="685"/>
        <v/>
      </c>
      <c r="AK1442" s="55"/>
      <c r="AL1442" s="56" t="str">
        <f t="shared" si="686"/>
        <v/>
      </c>
      <c r="AM1442" s="55"/>
      <c r="AN1442" s="56" t="str">
        <f t="shared" si="687"/>
        <v/>
      </c>
      <c r="AO1442" s="55"/>
      <c r="AP1442" s="56" t="str">
        <f t="shared" si="688"/>
        <v/>
      </c>
      <c r="AQ1442" s="55"/>
      <c r="AR1442" s="56" t="str">
        <f t="shared" si="689"/>
        <v/>
      </c>
      <c r="AS1442" s="57"/>
      <c r="AT1442" s="58"/>
      <c r="AU1442" s="58"/>
      <c r="AV1442" s="59"/>
      <c r="AW1442" s="60" t="str">
        <f t="shared" si="667"/>
        <v/>
      </c>
      <c r="AX1442" s="61" t="str">
        <f t="shared" si="668"/>
        <v/>
      </c>
      <c r="AY1442" s="60" t="str">
        <f t="shared" si="669"/>
        <v/>
      </c>
      <c r="AZ1442" s="61" t="str">
        <f t="shared" si="670"/>
        <v/>
      </c>
    </row>
    <row r="1443" spans="1:52" s="3" customFormat="1" ht="15" hidden="1" thickBot="1" x14ac:dyDescent="0.4">
      <c r="A1443" s="85">
        <f t="shared" si="697"/>
        <v>2021</v>
      </c>
      <c r="B1443" s="85" t="str">
        <f t="shared" si="698"/>
        <v>Nov</v>
      </c>
      <c r="C1443" s="86">
        <f t="shared" si="690"/>
        <v>15</v>
      </c>
      <c r="D1443" s="87">
        <f t="shared" si="699"/>
        <v>15</v>
      </c>
      <c r="E1443" s="88">
        <f t="shared" si="700"/>
        <v>59</v>
      </c>
      <c r="F1443" s="89"/>
      <c r="G1443" s="90"/>
      <c r="H1443" s="68" t="str">
        <f t="shared" si="691"/>
        <v>Clesim6_20211115_15_00</v>
      </c>
      <c r="I1443" s="91">
        <f t="shared" si="701"/>
        <v>1</v>
      </c>
      <c r="J1443" s="92" t="str">
        <f t="shared" si="701"/>
        <v>Clematis</v>
      </c>
      <c r="K1443" s="92" t="str">
        <f t="shared" si="701"/>
        <v>simense</v>
      </c>
      <c r="L1443" s="93">
        <f t="shared" si="701"/>
        <v>6</v>
      </c>
      <c r="M1443" s="93">
        <f t="shared" si="701"/>
        <v>20</v>
      </c>
      <c r="N1443" s="94">
        <f t="shared" si="701"/>
        <v>0</v>
      </c>
      <c r="O1443" s="95"/>
      <c r="P1443" s="96" t="str">
        <f t="shared" si="675"/>
        <v/>
      </c>
      <c r="Q1443" s="97" t="str">
        <f t="shared" si="676"/>
        <v/>
      </c>
      <c r="R1443" s="98" t="e">
        <f t="shared" si="677"/>
        <v>#VALUE!</v>
      </c>
      <c r="S1443" s="98" t="e">
        <f>IF(T1443&lt;D1443, (T1443*3600+U1443*60+V1443)+((23*3600+59*60+60)-(D1443*3600+E1443*60+LEFT(F1443,2))), (T1443*3600+U1443*60+V1443)-(D1443*3600+E1443*60+LEFT(F1443,2)))</f>
        <v>#VALUE!</v>
      </c>
      <c r="T1443" s="98" t="str">
        <f t="shared" si="678"/>
        <v/>
      </c>
      <c r="U1443" s="99"/>
      <c r="V1443" s="100"/>
      <c r="W1443" s="101" t="e">
        <f t="shared" si="679"/>
        <v>#VALUE!</v>
      </c>
      <c r="X1443" s="102"/>
      <c r="Y1443" s="122"/>
      <c r="Z1443" s="122"/>
      <c r="AA1443" s="47" t="e">
        <f>INDEX(VISITORS[INSECT ORDER], MATCH(X1443,VISITORS[NAME USED],0))</f>
        <v>#N/A</v>
      </c>
      <c r="AB1443" s="98" t="e">
        <f t="shared" si="680"/>
        <v>#N/A</v>
      </c>
      <c r="AC1443" s="53" t="e">
        <f t="shared" si="681"/>
        <v>#VALUE!</v>
      </c>
      <c r="AD1443" s="103" t="str">
        <f t="shared" si="682"/>
        <v/>
      </c>
      <c r="AE1443" s="103"/>
      <c r="AF1443" s="103"/>
      <c r="AG1443" s="104" t="str">
        <f t="shared" si="683"/>
        <v/>
      </c>
      <c r="AH1443" s="105" t="str">
        <f t="shared" si="684"/>
        <v/>
      </c>
      <c r="AI1443" s="104"/>
      <c r="AJ1443" s="105" t="str">
        <f t="shared" si="685"/>
        <v/>
      </c>
      <c r="AK1443" s="104"/>
      <c r="AL1443" s="105" t="str">
        <f t="shared" si="686"/>
        <v/>
      </c>
      <c r="AM1443" s="104"/>
      <c r="AN1443" s="105" t="str">
        <f t="shared" si="687"/>
        <v/>
      </c>
      <c r="AO1443" s="104"/>
      <c r="AP1443" s="105" t="str">
        <f t="shared" si="688"/>
        <v/>
      </c>
      <c r="AQ1443" s="104"/>
      <c r="AR1443" s="105" t="str">
        <f t="shared" si="689"/>
        <v/>
      </c>
      <c r="AS1443" s="106"/>
      <c r="AT1443" s="107"/>
      <c r="AU1443" s="107"/>
      <c r="AV1443" s="108"/>
      <c r="AW1443" s="109" t="str">
        <f t="shared" si="667"/>
        <v/>
      </c>
      <c r="AX1443" s="110" t="str">
        <f t="shared" si="668"/>
        <v/>
      </c>
      <c r="AY1443" s="109" t="str">
        <f t="shared" si="669"/>
        <v/>
      </c>
      <c r="AZ1443" s="110" t="str">
        <f t="shared" si="670"/>
        <v/>
      </c>
    </row>
    <row r="1444" spans="1:52" x14ac:dyDescent="0.35">
      <c r="C1444"/>
    </row>
    <row r="1445" spans="1:52" x14ac:dyDescent="0.35">
      <c r="C1445"/>
    </row>
    <row r="1446" spans="1:52" x14ac:dyDescent="0.35">
      <c r="C1446"/>
    </row>
    <row r="1447" spans="1:52" x14ac:dyDescent="0.35">
      <c r="C1447"/>
    </row>
  </sheetData>
  <sheetProtection formatCells="0" formatColumns="0" formatRows="0" sort="0" autoFilter="0"/>
  <protectedRanges>
    <protectedRange sqref="X3:Z3 AB3" name="Visitor ID_1"/>
    <protectedRange sqref="P3:P1443" name="Visitor arrival_1_1"/>
    <protectedRange sqref="W3:W1443"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4:P1048576" name="Visitor arrival_1"/>
    <protectedRange sqref="W1444:W1048576" name="Time of Departure"/>
    <protectedRange sqref="AA3:AA1048576" name="Visitor ID_2"/>
    <protectedRange sqref="AW1:AX1 AZ1:AZ1418 AW2:AY1418 AW1419:AZ1048576" name="Visitor behaviour_1_1"/>
  </protectedRanges>
  <autoFilter ref="A2:AZ1443"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3 A2:M2">
    <cfRule type="beginsWith" dxfId="14" priority="39" operator="beginsWith" text="NA">
      <formula>LEFT(A1,LEN("NA"))="NA"</formula>
    </cfRule>
  </conditionalFormatting>
  <conditionalFormatting sqref="A3:O1443">
    <cfRule type="beginsWith" dxfId="13" priority="38" operator="beginsWith" text="NA">
      <formula>LEFT(A3,LEN("NA"))="NA"</formula>
    </cfRule>
  </conditionalFormatting>
  <conditionalFormatting sqref="F3:F100001">
    <cfRule type="cellIs" dxfId="12" priority="30" operator="greaterThan">
      <formula>60</formula>
    </cfRule>
  </conditionalFormatting>
  <conditionalFormatting sqref="I1:I1443">
    <cfRule type="containsBlanks" dxfId="11" priority="40">
      <formula>LEN(TRIM(I1))=0</formula>
    </cfRule>
  </conditionalFormatting>
  <conditionalFormatting sqref="P2:S1443">
    <cfRule type="beginsWith" dxfId="10" priority="12" operator="beginsWith" text="NA">
      <formula>LEFT(P2,LEN("NA"))="NA"</formula>
    </cfRule>
  </conditionalFormatting>
  <conditionalFormatting sqref="R2:R1443 W2:W1443">
    <cfRule type="containsErrors" dxfId="9" priority="29">
      <formula>ISERROR(R2)</formula>
    </cfRule>
  </conditionalFormatting>
  <conditionalFormatting sqref="S1:S1048576">
    <cfRule type="containsErrors" dxfId="8" priority="13">
      <formula>ISERROR(S1)</formula>
    </cfRule>
  </conditionalFormatting>
  <conditionalFormatting sqref="W2:AA1443">
    <cfRule type="beginsWith" dxfId="0" priority="7" operator="beginsWith" text="NA">
      <formula>LEFT(W2,LEN("NA"))="NA"</formula>
    </cfRule>
  </conditionalFormatting>
  <conditionalFormatting sqref="AA1:AB1048576">
    <cfRule type="containsErrors" dxfId="7" priority="6">
      <formula>ISERROR(AA1)</formula>
    </cfRule>
  </conditionalFormatting>
  <conditionalFormatting sqref="AB2 P1 AD1:AF1 AD2">
    <cfRule type="beginsWith" dxfId="6" priority="37" operator="beginsWith" text="NA">
      <formula>LEFT(P1,LEN("NA"))="NA"</formula>
    </cfRule>
  </conditionalFormatting>
  <conditionalFormatting sqref="AB3:AH1443">
    <cfRule type="beginsWith" dxfId="5" priority="28" operator="beginsWith" text="NA">
      <formula>LEFT(AB3,LEN("NA"))="NA"</formula>
    </cfRule>
  </conditionalFormatting>
  <conditionalFormatting sqref="AC3:AC1443">
    <cfRule type="containsBlanks" dxfId="4" priority="41">
      <formula>LEN(TRIM(AC3))=0</formula>
    </cfRule>
  </conditionalFormatting>
  <conditionalFormatting sqref="AG2:AJ2">
    <cfRule type="beginsWith" dxfId="3" priority="11" operator="beginsWith" text="NA">
      <formula>LEFT(AG2,LEN("NA"))="NA"</formula>
    </cfRule>
  </conditionalFormatting>
  <conditionalFormatting sqref="AI3:AJ1443">
    <cfRule type="beginsWith" dxfId="2" priority="3" operator="beginsWith" text="NA">
      <formula>LEFT(AI3,LEN("NA"))="NA"</formula>
    </cfRule>
  </conditionalFormatting>
  <conditionalFormatting sqref="AV1:AW1 AK2:AZ1443">
    <cfRule type="beginsWith" dxfId="1" priority="1" operator="beginsWith" text="NA">
      <formula>LEFT(AK1,LEN("NA"))="NA"</formula>
    </cfRule>
  </conditionalFormatting>
  <dataValidations count="1">
    <dataValidation type="whole" operator="equal" allowBlank="1" showInputMessage="1" showErrorMessage="1" sqref="I3:I1443"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CleSim06</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2023-09-08T13:02:55Z</dcterms:modified>
</cp:coreProperties>
</file>