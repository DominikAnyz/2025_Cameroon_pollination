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F67B612C-AD6A-4F76-B9B1-FA6A29635EAE}" xr6:coauthVersionLast="47" xr6:coauthVersionMax="47" xr10:uidLastSave="{00000000-0000-0000-0000-000000000000}"/>
  <bookViews>
    <workbookView xWindow="-120" yWindow="-18120" windowWidth="29040" windowHeight="18240" xr2:uid="{00000000-000D-0000-FFFF-FFFF00000000}"/>
  </bookViews>
  <sheets>
    <sheet name="HypRev07" sheetId="3" r:id="rId1"/>
    <sheet name="Morphospecies" sheetId="1" r:id="rId2"/>
  </sheets>
  <definedNames>
    <definedName name="_xlnm._FilterDatabase" localSheetId="0" hidden="1">HypRev07!$A$2:$AZ$1503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503" i="3" l="1"/>
  <c r="AP1503" i="3"/>
  <c r="AN1503" i="3"/>
  <c r="AL1503" i="3"/>
  <c r="AJ1503" i="3"/>
  <c r="AG1503" i="3"/>
  <c r="AH1503" i="3" s="1"/>
  <c r="AA1503" i="3"/>
  <c r="AB1503" i="3" s="1"/>
  <c r="P1503" i="3"/>
  <c r="T1503" i="3" s="1"/>
  <c r="Q1503" i="3" l="1"/>
  <c r="AD1503" i="3"/>
  <c r="AW1503" i="3"/>
  <c r="AX1503" i="3" s="1"/>
  <c r="AY1503" i="3"/>
  <c r="AZ1503" i="3" s="1"/>
  <c r="AR1502" i="3"/>
  <c r="AP1502" i="3"/>
  <c r="AN1502" i="3"/>
  <c r="AL1502" i="3"/>
  <c r="AJ1502" i="3"/>
  <c r="AG1502" i="3"/>
  <c r="AH1502" i="3" s="1"/>
  <c r="AA1502" i="3"/>
  <c r="AB1502" i="3" s="1"/>
  <c r="P1502" i="3"/>
  <c r="AY1502" i="3" s="1"/>
  <c r="AZ1502" i="3" s="1"/>
  <c r="AR1501" i="3"/>
  <c r="AP1501" i="3"/>
  <c r="AN1501" i="3"/>
  <c r="AL1501" i="3"/>
  <c r="AJ1501" i="3"/>
  <c r="AG1501" i="3"/>
  <c r="AH1501" i="3" s="1"/>
  <c r="AA1501" i="3"/>
  <c r="AB1501" i="3" s="1"/>
  <c r="P1501" i="3"/>
  <c r="T1501" i="3" s="1"/>
  <c r="AR1500" i="3"/>
  <c r="AP1500" i="3"/>
  <c r="AN1500" i="3"/>
  <c r="AL1500" i="3"/>
  <c r="AJ1500" i="3"/>
  <c r="AG1500" i="3"/>
  <c r="AH1500" i="3" s="1"/>
  <c r="AA1500" i="3"/>
  <c r="AB1500" i="3" s="1"/>
  <c r="P1500" i="3"/>
  <c r="AY1500" i="3" s="1"/>
  <c r="AZ1500" i="3" s="1"/>
  <c r="AR1499" i="3"/>
  <c r="AP1499" i="3"/>
  <c r="AN1499" i="3"/>
  <c r="AL1499" i="3"/>
  <c r="AJ1499" i="3"/>
  <c r="AG1499" i="3"/>
  <c r="AH1499" i="3" s="1"/>
  <c r="AB1499" i="3"/>
  <c r="P1499" i="3"/>
  <c r="AR1498" i="3"/>
  <c r="AP1498" i="3"/>
  <c r="AN1498" i="3"/>
  <c r="AL1498" i="3"/>
  <c r="AJ1498" i="3"/>
  <c r="AG1498" i="3"/>
  <c r="AH1498" i="3" s="1"/>
  <c r="AB1498" i="3"/>
  <c r="P1498" i="3"/>
  <c r="AY1498" i="3" s="1"/>
  <c r="AZ1498" i="3" s="1"/>
  <c r="AR1497" i="3"/>
  <c r="AP1497" i="3"/>
  <c r="AN1497" i="3"/>
  <c r="AL1497" i="3"/>
  <c r="AJ1497" i="3"/>
  <c r="AG1497" i="3"/>
  <c r="AH1497" i="3" s="1"/>
  <c r="AA1497" i="3"/>
  <c r="AB1497" i="3" s="1"/>
  <c r="P1497" i="3"/>
  <c r="T1497" i="3" s="1"/>
  <c r="AR1496" i="3"/>
  <c r="AP1496" i="3"/>
  <c r="AN1496" i="3"/>
  <c r="AL1496" i="3"/>
  <c r="AJ1496" i="3"/>
  <c r="AG1496" i="3"/>
  <c r="AH1496" i="3" s="1"/>
  <c r="AA1496" i="3"/>
  <c r="AB1496" i="3" s="1"/>
  <c r="P1496" i="3"/>
  <c r="AY1496" i="3" s="1"/>
  <c r="AZ1496" i="3" s="1"/>
  <c r="AR1495" i="3"/>
  <c r="AP1495" i="3"/>
  <c r="AN1495" i="3"/>
  <c r="AL1495" i="3"/>
  <c r="AJ1495" i="3"/>
  <c r="AG1495" i="3"/>
  <c r="AH1495" i="3" s="1"/>
  <c r="AA1495" i="3"/>
  <c r="AB1495" i="3" s="1"/>
  <c r="P1495" i="3"/>
  <c r="T1495" i="3" s="1"/>
  <c r="AR1494" i="3"/>
  <c r="AP1494" i="3"/>
  <c r="AN1494" i="3"/>
  <c r="AL1494" i="3"/>
  <c r="AJ1494" i="3"/>
  <c r="AG1494" i="3"/>
  <c r="AH1494" i="3" s="1"/>
  <c r="AA1494" i="3"/>
  <c r="AB1494" i="3" s="1"/>
  <c r="P1494" i="3"/>
  <c r="AY1494" i="3" s="1"/>
  <c r="AZ1494" i="3" s="1"/>
  <c r="AR1493" i="3"/>
  <c r="AP1493" i="3"/>
  <c r="AN1493" i="3"/>
  <c r="AL1493" i="3"/>
  <c r="AJ1493" i="3"/>
  <c r="AG1493" i="3"/>
  <c r="AH1493" i="3" s="1"/>
  <c r="AA1493" i="3"/>
  <c r="AB1493" i="3" s="1"/>
  <c r="P1493" i="3"/>
  <c r="AY1493" i="3" s="1"/>
  <c r="AZ1493" i="3" s="1"/>
  <c r="AR1492" i="3"/>
  <c r="AP1492" i="3"/>
  <c r="AN1492" i="3"/>
  <c r="AL1492" i="3"/>
  <c r="AJ1492" i="3"/>
  <c r="AG1492" i="3"/>
  <c r="AH1492" i="3" s="1"/>
  <c r="AA1492" i="3"/>
  <c r="AB1492" i="3" s="1"/>
  <c r="P1492" i="3"/>
  <c r="T1492" i="3" s="1"/>
  <c r="AR1491" i="3"/>
  <c r="AP1491" i="3"/>
  <c r="AN1491" i="3"/>
  <c r="AL1491" i="3"/>
  <c r="AJ1491" i="3"/>
  <c r="AG1491" i="3"/>
  <c r="AH1491" i="3" s="1"/>
  <c r="AA1491" i="3"/>
  <c r="AB1491" i="3" s="1"/>
  <c r="P1491" i="3"/>
  <c r="AY1491" i="3" s="1"/>
  <c r="AZ1491" i="3" s="1"/>
  <c r="AR1490" i="3"/>
  <c r="AP1490" i="3"/>
  <c r="AN1490" i="3"/>
  <c r="AL1490" i="3"/>
  <c r="AJ1490" i="3"/>
  <c r="AH1490" i="3"/>
  <c r="AB1490" i="3"/>
  <c r="P1490" i="3"/>
  <c r="AY1490" i="3" s="1"/>
  <c r="AZ1490" i="3" s="1"/>
  <c r="AR1489" i="3"/>
  <c r="AP1489" i="3"/>
  <c r="AN1489" i="3"/>
  <c r="AL1489" i="3"/>
  <c r="AJ1489" i="3"/>
  <c r="AG1489" i="3"/>
  <c r="AH1489" i="3" s="1"/>
  <c r="AA1489" i="3"/>
  <c r="AB1489" i="3" s="1"/>
  <c r="P1489" i="3"/>
  <c r="T1489" i="3" s="1"/>
  <c r="AR1488" i="3"/>
  <c r="AP1488" i="3"/>
  <c r="AN1488" i="3"/>
  <c r="AL1488" i="3"/>
  <c r="AJ1488" i="3"/>
  <c r="AG1488" i="3"/>
  <c r="AH1488" i="3" s="1"/>
  <c r="AA1488" i="3"/>
  <c r="AB1488" i="3" s="1"/>
  <c r="P1488" i="3"/>
  <c r="AY1488" i="3" s="1"/>
  <c r="AZ1488" i="3" s="1"/>
  <c r="AR1487" i="3"/>
  <c r="AP1487" i="3"/>
  <c r="AN1487" i="3"/>
  <c r="AL1487" i="3"/>
  <c r="AJ1487" i="3"/>
  <c r="AG1487" i="3"/>
  <c r="AH1487" i="3" s="1"/>
  <c r="AA1487" i="3"/>
  <c r="AB1487" i="3" s="1"/>
  <c r="P1487" i="3"/>
  <c r="T1487" i="3" s="1"/>
  <c r="AR1486" i="3"/>
  <c r="AP1486" i="3"/>
  <c r="AN1486" i="3"/>
  <c r="AL1486" i="3"/>
  <c r="AJ1486" i="3"/>
  <c r="AG1486" i="3"/>
  <c r="AH1486" i="3" s="1"/>
  <c r="AA1486" i="3"/>
  <c r="AB1486" i="3" s="1"/>
  <c r="P1486" i="3"/>
  <c r="AY1486" i="3" s="1"/>
  <c r="AZ1486" i="3" s="1"/>
  <c r="AR1485" i="3"/>
  <c r="AP1485" i="3"/>
  <c r="AN1485" i="3"/>
  <c r="AL1485" i="3"/>
  <c r="AJ1485" i="3"/>
  <c r="AG1485" i="3"/>
  <c r="AH1485" i="3" s="1"/>
  <c r="AA1485" i="3"/>
  <c r="AB1485" i="3" s="1"/>
  <c r="P1485" i="3"/>
  <c r="T1485" i="3" s="1"/>
  <c r="AR1484" i="3"/>
  <c r="AP1484" i="3"/>
  <c r="AN1484" i="3"/>
  <c r="AL1484" i="3"/>
  <c r="AJ1484" i="3"/>
  <c r="AG1484" i="3"/>
  <c r="AH1484" i="3" s="1"/>
  <c r="AB1484" i="3"/>
  <c r="P1484" i="3"/>
  <c r="AY1484" i="3" s="1"/>
  <c r="AZ1484" i="3" s="1"/>
  <c r="AR1483" i="3"/>
  <c r="AP1483" i="3"/>
  <c r="AN1483" i="3"/>
  <c r="AL1483" i="3"/>
  <c r="AJ1483" i="3"/>
  <c r="AG1483" i="3"/>
  <c r="AH1483" i="3" s="1"/>
  <c r="AA1483" i="3"/>
  <c r="AB1483" i="3" s="1"/>
  <c r="P1483" i="3"/>
  <c r="T1483" i="3" s="1"/>
  <c r="AR1482" i="3"/>
  <c r="AP1482" i="3"/>
  <c r="AN1482" i="3"/>
  <c r="AL1482" i="3"/>
  <c r="AJ1482" i="3"/>
  <c r="AG1482" i="3"/>
  <c r="AH1482" i="3" s="1"/>
  <c r="AA1482" i="3"/>
  <c r="AB1482" i="3" s="1"/>
  <c r="P1482" i="3"/>
  <c r="AY1482" i="3" s="1"/>
  <c r="AZ1482" i="3" s="1"/>
  <c r="AR1481" i="3"/>
  <c r="AP1481" i="3"/>
  <c r="AN1481" i="3"/>
  <c r="AL1481" i="3"/>
  <c r="AJ1481" i="3"/>
  <c r="AG1481" i="3"/>
  <c r="AH1481" i="3" s="1"/>
  <c r="AA1481" i="3"/>
  <c r="AB1481" i="3" s="1"/>
  <c r="P1481" i="3"/>
  <c r="T1481" i="3" s="1"/>
  <c r="AR1480" i="3"/>
  <c r="AP1480" i="3"/>
  <c r="AN1480" i="3"/>
  <c r="AL1480" i="3"/>
  <c r="AJ1480" i="3"/>
  <c r="AG1480" i="3"/>
  <c r="AH1480" i="3" s="1"/>
  <c r="AA1480" i="3"/>
  <c r="AB1480" i="3" s="1"/>
  <c r="P1480" i="3"/>
  <c r="AY1480" i="3" s="1"/>
  <c r="AZ1480" i="3" s="1"/>
  <c r="AR1479" i="3"/>
  <c r="AP1479" i="3"/>
  <c r="AN1479" i="3"/>
  <c r="AL1479" i="3"/>
  <c r="AJ1479" i="3"/>
  <c r="AG1479" i="3"/>
  <c r="AH1479" i="3" s="1"/>
  <c r="AB1479" i="3"/>
  <c r="P1479" i="3"/>
  <c r="AR1478" i="3"/>
  <c r="AP1478" i="3"/>
  <c r="AN1478" i="3"/>
  <c r="AL1478" i="3"/>
  <c r="AJ1478" i="3"/>
  <c r="AG1478" i="3"/>
  <c r="AH1478" i="3" s="1"/>
  <c r="AA1478" i="3"/>
  <c r="AB1478" i="3" s="1"/>
  <c r="P1478" i="3"/>
  <c r="T1478" i="3" s="1"/>
  <c r="AR1477" i="3"/>
  <c r="AP1477" i="3"/>
  <c r="AN1477" i="3"/>
  <c r="AL1477" i="3"/>
  <c r="AJ1477" i="3"/>
  <c r="AG1477" i="3"/>
  <c r="AH1477" i="3" s="1"/>
  <c r="AA1477" i="3"/>
  <c r="AB1477" i="3" s="1"/>
  <c r="P1477" i="3"/>
  <c r="AY1477" i="3" s="1"/>
  <c r="AZ1477" i="3" s="1"/>
  <c r="AR1476" i="3"/>
  <c r="AP1476" i="3"/>
  <c r="AN1476" i="3"/>
  <c r="AL1476" i="3"/>
  <c r="AJ1476" i="3"/>
  <c r="AG1476" i="3"/>
  <c r="AH1476" i="3" s="1"/>
  <c r="AA1476" i="3"/>
  <c r="AB1476" i="3" s="1"/>
  <c r="P1476" i="3"/>
  <c r="T1476" i="3" s="1"/>
  <c r="AR1475" i="3"/>
  <c r="AP1475" i="3"/>
  <c r="AN1475" i="3"/>
  <c r="AL1475" i="3"/>
  <c r="AJ1475" i="3"/>
  <c r="AG1475" i="3"/>
  <c r="AH1475" i="3" s="1"/>
  <c r="AB1475" i="3"/>
  <c r="P1475" i="3"/>
  <c r="AY1475" i="3" s="1"/>
  <c r="AZ1475" i="3" s="1"/>
  <c r="AR1474" i="3"/>
  <c r="AP1474" i="3"/>
  <c r="AN1474" i="3"/>
  <c r="AL1474" i="3"/>
  <c r="AJ1474" i="3"/>
  <c r="AG1474" i="3"/>
  <c r="AH1474" i="3" s="1"/>
  <c r="AA1474" i="3"/>
  <c r="AB1474" i="3" s="1"/>
  <c r="P1474" i="3"/>
  <c r="T1474" i="3" s="1"/>
  <c r="AR1473" i="3"/>
  <c r="AP1473" i="3"/>
  <c r="AN1473" i="3"/>
  <c r="AL1473" i="3"/>
  <c r="AJ1473" i="3"/>
  <c r="AG1473" i="3"/>
  <c r="AH1473" i="3" s="1"/>
  <c r="AB1473" i="3"/>
  <c r="P1473" i="3"/>
  <c r="AY1473" i="3" s="1"/>
  <c r="AZ1473" i="3" s="1"/>
  <c r="AR1472" i="3"/>
  <c r="AP1472" i="3"/>
  <c r="AN1472" i="3"/>
  <c r="AL1472" i="3"/>
  <c r="AJ1472" i="3"/>
  <c r="AG1472" i="3"/>
  <c r="AH1472" i="3" s="1"/>
  <c r="AA1472" i="3"/>
  <c r="AB1472" i="3" s="1"/>
  <c r="P1472" i="3"/>
  <c r="AY1472" i="3" s="1"/>
  <c r="AZ1472" i="3" s="1"/>
  <c r="AR1471" i="3"/>
  <c r="AP1471" i="3"/>
  <c r="AN1471" i="3"/>
  <c r="AL1471" i="3"/>
  <c r="AJ1471" i="3"/>
  <c r="AG1471" i="3"/>
  <c r="AH1471" i="3" s="1"/>
  <c r="AA1471" i="3"/>
  <c r="AB1471" i="3" s="1"/>
  <c r="P1471" i="3"/>
  <c r="T1471" i="3" s="1"/>
  <c r="AR1470" i="3"/>
  <c r="AP1470" i="3"/>
  <c r="AN1470" i="3"/>
  <c r="AL1470" i="3"/>
  <c r="AJ1470" i="3"/>
  <c r="AG1470" i="3"/>
  <c r="AH1470" i="3" s="1"/>
  <c r="AB1470" i="3"/>
  <c r="P1470" i="3"/>
  <c r="AY1470" i="3" s="1"/>
  <c r="AZ1470" i="3" s="1"/>
  <c r="AR1469" i="3"/>
  <c r="AP1469" i="3"/>
  <c r="AN1469" i="3"/>
  <c r="AL1469" i="3"/>
  <c r="AJ1469" i="3"/>
  <c r="AG1469" i="3"/>
  <c r="AH1469" i="3" s="1"/>
  <c r="AB1469" i="3"/>
  <c r="P1469" i="3"/>
  <c r="AY1469" i="3" s="1"/>
  <c r="AZ1469" i="3" s="1"/>
  <c r="AR1468" i="3"/>
  <c r="AP1468" i="3"/>
  <c r="AN1468" i="3"/>
  <c r="AL1468" i="3"/>
  <c r="AJ1468" i="3"/>
  <c r="AG1468" i="3"/>
  <c r="AH1468" i="3" s="1"/>
  <c r="AA1468" i="3"/>
  <c r="AB1468" i="3" s="1"/>
  <c r="P1468" i="3"/>
  <c r="AY1468" i="3" s="1"/>
  <c r="AZ1468" i="3" s="1"/>
  <c r="AR1467" i="3"/>
  <c r="AP1467" i="3"/>
  <c r="AN1467" i="3"/>
  <c r="AL1467" i="3"/>
  <c r="AJ1467" i="3"/>
  <c r="AG1467" i="3"/>
  <c r="AH1467" i="3" s="1"/>
  <c r="AA1467" i="3"/>
  <c r="AB1467" i="3" s="1"/>
  <c r="P1467" i="3"/>
  <c r="T1467" i="3" s="1"/>
  <c r="AR1466" i="3"/>
  <c r="AP1466" i="3"/>
  <c r="AN1466" i="3"/>
  <c r="AL1466" i="3"/>
  <c r="AJ1466" i="3"/>
  <c r="AG1466" i="3"/>
  <c r="AH1466" i="3" s="1"/>
  <c r="AA1466" i="3"/>
  <c r="AB1466" i="3" s="1"/>
  <c r="P1466" i="3"/>
  <c r="T1466" i="3" s="1"/>
  <c r="AR1465" i="3"/>
  <c r="AP1465" i="3"/>
  <c r="AN1465" i="3"/>
  <c r="AL1465" i="3"/>
  <c r="AJ1465" i="3"/>
  <c r="AG1465" i="3"/>
  <c r="AH1465" i="3" s="1"/>
  <c r="AA1465" i="3"/>
  <c r="AB1465" i="3" s="1"/>
  <c r="P1465" i="3"/>
  <c r="AY1465" i="3" s="1"/>
  <c r="AZ1465" i="3" s="1"/>
  <c r="AR1464" i="3"/>
  <c r="AP1464" i="3"/>
  <c r="AN1464" i="3"/>
  <c r="AL1464" i="3"/>
  <c r="AJ1464" i="3"/>
  <c r="AG1464" i="3"/>
  <c r="AH1464" i="3" s="1"/>
  <c r="AA1464" i="3"/>
  <c r="AB1464" i="3" s="1"/>
  <c r="P1464" i="3"/>
  <c r="T1464" i="3" s="1"/>
  <c r="AR1463" i="3"/>
  <c r="AP1463" i="3"/>
  <c r="AN1463" i="3"/>
  <c r="AL1463" i="3"/>
  <c r="AJ1463" i="3"/>
  <c r="AG1463" i="3"/>
  <c r="AH1463" i="3" s="1"/>
  <c r="AB1463" i="3"/>
  <c r="P1463" i="3"/>
  <c r="AY1463" i="3" s="1"/>
  <c r="AZ1463" i="3" s="1"/>
  <c r="AR1462" i="3"/>
  <c r="AP1462" i="3"/>
  <c r="AN1462" i="3"/>
  <c r="AL1462" i="3"/>
  <c r="AJ1462" i="3"/>
  <c r="AG1462" i="3"/>
  <c r="AH1462" i="3" s="1"/>
  <c r="AA1462" i="3"/>
  <c r="AB1462" i="3" s="1"/>
  <c r="P1462" i="3"/>
  <c r="AY1462" i="3" s="1"/>
  <c r="AZ1462" i="3" s="1"/>
  <c r="AR1461" i="3"/>
  <c r="AP1461" i="3"/>
  <c r="AN1461" i="3"/>
  <c r="AL1461" i="3"/>
  <c r="AJ1461" i="3"/>
  <c r="AG1461" i="3"/>
  <c r="AH1461" i="3" s="1"/>
  <c r="AA1461" i="3"/>
  <c r="AB1461" i="3" s="1"/>
  <c r="P1461" i="3"/>
  <c r="T1461" i="3" s="1"/>
  <c r="AR1460" i="3"/>
  <c r="AP1460" i="3"/>
  <c r="AN1460" i="3"/>
  <c r="AL1460" i="3"/>
  <c r="AJ1460" i="3"/>
  <c r="AG1460" i="3"/>
  <c r="AH1460" i="3" s="1"/>
  <c r="AA1460" i="3"/>
  <c r="AB1460" i="3" s="1"/>
  <c r="P1460" i="3"/>
  <c r="T1460" i="3" s="1"/>
  <c r="AR1459" i="3"/>
  <c r="AP1459" i="3"/>
  <c r="AN1459" i="3"/>
  <c r="AL1459" i="3"/>
  <c r="AJ1459" i="3"/>
  <c r="AG1459" i="3"/>
  <c r="AH1459" i="3" s="1"/>
  <c r="AA1459" i="3"/>
  <c r="AB1459" i="3" s="1"/>
  <c r="P1459" i="3"/>
  <c r="AY1459" i="3" s="1"/>
  <c r="AZ1459" i="3" s="1"/>
  <c r="AR1458" i="3"/>
  <c r="AP1458" i="3"/>
  <c r="AN1458" i="3"/>
  <c r="AL1458" i="3"/>
  <c r="AJ1458" i="3"/>
  <c r="AG1458" i="3"/>
  <c r="AH1458" i="3" s="1"/>
  <c r="AA1458" i="3"/>
  <c r="AB1458" i="3" s="1"/>
  <c r="P1458" i="3"/>
  <c r="T1458" i="3" s="1"/>
  <c r="AR1457" i="3"/>
  <c r="AP1457" i="3"/>
  <c r="AN1457" i="3"/>
  <c r="AL1457" i="3"/>
  <c r="AJ1457" i="3"/>
  <c r="AG1457" i="3"/>
  <c r="AH1457" i="3" s="1"/>
  <c r="AA1457" i="3"/>
  <c r="AB1457" i="3" s="1"/>
  <c r="P1457" i="3"/>
  <c r="T1457" i="3" s="1"/>
  <c r="AR1456" i="3"/>
  <c r="AP1456" i="3"/>
  <c r="AN1456" i="3"/>
  <c r="AL1456" i="3"/>
  <c r="AJ1456" i="3"/>
  <c r="AG1456" i="3"/>
  <c r="AH1456" i="3" s="1"/>
  <c r="AA1456" i="3"/>
  <c r="AB1456" i="3" s="1"/>
  <c r="P1456" i="3"/>
  <c r="AY1456" i="3" s="1"/>
  <c r="AZ1456" i="3" s="1"/>
  <c r="AR1455" i="3"/>
  <c r="AP1455" i="3"/>
  <c r="AN1455" i="3"/>
  <c r="AL1455" i="3"/>
  <c r="AJ1455" i="3"/>
  <c r="AG1455" i="3"/>
  <c r="AH1455" i="3" s="1"/>
  <c r="AA1455" i="3"/>
  <c r="AB1455" i="3" s="1"/>
  <c r="P1455" i="3"/>
  <c r="T1455" i="3" s="1"/>
  <c r="AR1454" i="3"/>
  <c r="AP1454" i="3"/>
  <c r="AN1454" i="3"/>
  <c r="AL1454" i="3"/>
  <c r="AJ1454" i="3"/>
  <c r="AG1454" i="3"/>
  <c r="AH1454" i="3" s="1"/>
  <c r="AB1454" i="3"/>
  <c r="P1454" i="3"/>
  <c r="AY1454" i="3" s="1"/>
  <c r="AZ1454" i="3" s="1"/>
  <c r="AR1453" i="3"/>
  <c r="AP1453" i="3"/>
  <c r="AN1453" i="3"/>
  <c r="AL1453" i="3"/>
  <c r="AJ1453" i="3"/>
  <c r="AG1453" i="3"/>
  <c r="AH1453" i="3" s="1"/>
  <c r="AA1453" i="3"/>
  <c r="AB1453" i="3" s="1"/>
  <c r="P1453" i="3"/>
  <c r="AY1453" i="3" s="1"/>
  <c r="AZ1453" i="3" s="1"/>
  <c r="AR1452" i="3"/>
  <c r="AP1452" i="3"/>
  <c r="AN1452" i="3"/>
  <c r="AL1452" i="3"/>
  <c r="AJ1452" i="3"/>
  <c r="AG1452" i="3"/>
  <c r="AH1452" i="3" s="1"/>
  <c r="AA1452" i="3"/>
  <c r="AB1452" i="3" s="1"/>
  <c r="P1452" i="3"/>
  <c r="T1452" i="3" s="1"/>
  <c r="AR1451" i="3"/>
  <c r="AP1451" i="3"/>
  <c r="AN1451" i="3"/>
  <c r="AL1451" i="3"/>
  <c r="AJ1451" i="3"/>
  <c r="AG1451" i="3"/>
  <c r="AH1451" i="3" s="1"/>
  <c r="AA1451" i="3"/>
  <c r="AB1451" i="3" s="1"/>
  <c r="P1451" i="3"/>
  <c r="T1451" i="3" s="1"/>
  <c r="AR1450" i="3"/>
  <c r="AP1450" i="3"/>
  <c r="AN1450" i="3"/>
  <c r="AL1450" i="3"/>
  <c r="AJ1450" i="3"/>
  <c r="AG1450" i="3"/>
  <c r="AH1450" i="3" s="1"/>
  <c r="AA1450" i="3"/>
  <c r="AB1450" i="3" s="1"/>
  <c r="P1450" i="3"/>
  <c r="AY1450" i="3" s="1"/>
  <c r="AZ1450" i="3" s="1"/>
  <c r="AR1449" i="3"/>
  <c r="AP1449" i="3"/>
  <c r="AN1449" i="3"/>
  <c r="AL1449" i="3"/>
  <c r="AJ1449" i="3"/>
  <c r="AG1449" i="3"/>
  <c r="AH1449" i="3" s="1"/>
  <c r="AA1449" i="3"/>
  <c r="AB1449" i="3" s="1"/>
  <c r="P1449" i="3"/>
  <c r="T1449" i="3" s="1"/>
  <c r="AR1448" i="3"/>
  <c r="AP1448" i="3"/>
  <c r="AN1448" i="3"/>
  <c r="AL1448" i="3"/>
  <c r="AJ1448" i="3"/>
  <c r="AG1448" i="3"/>
  <c r="AH1448" i="3" s="1"/>
  <c r="AA1448" i="3"/>
  <c r="AB1448" i="3" s="1"/>
  <c r="P1448" i="3"/>
  <c r="AY1448" i="3" s="1"/>
  <c r="AZ1448" i="3" s="1"/>
  <c r="AR1447" i="3"/>
  <c r="AP1447" i="3"/>
  <c r="AN1447" i="3"/>
  <c r="AL1447" i="3"/>
  <c r="AJ1447" i="3"/>
  <c r="AG1447" i="3"/>
  <c r="AH1447" i="3" s="1"/>
  <c r="AA1447" i="3"/>
  <c r="AB1447" i="3" s="1"/>
  <c r="P1447" i="3"/>
  <c r="T1447" i="3" s="1"/>
  <c r="AR1446" i="3"/>
  <c r="AP1446" i="3"/>
  <c r="AN1446" i="3"/>
  <c r="AL1446" i="3"/>
  <c r="AJ1446" i="3"/>
  <c r="AG1446" i="3"/>
  <c r="AH1446" i="3" s="1"/>
  <c r="AA1446" i="3"/>
  <c r="AB1446" i="3" s="1"/>
  <c r="P1446" i="3"/>
  <c r="AY1446" i="3" s="1"/>
  <c r="AZ1446" i="3" s="1"/>
  <c r="AR1445" i="3"/>
  <c r="AP1445" i="3"/>
  <c r="AN1445" i="3"/>
  <c r="AL1445" i="3"/>
  <c r="AJ1445" i="3"/>
  <c r="AG1445" i="3"/>
  <c r="AH1445" i="3" s="1"/>
  <c r="AA1445" i="3"/>
  <c r="AB1445" i="3" s="1"/>
  <c r="P1445" i="3"/>
  <c r="T1445" i="3" s="1"/>
  <c r="AR1444" i="3"/>
  <c r="AP1444" i="3"/>
  <c r="AN1444" i="3"/>
  <c r="AL1444" i="3"/>
  <c r="AJ1444" i="3"/>
  <c r="AG1444" i="3"/>
  <c r="AH1444" i="3" s="1"/>
  <c r="AB1444" i="3"/>
  <c r="P1444" i="3"/>
  <c r="AY1444" i="3" s="1"/>
  <c r="AZ1444" i="3" s="1"/>
  <c r="AR1443" i="3"/>
  <c r="AP1443" i="3"/>
  <c r="AN1443" i="3"/>
  <c r="AL1443" i="3"/>
  <c r="AJ1443" i="3"/>
  <c r="AG1443" i="3"/>
  <c r="AH1443" i="3" s="1"/>
  <c r="AA1443" i="3"/>
  <c r="AB1443" i="3" s="1"/>
  <c r="P1443" i="3"/>
  <c r="T1443" i="3" s="1"/>
  <c r="E1443" i="3"/>
  <c r="E1444" i="3" s="1"/>
  <c r="AY1455" i="3" l="1"/>
  <c r="AZ1455" i="3" s="1"/>
  <c r="Q1471" i="3"/>
  <c r="Q1487" i="3"/>
  <c r="Q1455" i="3"/>
  <c r="AW1478" i="3"/>
  <c r="AX1478" i="3" s="1"/>
  <c r="AY1458" i="3"/>
  <c r="AZ1458" i="3" s="1"/>
  <c r="AD1478" i="3"/>
  <c r="AY1483" i="3"/>
  <c r="AZ1483" i="3" s="1"/>
  <c r="AY1501" i="3"/>
  <c r="AZ1501" i="3" s="1"/>
  <c r="AW1485" i="3"/>
  <c r="AX1485" i="3" s="1"/>
  <c r="Q1474" i="3"/>
  <c r="Q1481" i="3"/>
  <c r="AD1485" i="3"/>
  <c r="Q1476" i="3"/>
  <c r="Q1483" i="3"/>
  <c r="Q1447" i="3"/>
  <c r="AY1481" i="3"/>
  <c r="AZ1481" i="3" s="1"/>
  <c r="AW1467" i="3"/>
  <c r="AX1467" i="3" s="1"/>
  <c r="Q1457" i="3"/>
  <c r="Q1492" i="3"/>
  <c r="Q1497" i="3"/>
  <c r="Q1466" i="3"/>
  <c r="AD1467" i="3"/>
  <c r="AY1467" i="3"/>
  <c r="AZ1467" i="3" s="1"/>
  <c r="AY1492" i="3"/>
  <c r="AZ1492" i="3" s="1"/>
  <c r="AD1457" i="3"/>
  <c r="AW1457" i="3"/>
  <c r="AX1457" i="3" s="1"/>
  <c r="Q1461" i="3"/>
  <c r="AD1466" i="3"/>
  <c r="AW1466" i="3"/>
  <c r="AX1466" i="3" s="1"/>
  <c r="AY1487" i="3"/>
  <c r="AZ1487" i="3" s="1"/>
  <c r="Q1495" i="3"/>
  <c r="AD1452" i="3"/>
  <c r="AY1457" i="3"/>
  <c r="AZ1457" i="3" s="1"/>
  <c r="AY1466" i="3"/>
  <c r="AZ1466" i="3" s="1"/>
  <c r="AD1476" i="3"/>
  <c r="AW1476" i="3"/>
  <c r="AX1476" i="3" s="1"/>
  <c r="AW1452" i="3"/>
  <c r="AX1452" i="3" s="1"/>
  <c r="AY1476" i="3"/>
  <c r="AZ1476" i="3" s="1"/>
  <c r="Q1489" i="3"/>
  <c r="AD1495" i="3"/>
  <c r="AW1495" i="3"/>
  <c r="AX1495" i="3" s="1"/>
  <c r="Q1458" i="3"/>
  <c r="Q1467" i="3"/>
  <c r="AY1489" i="3"/>
  <c r="AZ1489" i="3" s="1"/>
  <c r="AY1495" i="3"/>
  <c r="AZ1495" i="3" s="1"/>
  <c r="AY1452" i="3"/>
  <c r="AZ1452" i="3" s="1"/>
  <c r="Q1460" i="3"/>
  <c r="AD1461" i="3"/>
  <c r="AW1461" i="3"/>
  <c r="AX1461" i="3" s="1"/>
  <c r="Q1464" i="3"/>
  <c r="AD1471" i="3"/>
  <c r="AW1471" i="3"/>
  <c r="AX1471" i="3" s="1"/>
  <c r="AD1474" i="3"/>
  <c r="AW1474" i="3"/>
  <c r="AX1474" i="3" s="1"/>
  <c r="AY1478" i="3"/>
  <c r="AZ1478" i="3" s="1"/>
  <c r="AY1485" i="3"/>
  <c r="AZ1485" i="3" s="1"/>
  <c r="AD1501" i="3"/>
  <c r="AW1501" i="3"/>
  <c r="AX1501" i="3" s="1"/>
  <c r="AD1447" i="3"/>
  <c r="AW1447" i="3"/>
  <c r="AX1447" i="3" s="1"/>
  <c r="AD1458" i="3"/>
  <c r="AW1458" i="3"/>
  <c r="AX1458" i="3" s="1"/>
  <c r="AY1461" i="3"/>
  <c r="AZ1461" i="3" s="1"/>
  <c r="AY1471" i="3"/>
  <c r="AZ1471" i="3" s="1"/>
  <c r="AY1474" i="3"/>
  <c r="AZ1474" i="3" s="1"/>
  <c r="AY1479" i="3"/>
  <c r="AZ1479" i="3" s="1"/>
  <c r="AD1487" i="3"/>
  <c r="AW1487" i="3"/>
  <c r="AX1487" i="3" s="1"/>
  <c r="AD1489" i="3"/>
  <c r="AW1489" i="3"/>
  <c r="AX1489" i="3" s="1"/>
  <c r="AD1492" i="3"/>
  <c r="AW1492" i="3"/>
  <c r="AX1492" i="3" s="1"/>
  <c r="AY1447" i="3"/>
  <c r="AZ1447" i="3" s="1"/>
  <c r="AD1455" i="3"/>
  <c r="AW1455" i="3"/>
  <c r="AX1455" i="3" s="1"/>
  <c r="AD1481" i="3"/>
  <c r="AW1481" i="3"/>
  <c r="AX1481" i="3" s="1"/>
  <c r="AD1483" i="3"/>
  <c r="AW1483" i="3"/>
  <c r="AX1483" i="3" s="1"/>
  <c r="AW1460" i="3"/>
  <c r="AX1460" i="3" s="1"/>
  <c r="AD1460" i="3"/>
  <c r="AD1464" i="3"/>
  <c r="AW1464" i="3"/>
  <c r="AX1464" i="3" s="1"/>
  <c r="Q1452" i="3"/>
  <c r="AY1460" i="3"/>
  <c r="AZ1460" i="3" s="1"/>
  <c r="AY1464" i="3"/>
  <c r="AZ1464" i="3" s="1"/>
  <c r="Q1478" i="3"/>
  <c r="Q1485" i="3"/>
  <c r="AY1497" i="3"/>
  <c r="AZ1497" i="3" s="1"/>
  <c r="Q1501" i="3"/>
  <c r="AD1497" i="3"/>
  <c r="AW1497" i="3"/>
  <c r="AX1497" i="3" s="1"/>
  <c r="AD1499" i="3"/>
  <c r="AW1499" i="3"/>
  <c r="AX1499" i="3" s="1"/>
  <c r="AY1499" i="3"/>
  <c r="AZ1499" i="3" s="1"/>
  <c r="AD1479" i="3"/>
  <c r="AW1479" i="3"/>
  <c r="AX1479" i="3" s="1"/>
  <c r="AD1469" i="3"/>
  <c r="AW1469" i="3"/>
  <c r="AX1469" i="3" s="1"/>
  <c r="AD1463" i="3"/>
  <c r="AW1463" i="3"/>
  <c r="AX1463" i="3" s="1"/>
  <c r="AD1454" i="3"/>
  <c r="AW1454" i="3"/>
  <c r="AX1454" i="3" s="1"/>
  <c r="T1500" i="3"/>
  <c r="T1502" i="3"/>
  <c r="Q1500" i="3"/>
  <c r="AD1500" i="3"/>
  <c r="AW1500" i="3"/>
  <c r="AX1500" i="3" s="1"/>
  <c r="Q1502" i="3"/>
  <c r="AD1502" i="3"/>
  <c r="AW1502" i="3"/>
  <c r="AX1502" i="3" s="1"/>
  <c r="AD1498" i="3"/>
  <c r="AW1498" i="3"/>
  <c r="AX1498" i="3" s="1"/>
  <c r="T1494" i="3"/>
  <c r="T1496" i="3"/>
  <c r="Q1494" i="3"/>
  <c r="AD1494" i="3"/>
  <c r="AW1494" i="3"/>
  <c r="AX1494" i="3" s="1"/>
  <c r="Q1496" i="3"/>
  <c r="AD1496" i="3"/>
  <c r="AW1496" i="3"/>
  <c r="AX1496" i="3" s="1"/>
  <c r="T1491" i="3"/>
  <c r="T1493" i="3"/>
  <c r="Q1491" i="3"/>
  <c r="AD1491" i="3"/>
  <c r="AW1491" i="3"/>
  <c r="AX1491" i="3" s="1"/>
  <c r="Q1493" i="3"/>
  <c r="AD1493" i="3"/>
  <c r="AW1493" i="3"/>
  <c r="AX1493" i="3" s="1"/>
  <c r="T1488" i="3"/>
  <c r="Q1488" i="3"/>
  <c r="AD1488" i="3"/>
  <c r="AW1488" i="3"/>
  <c r="AX1488" i="3" s="1"/>
  <c r="AD1490" i="3"/>
  <c r="AW1490" i="3"/>
  <c r="AX1490" i="3" s="1"/>
  <c r="T1486" i="3"/>
  <c r="Q1486" i="3"/>
  <c r="AD1486" i="3"/>
  <c r="AW1486" i="3"/>
  <c r="AX1486" i="3" s="1"/>
  <c r="T1482" i="3"/>
  <c r="Q1482" i="3"/>
  <c r="AD1482" i="3"/>
  <c r="AW1482" i="3"/>
  <c r="AX1482" i="3" s="1"/>
  <c r="AD1484" i="3"/>
  <c r="AW1484" i="3"/>
  <c r="AX1484" i="3" s="1"/>
  <c r="T1480" i="3"/>
  <c r="Q1480" i="3"/>
  <c r="AD1480" i="3"/>
  <c r="AW1480" i="3"/>
  <c r="AX1480" i="3" s="1"/>
  <c r="T1477" i="3"/>
  <c r="Q1477" i="3"/>
  <c r="AD1477" i="3"/>
  <c r="AW1477" i="3"/>
  <c r="AX1477" i="3" s="1"/>
  <c r="AD1473" i="3"/>
  <c r="AW1473" i="3"/>
  <c r="AX1473" i="3" s="1"/>
  <c r="AD1475" i="3"/>
  <c r="AW1475" i="3"/>
  <c r="AX1475" i="3" s="1"/>
  <c r="T1472" i="3"/>
  <c r="AD1470" i="3"/>
  <c r="AW1470" i="3"/>
  <c r="AX1470" i="3" s="1"/>
  <c r="Q1472" i="3"/>
  <c r="AD1472" i="3"/>
  <c r="AW1472" i="3"/>
  <c r="AX1472" i="3" s="1"/>
  <c r="T1468" i="3"/>
  <c r="Q1468" i="3"/>
  <c r="AD1468" i="3"/>
  <c r="AW1468" i="3"/>
  <c r="AX1468" i="3" s="1"/>
  <c r="T1465" i="3"/>
  <c r="Q1465" i="3"/>
  <c r="AD1465" i="3"/>
  <c r="AW1465" i="3"/>
  <c r="AX1465" i="3" s="1"/>
  <c r="T1462" i="3"/>
  <c r="Q1462" i="3"/>
  <c r="AD1462" i="3"/>
  <c r="AW1462" i="3"/>
  <c r="AX1462" i="3" s="1"/>
  <c r="T1459" i="3"/>
  <c r="Q1459" i="3"/>
  <c r="AD1459" i="3"/>
  <c r="AW1459" i="3"/>
  <c r="AX1459" i="3" s="1"/>
  <c r="T1456" i="3"/>
  <c r="Q1456" i="3"/>
  <c r="AD1456" i="3"/>
  <c r="AW1456" i="3"/>
  <c r="AX1456" i="3" s="1"/>
  <c r="T1453" i="3"/>
  <c r="Q1453" i="3"/>
  <c r="AD1453" i="3"/>
  <c r="AW1453" i="3"/>
  <c r="AX1453" i="3" s="1"/>
  <c r="Q1449" i="3"/>
  <c r="AD1449" i="3"/>
  <c r="AW1449" i="3"/>
  <c r="AX1449" i="3" s="1"/>
  <c r="AY1449" i="3"/>
  <c r="AZ1449" i="3" s="1"/>
  <c r="T1450" i="3"/>
  <c r="Q1451" i="3"/>
  <c r="AD1451" i="3"/>
  <c r="AW1451" i="3"/>
  <c r="AX1451" i="3" s="1"/>
  <c r="AY1451" i="3"/>
  <c r="AZ1451" i="3" s="1"/>
  <c r="Q1450" i="3"/>
  <c r="AD1450" i="3"/>
  <c r="AW1450" i="3"/>
  <c r="AX1450" i="3" s="1"/>
  <c r="T1446" i="3"/>
  <c r="T1448" i="3"/>
  <c r="Q1446" i="3"/>
  <c r="AD1446" i="3"/>
  <c r="AW1446" i="3"/>
  <c r="AX1446" i="3" s="1"/>
  <c r="Q1448" i="3"/>
  <c r="AD1448" i="3"/>
  <c r="AW1448" i="3"/>
  <c r="AX1448" i="3" s="1"/>
  <c r="E1445" i="3"/>
  <c r="Q1443" i="3"/>
  <c r="AD1443" i="3"/>
  <c r="AW1443" i="3"/>
  <c r="AX1443" i="3" s="1"/>
  <c r="AY1443" i="3"/>
  <c r="AZ1443" i="3" s="1"/>
  <c r="Q1445" i="3"/>
  <c r="AD1445" i="3"/>
  <c r="AW1445" i="3"/>
  <c r="AX1445" i="3" s="1"/>
  <c r="AY1445" i="3"/>
  <c r="AZ1445" i="3" s="1"/>
  <c r="AD1444" i="3"/>
  <c r="AW1444" i="3"/>
  <c r="AX1444" i="3" s="1"/>
  <c r="E1446" i="3" l="1"/>
  <c r="AA6" i="3"/>
  <c r="AA9" i="3"/>
  <c r="AA12" i="3"/>
  <c r="AA13" i="3"/>
  <c r="AA14" i="3"/>
  <c r="AA20" i="3"/>
  <c r="AA21" i="3"/>
  <c r="AA27" i="3"/>
  <c r="AA32" i="3"/>
  <c r="AA39" i="3"/>
  <c r="AA41" i="3"/>
  <c r="AA42" i="3"/>
  <c r="AA43" i="3"/>
  <c r="AA45" i="3"/>
  <c r="AA48" i="3"/>
  <c r="AA49" i="3"/>
  <c r="AA50" i="3"/>
  <c r="AA51" i="3"/>
  <c r="AA53" i="3"/>
  <c r="AA54" i="3"/>
  <c r="AA55" i="3"/>
  <c r="AA56" i="3"/>
  <c r="AA58" i="3"/>
  <c r="AA59" i="3"/>
  <c r="AA60" i="3"/>
  <c r="AA61" i="3"/>
  <c r="AA63" i="3"/>
  <c r="AA64" i="3"/>
  <c r="AA65" i="3"/>
  <c r="AA66" i="3"/>
  <c r="AA67" i="3"/>
  <c r="AA68" i="3"/>
  <c r="AA69" i="3"/>
  <c r="AA70" i="3"/>
  <c r="AA71" i="3"/>
  <c r="AA72" i="3"/>
  <c r="AA75" i="3"/>
  <c r="AA76" i="3"/>
  <c r="AA77" i="3"/>
  <c r="AA78" i="3"/>
  <c r="AA80" i="3"/>
  <c r="AA82" i="3"/>
  <c r="AA86" i="3"/>
  <c r="AA87" i="3"/>
  <c r="AA88" i="3"/>
  <c r="AA89" i="3"/>
  <c r="AA90" i="3"/>
  <c r="AA91" i="3"/>
  <c r="AA93" i="3"/>
  <c r="AA94" i="3"/>
  <c r="AA95" i="3"/>
  <c r="AA98" i="3"/>
  <c r="AA99" i="3"/>
  <c r="AA100" i="3"/>
  <c r="AA102" i="3"/>
  <c r="AA103" i="3"/>
  <c r="AA104" i="3"/>
  <c r="AA105" i="3"/>
  <c r="AA107" i="3"/>
  <c r="AA108" i="3"/>
  <c r="AA109" i="3"/>
  <c r="AA110" i="3"/>
  <c r="AA111" i="3"/>
  <c r="AA114" i="3"/>
  <c r="AA115" i="3"/>
  <c r="AA116" i="3"/>
  <c r="AA121" i="3"/>
  <c r="AA122" i="3"/>
  <c r="AA123" i="3"/>
  <c r="AA124" i="3"/>
  <c r="AA125" i="3"/>
  <c r="AA126" i="3"/>
  <c r="AA127" i="3"/>
  <c r="AA128" i="3"/>
  <c r="AA129" i="3"/>
  <c r="AA130" i="3"/>
  <c r="AA131" i="3"/>
  <c r="AA133" i="3"/>
  <c r="AA137" i="3"/>
  <c r="AA138" i="3"/>
  <c r="AA139" i="3"/>
  <c r="AA140" i="3"/>
  <c r="AA144" i="3"/>
  <c r="AA145" i="3"/>
  <c r="AA146" i="3"/>
  <c r="AA147" i="3"/>
  <c r="AA148" i="3"/>
  <c r="AA149" i="3"/>
  <c r="AA150" i="3"/>
  <c r="AA151" i="3"/>
  <c r="AA152" i="3"/>
  <c r="AA154" i="3"/>
  <c r="AA155" i="3"/>
  <c r="AA156" i="3"/>
  <c r="AA157" i="3"/>
  <c r="AA158" i="3"/>
  <c r="AA159" i="3"/>
  <c r="AA160" i="3"/>
  <c r="AA161" i="3"/>
  <c r="AA162" i="3"/>
  <c r="AA163" i="3"/>
  <c r="AA164" i="3"/>
  <c r="AA165" i="3"/>
  <c r="AA166" i="3"/>
  <c r="AA167" i="3"/>
  <c r="AA168" i="3"/>
  <c r="AA169" i="3"/>
  <c r="AA170" i="3"/>
  <c r="AA171" i="3"/>
  <c r="AA172" i="3"/>
  <c r="AA174" i="3"/>
  <c r="AA176" i="3"/>
  <c r="AA177" i="3"/>
  <c r="AA178" i="3"/>
  <c r="AA179" i="3"/>
  <c r="AA180" i="3"/>
  <c r="AA181" i="3"/>
  <c r="AA182"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2" i="3"/>
  <c r="AA223" i="3"/>
  <c r="AA224" i="3"/>
  <c r="AA226" i="3"/>
  <c r="AA227" i="3"/>
  <c r="AA228"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80" i="3"/>
  <c r="AA281" i="3"/>
  <c r="AA282" i="3"/>
  <c r="AA283" i="3"/>
  <c r="AA284" i="3"/>
  <c r="AA285" i="3"/>
  <c r="AA286" i="3"/>
  <c r="AA287" i="3"/>
  <c r="AA288" i="3"/>
  <c r="AA291" i="3"/>
  <c r="AA292" i="3"/>
  <c r="AA294" i="3"/>
  <c r="AA295" i="3"/>
  <c r="AA300" i="3"/>
  <c r="AA307" i="3"/>
  <c r="AA308" i="3"/>
  <c r="AA310"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8" i="3"/>
  <c r="AA359" i="3"/>
  <c r="AA360" i="3"/>
  <c r="AA361" i="3"/>
  <c r="AA362" i="3"/>
  <c r="AA363" i="3"/>
  <c r="AA365" i="3"/>
  <c r="AA367" i="3"/>
  <c r="AA368" i="3"/>
  <c r="AA369"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5" i="3"/>
  <c r="AA436" i="3"/>
  <c r="AA437" i="3"/>
  <c r="AA438"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2" i="3"/>
  <c r="AA513" i="3"/>
  <c r="AA515" i="3"/>
  <c r="AA521" i="3"/>
  <c r="AA522" i="3"/>
  <c r="AA524" i="3"/>
  <c r="AA528" i="3"/>
  <c r="AA534" i="3"/>
  <c r="AA535" i="3"/>
  <c r="AA536" i="3"/>
  <c r="AA537" i="3"/>
  <c r="AA541" i="3"/>
  <c r="AA544" i="3"/>
  <c r="AA545" i="3"/>
  <c r="AA546" i="3"/>
  <c r="AA548" i="3"/>
  <c r="AA549" i="3"/>
  <c r="AA550" i="3"/>
  <c r="AA551" i="3"/>
  <c r="AA556" i="3"/>
  <c r="AA557" i="3"/>
  <c r="AA559" i="3"/>
  <c r="AA560" i="3"/>
  <c r="AA561" i="3"/>
  <c r="AA562" i="3"/>
  <c r="AA563" i="3"/>
  <c r="AA565" i="3"/>
  <c r="AA566" i="3"/>
  <c r="AA567" i="3"/>
  <c r="AA568"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50" i="3"/>
  <c r="AA751" i="3"/>
  <c r="AA752" i="3"/>
  <c r="AA753" i="3"/>
  <c r="AA754" i="3"/>
  <c r="AA755" i="3"/>
  <c r="AA756" i="3"/>
  <c r="AA757" i="3"/>
  <c r="AA758" i="3"/>
  <c r="AA759" i="3"/>
  <c r="AA760" i="3"/>
  <c r="AA761" i="3"/>
  <c r="AA762" i="3"/>
  <c r="AA763" i="3"/>
  <c r="AA770" i="3"/>
  <c r="AA771" i="3"/>
  <c r="AA772" i="3"/>
  <c r="AA774" i="3"/>
  <c r="AA775" i="3"/>
  <c r="AA776" i="3"/>
  <c r="AA777" i="3"/>
  <c r="AA778" i="3"/>
  <c r="AA779" i="3"/>
  <c r="AA780" i="3"/>
  <c r="AA781"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901" i="3"/>
  <c r="AA902" i="3"/>
  <c r="AA903" i="3"/>
  <c r="AA904" i="3"/>
  <c r="AA905" i="3"/>
  <c r="AA906" i="3"/>
  <c r="AA907" i="3"/>
  <c r="AA908" i="3"/>
  <c r="AA909" i="3"/>
  <c r="AA910" i="3"/>
  <c r="AA911" i="3"/>
  <c r="AA912" i="3"/>
  <c r="AA914" i="3"/>
  <c r="AA915" i="3"/>
  <c r="AA916" i="3"/>
  <c r="AA917" i="3"/>
  <c r="AA918" i="3"/>
  <c r="AA919" i="3"/>
  <c r="AA920" i="3"/>
  <c r="AA921" i="3"/>
  <c r="AA922" i="3"/>
  <c r="AA923" i="3"/>
  <c r="AA924" i="3"/>
  <c r="AA926" i="3"/>
  <c r="AA927" i="3"/>
  <c r="AA928" i="3"/>
  <c r="AA929" i="3"/>
  <c r="AA930" i="3"/>
  <c r="AA931" i="3"/>
  <c r="AA932" i="3"/>
  <c r="AA933" i="3"/>
  <c r="AA939" i="3"/>
  <c r="AA940" i="3"/>
  <c r="AA941" i="3"/>
  <c r="AA942" i="3"/>
  <c r="AA943" i="3"/>
  <c r="AA946" i="3"/>
  <c r="AA947" i="3"/>
  <c r="AA948" i="3"/>
  <c r="AA949" i="3"/>
  <c r="AA950" i="3"/>
  <c r="AA951" i="3"/>
  <c r="AA952"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6" i="3"/>
  <c r="AA1067" i="3"/>
  <c r="AA1068" i="3"/>
  <c r="AA1069" i="3"/>
  <c r="AA1070" i="3"/>
  <c r="AA1071" i="3"/>
  <c r="AA1072" i="3"/>
  <c r="AA1073" i="3"/>
  <c r="AA1074" i="3"/>
  <c r="AA1075" i="3"/>
  <c r="AA1076" i="3"/>
  <c r="AA1077" i="3"/>
  <c r="AA1078" i="3"/>
  <c r="AA1079" i="3"/>
  <c r="AA1080" i="3"/>
  <c r="AA1082" i="3"/>
  <c r="AA1083" i="3"/>
  <c r="AA1084" i="3"/>
  <c r="AA1085" i="3"/>
  <c r="AA1086" i="3"/>
  <c r="AA1087" i="3"/>
  <c r="AA1094" i="3"/>
  <c r="AA1096" i="3"/>
  <c r="AA1097" i="3"/>
  <c r="AA1098" i="3"/>
  <c r="AA1099" i="3"/>
  <c r="AA1100" i="3"/>
  <c r="AA1101" i="3"/>
  <c r="AA1102" i="3"/>
  <c r="AA1103" i="3"/>
  <c r="AA1104" i="3"/>
  <c r="AA1108" i="3"/>
  <c r="AA1109" i="3"/>
  <c r="AA1110" i="3"/>
  <c r="AA1113" i="3"/>
  <c r="AA1115" i="3"/>
  <c r="AA1116" i="3"/>
  <c r="AA1117" i="3"/>
  <c r="AA1118" i="3"/>
  <c r="AA1119" i="3"/>
  <c r="AA1124" i="3"/>
  <c r="AA1128" i="3"/>
  <c r="AA1132" i="3"/>
  <c r="AA1133" i="3"/>
  <c r="AA1134" i="3"/>
  <c r="AA1135" i="3"/>
  <c r="AA1136" i="3"/>
  <c r="AA1137" i="3"/>
  <c r="AA1138" i="3"/>
  <c r="AA1139" i="3"/>
  <c r="AA1140" i="3"/>
  <c r="AA1141" i="3"/>
  <c r="AA1142" i="3"/>
  <c r="AA1143" i="3"/>
  <c r="AA1148" i="3"/>
  <c r="AA1149" i="3"/>
  <c r="AA1151" i="3"/>
  <c r="AA1152" i="3"/>
  <c r="AA1153" i="3"/>
  <c r="AA1154" i="3"/>
  <c r="AA1156" i="3"/>
  <c r="AA1157" i="3"/>
  <c r="AA1158" i="3"/>
  <c r="AA1159" i="3"/>
  <c r="AA1160" i="3"/>
  <c r="AA1161" i="3"/>
  <c r="AA1162" i="3"/>
  <c r="AA1163" i="3"/>
  <c r="AA1164" i="3"/>
  <c r="AA1165" i="3"/>
  <c r="AA1167" i="3"/>
  <c r="AA1168" i="3"/>
  <c r="AA1170" i="3"/>
  <c r="AA1171" i="3"/>
  <c r="AA1172" i="3"/>
  <c r="AA1173" i="3"/>
  <c r="AA1174" i="3"/>
  <c r="AA1175" i="3"/>
  <c r="AA1184" i="3"/>
  <c r="AA1186" i="3"/>
  <c r="AA1187" i="3"/>
  <c r="AA1188" i="3"/>
  <c r="AA1189" i="3"/>
  <c r="AA1190" i="3"/>
  <c r="AA1191" i="3"/>
  <c r="AA1192" i="3"/>
  <c r="AA1193" i="3"/>
  <c r="AA1194" i="3"/>
  <c r="AA1198" i="3"/>
  <c r="AA1199" i="3"/>
  <c r="AA1200" i="3"/>
  <c r="AA1201" i="3"/>
  <c r="AA1202" i="3"/>
  <c r="AA1203" i="3"/>
  <c r="AA1204" i="3"/>
  <c r="AA1205" i="3"/>
  <c r="AA1206" i="3"/>
  <c r="AA1208" i="3"/>
  <c r="AA1209" i="3"/>
  <c r="AA1210" i="3"/>
  <c r="AA1211" i="3"/>
  <c r="AA1212" i="3"/>
  <c r="AA1213" i="3"/>
  <c r="AA1216" i="3"/>
  <c r="AA1217" i="3"/>
  <c r="AA1218" i="3"/>
  <c r="AA1219" i="3"/>
  <c r="AA1220" i="3"/>
  <c r="AA1221" i="3"/>
  <c r="AA1222" i="3"/>
  <c r="AA1223" i="3"/>
  <c r="AA1224" i="3"/>
  <c r="AA1225" i="3"/>
  <c r="AA1226" i="3"/>
  <c r="AA1227" i="3"/>
  <c r="AA1228" i="3"/>
  <c r="AA1229" i="3"/>
  <c r="AA1230" i="3"/>
  <c r="AA1231" i="3"/>
  <c r="AA1232" i="3"/>
  <c r="AA1233" i="3"/>
  <c r="AA1235" i="3"/>
  <c r="AA1237" i="3"/>
  <c r="AA1238" i="3"/>
  <c r="AA1240" i="3"/>
  <c r="AA1241" i="3"/>
  <c r="AA1242" i="3"/>
  <c r="AA1243" i="3"/>
  <c r="AA1244" i="3"/>
  <c r="AA1245" i="3"/>
  <c r="AA1246" i="3"/>
  <c r="AA1247" i="3"/>
  <c r="AA1248" i="3"/>
  <c r="AA1249" i="3"/>
  <c r="AA1250" i="3"/>
  <c r="AA1251" i="3"/>
  <c r="AA1252" i="3"/>
  <c r="AA1253" i="3"/>
  <c r="AA1254" i="3"/>
  <c r="AA1255" i="3"/>
  <c r="AA1256" i="3"/>
  <c r="AA1257" i="3"/>
  <c r="AA1258" i="3"/>
  <c r="AA1259"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3" i="3"/>
  <c r="AA1294" i="3"/>
  <c r="AA1295" i="3"/>
  <c r="AA1296" i="3"/>
  <c r="AA1297" i="3"/>
  <c r="AA1298" i="3"/>
  <c r="AA1299" i="3"/>
  <c r="AA1304" i="3"/>
  <c r="AA1305" i="3"/>
  <c r="AA1306" i="3"/>
  <c r="AA1307" i="3"/>
  <c r="AA1308" i="3"/>
  <c r="AA1309" i="3"/>
  <c r="AA1310" i="3"/>
  <c r="AA1311" i="3"/>
  <c r="AA1318" i="3"/>
  <c r="AA1322" i="3"/>
  <c r="AA1324" i="3"/>
  <c r="AA1325" i="3"/>
  <c r="AA1326" i="3"/>
  <c r="AA1329" i="3"/>
  <c r="AA1330" i="3"/>
  <c r="AA1331"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2" i="3"/>
  <c r="AA1373" i="3"/>
  <c r="AA1374" i="3"/>
  <c r="AA1375" i="3"/>
  <c r="AA1376" i="3"/>
  <c r="AA1377" i="3"/>
  <c r="AA1378" i="3"/>
  <c r="AA1379" i="3"/>
  <c r="AA1380" i="3"/>
  <c r="AA1381" i="3"/>
  <c r="AA1382" i="3"/>
  <c r="AA1383" i="3"/>
  <c r="AA1385" i="3"/>
  <c r="AA1386" i="3"/>
  <c r="AA1388" i="3"/>
  <c r="AA1389" i="3"/>
  <c r="AA1390" i="3"/>
  <c r="AA1391" i="3"/>
  <c r="AA1392" i="3"/>
  <c r="AA1394" i="3"/>
  <c r="AA1395" i="3"/>
  <c r="AA1396" i="3"/>
  <c r="AA1397" i="3"/>
  <c r="AA1398" i="3"/>
  <c r="AA1399" i="3"/>
  <c r="AA1400" i="3"/>
  <c r="AA1401" i="3"/>
  <c r="AA1402" i="3"/>
  <c r="AA1403" i="3"/>
  <c r="AA1404" i="3"/>
  <c r="AA1405" i="3"/>
  <c r="AA1408" i="3"/>
  <c r="AA1409" i="3"/>
  <c r="AA1410" i="3"/>
  <c r="AA1411" i="3"/>
  <c r="AA1412" i="3"/>
  <c r="AA1413" i="3"/>
  <c r="AA1414" i="3"/>
  <c r="AA1415" i="3"/>
  <c r="AA1417" i="3"/>
  <c r="AA1418" i="3"/>
  <c r="AA1419" i="3"/>
  <c r="AA1420" i="3"/>
  <c r="AA1423" i="3"/>
  <c r="AA1424" i="3"/>
  <c r="AA1427" i="3"/>
  <c r="AA1428" i="3"/>
  <c r="AA1429" i="3"/>
  <c r="AA1430" i="3"/>
  <c r="AA1438" i="3"/>
  <c r="AA1439" i="3"/>
  <c r="AA1440" i="3"/>
  <c r="AA3" i="3"/>
  <c r="E1447" i="3" l="1"/>
  <c r="AG4" i="3"/>
  <c r="AG5" i="3"/>
  <c r="AH5" i="3" s="1"/>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G21" i="3"/>
  <c r="AH21" i="3" s="1"/>
  <c r="AG22" i="3"/>
  <c r="AH22" i="3" s="1"/>
  <c r="AG23" i="3"/>
  <c r="AH23" i="3" s="1"/>
  <c r="AG24" i="3"/>
  <c r="AH24" i="3" s="1"/>
  <c r="AG25" i="3"/>
  <c r="AH25" i="3" s="1"/>
  <c r="AG26" i="3"/>
  <c r="AH26" i="3" s="1"/>
  <c r="AG27" i="3"/>
  <c r="AH27" i="3" s="1"/>
  <c r="AG28" i="3"/>
  <c r="AH28" i="3" s="1"/>
  <c r="AG29" i="3"/>
  <c r="AG30" i="3"/>
  <c r="AH30" i="3" s="1"/>
  <c r="AG31" i="3"/>
  <c r="AH31" i="3" s="1"/>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G53" i="3"/>
  <c r="AH53" i="3" s="1"/>
  <c r="AG54" i="3"/>
  <c r="AH54" i="3" s="1"/>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G69" i="3"/>
  <c r="AH69" i="3" s="1"/>
  <c r="AG70" i="3"/>
  <c r="AH70" i="3" s="1"/>
  <c r="AG71" i="3"/>
  <c r="AH71" i="3" s="1"/>
  <c r="AG72" i="3"/>
  <c r="AH72" i="3" s="1"/>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H84" i="3" s="1"/>
  <c r="AG85" i="3"/>
  <c r="AH85" i="3" s="1"/>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G149" i="3"/>
  <c r="AH149" i="3" s="1"/>
  <c r="AG150" i="3"/>
  <c r="AH150" i="3" s="1"/>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G165" i="3"/>
  <c r="AH165" i="3" s="1"/>
  <c r="AG166" i="3"/>
  <c r="AH166" i="3" s="1"/>
  <c r="AG167" i="3"/>
  <c r="AH167" i="3" s="1"/>
  <c r="AG168" i="3"/>
  <c r="AH168" i="3" s="1"/>
  <c r="AG169" i="3"/>
  <c r="AH169" i="3" s="1"/>
  <c r="AG170" i="3"/>
  <c r="AH170" i="3" s="1"/>
  <c r="AG171" i="3"/>
  <c r="AH171" i="3" s="1"/>
  <c r="AG172" i="3"/>
  <c r="AH172" i="3" s="1"/>
  <c r="AG173" i="3"/>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G190" i="3"/>
  <c r="AH190" i="3" s="1"/>
  <c r="AG191" i="3"/>
  <c r="AH191" i="3" s="1"/>
  <c r="AG192" i="3"/>
  <c r="AH192" i="3" s="1"/>
  <c r="AG193" i="3"/>
  <c r="AH193" i="3" s="1"/>
  <c r="AG194" i="3"/>
  <c r="AH194" i="3" s="1"/>
  <c r="AG195" i="3"/>
  <c r="AH195" i="3" s="1"/>
  <c r="AG196" i="3"/>
  <c r="AG197" i="3"/>
  <c r="AH197" i="3" s="1"/>
  <c r="AG198" i="3"/>
  <c r="AH198" i="3" s="1"/>
  <c r="AG199" i="3"/>
  <c r="AH199" i="3" s="1"/>
  <c r="AG200" i="3"/>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H245" i="3" s="1"/>
  <c r="AG246" i="3"/>
  <c r="AH246" i="3" s="1"/>
  <c r="AG247" i="3"/>
  <c r="AH247" i="3" s="1"/>
  <c r="AG248" i="3"/>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G293" i="3"/>
  <c r="AH293" i="3" s="1"/>
  <c r="AG294" i="3"/>
  <c r="AH294" i="3" s="1"/>
  <c r="AG295" i="3"/>
  <c r="AH295" i="3" s="1"/>
  <c r="AG296" i="3"/>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G329" i="3"/>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G341" i="3"/>
  <c r="AH341" i="3" s="1"/>
  <c r="AG342" i="3"/>
  <c r="AH342" i="3" s="1"/>
  <c r="AG343" i="3"/>
  <c r="AH343" i="3" s="1"/>
  <c r="AG344" i="3"/>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G416" i="3"/>
  <c r="AH416" i="3" s="1"/>
  <c r="AG417" i="3"/>
  <c r="AH417" i="3" s="1"/>
  <c r="AG418" i="3"/>
  <c r="AH418" i="3" s="1"/>
  <c r="AG419" i="3"/>
  <c r="AH419" i="3" s="1"/>
  <c r="AG420" i="3"/>
  <c r="AH420" i="3" s="1"/>
  <c r="AG421" i="3"/>
  <c r="AH421" i="3" s="1"/>
  <c r="AG422" i="3"/>
  <c r="AH422" i="3" s="1"/>
  <c r="AG423" i="3"/>
  <c r="AH423" i="3" s="1"/>
  <c r="AG424" i="3"/>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G485" i="3"/>
  <c r="AH485" i="3" s="1"/>
  <c r="AG486" i="3"/>
  <c r="AH486" i="3" s="1"/>
  <c r="AG487" i="3"/>
  <c r="AH487" i="3" s="1"/>
  <c r="AG488" i="3"/>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G537" i="3"/>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G585" i="3"/>
  <c r="AH585" i="3" s="1"/>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H629" i="3" s="1"/>
  <c r="AG630" i="3"/>
  <c r="AH630" i="3" s="1"/>
  <c r="AG631" i="3"/>
  <c r="AH631" i="3" s="1"/>
  <c r="AG632" i="3"/>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G645" i="3"/>
  <c r="AH645" i="3" s="1"/>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G665" i="3"/>
  <c r="AH665" i="3" s="1"/>
  <c r="AG666" i="3"/>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G741" i="3"/>
  <c r="AH741" i="3" s="1"/>
  <c r="AG742" i="3"/>
  <c r="AH742" i="3" s="1"/>
  <c r="AG743" i="3"/>
  <c r="AH743" i="3" s="1"/>
  <c r="AG744" i="3"/>
  <c r="AH744" i="3" s="1"/>
  <c r="AG745" i="3"/>
  <c r="AH745" i="3" s="1"/>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G789" i="3"/>
  <c r="AH789" i="3" s="1"/>
  <c r="AG790" i="3"/>
  <c r="AH790" i="3" s="1"/>
  <c r="AG791" i="3"/>
  <c r="AH791" i="3" s="1"/>
  <c r="AG792" i="3"/>
  <c r="AH792" i="3" s="1"/>
  <c r="AG793" i="3"/>
  <c r="AH793" i="3" s="1"/>
  <c r="AG794" i="3"/>
  <c r="AH794" i="3" s="1"/>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G822" i="3"/>
  <c r="AH822" i="3" s="1"/>
  <c r="AG823" i="3"/>
  <c r="AH823" i="3" s="1"/>
  <c r="AG824" i="3"/>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G837" i="3"/>
  <c r="AH837" i="3" s="1"/>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H870" i="3" s="1"/>
  <c r="AG871" i="3"/>
  <c r="AH871" i="3" s="1"/>
  <c r="AG872" i="3"/>
  <c r="AH872" i="3" s="1"/>
  <c r="AG873" i="3"/>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G885" i="3"/>
  <c r="AH885" i="3" s="1"/>
  <c r="AG886" i="3"/>
  <c r="AH886" i="3" s="1"/>
  <c r="AG887" i="3"/>
  <c r="AH887" i="3" s="1"/>
  <c r="AG888" i="3"/>
  <c r="AH888" i="3" s="1"/>
  <c r="AG889" i="3"/>
  <c r="AH889" i="3" s="1"/>
  <c r="AG890" i="3"/>
  <c r="AH890" i="3" s="1"/>
  <c r="AG891" i="3"/>
  <c r="AH891" i="3" s="1"/>
  <c r="AG892" i="3"/>
  <c r="AH892" i="3" s="1"/>
  <c r="AG893" i="3"/>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G906" i="3"/>
  <c r="AH906" i="3" s="1"/>
  <c r="AG907" i="3"/>
  <c r="AH907" i="3" s="1"/>
  <c r="AG908" i="3"/>
  <c r="AH908" i="3" s="1"/>
  <c r="AG909" i="3"/>
  <c r="AG910" i="3"/>
  <c r="AH910" i="3" s="1"/>
  <c r="AG911" i="3"/>
  <c r="AH911" i="3" s="1"/>
  <c r="AG912" i="3"/>
  <c r="AH912" i="3" s="1"/>
  <c r="AG913" i="3"/>
  <c r="AH913" i="3" s="1"/>
  <c r="AG914" i="3"/>
  <c r="AH914" i="3" s="1"/>
  <c r="AG915" i="3"/>
  <c r="AH915" i="3" s="1"/>
  <c r="AG916" i="3"/>
  <c r="AH916" i="3" s="1"/>
  <c r="AG917" i="3"/>
  <c r="AG918" i="3"/>
  <c r="AG919" i="3"/>
  <c r="AH919" i="3" s="1"/>
  <c r="AG920" i="3"/>
  <c r="AG921" i="3"/>
  <c r="AH921" i="3" s="1"/>
  <c r="AG922" i="3"/>
  <c r="AH922" i="3" s="1"/>
  <c r="AG923" i="3"/>
  <c r="AH923" i="3" s="1"/>
  <c r="AG924" i="3"/>
  <c r="AH924" i="3" s="1"/>
  <c r="AG925" i="3"/>
  <c r="AH925" i="3" s="1"/>
  <c r="AG926" i="3"/>
  <c r="AH926" i="3" s="1"/>
  <c r="AG927" i="3"/>
  <c r="AH927" i="3" s="1"/>
  <c r="AG928" i="3"/>
  <c r="AH928" i="3" s="1"/>
  <c r="AG929" i="3"/>
  <c r="AH929" i="3" s="1"/>
  <c r="AG930" i="3"/>
  <c r="AH930" i="3" s="1"/>
  <c r="AG931" i="3"/>
  <c r="AH931" i="3" s="1"/>
  <c r="AG932" i="3"/>
  <c r="AG933" i="3"/>
  <c r="AH933" i="3" s="1"/>
  <c r="AG934" i="3"/>
  <c r="AH934" i="3" s="1"/>
  <c r="AG935" i="3"/>
  <c r="AH935" i="3" s="1"/>
  <c r="AG936" i="3"/>
  <c r="AH936" i="3" s="1"/>
  <c r="AG937" i="3"/>
  <c r="AH937" i="3" s="1"/>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G953" i="3"/>
  <c r="AH953" i="3" s="1"/>
  <c r="AG954" i="3"/>
  <c r="AH954" i="3" s="1"/>
  <c r="AG955" i="3"/>
  <c r="AH955" i="3" s="1"/>
  <c r="AG956" i="3"/>
  <c r="AH956" i="3" s="1"/>
  <c r="AG957" i="3"/>
  <c r="AH957" i="3" s="1"/>
  <c r="AG958" i="3"/>
  <c r="AH958" i="3" s="1"/>
  <c r="AG959" i="3"/>
  <c r="AH959" i="3" s="1"/>
  <c r="AG960" i="3"/>
  <c r="AH960" i="3" s="1"/>
  <c r="AG961" i="3"/>
  <c r="AH961" i="3" s="1"/>
  <c r="AG962" i="3"/>
  <c r="AH962" i="3" s="1"/>
  <c r="AG963" i="3"/>
  <c r="AH963" i="3" s="1"/>
  <c r="AG964" i="3"/>
  <c r="AH964" i="3" s="1"/>
  <c r="AG965" i="3"/>
  <c r="AH965" i="3" s="1"/>
  <c r="AG966" i="3"/>
  <c r="AG967" i="3"/>
  <c r="AH967" i="3" s="1"/>
  <c r="AG968" i="3"/>
  <c r="AG969" i="3"/>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G981" i="3"/>
  <c r="AG982" i="3"/>
  <c r="AH982" i="3" s="1"/>
  <c r="AG983" i="3"/>
  <c r="AH983" i="3" s="1"/>
  <c r="AG984" i="3"/>
  <c r="AH984" i="3" s="1"/>
  <c r="AG985" i="3"/>
  <c r="AH985" i="3" s="1"/>
  <c r="AG986" i="3"/>
  <c r="AH986" i="3" s="1"/>
  <c r="AG987" i="3"/>
  <c r="AH987" i="3" s="1"/>
  <c r="AG988" i="3"/>
  <c r="AH988" i="3" s="1"/>
  <c r="AG989" i="3"/>
  <c r="AG990" i="3"/>
  <c r="AH990" i="3" s="1"/>
  <c r="AG991" i="3"/>
  <c r="AH991" i="3" s="1"/>
  <c r="AG992" i="3"/>
  <c r="AH992" i="3" s="1"/>
  <c r="AG993" i="3"/>
  <c r="AH993" i="3" s="1"/>
  <c r="AG994" i="3"/>
  <c r="AH994" i="3" s="1"/>
  <c r="AG995" i="3"/>
  <c r="AH995" i="3" s="1"/>
  <c r="AG996" i="3"/>
  <c r="AH996" i="3" s="1"/>
  <c r="AG997" i="3"/>
  <c r="AH997" i="3" s="1"/>
  <c r="AG998" i="3"/>
  <c r="AH998" i="3" s="1"/>
  <c r="AG999" i="3"/>
  <c r="AH999" i="3" s="1"/>
  <c r="AG1000" i="3"/>
  <c r="AG1001" i="3"/>
  <c r="AH1001" i="3" s="1"/>
  <c r="AG1002" i="3"/>
  <c r="AH1002" i="3" s="1"/>
  <c r="AG1003" i="3"/>
  <c r="AH1003" i="3" s="1"/>
  <c r="AG1004" i="3"/>
  <c r="AH1004" i="3" s="1"/>
  <c r="AG1005" i="3"/>
  <c r="AH1005" i="3" s="1"/>
  <c r="AG1006" i="3"/>
  <c r="AH1006" i="3" s="1"/>
  <c r="AG1007" i="3"/>
  <c r="AH1007" i="3" s="1"/>
  <c r="AG1008" i="3"/>
  <c r="AH1008" i="3" s="1"/>
  <c r="AG1009" i="3"/>
  <c r="AH1009" i="3" s="1"/>
  <c r="AG1010" i="3"/>
  <c r="AH1010" i="3" s="1"/>
  <c r="AG1011" i="3"/>
  <c r="AH1011" i="3" s="1"/>
  <c r="AG1012" i="3"/>
  <c r="AG1013" i="3"/>
  <c r="AH1013" i="3" s="1"/>
  <c r="AG1014" i="3"/>
  <c r="AH1014" i="3" s="1"/>
  <c r="AG1015" i="3"/>
  <c r="AH1015" i="3" s="1"/>
  <c r="AG1016" i="3"/>
  <c r="AG1017" i="3"/>
  <c r="AH1017" i="3" s="1"/>
  <c r="AG1018" i="3"/>
  <c r="AH1018" i="3" s="1"/>
  <c r="AG1019" i="3"/>
  <c r="AH1019" i="3" s="1"/>
  <c r="AG1020" i="3"/>
  <c r="AH1020" i="3" s="1"/>
  <c r="AG1021" i="3"/>
  <c r="AH1021" i="3" s="1"/>
  <c r="AG1022" i="3"/>
  <c r="AH1022" i="3" s="1"/>
  <c r="AG1023" i="3"/>
  <c r="AH1023" i="3" s="1"/>
  <c r="AG1024" i="3"/>
  <c r="AH1024" i="3" s="1"/>
  <c r="AG1025" i="3"/>
  <c r="AH1025" i="3" s="1"/>
  <c r="AG1026" i="3"/>
  <c r="AH1026" i="3" s="1"/>
  <c r="AG1027" i="3"/>
  <c r="AH1027" i="3" s="1"/>
  <c r="AG1028" i="3"/>
  <c r="AG1029" i="3"/>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G1054" i="3"/>
  <c r="AH1054" i="3" s="1"/>
  <c r="AG1055" i="3"/>
  <c r="AH1055" i="3" s="1"/>
  <c r="AG1056" i="3"/>
  <c r="AH1056" i="3" s="1"/>
  <c r="AG1057" i="3"/>
  <c r="AH1057" i="3" s="1"/>
  <c r="AG1058" i="3"/>
  <c r="AH1058" i="3" s="1"/>
  <c r="AG1059" i="3"/>
  <c r="AH1059" i="3" s="1"/>
  <c r="AG1060" i="3"/>
  <c r="AG1061" i="3"/>
  <c r="AG1062" i="3"/>
  <c r="AH1062" i="3" s="1"/>
  <c r="AG1063" i="3"/>
  <c r="AH1063" i="3" s="1"/>
  <c r="AG1064" i="3"/>
  <c r="AG1065" i="3"/>
  <c r="AG1066" i="3"/>
  <c r="AH1066" i="3" s="1"/>
  <c r="AG1067" i="3"/>
  <c r="AH1067" i="3" s="1"/>
  <c r="AG1068" i="3"/>
  <c r="AH1068" i="3" s="1"/>
  <c r="AG1069" i="3"/>
  <c r="AH1069" i="3" s="1"/>
  <c r="AG1070" i="3"/>
  <c r="AH1070" i="3" s="1"/>
  <c r="AG1071" i="3"/>
  <c r="AH1071" i="3" s="1"/>
  <c r="AG1072" i="3"/>
  <c r="AH1072" i="3" s="1"/>
  <c r="AG1073" i="3"/>
  <c r="AH1073" i="3" s="1"/>
  <c r="AG1074" i="3"/>
  <c r="AH1074" i="3" s="1"/>
  <c r="AG1075" i="3"/>
  <c r="AH1075" i="3" s="1"/>
  <c r="AG1076" i="3"/>
  <c r="AG1077" i="3"/>
  <c r="AG1078" i="3"/>
  <c r="AH1078" i="3" s="1"/>
  <c r="AG1079" i="3"/>
  <c r="AH1079" i="3" s="1"/>
  <c r="AG1080" i="3"/>
  <c r="AH1080" i="3" s="1"/>
  <c r="AG1081" i="3"/>
  <c r="AH1081" i="3" s="1"/>
  <c r="AG1082" i="3"/>
  <c r="AH1082" i="3" s="1"/>
  <c r="AG1083" i="3"/>
  <c r="AH1083" i="3" s="1"/>
  <c r="AG1084" i="3"/>
  <c r="AH1084" i="3" s="1"/>
  <c r="AG1085" i="3"/>
  <c r="AG1086" i="3"/>
  <c r="AH1086" i="3" s="1"/>
  <c r="AG1087" i="3"/>
  <c r="AH1087" i="3" s="1"/>
  <c r="AG1088" i="3"/>
  <c r="AH1088" i="3" s="1"/>
  <c r="AG1089" i="3"/>
  <c r="AH1089" i="3" s="1"/>
  <c r="AG1090" i="3"/>
  <c r="AH1090" i="3" s="1"/>
  <c r="AG1091" i="3"/>
  <c r="AH1091" i="3" s="1"/>
  <c r="AG1092" i="3"/>
  <c r="AH1092" i="3" s="1"/>
  <c r="AG1093" i="3"/>
  <c r="AH1093" i="3" s="1"/>
  <c r="AG1094" i="3"/>
  <c r="AH1094" i="3" s="1"/>
  <c r="AG1095" i="3"/>
  <c r="AH1095" i="3" s="1"/>
  <c r="AG1096" i="3"/>
  <c r="AH1096" i="3" s="1"/>
  <c r="AG1097" i="3"/>
  <c r="AG1098" i="3"/>
  <c r="AH1098" i="3" s="1"/>
  <c r="AG1099" i="3"/>
  <c r="AH1099" i="3" s="1"/>
  <c r="AG1100" i="3"/>
  <c r="AH1100" i="3" s="1"/>
  <c r="AG1101" i="3"/>
  <c r="AG1102" i="3"/>
  <c r="AH1102" i="3" s="1"/>
  <c r="AG1103" i="3"/>
  <c r="AH1103" i="3" s="1"/>
  <c r="AG1104" i="3"/>
  <c r="AH1104" i="3" s="1"/>
  <c r="AG1105" i="3"/>
  <c r="AH1105" i="3" s="1"/>
  <c r="AG1106" i="3"/>
  <c r="AH1106" i="3" s="1"/>
  <c r="AG1107" i="3"/>
  <c r="AH1107" i="3" s="1"/>
  <c r="AG1108" i="3"/>
  <c r="AH1108" i="3" s="1"/>
  <c r="AG1109" i="3"/>
  <c r="AG1110" i="3"/>
  <c r="AH1110" i="3" s="1"/>
  <c r="AG1111" i="3"/>
  <c r="AH1111" i="3" s="1"/>
  <c r="AG1112" i="3"/>
  <c r="AG1113" i="3"/>
  <c r="AG1114" i="3"/>
  <c r="AH1114" i="3" s="1"/>
  <c r="AG1115" i="3"/>
  <c r="AH1115" i="3" s="1"/>
  <c r="AG1116" i="3"/>
  <c r="AH1116" i="3" s="1"/>
  <c r="AG1117" i="3"/>
  <c r="AH1117" i="3" s="1"/>
  <c r="AG1118" i="3"/>
  <c r="AH1118" i="3" s="1"/>
  <c r="AG1119" i="3"/>
  <c r="AH1119" i="3" s="1"/>
  <c r="AG1120" i="3"/>
  <c r="AH1120" i="3" s="1"/>
  <c r="AG1121" i="3"/>
  <c r="AH1121" i="3" s="1"/>
  <c r="AG1122" i="3"/>
  <c r="AH1122" i="3" s="1"/>
  <c r="AG1123" i="3"/>
  <c r="AH1123" i="3" s="1"/>
  <c r="AG1124" i="3"/>
  <c r="AG1125" i="3"/>
  <c r="AH1125" i="3" s="1"/>
  <c r="AG1126" i="3"/>
  <c r="AH1126" i="3" s="1"/>
  <c r="AG1127" i="3"/>
  <c r="AH1127" i="3" s="1"/>
  <c r="AG1128" i="3"/>
  <c r="AH1128" i="3" s="1"/>
  <c r="AG1129" i="3"/>
  <c r="AH1129" i="3" s="1"/>
  <c r="AG1130" i="3"/>
  <c r="AH1130" i="3" s="1"/>
  <c r="AG1131" i="3"/>
  <c r="AH1131" i="3" s="1"/>
  <c r="AG1132" i="3"/>
  <c r="AH1132" i="3" s="1"/>
  <c r="AG1133" i="3"/>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G1150" i="3"/>
  <c r="AH1150" i="3" s="1"/>
  <c r="AG1151" i="3"/>
  <c r="AH1151" i="3" s="1"/>
  <c r="AG1152" i="3"/>
  <c r="AH1152" i="3" s="1"/>
  <c r="AG1153" i="3"/>
  <c r="AH1153" i="3" s="1"/>
  <c r="AG1154" i="3"/>
  <c r="AH1154" i="3" s="1"/>
  <c r="AG1155" i="3"/>
  <c r="AH1155" i="3" s="1"/>
  <c r="AG1156" i="3"/>
  <c r="AG1157" i="3"/>
  <c r="AG1158" i="3"/>
  <c r="AH1158" i="3" s="1"/>
  <c r="AG1159" i="3"/>
  <c r="AH1159" i="3" s="1"/>
  <c r="AG1160" i="3"/>
  <c r="AG1161" i="3"/>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G1173" i="3"/>
  <c r="AG1174" i="3"/>
  <c r="AH1174" i="3" s="1"/>
  <c r="AG1175" i="3"/>
  <c r="AH1175" i="3" s="1"/>
  <c r="AG1176" i="3"/>
  <c r="AG1177" i="3"/>
  <c r="AH1177" i="3" s="1"/>
  <c r="AG1178" i="3"/>
  <c r="AH1178" i="3" s="1"/>
  <c r="AG1179" i="3"/>
  <c r="AH1179" i="3" s="1"/>
  <c r="AG1180" i="3"/>
  <c r="AH1180" i="3" s="1"/>
  <c r="AG1181" i="3"/>
  <c r="AH1181" i="3" s="1"/>
  <c r="AG1182" i="3"/>
  <c r="AH1182" i="3" s="1"/>
  <c r="AG1183" i="3"/>
  <c r="AH1183" i="3" s="1"/>
  <c r="AG1184" i="3"/>
  <c r="AH1184" i="3" s="1"/>
  <c r="AG1185" i="3"/>
  <c r="AH1185" i="3" s="1"/>
  <c r="AG1186" i="3"/>
  <c r="AH1186" i="3" s="1"/>
  <c r="AG1187" i="3"/>
  <c r="AH1187" i="3" s="1"/>
  <c r="AG1188" i="3"/>
  <c r="AH1188" i="3" s="1"/>
  <c r="AG1189" i="3"/>
  <c r="AH1189" i="3" s="1"/>
  <c r="AG1190" i="3"/>
  <c r="AH1190" i="3" s="1"/>
  <c r="AG1191" i="3"/>
  <c r="AH1191" i="3" s="1"/>
  <c r="AG1192" i="3"/>
  <c r="AG1193" i="3"/>
  <c r="AG1194" i="3"/>
  <c r="AH1194" i="3" s="1"/>
  <c r="AG1195" i="3"/>
  <c r="AH1195" i="3" s="1"/>
  <c r="AG1196" i="3"/>
  <c r="AH1196" i="3" s="1"/>
  <c r="AG1197" i="3"/>
  <c r="AH1197" i="3" s="1"/>
  <c r="AG1198" i="3"/>
  <c r="AH1198" i="3" s="1"/>
  <c r="AG1199" i="3"/>
  <c r="AH1199" i="3" s="1"/>
  <c r="AG1200" i="3"/>
  <c r="AH1200" i="3" s="1"/>
  <c r="AG1201" i="3"/>
  <c r="AH1201" i="3" s="1"/>
  <c r="AG1202" i="3"/>
  <c r="AH1202" i="3" s="1"/>
  <c r="AG1203" i="3"/>
  <c r="AH1203" i="3" s="1"/>
  <c r="AG1204" i="3"/>
  <c r="AG1205" i="3"/>
  <c r="AG1206" i="3"/>
  <c r="AH1206" i="3" s="1"/>
  <c r="AG1207" i="3"/>
  <c r="AH1207" i="3" s="1"/>
  <c r="AG1208" i="3"/>
  <c r="AG1209" i="3"/>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G1221" i="3"/>
  <c r="AG1222" i="3"/>
  <c r="AH1222" i="3" s="1"/>
  <c r="AG1223" i="3"/>
  <c r="AH1223" i="3" s="1"/>
  <c r="AG1224" i="3"/>
  <c r="AH1224" i="3" s="1"/>
  <c r="AG1225" i="3"/>
  <c r="AH1225" i="3" s="1"/>
  <c r="AG1226" i="3"/>
  <c r="AH1226" i="3" s="1"/>
  <c r="AG1227" i="3"/>
  <c r="AH1227" i="3" s="1"/>
  <c r="AG1228" i="3"/>
  <c r="AH1228" i="3" s="1"/>
  <c r="AG1229" i="3"/>
  <c r="AG1230" i="3"/>
  <c r="AH1230" i="3" s="1"/>
  <c r="AG1231" i="3"/>
  <c r="AH1231" i="3" s="1"/>
  <c r="AG1232" i="3"/>
  <c r="AH1232" i="3" s="1"/>
  <c r="AG1233" i="3"/>
  <c r="AH1233" i="3" s="1"/>
  <c r="AG1234" i="3"/>
  <c r="AH1234" i="3" s="1"/>
  <c r="AG1235" i="3"/>
  <c r="AH1235" i="3" s="1"/>
  <c r="AG1236" i="3"/>
  <c r="AG1237" i="3"/>
  <c r="AH1237" i="3" s="1"/>
  <c r="AG1238" i="3"/>
  <c r="AH1238" i="3" s="1"/>
  <c r="AG1239" i="3"/>
  <c r="AH1239" i="3" s="1"/>
  <c r="AG1240" i="3"/>
  <c r="AG1241" i="3"/>
  <c r="AG1242" i="3"/>
  <c r="AH1242" i="3" s="1"/>
  <c r="AG1243" i="3"/>
  <c r="AH1243" i="3" s="1"/>
  <c r="AG1244" i="3"/>
  <c r="AH1244" i="3" s="1"/>
  <c r="AG1245" i="3"/>
  <c r="AG1246" i="3"/>
  <c r="AH1246" i="3" s="1"/>
  <c r="AG1247" i="3"/>
  <c r="AH1247" i="3" s="1"/>
  <c r="AG1248" i="3"/>
  <c r="AH1248" i="3" s="1"/>
  <c r="AG1249" i="3"/>
  <c r="AH1249" i="3" s="1"/>
  <c r="AG1250" i="3"/>
  <c r="AH1250" i="3" s="1"/>
  <c r="AG1251" i="3"/>
  <c r="AH1251" i="3" s="1"/>
  <c r="AG1252" i="3"/>
  <c r="AG1253" i="3"/>
  <c r="AG1254" i="3"/>
  <c r="AH1254" i="3" s="1"/>
  <c r="AG1255" i="3"/>
  <c r="AH1255" i="3" s="1"/>
  <c r="AG1256" i="3"/>
  <c r="AG1257" i="3"/>
  <c r="AG1258" i="3"/>
  <c r="AH1258" i="3" s="1"/>
  <c r="AG1259" i="3"/>
  <c r="AH1259" i="3" s="1"/>
  <c r="AG1260" i="3"/>
  <c r="AH1260" i="3" s="1"/>
  <c r="AG1261" i="3"/>
  <c r="AH1261" i="3" s="1"/>
  <c r="AG1262" i="3"/>
  <c r="AH1262" i="3" s="1"/>
  <c r="AG1263" i="3"/>
  <c r="AH1263" i="3" s="1"/>
  <c r="AG1264" i="3"/>
  <c r="AH1264" i="3" s="1"/>
  <c r="AG1265" i="3"/>
  <c r="AH1265" i="3" s="1"/>
  <c r="AG1266" i="3"/>
  <c r="AH1266" i="3" s="1"/>
  <c r="AG1267" i="3"/>
  <c r="AH1267" i="3" s="1"/>
  <c r="AG1268" i="3"/>
  <c r="AG1269" i="3"/>
  <c r="AG1270" i="3"/>
  <c r="AH1270" i="3" s="1"/>
  <c r="AG1271" i="3"/>
  <c r="AH1271" i="3" s="1"/>
  <c r="AG1272" i="3"/>
  <c r="AH1272" i="3" s="1"/>
  <c r="AG1273" i="3"/>
  <c r="AH1273" i="3" s="1"/>
  <c r="AG1274" i="3"/>
  <c r="AH1274" i="3" s="1"/>
  <c r="AG1275" i="3"/>
  <c r="AH1275" i="3" s="1"/>
  <c r="AG1276" i="3"/>
  <c r="AH1276" i="3" s="1"/>
  <c r="AG1277" i="3"/>
  <c r="AG1278" i="3"/>
  <c r="AH1278" i="3" s="1"/>
  <c r="AG1279" i="3"/>
  <c r="AH1279" i="3" s="1"/>
  <c r="AG1280" i="3"/>
  <c r="AH1280" i="3" s="1"/>
  <c r="AG1281" i="3"/>
  <c r="AH1281" i="3" s="1"/>
  <c r="AG1282" i="3"/>
  <c r="AH1282" i="3" s="1"/>
  <c r="AG1283" i="3"/>
  <c r="AH1283" i="3" s="1"/>
  <c r="AG1284" i="3"/>
  <c r="AH1284" i="3" s="1"/>
  <c r="AG1285" i="3"/>
  <c r="AH1285" i="3" s="1"/>
  <c r="AG1286" i="3"/>
  <c r="AH1286" i="3" s="1"/>
  <c r="AG1287" i="3"/>
  <c r="AH1287" i="3" s="1"/>
  <c r="AG1288" i="3"/>
  <c r="AG1289" i="3"/>
  <c r="AG1290" i="3"/>
  <c r="AH1290" i="3" s="1"/>
  <c r="AG1291" i="3"/>
  <c r="AH1291" i="3" s="1"/>
  <c r="AG1292" i="3"/>
  <c r="AH1292" i="3" s="1"/>
  <c r="AG1293" i="3"/>
  <c r="AG1294" i="3"/>
  <c r="AH1294" i="3" s="1"/>
  <c r="AG1295" i="3"/>
  <c r="AH1295" i="3" s="1"/>
  <c r="AG1296" i="3"/>
  <c r="AH1296" i="3" s="1"/>
  <c r="AG1297" i="3"/>
  <c r="AH1297" i="3" s="1"/>
  <c r="AG1298" i="3"/>
  <c r="AH1298" i="3" s="1"/>
  <c r="AG1299" i="3"/>
  <c r="AH1299" i="3" s="1"/>
  <c r="AG1300" i="3"/>
  <c r="AG1301" i="3"/>
  <c r="AG1302" i="3"/>
  <c r="AH1302" i="3" s="1"/>
  <c r="AG1303" i="3"/>
  <c r="AH1303" i="3" s="1"/>
  <c r="AG1304" i="3"/>
  <c r="AG1305" i="3"/>
  <c r="AG1306" i="3"/>
  <c r="AH1306" i="3" s="1"/>
  <c r="AG1307" i="3"/>
  <c r="AH1307" i="3" s="1"/>
  <c r="AG1308" i="3"/>
  <c r="AH1308" i="3" s="1"/>
  <c r="AG1309" i="3"/>
  <c r="AH1309" i="3" s="1"/>
  <c r="AG1310" i="3"/>
  <c r="AH1310" i="3" s="1"/>
  <c r="AG1311" i="3"/>
  <c r="AH1311" i="3" s="1"/>
  <c r="AG1312" i="3"/>
  <c r="AH1312" i="3" s="1"/>
  <c r="AG1313" i="3"/>
  <c r="AH1313" i="3" s="1"/>
  <c r="AG1314" i="3"/>
  <c r="AH1314" i="3" s="1"/>
  <c r="AG1315" i="3"/>
  <c r="AH1315" i="3" s="1"/>
  <c r="AG1316" i="3"/>
  <c r="AG1317" i="3"/>
  <c r="AG1318" i="3"/>
  <c r="AH1318" i="3" s="1"/>
  <c r="AG1319" i="3"/>
  <c r="AH1319" i="3" s="1"/>
  <c r="AG1320" i="3"/>
  <c r="AH1320" i="3" s="1"/>
  <c r="AG1321" i="3"/>
  <c r="AH1321" i="3" s="1"/>
  <c r="AG1322" i="3"/>
  <c r="AH1322" i="3" s="1"/>
  <c r="AG1323" i="3"/>
  <c r="AH1323" i="3" s="1"/>
  <c r="AG1324" i="3"/>
  <c r="AG1325" i="3"/>
  <c r="AG1326" i="3"/>
  <c r="AH1326" i="3" s="1"/>
  <c r="AG1327" i="3"/>
  <c r="AH1327" i="3" s="1"/>
  <c r="AG1328" i="3"/>
  <c r="AH1328" i="3" s="1"/>
  <c r="AG1329" i="3"/>
  <c r="AH1329" i="3" s="1"/>
  <c r="AG1330" i="3"/>
  <c r="AH1330" i="3" s="1"/>
  <c r="AG1331" i="3"/>
  <c r="AH1331" i="3" s="1"/>
  <c r="AG1332" i="3"/>
  <c r="AH1332" i="3" s="1"/>
  <c r="AG1333" i="3"/>
  <c r="AH1333" i="3" s="1"/>
  <c r="AG1334" i="3"/>
  <c r="AH1334" i="3" s="1"/>
  <c r="AG1335" i="3"/>
  <c r="AH1335" i="3" s="1"/>
  <c r="AG1336" i="3"/>
  <c r="AG1337" i="3"/>
  <c r="AG1338" i="3"/>
  <c r="AH1338" i="3" s="1"/>
  <c r="AG1339" i="3"/>
  <c r="AH1339" i="3" s="1"/>
  <c r="AG1340" i="3"/>
  <c r="AH1340" i="3" s="1"/>
  <c r="AG1341" i="3"/>
  <c r="AG1342" i="3"/>
  <c r="AH1342" i="3" s="1"/>
  <c r="AG1343" i="3"/>
  <c r="AH1343" i="3" s="1"/>
  <c r="AG1344" i="3"/>
  <c r="AH1344" i="3" s="1"/>
  <c r="AG1345" i="3"/>
  <c r="AH1345" i="3" s="1"/>
  <c r="AG1346" i="3"/>
  <c r="AH1346" i="3" s="1"/>
  <c r="AG1347" i="3"/>
  <c r="AH1347" i="3" s="1"/>
  <c r="AG1348" i="3"/>
  <c r="AG1349" i="3"/>
  <c r="AG1350" i="3"/>
  <c r="AH1350" i="3" s="1"/>
  <c r="AG1351" i="3"/>
  <c r="AH1351" i="3" s="1"/>
  <c r="AG1352" i="3"/>
  <c r="AG1353" i="3"/>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G1365" i="3"/>
  <c r="AG1366" i="3"/>
  <c r="AH1366" i="3" s="1"/>
  <c r="AG1367" i="3"/>
  <c r="AH1367" i="3" s="1"/>
  <c r="AG1368" i="3"/>
  <c r="AG1369" i="3"/>
  <c r="AH1369" i="3" s="1"/>
  <c r="AG1370" i="3"/>
  <c r="AH1370" i="3" s="1"/>
  <c r="AG1371" i="3"/>
  <c r="AH1371" i="3" s="1"/>
  <c r="AG1372" i="3"/>
  <c r="AH1372" i="3" s="1"/>
  <c r="AG1373" i="3"/>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G1385" i="3"/>
  <c r="AG1386" i="3"/>
  <c r="AH1386" i="3" s="1"/>
  <c r="AG1387" i="3"/>
  <c r="AH1387" i="3" s="1"/>
  <c r="AG1388" i="3"/>
  <c r="AH1388" i="3" s="1"/>
  <c r="AG1389" i="3"/>
  <c r="AG1390" i="3"/>
  <c r="AH1390" i="3" s="1"/>
  <c r="AG1391" i="3"/>
  <c r="AH1391" i="3" s="1"/>
  <c r="AG1392" i="3"/>
  <c r="AH1392" i="3" s="1"/>
  <c r="AG1393" i="3"/>
  <c r="AH1393" i="3" s="1"/>
  <c r="AG1394" i="3"/>
  <c r="AH1394" i="3" s="1"/>
  <c r="AG1395" i="3"/>
  <c r="AH1395" i="3" s="1"/>
  <c r="AG1396" i="3"/>
  <c r="AG1397" i="3"/>
  <c r="AG1398" i="3"/>
  <c r="AH1398" i="3" s="1"/>
  <c r="AG1399" i="3"/>
  <c r="AH1399" i="3" s="1"/>
  <c r="AG1400" i="3"/>
  <c r="AG1401" i="3"/>
  <c r="AG1402" i="3"/>
  <c r="AG1403" i="3"/>
  <c r="AH1403" i="3" s="1"/>
  <c r="AG1404" i="3"/>
  <c r="AH1404" i="3" s="1"/>
  <c r="AG1405" i="3"/>
  <c r="AH1405" i="3" s="1"/>
  <c r="AG1406" i="3"/>
  <c r="AH1406" i="3" s="1"/>
  <c r="AG1407" i="3"/>
  <c r="AH1407" i="3" s="1"/>
  <c r="AG1408" i="3"/>
  <c r="AH1408" i="3" s="1"/>
  <c r="AG1409" i="3"/>
  <c r="AH1409" i="3" s="1"/>
  <c r="AG1410" i="3"/>
  <c r="AH1410" i="3" s="1"/>
  <c r="AG1411" i="3"/>
  <c r="AH1411" i="3" s="1"/>
  <c r="AG1412" i="3"/>
  <c r="AG1413" i="3"/>
  <c r="AG1414" i="3"/>
  <c r="AH1414" i="3" s="1"/>
  <c r="AG1415" i="3"/>
  <c r="AH1415" i="3" s="1"/>
  <c r="AG1416" i="3"/>
  <c r="AH1416" i="3" s="1"/>
  <c r="AG1417" i="3"/>
  <c r="AH1417" i="3" s="1"/>
  <c r="AG1418" i="3"/>
  <c r="AH1418" i="3" s="1"/>
  <c r="AG1419" i="3"/>
  <c r="AH1419" i="3" s="1"/>
  <c r="AG1420" i="3"/>
  <c r="AH1420" i="3" s="1"/>
  <c r="AG1421" i="3"/>
  <c r="AG1422" i="3"/>
  <c r="AH1422" i="3" s="1"/>
  <c r="AG1423" i="3"/>
  <c r="AH1423" i="3" s="1"/>
  <c r="AG1424" i="3"/>
  <c r="AH1424" i="3" s="1"/>
  <c r="AG1425" i="3"/>
  <c r="AH1425" i="3" s="1"/>
  <c r="AG1426" i="3"/>
  <c r="AH1426" i="3" s="1"/>
  <c r="AG1427" i="3"/>
  <c r="AH1427" i="3" s="1"/>
  <c r="AG1428" i="3"/>
  <c r="AH1428" i="3" s="1"/>
  <c r="AG1429" i="3"/>
  <c r="AH1429" i="3" s="1"/>
  <c r="AG1430" i="3"/>
  <c r="AH1430" i="3" s="1"/>
  <c r="AG1431" i="3"/>
  <c r="AH1431" i="3" s="1"/>
  <c r="AG1432" i="3"/>
  <c r="AG1433" i="3"/>
  <c r="AG1434" i="3"/>
  <c r="AH1434" i="3" s="1"/>
  <c r="AG1435" i="3"/>
  <c r="AH1435" i="3" s="1"/>
  <c r="AG1436" i="3"/>
  <c r="AH1436" i="3" s="1"/>
  <c r="AG1437" i="3"/>
  <c r="AG1438" i="3"/>
  <c r="AH1438" i="3" s="1"/>
  <c r="AG1439" i="3"/>
  <c r="AH1439" i="3" s="1"/>
  <c r="AG1440" i="3"/>
  <c r="AH1440" i="3" s="1"/>
  <c r="AG1441" i="3"/>
  <c r="AH1441" i="3" s="1"/>
  <c r="AG1442" i="3"/>
  <c r="AH1442" i="3" s="1"/>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E1448" i="3" l="1"/>
  <c r="AB1442" i="3"/>
  <c r="P1442" i="3"/>
  <c r="AB1441" i="3"/>
  <c r="P1441" i="3"/>
  <c r="AB1440" i="3"/>
  <c r="P1440" i="3"/>
  <c r="T1440" i="3" s="1"/>
  <c r="AB1439" i="3"/>
  <c r="P1439" i="3"/>
  <c r="AD1439" i="3" s="1"/>
  <c r="AB1438" i="3"/>
  <c r="P1438" i="3"/>
  <c r="AD1438" i="3" s="1"/>
  <c r="AB1437" i="3"/>
  <c r="P1437" i="3"/>
  <c r="AD1437" i="3" s="1"/>
  <c r="AB1436" i="3"/>
  <c r="P1436" i="3"/>
  <c r="AB1435" i="3"/>
  <c r="P1435" i="3"/>
  <c r="AB1434" i="3"/>
  <c r="P1434" i="3"/>
  <c r="AB1433" i="3"/>
  <c r="P1433" i="3"/>
  <c r="AB1432" i="3"/>
  <c r="P1432" i="3"/>
  <c r="AB1431" i="3"/>
  <c r="P1431" i="3"/>
  <c r="AB1430" i="3"/>
  <c r="P1430" i="3"/>
  <c r="AB1429" i="3"/>
  <c r="P1429" i="3"/>
  <c r="AD1429" i="3" s="1"/>
  <c r="AB1428" i="3"/>
  <c r="P1428" i="3"/>
  <c r="AB1427" i="3"/>
  <c r="P1427" i="3"/>
  <c r="AB1426" i="3"/>
  <c r="P1426" i="3"/>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AB1415" i="3"/>
  <c r="P1415" i="3"/>
  <c r="AB1414" i="3"/>
  <c r="P1414" i="3"/>
  <c r="AB1413" i="3"/>
  <c r="P1413" i="3"/>
  <c r="AB1412" i="3"/>
  <c r="P1412" i="3"/>
  <c r="Q1412" i="3" s="1"/>
  <c r="AB1411" i="3"/>
  <c r="P1411" i="3"/>
  <c r="Q1411" i="3" s="1"/>
  <c r="AB1410" i="3"/>
  <c r="P1410" i="3"/>
  <c r="Q1410" i="3" s="1"/>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AB1322" i="3"/>
  <c r="P1322" i="3"/>
  <c r="Q1322" i="3" s="1"/>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AB1182" i="3"/>
  <c r="P1182" i="3"/>
  <c r="AB1181" i="3"/>
  <c r="P1181" i="3"/>
  <c r="AD1181" i="3" s="1"/>
  <c r="AB1180" i="3"/>
  <c r="P1180" i="3"/>
  <c r="AB1179" i="3"/>
  <c r="P1179" i="3"/>
  <c r="AB1178" i="3"/>
  <c r="P1178" i="3"/>
  <c r="AB1177" i="3"/>
  <c r="P1177" i="3"/>
  <c r="AB1176" i="3"/>
  <c r="P1176" i="3"/>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AB1149" i="3"/>
  <c r="P1149" i="3"/>
  <c r="Q1149" i="3" s="1"/>
  <c r="AB1148" i="3"/>
  <c r="P1148" i="3"/>
  <c r="AB1147" i="3"/>
  <c r="P1147" i="3"/>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AB1130" i="3"/>
  <c r="P1130" i="3"/>
  <c r="AD1130" i="3" s="1"/>
  <c r="AB1129" i="3"/>
  <c r="P1129" i="3"/>
  <c r="AB1128" i="3"/>
  <c r="P1128" i="3"/>
  <c r="AB1127" i="3"/>
  <c r="P1127" i="3"/>
  <c r="AB1126" i="3"/>
  <c r="P1126" i="3"/>
  <c r="AB1125" i="3"/>
  <c r="P1125" i="3"/>
  <c r="AB1124" i="3"/>
  <c r="P1124" i="3"/>
  <c r="AB1123" i="3"/>
  <c r="P1123" i="3"/>
  <c r="AB1122" i="3"/>
  <c r="P1122" i="3"/>
  <c r="AB1121" i="3"/>
  <c r="P1121" i="3"/>
  <c r="AB1120" i="3"/>
  <c r="P1120" i="3"/>
  <c r="AB1119" i="3"/>
  <c r="P1119" i="3"/>
  <c r="AD1119" i="3" s="1"/>
  <c r="AB1118" i="3"/>
  <c r="P1118" i="3"/>
  <c r="Q1118" i="3" s="1"/>
  <c r="AB1117" i="3"/>
  <c r="P1117" i="3"/>
  <c r="AB1116" i="3"/>
  <c r="P1116" i="3"/>
  <c r="AD1116" i="3" s="1"/>
  <c r="AB1115" i="3"/>
  <c r="P1115" i="3"/>
  <c r="AB1114" i="3"/>
  <c r="P1114" i="3"/>
  <c r="AB1113" i="3"/>
  <c r="P1113" i="3"/>
  <c r="AB1112" i="3"/>
  <c r="P1112" i="3"/>
  <c r="AB1111" i="3"/>
  <c r="P1111" i="3"/>
  <c r="AB1110" i="3"/>
  <c r="P1110" i="3"/>
  <c r="Q1110" i="3" s="1"/>
  <c r="AB1109" i="3"/>
  <c r="P1109" i="3"/>
  <c r="Q1109" i="3" s="1"/>
  <c r="AB1108" i="3"/>
  <c r="P1108" i="3"/>
  <c r="Q1108" i="3" s="1"/>
  <c r="AB1107" i="3"/>
  <c r="P1107" i="3"/>
  <c r="AB1106" i="3"/>
  <c r="P1106" i="3"/>
  <c r="AB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AB1094" i="3"/>
  <c r="P1094" i="3"/>
  <c r="AB1093" i="3"/>
  <c r="P1093" i="3"/>
  <c r="AB1092" i="3"/>
  <c r="P1092" i="3"/>
  <c r="AB1091" i="3"/>
  <c r="P1091" i="3"/>
  <c r="AB1090" i="3"/>
  <c r="P1090" i="3"/>
  <c r="AD1090" i="3" s="1"/>
  <c r="AB1089" i="3"/>
  <c r="P1089" i="3"/>
  <c r="AB1088" i="3"/>
  <c r="P1088" i="3"/>
  <c r="AB1087" i="3"/>
  <c r="P1087" i="3"/>
  <c r="Q1087" i="3" s="1"/>
  <c r="AB1086" i="3"/>
  <c r="P1086" i="3"/>
  <c r="AB1085" i="3"/>
  <c r="P1085" i="3"/>
  <c r="AB1084" i="3"/>
  <c r="P1084" i="3"/>
  <c r="AD1084" i="3" s="1"/>
  <c r="AB1083" i="3"/>
  <c r="P1083" i="3"/>
  <c r="AD1083" i="3" s="1"/>
  <c r="AB1082" i="3"/>
  <c r="P1082" i="3"/>
  <c r="T1082" i="3" s="1"/>
  <c r="AB1081" i="3"/>
  <c r="P1081" i="3"/>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AB943" i="3"/>
  <c r="P943" i="3"/>
  <c r="AB942" i="3"/>
  <c r="P942" i="3"/>
  <c r="AB941" i="3"/>
  <c r="P941" i="3"/>
  <c r="Q941" i="3" s="1"/>
  <c r="AB940" i="3"/>
  <c r="P940" i="3"/>
  <c r="AB939" i="3"/>
  <c r="P939" i="3"/>
  <c r="AB938" i="3"/>
  <c r="P938" i="3"/>
  <c r="AB937" i="3"/>
  <c r="P937" i="3"/>
  <c r="AB936" i="3"/>
  <c r="P936" i="3"/>
  <c r="AB935" i="3"/>
  <c r="P935" i="3"/>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AB899" i="3"/>
  <c r="P899" i="3"/>
  <c r="AB898" i="3"/>
  <c r="P898" i="3"/>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AB767" i="3"/>
  <c r="P767" i="3"/>
  <c r="AB766" i="3"/>
  <c r="P766" i="3"/>
  <c r="AD766" i="3" s="1"/>
  <c r="AB765" i="3"/>
  <c r="P765" i="3"/>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AB552" i="3"/>
  <c r="P552" i="3"/>
  <c r="AB551" i="3"/>
  <c r="P551" i="3"/>
  <c r="Q551" i="3" s="1"/>
  <c r="AB550" i="3"/>
  <c r="P550" i="3"/>
  <c r="AB549" i="3"/>
  <c r="P549" i="3"/>
  <c r="AB548" i="3"/>
  <c r="P548" i="3"/>
  <c r="AB547" i="3"/>
  <c r="P547" i="3"/>
  <c r="AB546" i="3"/>
  <c r="P546" i="3"/>
  <c r="AB545" i="3"/>
  <c r="P545" i="3"/>
  <c r="T545" i="3" s="1"/>
  <c r="AB544" i="3"/>
  <c r="P544" i="3"/>
  <c r="Q544" i="3" s="1"/>
  <c r="AB543" i="3"/>
  <c r="P543" i="3"/>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AB532" i="3"/>
  <c r="P532" i="3"/>
  <c r="AB531" i="3"/>
  <c r="P531" i="3"/>
  <c r="AB530" i="3"/>
  <c r="P530" i="3"/>
  <c r="AB529" i="3"/>
  <c r="P529" i="3"/>
  <c r="AD529" i="3" s="1"/>
  <c r="AB528" i="3"/>
  <c r="P528" i="3"/>
  <c r="AD528" i="3" s="1"/>
  <c r="AB527" i="3"/>
  <c r="P527" i="3"/>
  <c r="AB526" i="3"/>
  <c r="P526" i="3"/>
  <c r="AB525" i="3"/>
  <c r="P525" i="3"/>
  <c r="AB524" i="3"/>
  <c r="P524" i="3"/>
  <c r="AB523" i="3"/>
  <c r="P523" i="3"/>
  <c r="AB522" i="3"/>
  <c r="P522" i="3"/>
  <c r="AB521" i="3"/>
  <c r="P521" i="3"/>
  <c r="AB520" i="3"/>
  <c r="P520" i="3"/>
  <c r="AB519" i="3"/>
  <c r="P519" i="3"/>
  <c r="AB518" i="3"/>
  <c r="P518" i="3"/>
  <c r="AB517" i="3"/>
  <c r="P517" i="3"/>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AB308" i="3"/>
  <c r="P308" i="3"/>
  <c r="AB307" i="3"/>
  <c r="P307" i="3"/>
  <c r="AB306" i="3"/>
  <c r="P306" i="3"/>
  <c r="AB305" i="3"/>
  <c r="P305" i="3"/>
  <c r="AB304" i="3"/>
  <c r="P304" i="3"/>
  <c r="AB303" i="3"/>
  <c r="P303" i="3"/>
  <c r="AB302" i="3"/>
  <c r="P302" i="3"/>
  <c r="AB301" i="3"/>
  <c r="P301" i="3"/>
  <c r="AB300" i="3"/>
  <c r="P300" i="3"/>
  <c r="AB299" i="3"/>
  <c r="P299" i="3"/>
  <c r="AB298" i="3"/>
  <c r="P298" i="3"/>
  <c r="AB297" i="3"/>
  <c r="P297" i="3"/>
  <c r="AB296" i="3"/>
  <c r="P296" i="3"/>
  <c r="AB295" i="3"/>
  <c r="P295" i="3"/>
  <c r="Q295" i="3" s="1"/>
  <c r="AB294" i="3"/>
  <c r="P294" i="3"/>
  <c r="AB293" i="3"/>
  <c r="P293" i="3"/>
  <c r="AB292" i="3"/>
  <c r="P292" i="3"/>
  <c r="AB291" i="3"/>
  <c r="P291" i="3"/>
  <c r="AB290" i="3"/>
  <c r="P290" i="3"/>
  <c r="AB289" i="3"/>
  <c r="P289" i="3"/>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AB46" i="3"/>
  <c r="P46" i="3"/>
  <c r="AB45" i="3"/>
  <c r="P45" i="3"/>
  <c r="AB44" i="3"/>
  <c r="P44" i="3"/>
  <c r="AB43" i="3"/>
  <c r="P43" i="3"/>
  <c r="AB42" i="3"/>
  <c r="P42" i="3"/>
  <c r="AB41" i="3"/>
  <c r="P41" i="3"/>
  <c r="T41" i="3" s="1"/>
  <c r="AB40" i="3"/>
  <c r="P40" i="3"/>
  <c r="AB39" i="3"/>
  <c r="P39" i="3"/>
  <c r="T39" i="3" s="1"/>
  <c r="AB38" i="3"/>
  <c r="P38" i="3"/>
  <c r="AB37" i="3"/>
  <c r="P37" i="3"/>
  <c r="AB36" i="3"/>
  <c r="P36" i="3"/>
  <c r="AB35" i="3"/>
  <c r="P35" i="3"/>
  <c r="AB34" i="3"/>
  <c r="P34" i="3"/>
  <c r="AB33" i="3"/>
  <c r="P33" i="3"/>
  <c r="AB32" i="3"/>
  <c r="P32" i="3"/>
  <c r="Q32" i="3" s="1"/>
  <c r="AB31" i="3"/>
  <c r="P31" i="3"/>
  <c r="AB30" i="3"/>
  <c r="P30" i="3"/>
  <c r="AB29" i="3"/>
  <c r="P29" i="3"/>
  <c r="AB28" i="3"/>
  <c r="P28" i="3"/>
  <c r="AB27" i="3"/>
  <c r="P27" i="3"/>
  <c r="AB26" i="3"/>
  <c r="P26" i="3"/>
  <c r="AB25" i="3"/>
  <c r="P25" i="3"/>
  <c r="AB24" i="3"/>
  <c r="P24" i="3"/>
  <c r="AD24" i="3" s="1"/>
  <c r="AB23" i="3"/>
  <c r="P23" i="3"/>
  <c r="AB22" i="3"/>
  <c r="P22" i="3"/>
  <c r="AB21" i="3"/>
  <c r="P21" i="3"/>
  <c r="Q21" i="3" s="1"/>
  <c r="AB20" i="3"/>
  <c r="P20" i="3"/>
  <c r="AB19" i="3"/>
  <c r="P19" i="3"/>
  <c r="AB18" i="3"/>
  <c r="P18" i="3"/>
  <c r="AB17" i="3"/>
  <c r="P17" i="3"/>
  <c r="AB16" i="3"/>
  <c r="P16" i="3"/>
  <c r="AB15" i="3"/>
  <c r="P15" i="3"/>
  <c r="AB14" i="3"/>
  <c r="P14" i="3"/>
  <c r="AB13" i="3"/>
  <c r="P13" i="3"/>
  <c r="AD13" i="3" s="1"/>
  <c r="AB12" i="3"/>
  <c r="P12" i="3"/>
  <c r="AD12" i="3" s="1"/>
  <c r="AB11" i="3"/>
  <c r="P11" i="3"/>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B3" i="3"/>
  <c r="P3" i="3"/>
  <c r="H3" i="3"/>
  <c r="T1333" i="3" l="1"/>
  <c r="Q754" i="3"/>
  <c r="Q1173" i="3"/>
  <c r="Q584" i="3"/>
  <c r="Q1015" i="3"/>
  <c r="T583" i="3"/>
  <c r="Q1267" i="3"/>
  <c r="I306" i="3"/>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E1449" i="3"/>
  <c r="T1367" i="3"/>
  <c r="T981" i="3"/>
  <c r="T986" i="3"/>
  <c r="Q560" i="3"/>
  <c r="Q1244" i="3"/>
  <c r="Q422" i="3"/>
  <c r="Q1370" i="3"/>
  <c r="Q428" i="3"/>
  <c r="T435" i="3"/>
  <c r="AD526" i="3"/>
  <c r="Q880" i="3"/>
  <c r="AD887" i="3"/>
  <c r="Q946" i="3"/>
  <c r="AD949" i="3"/>
  <c r="Q973" i="3"/>
  <c r="AD545" i="3"/>
  <c r="Q778" i="3"/>
  <c r="Q1116" i="3"/>
  <c r="Q403" i="3"/>
  <c r="T561" i="3"/>
  <c r="T576" i="3"/>
  <c r="T1168" i="3"/>
  <c r="Q536" i="3"/>
  <c r="T1157" i="3"/>
  <c r="T1247" i="3"/>
  <c r="Q405" i="3"/>
  <c r="Q482" i="3"/>
  <c r="Q535" i="3"/>
  <c r="T573" i="3"/>
  <c r="Q601" i="3"/>
  <c r="T758" i="3"/>
  <c r="T794" i="3"/>
  <c r="Q896" i="3"/>
  <c r="Q912" i="3"/>
  <c r="T930" i="3"/>
  <c r="T999" i="3"/>
  <c r="T1006" i="3"/>
  <c r="T1035" i="3"/>
  <c r="Q1059" i="3"/>
  <c r="Q1075" i="3"/>
  <c r="T1109" i="3"/>
  <c r="Q1175" i="3"/>
  <c r="T1184" i="3"/>
  <c r="T1237" i="3"/>
  <c r="Q496" i="3"/>
  <c r="AD513" i="3"/>
  <c r="AD557" i="3"/>
  <c r="Q565" i="3"/>
  <c r="T568" i="3"/>
  <c r="Q742" i="3"/>
  <c r="Q786" i="3"/>
  <c r="Q796" i="3"/>
  <c r="T1003" i="3"/>
  <c r="T1061" i="3"/>
  <c r="Q1077" i="3"/>
  <c r="Q1134" i="3"/>
  <c r="T1232" i="3"/>
  <c r="T1255" i="3"/>
  <c r="T1299" i="3"/>
  <c r="T1372" i="3"/>
  <c r="C4" i="3"/>
  <c r="B4" i="3" s="1"/>
  <c r="H4" i="3" s="1"/>
  <c r="Q322" i="3"/>
  <c r="T581" i="3"/>
  <c r="Q609" i="3"/>
  <c r="Q622" i="3"/>
  <c r="Q772" i="3"/>
  <c r="Q888" i="3"/>
  <c r="Q1047" i="3"/>
  <c r="Q1171" i="3"/>
  <c r="Q1186" i="3"/>
  <c r="T1231" i="3"/>
  <c r="AD771" i="3"/>
  <c r="Q771" i="3"/>
  <c r="AD1029" i="3"/>
  <c r="Q1029" i="3"/>
  <c r="Q908" i="3"/>
  <c r="T908" i="3"/>
  <c r="T924" i="3"/>
  <c r="Q924" i="3"/>
  <c r="Q54" i="3"/>
  <c r="Q55" i="3"/>
  <c r="AD434" i="3"/>
  <c r="AD455" i="3"/>
  <c r="T455" i="3"/>
  <c r="AD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AD544" i="3"/>
  <c r="T566" i="3"/>
  <c r="Q566" i="3"/>
  <c r="T574" i="3"/>
  <c r="AD602" i="3"/>
  <c r="Q750" i="3"/>
  <c r="T750" i="3"/>
  <c r="T800" i="3"/>
  <c r="Q800" i="3"/>
  <c r="Q927" i="3"/>
  <c r="AD927" i="3"/>
  <c r="Q979" i="3"/>
  <c r="T979" i="3"/>
  <c r="T1024" i="3"/>
  <c r="Q1024" i="3"/>
  <c r="Q1045" i="3"/>
  <c r="T1045" i="3"/>
  <c r="T1162" i="3"/>
  <c r="Q1162" i="3"/>
  <c r="T1174" i="3"/>
  <c r="Q1174" i="3"/>
  <c r="Q1334" i="3"/>
  <c r="T1334" i="3"/>
  <c r="AD433" i="3"/>
  <c r="T442" i="3"/>
  <c r="AD608" i="3"/>
  <c r="T608" i="3"/>
  <c r="AD774" i="3"/>
  <c r="T774" i="3"/>
  <c r="T914" i="3"/>
  <c r="Q914" i="3"/>
  <c r="T916" i="3"/>
  <c r="Q916" i="3"/>
  <c r="Q942" i="3"/>
  <c r="T942" i="3"/>
  <c r="T1040" i="3"/>
  <c r="Q1040" i="3"/>
  <c r="AD1192" i="3"/>
  <c r="T1192" i="3"/>
  <c r="AD1331" i="3"/>
  <c r="Q1331" i="3"/>
  <c r="T1359" i="3"/>
  <c r="Q1359" i="3"/>
  <c r="AD1421" i="3"/>
  <c r="AD1288" i="3"/>
  <c r="AD1342" i="3"/>
  <c r="AD446" i="3"/>
  <c r="Q884" i="3"/>
  <c r="T962" i="3"/>
  <c r="T1108" i="3"/>
  <c r="Q1172" i="3"/>
  <c r="T1251" i="3"/>
  <c r="Q1263" i="3"/>
  <c r="T1298" i="3"/>
  <c r="Q1385" i="3"/>
  <c r="Q48" i="3"/>
  <c r="T417" i="3"/>
  <c r="Q417" i="3"/>
  <c r="Q425" i="3"/>
  <c r="AD514" i="3"/>
  <c r="Q549" i="3"/>
  <c r="T549" i="3"/>
  <c r="T577" i="3"/>
  <c r="AD577" i="3"/>
  <c r="T593" i="3"/>
  <c r="AD593" i="3"/>
  <c r="T798" i="3"/>
  <c r="Q798" i="3"/>
  <c r="Q892" i="3"/>
  <c r="T892" i="3"/>
  <c r="Q950" i="3"/>
  <c r="T950" i="3"/>
  <c r="Q1027" i="3"/>
  <c r="T1027" i="3"/>
  <c r="Q1165" i="3"/>
  <c r="T1165" i="3"/>
  <c r="Q406" i="3"/>
  <c r="T479" i="3"/>
  <c r="T752" i="3"/>
  <c r="Q752" i="3"/>
  <c r="T762" i="3"/>
  <c r="Q762" i="3"/>
  <c r="Q1063" i="3"/>
  <c r="T1063" i="3"/>
  <c r="AD29" i="3"/>
  <c r="T416" i="3"/>
  <c r="Q416" i="3"/>
  <c r="T466" i="3"/>
  <c r="AD466" i="3"/>
  <c r="T548" i="3"/>
  <c r="Q548" i="3"/>
  <c r="T592" i="3"/>
  <c r="AD592" i="3"/>
  <c r="T594" i="3"/>
  <c r="AD594" i="3"/>
  <c r="AD1004" i="3"/>
  <c r="Q1004" i="3"/>
  <c r="Q1007" i="3"/>
  <c r="T1007" i="3"/>
  <c r="Q920" i="3"/>
  <c r="AD920" i="3"/>
  <c r="Q991" i="3"/>
  <c r="T991" i="3"/>
  <c r="Q1113" i="3"/>
  <c r="T1113" i="3"/>
  <c r="AD556" i="3"/>
  <c r="AD872" i="3"/>
  <c r="Q998" i="3"/>
  <c r="AD998" i="3"/>
  <c r="AD1144" i="3"/>
  <c r="T1240" i="3"/>
  <c r="T1079" i="3"/>
  <c r="AD1167" i="3"/>
  <c r="T1167" i="3"/>
  <c r="T1228" i="3"/>
  <c r="AD1297" i="3"/>
  <c r="AD1338" i="3"/>
  <c r="AD1339" i="3"/>
  <c r="Q1362" i="3"/>
  <c r="Q1365" i="3"/>
  <c r="Q1377" i="3"/>
  <c r="Q1383" i="3"/>
  <c r="T1429" i="3"/>
  <c r="AY11" i="3"/>
  <c r="AZ11" i="3" s="1"/>
  <c r="AW11" i="3"/>
  <c r="AX11" i="3" s="1"/>
  <c r="AY15" i="3"/>
  <c r="AZ15" i="3" s="1"/>
  <c r="AW15" i="3"/>
  <c r="AX15" i="3" s="1"/>
  <c r="AW21" i="3"/>
  <c r="AX21" i="3" s="1"/>
  <c r="AY21" i="3"/>
  <c r="AZ21" i="3" s="1"/>
  <c r="AD21" i="3"/>
  <c r="AW28" i="3"/>
  <c r="AX28" i="3" s="1"/>
  <c r="AY28" i="3"/>
  <c r="AZ28" i="3" s="1"/>
  <c r="AW32" i="3"/>
  <c r="AX32" i="3" s="1"/>
  <c r="AY32" i="3"/>
  <c r="AZ32" i="3" s="1"/>
  <c r="AY33" i="3"/>
  <c r="AZ33" i="3" s="1"/>
  <c r="AW33" i="3"/>
  <c r="AX33" i="3" s="1"/>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AY106" i="3"/>
  <c r="AZ106" i="3" s="1"/>
  <c r="AW106" i="3"/>
  <c r="AX106" i="3" s="1"/>
  <c r="T108" i="3"/>
  <c r="AY108" i="3"/>
  <c r="AZ108" i="3" s="1"/>
  <c r="AW108" i="3"/>
  <c r="AX108" i="3" s="1"/>
  <c r="T110" i="3"/>
  <c r="AY110" i="3"/>
  <c r="AZ110" i="3" s="1"/>
  <c r="AW110" i="3"/>
  <c r="AX110" i="3" s="1"/>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AW524" i="3"/>
  <c r="AX524" i="3" s="1"/>
  <c r="AY524" i="3"/>
  <c r="AZ524" i="3" s="1"/>
  <c r="AY531" i="3"/>
  <c r="AZ531" i="3" s="1"/>
  <c r="AW531" i="3"/>
  <c r="AX531" i="3" s="1"/>
  <c r="AY543" i="3"/>
  <c r="AZ543" i="3" s="1"/>
  <c r="AW543" i="3"/>
  <c r="AX543" i="3" s="1"/>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AW783" i="3"/>
  <c r="AX783" i="3" s="1"/>
  <c r="AY783" i="3"/>
  <c r="AZ783" i="3" s="1"/>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AY22" i="3"/>
  <c r="AZ22" i="3" s="1"/>
  <c r="AW22" i="3"/>
  <c r="AX22" i="3" s="1"/>
  <c r="AY27" i="3"/>
  <c r="AZ27" i="3" s="1"/>
  <c r="AW27" i="3"/>
  <c r="AX27" i="3" s="1"/>
  <c r="Q27" i="3"/>
  <c r="AY31" i="3"/>
  <c r="AZ31" i="3" s="1"/>
  <c r="AW31" i="3"/>
  <c r="AX31" i="3" s="1"/>
  <c r="AW37" i="3"/>
  <c r="AX37" i="3" s="1"/>
  <c r="AY37" i="3"/>
  <c r="AZ37" i="3" s="1"/>
  <c r="AD37" i="3"/>
  <c r="AY44" i="3"/>
  <c r="AZ44" i="3" s="1"/>
  <c r="AW44" i="3"/>
  <c r="AX44" i="3" s="1"/>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AW118" i="3"/>
  <c r="AX118" i="3" s="1"/>
  <c r="AY118" i="3"/>
  <c r="AZ118" i="3" s="1"/>
  <c r="AY121" i="3"/>
  <c r="AZ121" i="3" s="1"/>
  <c r="AW121" i="3"/>
  <c r="AX121" i="3" s="1"/>
  <c r="AW123" i="3"/>
  <c r="AX123" i="3" s="1"/>
  <c r="AY123" i="3"/>
  <c r="AZ123" i="3" s="1"/>
  <c r="AY125" i="3"/>
  <c r="AZ125" i="3" s="1"/>
  <c r="AW125" i="3"/>
  <c r="AX125" i="3" s="1"/>
  <c r="AW134" i="3"/>
  <c r="AX134" i="3" s="1"/>
  <c r="AY134" i="3"/>
  <c r="AZ134" i="3" s="1"/>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20" i="3"/>
  <c r="T21" i="3"/>
  <c r="T27" i="3"/>
  <c r="AY35" i="3"/>
  <c r="AZ35" i="3" s="1"/>
  <c r="AW35" i="3"/>
  <c r="AX35" i="3" s="1"/>
  <c r="AY36" i="3"/>
  <c r="AZ36" i="3" s="1"/>
  <c r="AW36" i="3"/>
  <c r="AX36" i="3" s="1"/>
  <c r="AD36"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3" i="3"/>
  <c r="AY64" i="3"/>
  <c r="AZ64" i="3" s="1"/>
  <c r="AW64" i="3"/>
  <c r="AX64" i="3" s="1"/>
  <c r="AW65" i="3"/>
  <c r="AX65" i="3" s="1"/>
  <c r="AY65" i="3"/>
  <c r="AZ65" i="3" s="1"/>
  <c r="T65" i="3"/>
  <c r="Q66" i="3"/>
  <c r="Q69" i="3"/>
  <c r="Q71" i="3"/>
  <c r="AY71" i="3"/>
  <c r="AZ71" i="3" s="1"/>
  <c r="AW71" i="3"/>
  <c r="AX71" i="3" s="1"/>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AW533" i="3"/>
  <c r="AX533" i="3" s="1"/>
  <c r="AY533" i="3"/>
  <c r="AZ533" i="3" s="1"/>
  <c r="AD533" i="3"/>
  <c r="Q537" i="3"/>
  <c r="AY538" i="3"/>
  <c r="AZ538" i="3" s="1"/>
  <c r="AW538" i="3"/>
  <c r="AX538" i="3" s="1"/>
  <c r="AW540" i="3"/>
  <c r="AX540" i="3" s="1"/>
  <c r="AY540" i="3"/>
  <c r="AZ540" i="3" s="1"/>
  <c r="AW541" i="3"/>
  <c r="AX541" i="3" s="1"/>
  <c r="AY541" i="3"/>
  <c r="AZ541" i="3" s="1"/>
  <c r="Q541" i="3"/>
  <c r="AW553" i="3"/>
  <c r="AX553" i="3" s="1"/>
  <c r="AY553" i="3"/>
  <c r="AZ553" i="3" s="1"/>
  <c r="AD553" i="3"/>
  <c r="Q559" i="3"/>
  <c r="AY563" i="3"/>
  <c r="AZ563" i="3" s="1"/>
  <c r="AW563" i="3"/>
  <c r="AX563" i="3" s="1"/>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AW5" i="3"/>
  <c r="AX5" i="3" s="1"/>
  <c r="AY5" i="3"/>
  <c r="AZ5" i="3" s="1"/>
  <c r="AW7" i="3"/>
  <c r="AX7" i="3" s="1"/>
  <c r="AY7" i="3"/>
  <c r="AZ7" i="3" s="1"/>
  <c r="T9" i="3"/>
  <c r="AY9" i="3"/>
  <c r="AZ9" i="3" s="1"/>
  <c r="AW9" i="3"/>
  <c r="AX9" i="3" s="1"/>
  <c r="AW12" i="3"/>
  <c r="AX12" i="3" s="1"/>
  <c r="AY12" i="3"/>
  <c r="AZ12" i="3" s="1"/>
  <c r="Q12" i="3"/>
  <c r="T13" i="3"/>
  <c r="AY16" i="3"/>
  <c r="AZ16" i="3" s="1"/>
  <c r="AW16" i="3"/>
  <c r="AX16" i="3" s="1"/>
  <c r="AY17" i="3"/>
  <c r="AZ17" i="3" s="1"/>
  <c r="AW17" i="3"/>
  <c r="AX17" i="3" s="1"/>
  <c r="AW18" i="3"/>
  <c r="AX18" i="3" s="1"/>
  <c r="AY18" i="3"/>
  <c r="AZ18" i="3" s="1"/>
  <c r="AW26" i="3"/>
  <c r="AX26" i="3" s="1"/>
  <c r="AY26" i="3"/>
  <c r="AZ26" i="3" s="1"/>
  <c r="AY29" i="3"/>
  <c r="AZ29" i="3" s="1"/>
  <c r="AW29" i="3"/>
  <c r="AX29" i="3" s="1"/>
  <c r="AD32" i="3"/>
  <c r="AD33" i="3"/>
  <c r="T43" i="3"/>
  <c r="AD44" i="3"/>
  <c r="AY48" i="3"/>
  <c r="AZ48" i="3" s="1"/>
  <c r="AW48" i="3"/>
  <c r="AX48" i="3" s="1"/>
  <c r="AY49" i="3"/>
  <c r="AZ49" i="3" s="1"/>
  <c r="AW49" i="3"/>
  <c r="AX49" i="3" s="1"/>
  <c r="T49" i="3"/>
  <c r="Q50" i="3"/>
  <c r="Q51" i="3"/>
  <c r="AY55" i="3"/>
  <c r="AZ55" i="3" s="1"/>
  <c r="AW55" i="3"/>
  <c r="AX55" i="3" s="1"/>
  <c r="AD55" i="3"/>
  <c r="AD56" i="3"/>
  <c r="AD59" i="3"/>
  <c r="AW61" i="3"/>
  <c r="AX61" i="3" s="1"/>
  <c r="AY61" i="3"/>
  <c r="AZ61" i="3" s="1"/>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AW359" i="3"/>
  <c r="AX359" i="3" s="1"/>
  <c r="AY359" i="3"/>
  <c r="AZ359" i="3" s="1"/>
  <c r="AY366" i="3"/>
  <c r="AZ366" i="3" s="1"/>
  <c r="AW366" i="3"/>
  <c r="AX366" i="3" s="1"/>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AY515" i="3"/>
  <c r="AZ515" i="3" s="1"/>
  <c r="AW515" i="3"/>
  <c r="AX515" i="3" s="1"/>
  <c r="T515" i="3"/>
  <c r="AY518" i="3"/>
  <c r="AZ518" i="3" s="1"/>
  <c r="AW518" i="3"/>
  <c r="AX518" i="3" s="1"/>
  <c r="AW520" i="3"/>
  <c r="AX520" i="3" s="1"/>
  <c r="AY520" i="3"/>
  <c r="AZ520" i="3" s="1"/>
  <c r="AD520" i="3"/>
  <c r="AY526" i="3"/>
  <c r="AZ526" i="3" s="1"/>
  <c r="AW526" i="3"/>
  <c r="AX526" i="3" s="1"/>
  <c r="AY527" i="3"/>
  <c r="AZ527" i="3" s="1"/>
  <c r="AW527" i="3"/>
  <c r="AX527" i="3" s="1"/>
  <c r="Q528" i="3"/>
  <c r="AY534" i="3"/>
  <c r="AZ534" i="3" s="1"/>
  <c r="AW534" i="3"/>
  <c r="AX534" i="3" s="1"/>
  <c r="T537" i="3"/>
  <c r="T541" i="3"/>
  <c r="AW544" i="3"/>
  <c r="AX544" i="3" s="1"/>
  <c r="AY544" i="3"/>
  <c r="AZ544" i="3" s="1"/>
  <c r="T544" i="3"/>
  <c r="AW545" i="3"/>
  <c r="AX545" i="3" s="1"/>
  <c r="AY545" i="3"/>
  <c r="AZ545" i="3" s="1"/>
  <c r="Q545" i="3"/>
  <c r="AW549" i="3"/>
  <c r="AX549" i="3" s="1"/>
  <c r="AY549" i="3"/>
  <c r="AZ549" i="3" s="1"/>
  <c r="AD549" i="3"/>
  <c r="AY554" i="3"/>
  <c r="AZ554" i="3" s="1"/>
  <c r="AW554" i="3"/>
  <c r="AX554" i="3" s="1"/>
  <c r="AW556" i="3"/>
  <c r="AX556" i="3" s="1"/>
  <c r="AY556" i="3"/>
  <c r="AZ556" i="3" s="1"/>
  <c r="T556" i="3"/>
  <c r="AW557" i="3"/>
  <c r="AX557" i="3" s="1"/>
  <c r="AY557" i="3"/>
  <c r="AZ557" i="3" s="1"/>
  <c r="Q557" i="3"/>
  <c r="Q563"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AW1095" i="3"/>
  <c r="AX1095" i="3" s="1"/>
  <c r="AY1095" i="3"/>
  <c r="AZ1095" i="3" s="1"/>
  <c r="AY1097" i="3"/>
  <c r="AZ1097" i="3" s="1"/>
  <c r="AW1097" i="3"/>
  <c r="AX1097" i="3" s="1"/>
  <c r="T1103" i="3"/>
  <c r="AY1103" i="3"/>
  <c r="AZ1103" i="3" s="1"/>
  <c r="AW1103" i="3"/>
  <c r="AX1103" i="3" s="1"/>
  <c r="AY1104" i="3"/>
  <c r="AZ1104" i="3" s="1"/>
  <c r="AW1104" i="3"/>
  <c r="AX1104" i="3" s="1"/>
  <c r="AD1104"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AY1442" i="3"/>
  <c r="AZ1442" i="3" s="1"/>
  <c r="AW1442" i="3"/>
  <c r="AX1442" i="3" s="1"/>
  <c r="T4" i="3"/>
  <c r="S4" i="3" s="1"/>
  <c r="AC4" i="3" s="1"/>
  <c r="AW4" i="3"/>
  <c r="AX4" i="3" s="1"/>
  <c r="AY4" i="3"/>
  <c r="AZ4" i="3" s="1"/>
  <c r="T6" i="3"/>
  <c r="AY6" i="3"/>
  <c r="AZ6" i="3" s="1"/>
  <c r="AW6" i="3"/>
  <c r="AX6" i="3" s="1"/>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T1101" i="3"/>
  <c r="AD1103" i="3"/>
  <c r="T1110" i="3"/>
  <c r="AY1113" i="3"/>
  <c r="AZ1113" i="3" s="1"/>
  <c r="AW1113" i="3"/>
  <c r="AX1113" i="3" s="1"/>
  <c r="AY1114" i="3"/>
  <c r="AZ1114" i="3" s="1"/>
  <c r="AW1114" i="3"/>
  <c r="AX1114" i="3" s="1"/>
  <c r="Q1115" i="3"/>
  <c r="AD1117" i="3"/>
  <c r="AD1118" i="3"/>
  <c r="AY1120" i="3"/>
  <c r="AZ1120" i="3" s="1"/>
  <c r="AW1120" i="3"/>
  <c r="AX1120" i="3" s="1"/>
  <c r="AY1122" i="3"/>
  <c r="AZ1122" i="3" s="1"/>
  <c r="AW1122" i="3"/>
  <c r="AX1122" i="3" s="1"/>
  <c r="AD1122"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AY1421" i="3"/>
  <c r="AZ1421" i="3" s="1"/>
  <c r="AW1421" i="3"/>
  <c r="AX1421" i="3" s="1"/>
  <c r="AY1422" i="3"/>
  <c r="AZ1422" i="3" s="1"/>
  <c r="AW1422" i="3"/>
  <c r="AX1422" i="3" s="1"/>
  <c r="Q1423" i="3"/>
  <c r="AY1424" i="3"/>
  <c r="AZ1424" i="3" s="1"/>
  <c r="AW1424" i="3"/>
  <c r="AX1424" i="3" s="1"/>
  <c r="AW1426" i="3"/>
  <c r="AX1426" i="3" s="1"/>
  <c r="AY1426" i="3"/>
  <c r="AZ1426" i="3" s="1"/>
  <c r="AD1430" i="3"/>
  <c r="AY1433" i="3"/>
  <c r="AZ1433" i="3" s="1"/>
  <c r="AW1433" i="3"/>
  <c r="AX1433" i="3" s="1"/>
  <c r="AW1436" i="3"/>
  <c r="AX1436" i="3" s="1"/>
  <c r="AY1436" i="3"/>
  <c r="AZ1436" i="3" s="1"/>
  <c r="AD1436" i="3"/>
  <c r="AY1440" i="3"/>
  <c r="AZ1440" i="3" s="1"/>
  <c r="AW1440" i="3"/>
  <c r="AX1440" i="3" s="1"/>
  <c r="AD1440" i="3"/>
  <c r="AD49" i="3"/>
  <c r="AD65" i="3"/>
  <c r="AD226" i="3"/>
  <c r="Q226" i="3"/>
  <c r="Q312" i="3"/>
  <c r="Q317" i="3"/>
  <c r="T317" i="3"/>
  <c r="Q436" i="3"/>
  <c r="Q452" i="3"/>
  <c r="Q462" i="3"/>
  <c r="AD462" i="3"/>
  <c r="T462" i="3"/>
  <c r="AD502" i="3"/>
  <c r="T502" i="3"/>
  <c r="Q502" i="3"/>
  <c r="AD756" i="3"/>
  <c r="T756" i="3"/>
  <c r="T893" i="3"/>
  <c r="Q893" i="3"/>
  <c r="AD893" i="3"/>
  <c r="T992" i="3"/>
  <c r="Q992" i="3"/>
  <c r="AD992" i="3"/>
  <c r="AD1092" i="3"/>
  <c r="Q879" i="3"/>
  <c r="AD879" i="3"/>
  <c r="T879" i="3"/>
  <c r="T889" i="3"/>
  <c r="Q889" i="3"/>
  <c r="AD889" i="3"/>
  <c r="T967" i="3"/>
  <c r="AD967" i="3"/>
  <c r="AD45" i="3"/>
  <c r="Q58"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AD11" i="3"/>
  <c r="T14" i="3"/>
  <c r="AD15" i="3"/>
  <c r="AD19" i="3"/>
  <c r="AD23" i="3"/>
  <c r="AD27" i="3"/>
  <c r="AD31" i="3"/>
  <c r="AD35" i="3"/>
  <c r="AD39" i="3"/>
  <c r="T42" i="3"/>
  <c r="AD43" i="3"/>
  <c r="Q45" i="3"/>
  <c r="AD46" i="3"/>
  <c r="T48" i="3"/>
  <c r="T58" i="3"/>
  <c r="Q61" i="3"/>
  <c r="AD62" i="3"/>
  <c r="T64" i="3"/>
  <c r="Q214" i="3"/>
  <c r="T277" i="3"/>
  <c r="T291" i="3"/>
  <c r="T294" i="3"/>
  <c r="Q294" i="3"/>
  <c r="T307" i="3"/>
  <c r="Q318" i="3"/>
  <c r="Q331" i="3"/>
  <c r="AD429" i="3"/>
  <c r="T429" i="3"/>
  <c r="Q429" i="3"/>
  <c r="AD475" i="3"/>
  <c r="T475" i="3"/>
  <c r="T478" i="3"/>
  <c r="AD478" i="3"/>
  <c r="Q478" i="3"/>
  <c r="AD605" i="3"/>
  <c r="T605" i="3"/>
  <c r="Q605" i="3"/>
  <c r="AD625" i="3"/>
  <c r="Q625" i="3"/>
  <c r="T727" i="3"/>
  <c r="Q743" i="3"/>
  <c r="T745" i="3"/>
  <c r="Q875" i="3"/>
  <c r="AD875" i="3"/>
  <c r="T875" i="3"/>
  <c r="AD945" i="3"/>
  <c r="T285" i="3"/>
  <c r="AD52" i="3"/>
  <c r="AD57" i="3"/>
  <c r="T318" i="3"/>
  <c r="AD402" i="3"/>
  <c r="T402" i="3"/>
  <c r="T404" i="3"/>
  <c r="Q404" i="3"/>
  <c r="AD408" i="3"/>
  <c r="Q408" i="3"/>
  <c r="T410" i="3"/>
  <c r="AD410" i="3"/>
  <c r="Q410" i="3"/>
  <c r="AD494" i="3"/>
  <c r="T494" i="3"/>
  <c r="Q494" i="3"/>
  <c r="AD522" i="3"/>
  <c r="T522" i="3"/>
  <c r="T524" i="3"/>
  <c r="AD524" i="3"/>
  <c r="Q524" i="3"/>
  <c r="T721" i="3"/>
  <c r="AD805" i="3"/>
  <c r="T805" i="3"/>
  <c r="Q14" i="3"/>
  <c r="Q42" i="3"/>
  <c r="AD194" i="3"/>
  <c r="Q194" i="3"/>
  <c r="Q230" i="3"/>
  <c r="Q328" i="3"/>
  <c r="T45" i="3"/>
  <c r="T61" i="3"/>
  <c r="AD10" i="3"/>
  <c r="AD14" i="3"/>
  <c r="AD18" i="3"/>
  <c r="AD22" i="3"/>
  <c r="AD26" i="3"/>
  <c r="AD30" i="3"/>
  <c r="AD34" i="3"/>
  <c r="AD38" i="3"/>
  <c r="AD42" i="3"/>
  <c r="AD58" i="3"/>
  <c r="T60" i="3"/>
  <c r="Q208" i="3"/>
  <c r="Q218" i="3"/>
  <c r="Q228" i="3"/>
  <c r="T292" i="3"/>
  <c r="Q292" i="3"/>
  <c r="T300" i="3"/>
  <c r="Q300" i="3"/>
  <c r="T308" i="3"/>
  <c r="Q308" i="3"/>
  <c r="Q316" i="3"/>
  <c r="Q402" i="3"/>
  <c r="T408" i="3"/>
  <c r="T423" i="3"/>
  <c r="Q423" i="3"/>
  <c r="AD423" i="3"/>
  <c r="Q464" i="3"/>
  <c r="Q522" i="3"/>
  <c r="AD603" i="3"/>
  <c r="T603" i="3"/>
  <c r="Q603" i="3"/>
  <c r="AD769" i="3"/>
  <c r="T909" i="3"/>
  <c r="Q909" i="3"/>
  <c r="AD909" i="3"/>
  <c r="AD53" i="3"/>
  <c r="T287" i="3"/>
  <c r="T314" i="3"/>
  <c r="T316" i="3"/>
  <c r="AD404" i="3"/>
  <c r="AD430" i="3"/>
  <c r="T467" i="3"/>
  <c r="AD467" i="3"/>
  <c r="Q467" i="3"/>
  <c r="AD492" i="3"/>
  <c r="T492" i="3"/>
  <c r="Q492" i="3"/>
  <c r="Q567" i="3"/>
  <c r="AD567" i="3"/>
  <c r="AD615" i="3"/>
  <c r="Q615" i="3"/>
  <c r="AD767" i="3"/>
  <c r="T905" i="3"/>
  <c r="Q905" i="3"/>
  <c r="AD905" i="3"/>
  <c r="T12" i="3"/>
  <c r="T20" i="3"/>
  <c r="T32" i="3"/>
  <c r="T50" i="3"/>
  <c r="Q53" i="3"/>
  <c r="T56" i="3"/>
  <c r="Q196" i="3"/>
  <c r="Q222" i="3"/>
  <c r="Q232" i="3"/>
  <c r="T284" i="3"/>
  <c r="Q314" i="3"/>
  <c r="T324" i="3"/>
  <c r="Q324" i="3"/>
  <c r="T341" i="3"/>
  <c r="AD413" i="3"/>
  <c r="T413" i="3"/>
  <c r="T415" i="3"/>
  <c r="Q415" i="3"/>
  <c r="AD419" i="3"/>
  <c r="Q419" i="3"/>
  <c r="Q430" i="3"/>
  <c r="Q448" i="3"/>
  <c r="AD597" i="3"/>
  <c r="T597" i="3"/>
  <c r="Q597" i="3"/>
  <c r="T646" i="3"/>
  <c r="Q891" i="3"/>
  <c r="AD891" i="3"/>
  <c r="AD508" i="3"/>
  <c r="AD510" i="3"/>
  <c r="AD516" i="3"/>
  <c r="AD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AD534" i="3"/>
  <c r="T534" i="3"/>
  <c r="Q534" i="3"/>
  <c r="AD550" i="3"/>
  <c r="T550" i="3"/>
  <c r="Q550" i="3"/>
  <c r="AD558" i="3"/>
  <c r="T563" i="3"/>
  <c r="Q572" i="3"/>
  <c r="Q580" i="3"/>
  <c r="Q588" i="3"/>
  <c r="Q619" i="3"/>
  <c r="Q631" i="3"/>
  <c r="Q672" i="3"/>
  <c r="Q680" i="3"/>
  <c r="T712" i="3"/>
  <c r="T718" i="3"/>
  <c r="T751" i="3"/>
  <c r="AD751" i="3"/>
  <c r="Q753" i="3"/>
  <c r="AD753" i="3"/>
  <c r="AD764" i="3"/>
  <c r="Q791" i="3"/>
  <c r="T793" i="3"/>
  <c r="AD902" i="3"/>
  <c r="T902" i="3"/>
  <c r="Q918" i="3"/>
  <c r="T931" i="3"/>
  <c r="AD931" i="3"/>
  <c r="Q931" i="3"/>
  <c r="Q943" i="3"/>
  <c r="AD953" i="3"/>
  <c r="AD495" i="3"/>
  <c r="AD503" i="3"/>
  <c r="T508" i="3"/>
  <c r="AD519" i="3"/>
  <c r="T572" i="3"/>
  <c r="T580" i="3"/>
  <c r="T588" i="3"/>
  <c r="AD621" i="3"/>
  <c r="Q621" i="3"/>
  <c r="AD628" i="3"/>
  <c r="T641" i="3"/>
  <c r="T644" i="3"/>
  <c r="T722" i="3"/>
  <c r="T725" i="3"/>
  <c r="Q751" i="3"/>
  <c r="T753" i="3"/>
  <c r="T775" i="3"/>
  <c r="AD775" i="3"/>
  <c r="Q777" i="3"/>
  <c r="AD777" i="3"/>
  <c r="AD788" i="3"/>
  <c r="AD803" i="3"/>
  <c r="T803" i="3"/>
  <c r="Q803" i="3"/>
  <c r="AD873" i="3"/>
  <c r="AD886" i="3"/>
  <c r="T886" i="3"/>
  <c r="Q902" i="3"/>
  <c r="AD938" i="3"/>
  <c r="T951" i="3"/>
  <c r="AD951" i="3"/>
  <c r="T310" i="3"/>
  <c r="Q315" i="3"/>
  <c r="T326" i="3"/>
  <c r="AD405" i="3"/>
  <c r="AD416" i="3"/>
  <c r="T421" i="3"/>
  <c r="T427" i="3"/>
  <c r="AD450" i="3"/>
  <c r="T450" i="3"/>
  <c r="Q450" i="3"/>
  <c r="T486" i="3"/>
  <c r="Q488" i="3"/>
  <c r="Q495" i="3"/>
  <c r="T497" i="3"/>
  <c r="Q503" i="3"/>
  <c r="T505" i="3"/>
  <c r="T513" i="3"/>
  <c r="AD565" i="3"/>
  <c r="AD596" i="3"/>
  <c r="T596" i="3"/>
  <c r="AD598" i="3"/>
  <c r="AD604" i="3"/>
  <c r="T604" i="3"/>
  <c r="AD606" i="3"/>
  <c r="AD612" i="3"/>
  <c r="T612" i="3"/>
  <c r="Q628" i="3"/>
  <c r="T653" i="3"/>
  <c r="Q678" i="3"/>
  <c r="T713" i="3"/>
  <c r="T719" i="3"/>
  <c r="AD748" i="3"/>
  <c r="Q775" i="3"/>
  <c r="T777" i="3"/>
  <c r="Q788" i="3"/>
  <c r="T799" i="3"/>
  <c r="AD799" i="3"/>
  <c r="Q801" i="3"/>
  <c r="AD801" i="3"/>
  <c r="T870" i="3"/>
  <c r="Q870" i="3"/>
  <c r="Q886" i="3"/>
  <c r="T926" i="3"/>
  <c r="Q926" i="3"/>
  <c r="AD928" i="3"/>
  <c r="T92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AD521" i="3"/>
  <c r="T521" i="3"/>
  <c r="Q521"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AD538" i="3"/>
  <c r="AD546" i="3"/>
  <c r="T546" i="3"/>
  <c r="Q546" i="3"/>
  <c r="AD554" i="3"/>
  <c r="AD562" i="3"/>
  <c r="T562" i="3"/>
  <c r="Q562" i="3"/>
  <c r="AD618" i="3"/>
  <c r="T618" i="3"/>
  <c r="AD783" i="3"/>
  <c r="Q785" i="3"/>
  <c r="AD785" i="3"/>
  <c r="AD796" i="3"/>
  <c r="T868" i="3"/>
  <c r="Q868" i="3"/>
  <c r="Q895" i="3"/>
  <c r="AD895" i="3"/>
  <c r="T895" i="3"/>
  <c r="Q907" i="3"/>
  <c r="AD907" i="3"/>
  <c r="T921" i="3"/>
  <c r="Q921" i="3"/>
  <c r="T969" i="3"/>
  <c r="AD969" i="3"/>
  <c r="Q969" i="3"/>
  <c r="T996" i="3"/>
  <c r="Q996" i="3"/>
  <c r="AD996" i="3"/>
  <c r="AD981" i="3"/>
  <c r="T988" i="3"/>
  <c r="Q988" i="3"/>
  <c r="Q994" i="3"/>
  <c r="T1012" i="3"/>
  <c r="AD1012" i="3"/>
  <c r="AD1145" i="3"/>
  <c r="AD1155" i="3"/>
  <c r="AD1235" i="3"/>
  <c r="T1235" i="3"/>
  <c r="Q1235" i="3"/>
  <c r="AD1249" i="3"/>
  <c r="T1249" i="3"/>
  <c r="Q1249" i="3"/>
  <c r="AD1274" i="3"/>
  <c r="T1274" i="3"/>
  <c r="Q1274" i="3"/>
  <c r="T696" i="3"/>
  <c r="T705" i="3"/>
  <c r="T728" i="3"/>
  <c r="Q866" i="3"/>
  <c r="AD874" i="3"/>
  <c r="AD890" i="3"/>
  <c r="AD906" i="3"/>
  <c r="T976" i="3"/>
  <c r="Q976" i="3"/>
  <c r="Q978" i="3"/>
  <c r="AD989" i="3"/>
  <c r="AD994" i="3"/>
  <c r="AD1013" i="3"/>
  <c r="Q1013" i="3"/>
  <c r="T1013" i="3"/>
  <c r="Q1102" i="3"/>
  <c r="AD1102" i="3"/>
  <c r="T1102" i="3"/>
  <c r="AD1140" i="3"/>
  <c r="Q1140" i="3"/>
  <c r="Q1266" i="3"/>
  <c r="AD1266" i="3"/>
  <c r="T1266" i="3"/>
  <c r="Q319" i="3"/>
  <c r="Q321" i="3"/>
  <c r="Q323" i="3"/>
  <c r="Q325" i="3"/>
  <c r="Q327" i="3"/>
  <c r="Q329" i="3"/>
  <c r="T363" i="3"/>
  <c r="Q409" i="3"/>
  <c r="Q412" i="3"/>
  <c r="Q420" i="3"/>
  <c r="Q499" i="3"/>
  <c r="Q507" i="3"/>
  <c r="Q515"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906" i="3"/>
  <c r="Q915" i="3"/>
  <c r="Q922" i="3"/>
  <c r="T927" i="3"/>
  <c r="AD973" i="3"/>
  <c r="T978" i="3"/>
  <c r="Q989" i="3"/>
  <c r="AD993" i="3"/>
  <c r="T1000" i="3"/>
  <c r="AD1000" i="3"/>
  <c r="T1087" i="3"/>
  <c r="AD1087" i="3"/>
  <c r="AD1107" i="3"/>
  <c r="AD1156" i="3"/>
  <c r="T1156" i="3"/>
  <c r="T1161" i="3"/>
  <c r="Q1161" i="3"/>
  <c r="AD1161" i="3"/>
  <c r="T697" i="3"/>
  <c r="T720" i="3"/>
  <c r="T729" i="3"/>
  <c r="Q757" i="3"/>
  <c r="Q781" i="3"/>
  <c r="Q789" i="3"/>
  <c r="Q797" i="3"/>
  <c r="AD878" i="3"/>
  <c r="AD894" i="3"/>
  <c r="AD910" i="3"/>
  <c r="T939" i="3"/>
  <c r="T947" i="3"/>
  <c r="T955" i="3"/>
  <c r="T963" i="3"/>
  <c r="T971" i="3"/>
  <c r="T980" i="3"/>
  <c r="Q980" i="3"/>
  <c r="Q982" i="3"/>
  <c r="AD997" i="3"/>
  <c r="AD1039" i="3"/>
  <c r="T1039" i="3"/>
  <c r="Q1039" i="3"/>
  <c r="Q1132" i="3"/>
  <c r="AD1132" i="3"/>
  <c r="Q1156" i="3"/>
  <c r="Q623" i="3"/>
  <c r="Q626" i="3"/>
  <c r="T652" i="3"/>
  <c r="T706" i="3"/>
  <c r="T726" i="3"/>
  <c r="T757"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865" i="3"/>
  <c r="AD882" i="3"/>
  <c r="AD914" i="3"/>
  <c r="T923" i="3"/>
  <c r="T984" i="3"/>
  <c r="Q984" i="3"/>
  <c r="Q990" i="3"/>
  <c r="AD1001" i="3"/>
  <c r="T1001" i="3"/>
  <c r="Q1001" i="3"/>
  <c r="T1016" i="3"/>
  <c r="Q1016" i="3"/>
  <c r="Q1025" i="3"/>
  <c r="T1025" i="3"/>
  <c r="T1034" i="3"/>
  <c r="AD1034" i="3"/>
  <c r="AD1089"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Q1094" i="3"/>
  <c r="AD1095" i="3"/>
  <c r="Q1413" i="3"/>
  <c r="Q867" i="3"/>
  <c r="Q933" i="3"/>
  <c r="Q940"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8" i="3"/>
  <c r="Q1070" i="3"/>
  <c r="Q1073" i="3"/>
  <c r="Q1076" i="3"/>
  <c r="Q1078" i="3"/>
  <c r="Q1084" i="3"/>
  <c r="Q1086" i="3"/>
  <c r="AD1091" i="3"/>
  <c r="T1094" i="3"/>
  <c r="AD1105" i="3"/>
  <c r="Q1138" i="3"/>
  <c r="Q1154" i="3"/>
  <c r="T1170" i="3"/>
  <c r="Q1170" i="3"/>
  <c r="AD1226" i="3"/>
  <c r="T1226" i="3"/>
  <c r="Q1226" i="3"/>
  <c r="AD1304" i="3"/>
  <c r="T1396" i="3"/>
  <c r="T1029" i="3"/>
  <c r="T1042" i="3"/>
  <c r="AD1097" i="3"/>
  <c r="Q1097" i="3"/>
  <c r="AD1146" i="3"/>
  <c r="Q1157" i="3"/>
  <c r="AD1163" i="3"/>
  <c r="T1163" i="3"/>
  <c r="AD1178" i="3"/>
  <c r="AD1256" i="3"/>
  <c r="T1256" i="3"/>
  <c r="Q1256"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AD1128" i="3"/>
  <c r="AD1136" i="3"/>
  <c r="AD1152" i="3"/>
  <c r="T1160" i="3"/>
  <c r="Q1160"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328" i="3"/>
  <c r="AD1335" i="3"/>
  <c r="T1351" i="3"/>
  <c r="AD1351" i="3"/>
  <c r="T1366" i="3"/>
  <c r="AD1366" i="3"/>
  <c r="Q1366" i="3"/>
  <c r="Q1380" i="3"/>
  <c r="AD1426" i="3"/>
  <c r="AD1433" i="3"/>
  <c r="T1210" i="3"/>
  <c r="AD1261" i="3"/>
  <c r="Q1261" i="3"/>
  <c r="T1261" i="3"/>
  <c r="AD1286" i="3"/>
  <c r="Q1286" i="3"/>
  <c r="AD1329" i="3"/>
  <c r="Q1329" i="3"/>
  <c r="AD1380" i="3"/>
  <c r="T1408" i="3"/>
  <c r="Q1408" i="3"/>
  <c r="AD1424" i="3"/>
  <c r="T1424" i="3"/>
  <c r="Q1424" i="3"/>
  <c r="AD1227" i="3"/>
  <c r="AD1230" i="3"/>
  <c r="T1230" i="3"/>
  <c r="Q1230" i="3"/>
  <c r="AD1242" i="3"/>
  <c r="T1242" i="3"/>
  <c r="Q1242" i="3"/>
  <c r="AD1250" i="3"/>
  <c r="Q1258" i="3"/>
  <c r="AD1258" i="3"/>
  <c r="AD1276" i="3"/>
  <c r="T1276" i="3"/>
  <c r="T1289" i="3"/>
  <c r="AD1289" i="3"/>
  <c r="Q1289" i="3"/>
  <c r="AD1302" i="3"/>
  <c r="Q1302" i="3"/>
  <c r="AD1324" i="3"/>
  <c r="T1324" i="3"/>
  <c r="Q1324" i="3"/>
  <c r="AD1332" i="3"/>
  <c r="AD1340" i="3"/>
  <c r="T1340" i="3"/>
  <c r="AD1363" i="3"/>
  <c r="T1363" i="3"/>
  <c r="Q1363" i="3"/>
  <c r="T1402" i="3"/>
  <c r="T1405" i="3"/>
  <c r="Q1405" i="3"/>
  <c r="AD1441" i="3"/>
  <c r="AD1239" i="3"/>
  <c r="AD1246" i="3"/>
  <c r="T1246" i="3"/>
  <c r="T1262" i="3"/>
  <c r="Q1357" i="3"/>
  <c r="AD1371" i="3"/>
  <c r="T1400" i="3"/>
  <c r="AD1172" i="3"/>
  <c r="T1187" i="3"/>
  <c r="T1190" i="3"/>
  <c r="T1227"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AD1231" i="3"/>
  <c r="AD1234" i="3"/>
  <c r="AD1243" i="3"/>
  <c r="AD1264" i="3"/>
  <c r="T1264" i="3"/>
  <c r="Q1264" i="3"/>
  <c r="AD1294" i="3"/>
  <c r="Q1294" i="3"/>
  <c r="Q1296" i="3"/>
  <c r="AD1300" i="3"/>
  <c r="T1325" i="3"/>
  <c r="AD1337" i="3"/>
  <c r="Q1337" i="3"/>
  <c r="AD1345" i="3"/>
  <c r="Q1345" i="3"/>
  <c r="T1364" i="3"/>
  <c r="Q1372" i="3"/>
  <c r="T1398" i="3"/>
  <c r="T1252" i="3"/>
  <c r="AD1326" i="3"/>
  <c r="Q1326" i="3"/>
  <c r="Q1360" i="3"/>
  <c r="Q1368" i="3"/>
  <c r="Q1376" i="3"/>
  <c r="T1394" i="3"/>
  <c r="AD1419" i="3"/>
  <c r="AD1425" i="3"/>
  <c r="AD1427" i="3"/>
  <c r="Q1192" i="3"/>
  <c r="AD1245" i="3"/>
  <c r="Q1252" i="3"/>
  <c r="AD1295" i="3"/>
  <c r="T1297" i="3"/>
  <c r="T1326" i="3"/>
  <c r="Q1339" i="3"/>
  <c r="Q1343" i="3"/>
  <c r="Q1350" i="3"/>
  <c r="T1360" i="3"/>
  <c r="T1368" i="3"/>
  <c r="T1376" i="3"/>
  <c r="Q1419" i="3"/>
  <c r="Q1427" i="3"/>
  <c r="T1248" i="3"/>
  <c r="T1273" i="3"/>
  <c r="Q1293" i="3"/>
  <c r="Q1336" i="3"/>
  <c r="T1346" i="3"/>
  <c r="AD1355" i="3"/>
  <c r="Q1414" i="3"/>
  <c r="T1419" i="3"/>
  <c r="T1427" i="3"/>
  <c r="Q1248" i="3"/>
  <c r="Q1259" i="3"/>
  <c r="Q1273" i="3"/>
  <c r="T1288" i="3"/>
  <c r="T1293" i="3"/>
  <c r="Q1303" i="3"/>
  <c r="T1331" i="3"/>
  <c r="T1336" i="3"/>
  <c r="T1338" i="3"/>
  <c r="Q1342" i="3"/>
  <c r="Q1346" i="3"/>
  <c r="AD1353" i="3"/>
  <c r="Q1353" i="3"/>
  <c r="AD1359" i="3"/>
  <c r="T1362" i="3"/>
  <c r="AD1367" i="3"/>
  <c r="T1370" i="3"/>
  <c r="AD1375" i="3"/>
  <c r="T1378" i="3"/>
  <c r="AD1383" i="3"/>
  <c r="T1386" i="3"/>
  <c r="T1409" i="3"/>
  <c r="AD1432" i="3"/>
  <c r="AD1434" i="3"/>
  <c r="Q1417" i="3"/>
  <c r="Q1430" i="3"/>
  <c r="Q1439" i="3"/>
  <c r="AD1442" i="3"/>
  <c r="T1417" i="3"/>
  <c r="E6" i="3"/>
  <c r="D5" i="3"/>
  <c r="Q5" i="3" s="1"/>
  <c r="AD103" i="3"/>
  <c r="Q103" i="3"/>
  <c r="AD111" i="3"/>
  <c r="Q111" i="3"/>
  <c r="AD119" i="3"/>
  <c r="AD127" i="3"/>
  <c r="Q127" i="3"/>
  <c r="AD135" i="3"/>
  <c r="AD143" i="3"/>
  <c r="AD145" i="3"/>
  <c r="Q145" i="3"/>
  <c r="AD149" i="3"/>
  <c r="Q149" i="3"/>
  <c r="AD153" i="3"/>
  <c r="AD157" i="3"/>
  <c r="Q157" i="3"/>
  <c r="AD161" i="3"/>
  <c r="Q161" i="3"/>
  <c r="AD165" i="3"/>
  <c r="Q165" i="3"/>
  <c r="AD169" i="3"/>
  <c r="Q169" i="3"/>
  <c r="AD173" i="3"/>
  <c r="AD177" i="3"/>
  <c r="Q177" i="3"/>
  <c r="AD181" i="3"/>
  <c r="Q181" i="3"/>
  <c r="AD185" i="3"/>
  <c r="Q185" i="3"/>
  <c r="T185" i="3"/>
  <c r="Q3" i="3"/>
  <c r="R3" i="3" s="1"/>
  <c r="AD3" i="3"/>
  <c r="Q4" i="3"/>
  <c r="AD4" i="3"/>
  <c r="AD5" i="3"/>
  <c r="Q6" i="3"/>
  <c r="AD6" i="3"/>
  <c r="AD7" i="3"/>
  <c r="AD8" i="3"/>
  <c r="Q9" i="3"/>
  <c r="AD9" i="3"/>
  <c r="AD66" i="3"/>
  <c r="T67" i="3"/>
  <c r="T69" i="3"/>
  <c r="T71" i="3"/>
  <c r="T75" i="3"/>
  <c r="T77" i="3"/>
  <c r="T87" i="3"/>
  <c r="T89" i="3"/>
  <c r="T91" i="3"/>
  <c r="T93" i="3"/>
  <c r="T95" i="3"/>
  <c r="AD105" i="3"/>
  <c r="Q105" i="3"/>
  <c r="AD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44" i="3"/>
  <c r="Q144" i="3"/>
  <c r="AD98" i="3"/>
  <c r="Q98" i="3"/>
  <c r="T105" i="3"/>
  <c r="AD106"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AD179" i="3"/>
  <c r="Q179" i="3"/>
  <c r="AD136" i="3"/>
  <c r="Q68" i="3"/>
  <c r="Q70" i="3"/>
  <c r="Q72" i="3"/>
  <c r="Q76" i="3"/>
  <c r="Q78" i="3"/>
  <c r="Q80" i="3"/>
  <c r="Q82" i="3"/>
  <c r="Q86" i="3"/>
  <c r="Q88" i="3"/>
  <c r="Q90" i="3"/>
  <c r="Q94" i="3"/>
  <c r="T99" i="3"/>
  <c r="AD100" i="3"/>
  <c r="Q100" i="3"/>
  <c r="T107" i="3"/>
  <c r="AD108" i="3"/>
  <c r="Q108" i="3"/>
  <c r="T115" i="3"/>
  <c r="AD116" i="3"/>
  <c r="Q116" i="3"/>
  <c r="T123" i="3"/>
  <c r="AD124" i="3"/>
  <c r="Q124" i="3"/>
  <c r="T131" i="3"/>
  <c r="T139" i="3"/>
  <c r="AD140" i="3"/>
  <c r="Q140" i="3"/>
  <c r="T147" i="3"/>
  <c r="T151" i="3"/>
  <c r="T155" i="3"/>
  <c r="T159" i="3"/>
  <c r="T163" i="3"/>
  <c r="T167" i="3"/>
  <c r="T171" i="3"/>
  <c r="T179" i="3"/>
  <c r="AD184" i="3"/>
  <c r="Q184" i="3"/>
  <c r="T184" i="3"/>
  <c r="AD104" i="3"/>
  <c r="Q104" i="3"/>
  <c r="T66" i="3"/>
  <c r="AD67" i="3"/>
  <c r="T68" i="3"/>
  <c r="AD69" i="3"/>
  <c r="T70" i="3"/>
  <c r="AD71" i="3"/>
  <c r="T72" i="3"/>
  <c r="AD73" i="3"/>
  <c r="AD75" i="3"/>
  <c r="T76" i="3"/>
  <c r="AD77" i="3"/>
  <c r="T78" i="3"/>
  <c r="T80" i="3"/>
  <c r="AD81" i="3"/>
  <c r="T82" i="3"/>
  <c r="AD85" i="3"/>
  <c r="T86" i="3"/>
  <c r="AD87" i="3"/>
  <c r="T88" i="3"/>
  <c r="AD89" i="3"/>
  <c r="T90" i="3"/>
  <c r="AD91" i="3"/>
  <c r="AD93" i="3"/>
  <c r="T94" i="3"/>
  <c r="AD95" i="3"/>
  <c r="AD97" i="3"/>
  <c r="AD101" i="3"/>
  <c r="AD109" i="3"/>
  <c r="Q109" i="3"/>
  <c r="AD117" i="3"/>
  <c r="AD125" i="3"/>
  <c r="Q125" i="3"/>
  <c r="AD133" i="3"/>
  <c r="Q133" i="3"/>
  <c r="AD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AD120" i="3"/>
  <c r="AD102" i="3"/>
  <c r="Q102" i="3"/>
  <c r="T109" i="3"/>
  <c r="AD110" i="3"/>
  <c r="Q110" i="3"/>
  <c r="AD118" i="3"/>
  <c r="T125" i="3"/>
  <c r="AD126" i="3"/>
  <c r="Q126" i="3"/>
  <c r="T133" i="3"/>
  <c r="AD142" i="3"/>
  <c r="T146" i="3"/>
  <c r="T150" i="3"/>
  <c r="T154" i="3"/>
  <c r="Q189" i="3"/>
  <c r="Q191" i="3"/>
  <c r="Q193" i="3"/>
  <c r="Q195" i="3"/>
  <c r="Q197" i="3"/>
  <c r="Q199" i="3"/>
  <c r="Q201" i="3"/>
  <c r="Q203" i="3"/>
  <c r="Q205" i="3"/>
  <c r="Q207" i="3"/>
  <c r="Q209" i="3"/>
  <c r="Q211" i="3"/>
  <c r="Q213" i="3"/>
  <c r="Q215" i="3"/>
  <c r="Q217" i="3"/>
  <c r="Q219" i="3"/>
  <c r="Q223" i="3"/>
  <c r="Q227" i="3"/>
  <c r="Q231" i="3"/>
  <c r="Q233" i="3"/>
  <c r="AD240" i="3"/>
  <c r="Q240" i="3"/>
  <c r="AD248" i="3"/>
  <c r="Q248" i="3"/>
  <c r="T189" i="3"/>
  <c r="T191" i="3"/>
  <c r="T193" i="3"/>
  <c r="T195" i="3"/>
  <c r="T197" i="3"/>
  <c r="T199" i="3"/>
  <c r="T201" i="3"/>
  <c r="T203" i="3"/>
  <c r="T205" i="3"/>
  <c r="T207" i="3"/>
  <c r="T209" i="3"/>
  <c r="T211" i="3"/>
  <c r="T213" i="3"/>
  <c r="T215" i="3"/>
  <c r="T217" i="3"/>
  <c r="T219" i="3"/>
  <c r="T223" i="3"/>
  <c r="T227"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AD360" i="3"/>
  <c r="Q360" i="3"/>
  <c r="AD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AD357" i="3"/>
  <c r="T360" i="3"/>
  <c r="AD361" i="3"/>
  <c r="Q361"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8" i="3"/>
  <c r="Q358" i="3"/>
  <c r="AD362" i="3"/>
  <c r="Q362" i="3"/>
  <c r="AD366"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4" i="3"/>
  <c r="AD295" i="3"/>
  <c r="AD297" i="3"/>
  <c r="AD298"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8" i="3"/>
  <c r="AD359" i="3"/>
  <c r="Q359" i="3"/>
  <c r="T362" i="3"/>
  <c r="AD363" i="3"/>
  <c r="Q363" i="3"/>
  <c r="AD367" i="3"/>
  <c r="Q367" i="3"/>
  <c r="AD371" i="3"/>
  <c r="T373" i="3"/>
  <c r="AD379" i="3"/>
  <c r="Q379" i="3"/>
  <c r="T381" i="3"/>
  <c r="T437" i="3"/>
  <c r="Q437" i="3"/>
  <c r="AD437" i="3"/>
  <c r="T336" i="3"/>
  <c r="AD338" i="3"/>
  <c r="Q338" i="3"/>
  <c r="T344" i="3"/>
  <c r="AD346" i="3"/>
  <c r="Q346" i="3"/>
  <c r="T352"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Q441" i="3"/>
  <c r="AD443" i="3"/>
  <c r="T447" i="3"/>
  <c r="Q449" i="3"/>
  <c r="AD451" i="3"/>
  <c r="T456" i="3"/>
  <c r="Q457" i="3"/>
  <c r="AD460" i="3"/>
  <c r="T464" i="3"/>
  <c r="Q465" i="3"/>
  <c r="AD468" i="3"/>
  <c r="T472" i="3"/>
  <c r="Q473" i="3"/>
  <c r="AD476"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AD1131" i="3"/>
  <c r="AD1125" i="3"/>
  <c r="T1141" i="3"/>
  <c r="Q1141" i="3"/>
  <c r="AD1141" i="3"/>
  <c r="AD1123" i="3"/>
  <c r="Q1139" i="3"/>
  <c r="AD1139" i="3"/>
  <c r="Q1135" i="3"/>
  <c r="Q1143" i="3"/>
  <c r="T1151" i="3"/>
  <c r="T1135" i="3"/>
  <c r="T1143" i="3"/>
  <c r="AD1114" i="3"/>
  <c r="T1124" i="3"/>
  <c r="T1132" i="3"/>
  <c r="Q1137" i="3"/>
  <c r="T1140" i="3"/>
  <c r="T1148" i="3"/>
  <c r="T1152" i="3"/>
  <c r="T1116" i="3"/>
  <c r="T1117" i="3"/>
  <c r="T1118" i="3"/>
  <c r="T1119" i="3"/>
  <c r="T1149" i="3"/>
  <c r="T1153" i="3"/>
  <c r="AD1111" i="3"/>
  <c r="AD1113" i="3"/>
  <c r="AD1115" i="3"/>
  <c r="T1128" i="3"/>
  <c r="T1136" i="3"/>
  <c r="AD1147" i="3"/>
  <c r="AD1151" i="3"/>
  <c r="T1154" i="3"/>
  <c r="AD1194" i="3"/>
  <c r="Q1194" i="3"/>
  <c r="T1194" i="3"/>
  <c r="AD1208" i="3"/>
  <c r="Q1208" i="3"/>
  <c r="T1208" i="3"/>
  <c r="AD1199" i="3"/>
  <c r="Q1199" i="3"/>
  <c r="T1199" i="3"/>
  <c r="AD1202" i="3"/>
  <c r="Q1202" i="3"/>
  <c r="T1202" i="3"/>
  <c r="AD1196" i="3"/>
  <c r="AD1204" i="3"/>
  <c r="Q1204" i="3"/>
  <c r="AD1193" i="3"/>
  <c r="Q1193" i="3"/>
  <c r="AD1201" i="3"/>
  <c r="Q1201" i="3"/>
  <c r="AD1209" i="3"/>
  <c r="Q1209" i="3"/>
  <c r="AD1198" i="3"/>
  <c r="Q1198" i="3"/>
  <c r="T1204" i="3"/>
  <c r="AD1206" i="3"/>
  <c r="Q1206" i="3"/>
  <c r="T1193" i="3"/>
  <c r="T1201" i="3"/>
  <c r="AD1203" i="3"/>
  <c r="Q1203" i="3"/>
  <c r="T1209" i="3"/>
  <c r="T1198" i="3"/>
  <c r="AD1200" i="3"/>
  <c r="Q1200" i="3"/>
  <c r="T1206" i="3"/>
  <c r="AD1197" i="3"/>
  <c r="AD1205" i="3"/>
  <c r="Q1205" i="3"/>
  <c r="AD1207" i="3"/>
  <c r="Q1210" i="3"/>
  <c r="AD1210" i="3"/>
  <c r="Q1211" i="3"/>
  <c r="AD1211" i="3"/>
  <c r="Q1212" i="3"/>
  <c r="AD1212" i="3"/>
  <c r="Q1213" i="3"/>
  <c r="AD1213" i="3"/>
  <c r="AD1214"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AD1320" i="3"/>
  <c r="T1307" i="3"/>
  <c r="AD1308" i="3"/>
  <c r="Q1308" i="3"/>
  <c r="T1311" i="3"/>
  <c r="AD1312" i="3"/>
  <c r="AD1313" i="3"/>
  <c r="AD1314" i="3"/>
  <c r="AD1315" i="3"/>
  <c r="AD1316" i="3"/>
  <c r="AD1317" i="3"/>
  <c r="AD1318" i="3"/>
  <c r="Q1318" i="3"/>
  <c r="AD1319" i="3"/>
  <c r="T1302"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0" i="3"/>
  <c r="T1411" i="3"/>
  <c r="T1412" i="3"/>
  <c r="T1413" i="3"/>
  <c r="T1414" i="3"/>
  <c r="T1415" i="3"/>
  <c r="AD1393" i="3"/>
  <c r="Q1394" i="3"/>
  <c r="AD1394" i="3"/>
  <c r="Q1395" i="3"/>
  <c r="AD1395" i="3"/>
  <c r="Q1396" i="3"/>
  <c r="AD1396" i="3"/>
  <c r="Q1397" i="3"/>
  <c r="AD1397" i="3"/>
  <c r="Q1398" i="3"/>
  <c r="AD1398" i="3"/>
  <c r="Q1399" i="3"/>
  <c r="AD1399" i="3"/>
  <c r="Q1400" i="3"/>
  <c r="AD1400" i="3"/>
  <c r="Q1401" i="3"/>
  <c r="AD1401" i="3"/>
  <c r="Q1402" i="3"/>
  <c r="AD1402" i="3"/>
  <c r="Q1403" i="3"/>
  <c r="AD1403" i="3"/>
  <c r="T5" i="3" l="1"/>
  <c r="S5" i="3" s="1"/>
  <c r="AC5" i="3" s="1"/>
  <c r="E1450" i="3"/>
  <c r="W3" i="3"/>
  <c r="C5" i="3"/>
  <c r="R4" i="3"/>
  <c r="W4" i="3" s="1"/>
  <c r="E7" i="3"/>
  <c r="D6" i="3"/>
  <c r="E1451" i="3" l="1"/>
  <c r="C6" i="3"/>
  <c r="S6" i="3"/>
  <c r="AC6" i="3" s="1"/>
  <c r="B5" i="3"/>
  <c r="H5" i="3" s="1"/>
  <c r="R5" i="3" s="1"/>
  <c r="W5" i="3" s="1"/>
  <c r="D7" i="3"/>
  <c r="E8" i="3"/>
  <c r="T7" i="3" l="1"/>
  <c r="S7" i="3" s="1"/>
  <c r="AC7" i="3" s="1"/>
  <c r="Q7" i="3"/>
  <c r="E1452" i="3"/>
  <c r="C7" i="3"/>
  <c r="H6" i="3"/>
  <c r="R6" i="3" s="1"/>
  <c r="W6" i="3" s="1"/>
  <c r="B6" i="3"/>
  <c r="D8" i="3"/>
  <c r="E9" i="3"/>
  <c r="B7" i="3" l="1"/>
  <c r="Q8" i="3"/>
  <c r="T8" i="3"/>
  <c r="S8" i="3" s="1"/>
  <c r="AC8" i="3" s="1"/>
  <c r="E1453" i="3"/>
  <c r="H7" i="3"/>
  <c r="R7" i="3" s="1"/>
  <c r="W7" i="3" s="1"/>
  <c r="D9" i="3"/>
  <c r="D10" i="3" s="1"/>
  <c r="C8" i="3"/>
  <c r="E10" i="3"/>
  <c r="C9" i="3" l="1"/>
  <c r="C10" i="3" s="1"/>
  <c r="Q10" i="3"/>
  <c r="T10" i="3"/>
  <c r="S10" i="3" s="1"/>
  <c r="AC10" i="3" s="1"/>
  <c r="E1454" i="3"/>
  <c r="H8" i="3"/>
  <c r="R8" i="3" s="1"/>
  <c r="W8" i="3" s="1"/>
  <c r="S9" i="3"/>
  <c r="AC9" i="3" s="1"/>
  <c r="B8" i="3"/>
  <c r="D11" i="3"/>
  <c r="E11" i="3"/>
  <c r="T11" i="3" l="1"/>
  <c r="S11" i="3" s="1"/>
  <c r="AC11" i="3" s="1"/>
  <c r="Q11" i="3"/>
  <c r="E1455" i="3"/>
  <c r="H9" i="3"/>
  <c r="R9" i="3" s="1"/>
  <c r="W9" i="3" s="1"/>
  <c r="C11" i="3"/>
  <c r="E12" i="3"/>
  <c r="D12" i="3"/>
  <c r="B9" i="3"/>
  <c r="E1456" i="3" l="1"/>
  <c r="H10" i="3"/>
  <c r="R10" i="3" s="1"/>
  <c r="W10" i="3" s="1"/>
  <c r="C12" i="3"/>
  <c r="S12" i="3"/>
  <c r="AC12" i="3" s="1"/>
  <c r="E13" i="3"/>
  <c r="D13" i="3"/>
  <c r="B10" i="3"/>
  <c r="B11" i="3" s="1"/>
  <c r="E1457" i="3" l="1"/>
  <c r="H11" i="3"/>
  <c r="R11" i="3" s="1"/>
  <c r="W11" i="3" s="1"/>
  <c r="S13" i="3"/>
  <c r="AC13" i="3" s="1"/>
  <c r="E14" i="3"/>
  <c r="D14" i="3"/>
  <c r="B12" i="3"/>
  <c r="E1458" i="3" l="1"/>
  <c r="H12" i="3"/>
  <c r="R12" i="3" s="1"/>
  <c r="W12" i="3" s="1"/>
  <c r="C13" i="3"/>
  <c r="B13" i="3" s="1"/>
  <c r="S14" i="3"/>
  <c r="AC14" i="3" s="1"/>
  <c r="D15" i="3"/>
  <c r="E15" i="3"/>
  <c r="T15" i="3" l="1"/>
  <c r="S15" i="3" s="1"/>
  <c r="AC15" i="3" s="1"/>
  <c r="Q15" i="3"/>
  <c r="E1459" i="3"/>
  <c r="H13" i="3"/>
  <c r="R13" i="3" s="1"/>
  <c r="W13" i="3" s="1"/>
  <c r="C14" i="3"/>
  <c r="B14" i="3" s="1"/>
  <c r="E16" i="3"/>
  <c r="D16" i="3"/>
  <c r="Q16" i="3" l="1"/>
  <c r="T16" i="3"/>
  <c r="S16" i="3" s="1"/>
  <c r="AC16" i="3" s="1"/>
  <c r="E1460" i="3"/>
  <c r="H14" i="3"/>
  <c r="H15" i="3" s="1"/>
  <c r="C15" i="3"/>
  <c r="B15" i="3" s="1"/>
  <c r="D17" i="3"/>
  <c r="E17" i="3"/>
  <c r="Q17" i="3" l="1"/>
  <c r="T17" i="3"/>
  <c r="S17" i="3" s="1"/>
  <c r="AC17" i="3" s="1"/>
  <c r="E1461" i="3"/>
  <c r="R14" i="3"/>
  <c r="W14" i="3" s="1"/>
  <c r="C16" i="3"/>
  <c r="B16" i="3" s="1"/>
  <c r="R15" i="3"/>
  <c r="W15" i="3" s="1"/>
  <c r="H16" i="3"/>
  <c r="D18" i="3"/>
  <c r="C17" i="3" l="1"/>
  <c r="B17" i="3" s="1"/>
  <c r="Q18" i="3"/>
  <c r="T18" i="3"/>
  <c r="S18" i="3" s="1"/>
  <c r="AC18" i="3" s="1"/>
  <c r="E1462" i="3"/>
  <c r="D19" i="3"/>
  <c r="R16" i="3"/>
  <c r="W16" i="3" s="1"/>
  <c r="H17" i="3"/>
  <c r="C18" i="3" l="1"/>
  <c r="B18" i="3" s="1"/>
  <c r="T19" i="3"/>
  <c r="S19" i="3" s="1"/>
  <c r="AC19" i="3" s="1"/>
  <c r="Q19" i="3"/>
  <c r="E1463" i="3"/>
  <c r="R17" i="3"/>
  <c r="W17" i="3" s="1"/>
  <c r="H18" i="3"/>
  <c r="D20" i="3"/>
  <c r="E20" i="3"/>
  <c r="C19" i="3" l="1"/>
  <c r="C20" i="3" s="1"/>
  <c r="E1464" i="3"/>
  <c r="R18" i="3"/>
  <c r="W18" i="3" s="1"/>
  <c r="H19" i="3"/>
  <c r="E21" i="3"/>
  <c r="D21" i="3"/>
  <c r="S20" i="3"/>
  <c r="AC20" i="3" s="1"/>
  <c r="B19" i="3"/>
  <c r="E1465" i="3" l="1"/>
  <c r="C21" i="3"/>
  <c r="S21" i="3"/>
  <c r="AC21" i="3" s="1"/>
  <c r="D22" i="3"/>
  <c r="E22" i="3"/>
  <c r="B20" i="3"/>
  <c r="R19" i="3"/>
  <c r="W19" i="3" s="1"/>
  <c r="H20" i="3"/>
  <c r="B21" i="3" l="1"/>
  <c r="T22" i="3"/>
  <c r="S22" i="3" s="1"/>
  <c r="AC22" i="3" s="1"/>
  <c r="Q22" i="3"/>
  <c r="E1466" i="3"/>
  <c r="C22" i="3"/>
  <c r="D23" i="3"/>
  <c r="E23" i="3"/>
  <c r="R20" i="3"/>
  <c r="W20" i="3" s="1"/>
  <c r="H21" i="3"/>
  <c r="B22" i="3" l="1"/>
  <c r="Q23" i="3"/>
  <c r="T23" i="3"/>
  <c r="S23" i="3" s="1"/>
  <c r="AC23" i="3" s="1"/>
  <c r="E1467" i="3"/>
  <c r="C23" i="3"/>
  <c r="D24" i="3"/>
  <c r="R21" i="3"/>
  <c r="W21" i="3" s="1"/>
  <c r="H22" i="3"/>
  <c r="B23" i="3" l="1"/>
  <c r="T24" i="3"/>
  <c r="S24" i="3" s="1"/>
  <c r="AC24" i="3" s="1"/>
  <c r="Q24" i="3"/>
  <c r="E1468" i="3"/>
  <c r="C24" i="3"/>
  <c r="R22" i="3"/>
  <c r="W22" i="3" s="1"/>
  <c r="H23" i="3"/>
  <c r="D25" i="3"/>
  <c r="T25" i="3" l="1"/>
  <c r="S25" i="3" s="1"/>
  <c r="AC25" i="3" s="1"/>
  <c r="Q25" i="3"/>
  <c r="E1469" i="3"/>
  <c r="C25" i="3"/>
  <c r="D26" i="3"/>
  <c r="R23" i="3"/>
  <c r="W23" i="3" s="1"/>
  <c r="H24" i="3"/>
  <c r="B24" i="3"/>
  <c r="Q26" i="3" l="1"/>
  <c r="T26" i="3"/>
  <c r="S26" i="3" s="1"/>
  <c r="AC26" i="3" s="1"/>
  <c r="E1470" i="3"/>
  <c r="C26" i="3"/>
  <c r="R24" i="3"/>
  <c r="W24" i="3" s="1"/>
  <c r="H25" i="3"/>
  <c r="D27" i="3"/>
  <c r="E27" i="3"/>
  <c r="B25" i="3"/>
  <c r="E1471" i="3" l="1"/>
  <c r="C27" i="3"/>
  <c r="S27" i="3"/>
  <c r="AC27" i="3" s="1"/>
  <c r="D28" i="3"/>
  <c r="E28" i="3"/>
  <c r="R25" i="3"/>
  <c r="W25" i="3" s="1"/>
  <c r="H26" i="3"/>
  <c r="B26" i="3"/>
  <c r="T28" i="3" l="1"/>
  <c r="S28" i="3" s="1"/>
  <c r="AC28" i="3" s="1"/>
  <c r="Q28" i="3"/>
  <c r="E1472" i="3"/>
  <c r="C28" i="3"/>
  <c r="R26" i="3"/>
  <c r="W26" i="3" s="1"/>
  <c r="H27" i="3"/>
  <c r="D29" i="3"/>
  <c r="E29" i="3"/>
  <c r="B27" i="3"/>
  <c r="B28" i="3" l="1"/>
  <c r="T29" i="3"/>
  <c r="S29" i="3" s="1"/>
  <c r="AC29" i="3" s="1"/>
  <c r="Q29" i="3"/>
  <c r="E1473" i="3"/>
  <c r="C29" i="3"/>
  <c r="R27" i="3"/>
  <c r="W27" i="3" s="1"/>
  <c r="H28" i="3"/>
  <c r="D30" i="3"/>
  <c r="E30" i="3"/>
  <c r="T30" i="3" l="1"/>
  <c r="S30" i="3" s="1"/>
  <c r="AC30" i="3" s="1"/>
  <c r="Q30" i="3"/>
  <c r="E1474" i="3"/>
  <c r="C30" i="3"/>
  <c r="E31" i="3"/>
  <c r="D31" i="3"/>
  <c r="B29" i="3"/>
  <c r="R28" i="3"/>
  <c r="W28" i="3" s="1"/>
  <c r="H29" i="3"/>
  <c r="Q31" i="3" l="1"/>
  <c r="T31" i="3"/>
  <c r="S31" i="3" s="1"/>
  <c r="AC31" i="3" s="1"/>
  <c r="E1475" i="3"/>
  <c r="C31" i="3"/>
  <c r="R29" i="3"/>
  <c r="W29" i="3" s="1"/>
  <c r="H30" i="3"/>
  <c r="E32" i="3"/>
  <c r="D32" i="3"/>
  <c r="B30" i="3"/>
  <c r="E1476" i="3" l="1"/>
  <c r="C32" i="3"/>
  <c r="S32" i="3"/>
  <c r="AC32" i="3" s="1"/>
  <c r="R30" i="3"/>
  <c r="W30" i="3" s="1"/>
  <c r="H31" i="3"/>
  <c r="E33" i="3"/>
  <c r="D33" i="3"/>
  <c r="B31" i="3"/>
  <c r="T33" i="3" l="1"/>
  <c r="S33" i="3" s="1"/>
  <c r="AC33" i="3" s="1"/>
  <c r="Q33" i="3"/>
  <c r="E1477" i="3"/>
  <c r="C33" i="3"/>
  <c r="D34" i="3"/>
  <c r="R31" i="3"/>
  <c r="W31" i="3" s="1"/>
  <c r="H32" i="3"/>
  <c r="B32" i="3"/>
  <c r="T34" i="3" l="1"/>
  <c r="S34" i="3" s="1"/>
  <c r="AC34" i="3" s="1"/>
  <c r="Q34" i="3"/>
  <c r="B33" i="3"/>
  <c r="E1478" i="3"/>
  <c r="C34" i="3"/>
  <c r="D35" i="3"/>
  <c r="R32" i="3"/>
  <c r="W32" i="3" s="1"/>
  <c r="H33" i="3"/>
  <c r="B34" i="3" l="1"/>
  <c r="T35" i="3"/>
  <c r="S35" i="3" s="1"/>
  <c r="AC35" i="3" s="1"/>
  <c r="Q35" i="3"/>
  <c r="E1479" i="3"/>
  <c r="C35" i="3"/>
  <c r="R33" i="3"/>
  <c r="W33" i="3" s="1"/>
  <c r="H34" i="3"/>
  <c r="D36" i="3"/>
  <c r="Q36" i="3" l="1"/>
  <c r="T36" i="3"/>
  <c r="S36" i="3" s="1"/>
  <c r="AC36" i="3" s="1"/>
  <c r="E1480" i="3"/>
  <c r="C36" i="3"/>
  <c r="E37" i="3"/>
  <c r="D37" i="3"/>
  <c r="R34" i="3"/>
  <c r="W34" i="3" s="1"/>
  <c r="H35" i="3"/>
  <c r="B35" i="3"/>
  <c r="T37" i="3" l="1"/>
  <c r="S37" i="3" s="1"/>
  <c r="AC37" i="3" s="1"/>
  <c r="Q37" i="3"/>
  <c r="E1481" i="3"/>
  <c r="C37" i="3"/>
  <c r="R35" i="3"/>
  <c r="W35" i="3" s="1"/>
  <c r="H36" i="3"/>
  <c r="B36" i="3"/>
  <c r="D38" i="3"/>
  <c r="Q38" i="3" l="1"/>
  <c r="T38" i="3"/>
  <c r="S38" i="3" s="1"/>
  <c r="AC38" i="3" s="1"/>
  <c r="E1482" i="3"/>
  <c r="C38" i="3"/>
  <c r="E39" i="3"/>
  <c r="D39" i="3"/>
  <c r="R36" i="3"/>
  <c r="W36" i="3" s="1"/>
  <c r="H37" i="3"/>
  <c r="B37" i="3"/>
  <c r="C39" i="3" l="1"/>
  <c r="E1483" i="3"/>
  <c r="R37" i="3"/>
  <c r="W37" i="3" s="1"/>
  <c r="H38" i="3"/>
  <c r="D40" i="3"/>
  <c r="E40" i="3"/>
  <c r="S39" i="3"/>
  <c r="AC39" i="3" s="1"/>
  <c r="B38" i="3"/>
  <c r="B39" i="3" s="1"/>
  <c r="Q40" i="3" l="1"/>
  <c r="T40" i="3"/>
  <c r="S40" i="3" s="1"/>
  <c r="AC40" i="3" s="1"/>
  <c r="E1484" i="3"/>
  <c r="C40" i="3"/>
  <c r="D41" i="3"/>
  <c r="E41" i="3"/>
  <c r="R38" i="3"/>
  <c r="W38" i="3" s="1"/>
  <c r="H39" i="3"/>
  <c r="E1485" i="3" l="1"/>
  <c r="C41" i="3"/>
  <c r="R39" i="3"/>
  <c r="W39" i="3" s="1"/>
  <c r="H40" i="3"/>
  <c r="D42" i="3"/>
  <c r="E42" i="3"/>
  <c r="S41" i="3"/>
  <c r="AC41" i="3" s="1"/>
  <c r="B40" i="3"/>
  <c r="E1486" i="3" l="1"/>
  <c r="C42" i="3"/>
  <c r="D43" i="3"/>
  <c r="E43" i="3"/>
  <c r="S42" i="3"/>
  <c r="AC42" i="3" s="1"/>
  <c r="R40" i="3"/>
  <c r="W40" i="3" s="1"/>
  <c r="H41" i="3"/>
  <c r="B41" i="3"/>
  <c r="E1487" i="3" l="1"/>
  <c r="C43" i="3"/>
  <c r="R41" i="3"/>
  <c r="W41" i="3" s="1"/>
  <c r="H42" i="3"/>
  <c r="B42" i="3"/>
  <c r="D44" i="3"/>
  <c r="E44" i="3"/>
  <c r="S43" i="3"/>
  <c r="AC43" i="3" s="1"/>
  <c r="T44" i="3" l="1"/>
  <c r="S44" i="3" s="1"/>
  <c r="AC44" i="3" s="1"/>
  <c r="Q44" i="3"/>
  <c r="E1488" i="3"/>
  <c r="C44" i="3"/>
  <c r="D45" i="3"/>
  <c r="E45" i="3"/>
  <c r="R42" i="3"/>
  <c r="W42" i="3" s="1"/>
  <c r="H43" i="3"/>
  <c r="B43" i="3"/>
  <c r="B44" i="3" l="1"/>
  <c r="E1489" i="3"/>
  <c r="C45" i="3"/>
  <c r="R43" i="3"/>
  <c r="W43" i="3" s="1"/>
  <c r="H44" i="3"/>
  <c r="D46" i="3"/>
  <c r="E46" i="3"/>
  <c r="S45" i="3"/>
  <c r="AC45" i="3" s="1"/>
  <c r="T46" i="3" l="1"/>
  <c r="S46" i="3" s="1"/>
  <c r="AC46" i="3" s="1"/>
  <c r="Q46" i="3"/>
  <c r="E1490" i="3"/>
  <c r="C46" i="3"/>
  <c r="D47" i="3"/>
  <c r="E47" i="3"/>
  <c r="R44" i="3"/>
  <c r="W44" i="3" s="1"/>
  <c r="H45" i="3"/>
  <c r="B45" i="3"/>
  <c r="B46" i="3" l="1"/>
  <c r="Q47" i="3"/>
  <c r="T47" i="3"/>
  <c r="S47" i="3" s="1"/>
  <c r="AC47" i="3" s="1"/>
  <c r="E1491" i="3"/>
  <c r="C47" i="3"/>
  <c r="R45" i="3"/>
  <c r="W45" i="3" s="1"/>
  <c r="H46" i="3"/>
  <c r="D48" i="3"/>
  <c r="E48" i="3"/>
  <c r="B47" i="3" l="1"/>
  <c r="E1492" i="3"/>
  <c r="C48" i="3"/>
  <c r="R46" i="3"/>
  <c r="W46" i="3" s="1"/>
  <c r="H47" i="3"/>
  <c r="D49" i="3"/>
  <c r="E49" i="3"/>
  <c r="S48" i="3"/>
  <c r="AC48" i="3" s="1"/>
  <c r="E1493" i="3" l="1"/>
  <c r="C49" i="3"/>
  <c r="D50" i="3"/>
  <c r="E50" i="3"/>
  <c r="B48" i="3"/>
  <c r="S49" i="3"/>
  <c r="AC49" i="3" s="1"/>
  <c r="R47" i="3"/>
  <c r="W47" i="3" s="1"/>
  <c r="H48" i="3"/>
  <c r="E1494" i="3" l="1"/>
  <c r="C50" i="3"/>
  <c r="D51" i="3"/>
  <c r="E51" i="3"/>
  <c r="R48" i="3"/>
  <c r="W48" i="3" s="1"/>
  <c r="H49" i="3"/>
  <c r="S50" i="3"/>
  <c r="AC50" i="3" s="1"/>
  <c r="B49" i="3"/>
  <c r="E1495" i="3" l="1"/>
  <c r="C51" i="3"/>
  <c r="R49" i="3"/>
  <c r="W49" i="3" s="1"/>
  <c r="H50" i="3"/>
  <c r="E52" i="3"/>
  <c r="D52" i="3"/>
  <c r="S51" i="3"/>
  <c r="AC51" i="3" s="1"/>
  <c r="B50" i="3"/>
  <c r="Q52" i="3" l="1"/>
  <c r="T52" i="3"/>
  <c r="S52" i="3" s="1"/>
  <c r="AC52" i="3" s="1"/>
  <c r="E1496" i="3"/>
  <c r="C52" i="3"/>
  <c r="D53" i="3"/>
  <c r="E53" i="3"/>
  <c r="B51" i="3"/>
  <c r="R50" i="3"/>
  <c r="W50" i="3" s="1"/>
  <c r="H51" i="3"/>
  <c r="B52" i="3" l="1"/>
  <c r="E1497" i="3"/>
  <c r="C53" i="3"/>
  <c r="D54" i="3"/>
  <c r="E54" i="3"/>
  <c r="S53" i="3"/>
  <c r="AC53" i="3" s="1"/>
  <c r="R51" i="3"/>
  <c r="W51" i="3" s="1"/>
  <c r="H52" i="3"/>
  <c r="B53" i="3" l="1"/>
  <c r="E1498" i="3"/>
  <c r="C54" i="3"/>
  <c r="R52" i="3"/>
  <c r="W52" i="3" s="1"/>
  <c r="H53" i="3"/>
  <c r="D55" i="3"/>
  <c r="E55" i="3"/>
  <c r="S54" i="3"/>
  <c r="AC54" i="3" s="1"/>
  <c r="E1499" i="3" l="1"/>
  <c r="C55" i="3"/>
  <c r="D56" i="3"/>
  <c r="E56" i="3"/>
  <c r="S55" i="3"/>
  <c r="AC55" i="3" s="1"/>
  <c r="R53" i="3"/>
  <c r="W53" i="3" s="1"/>
  <c r="B54" i="3"/>
  <c r="H54" i="3" s="1"/>
  <c r="E1500" i="3" l="1"/>
  <c r="B55" i="3"/>
  <c r="C56" i="3"/>
  <c r="R54" i="3"/>
  <c r="W54" i="3" s="1"/>
  <c r="H55" i="3"/>
  <c r="D57" i="3"/>
  <c r="E57" i="3"/>
  <c r="S56" i="3"/>
  <c r="AC56" i="3" s="1"/>
  <c r="Q57" i="3" l="1"/>
  <c r="E1501" i="3"/>
  <c r="C57" i="3"/>
  <c r="D58" i="3"/>
  <c r="E58" i="3"/>
  <c r="B56" i="3"/>
  <c r="S57" i="3"/>
  <c r="AC57" i="3" s="1"/>
  <c r="R55" i="3"/>
  <c r="W55" i="3" s="1"/>
  <c r="H56" i="3"/>
  <c r="E1502" i="3" l="1"/>
  <c r="C58" i="3"/>
  <c r="D59" i="3"/>
  <c r="E59" i="3"/>
  <c r="R56" i="3"/>
  <c r="W56" i="3" s="1"/>
  <c r="S58" i="3"/>
  <c r="AC58" i="3" s="1"/>
  <c r="B57" i="3"/>
  <c r="H57" i="3" s="1"/>
  <c r="E1503" i="3" l="1"/>
  <c r="C59" i="3"/>
  <c r="D60" i="3"/>
  <c r="E60" i="3"/>
  <c r="R57" i="3"/>
  <c r="W57" i="3" s="1"/>
  <c r="S59" i="3"/>
  <c r="AC59" i="3" s="1"/>
  <c r="B58" i="3"/>
  <c r="H58" i="3" s="1"/>
  <c r="C60" i="3" l="1"/>
  <c r="R58" i="3"/>
  <c r="W58" i="3" s="1"/>
  <c r="E61" i="3"/>
  <c r="D61" i="3"/>
  <c r="S60" i="3"/>
  <c r="AC60" i="3" s="1"/>
  <c r="B59" i="3"/>
  <c r="H59" i="3" s="1"/>
  <c r="C61" i="3" l="1"/>
  <c r="S61" i="3"/>
  <c r="AC61" i="3" s="1"/>
  <c r="E62" i="3"/>
  <c r="D62" i="3"/>
  <c r="B60" i="3"/>
  <c r="R59" i="3"/>
  <c r="W59" i="3" s="1"/>
  <c r="H60" i="3"/>
  <c r="B61" i="3" l="1"/>
  <c r="Q62" i="3"/>
  <c r="T62" i="3"/>
  <c r="S62" i="3" s="1"/>
  <c r="AC62" i="3" s="1"/>
  <c r="C62" i="3"/>
  <c r="B62" i="3" s="1"/>
  <c r="E63" i="3"/>
  <c r="D63" i="3"/>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S69" i="3"/>
  <c r="AC69" i="3" s="1"/>
  <c r="E70" i="3"/>
  <c r="D70" i="3"/>
  <c r="R67" i="3"/>
  <c r="W67" i="3" s="1"/>
  <c r="H68" i="3"/>
  <c r="B69" i="3" l="1"/>
  <c r="C70" i="3"/>
  <c r="R68" i="3"/>
  <c r="W68" i="3" s="1"/>
  <c r="H69" i="3"/>
  <c r="S70" i="3"/>
  <c r="AC70" i="3" s="1"/>
  <c r="E71" i="3"/>
  <c r="D71" i="3"/>
  <c r="B70" i="3" l="1"/>
  <c r="C71" i="3"/>
  <c r="E72" i="3"/>
  <c r="D72" i="3"/>
  <c r="S71" i="3"/>
  <c r="AC71" i="3" s="1"/>
  <c r="R69" i="3"/>
  <c r="W69" i="3" s="1"/>
  <c r="H70" i="3"/>
  <c r="C72" i="3" l="1"/>
  <c r="R70" i="3"/>
  <c r="W70" i="3" s="1"/>
  <c r="H71" i="3"/>
  <c r="B71" i="3"/>
  <c r="S72" i="3"/>
  <c r="AC72" i="3" s="1"/>
  <c r="E73" i="3"/>
  <c r="D73" i="3"/>
  <c r="T73" i="3" l="1"/>
  <c r="S73" i="3" s="1"/>
  <c r="AC73" i="3" s="1"/>
  <c r="Q73" i="3"/>
  <c r="C73" i="3"/>
  <c r="D74" i="3"/>
  <c r="Q74" i="3" s="1"/>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c r="C78" i="3" l="1"/>
  <c r="B78" i="3" s="1"/>
  <c r="R76" i="3"/>
  <c r="W76" i="3" s="1"/>
  <c r="H77" i="3"/>
  <c r="S78" i="3"/>
  <c r="AC78" i="3" s="1"/>
  <c r="E79" i="3"/>
  <c r="D79" i="3"/>
  <c r="T79" i="3" l="1"/>
  <c r="S79" i="3" s="1"/>
  <c r="AC79" i="3" s="1"/>
  <c r="Q79" i="3"/>
  <c r="C79" i="3"/>
  <c r="E80" i="3"/>
  <c r="D80" i="3"/>
  <c r="R77" i="3"/>
  <c r="W77" i="3" s="1"/>
  <c r="H78" i="3"/>
  <c r="C80" i="3" l="1"/>
  <c r="R78" i="3"/>
  <c r="W78" i="3" s="1"/>
  <c r="H79" i="3"/>
  <c r="B79" i="3"/>
  <c r="S80" i="3"/>
  <c r="AC80" i="3" s="1"/>
  <c r="E81" i="3"/>
  <c r="D81" i="3"/>
  <c r="Q81" i="3" l="1"/>
  <c r="T81" i="3"/>
  <c r="S81" i="3" s="1"/>
  <c r="AC81" i="3" s="1"/>
  <c r="C81" i="3"/>
  <c r="E82" i="3"/>
  <c r="D82" i="3"/>
  <c r="R79" i="3"/>
  <c r="W79" i="3" s="1"/>
  <c r="H80" i="3"/>
  <c r="B80" i="3"/>
  <c r="C82" i="3" l="1"/>
  <c r="R80" i="3"/>
  <c r="W80" i="3" s="1"/>
  <c r="H81" i="3"/>
  <c r="B81" i="3"/>
  <c r="S82" i="3"/>
  <c r="AC82" i="3" s="1"/>
  <c r="E83" i="3"/>
  <c r="D83" i="3"/>
  <c r="Q83" i="3" l="1"/>
  <c r="T83" i="3"/>
  <c r="S83" i="3" s="1"/>
  <c r="AC83" i="3" s="1"/>
  <c r="C83" i="3"/>
  <c r="E84" i="3"/>
  <c r="D84" i="3"/>
  <c r="R81" i="3"/>
  <c r="W81" i="3" s="1"/>
  <c r="H82" i="3"/>
  <c r="B82" i="3"/>
  <c r="Q84" i="3" l="1"/>
  <c r="T84" i="3"/>
  <c r="S84" i="3" s="1"/>
  <c r="AC84" i="3" s="1"/>
  <c r="C84" i="3"/>
  <c r="E85" i="3"/>
  <c r="D85" i="3"/>
  <c r="R82" i="3"/>
  <c r="W82" i="3" s="1"/>
  <c r="H83" i="3"/>
  <c r="B83" i="3"/>
  <c r="B84" i="3" l="1"/>
  <c r="C85" i="3"/>
  <c r="Q85" i="3"/>
  <c r="T85" i="3"/>
  <c r="S85" i="3" s="1"/>
  <c r="AC85" i="3" s="1"/>
  <c r="E86" i="3"/>
  <c r="D86" i="3"/>
  <c r="R83" i="3"/>
  <c r="W83" i="3" s="1"/>
  <c r="H84" i="3"/>
  <c r="B85"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Q92" i="3" l="1"/>
  <c r="T92" i="3"/>
  <c r="S92" i="3" s="1"/>
  <c r="AC92" i="3" s="1"/>
  <c r="C92" i="3"/>
  <c r="R90" i="3"/>
  <c r="W90" i="3" s="1"/>
  <c r="H91" i="3"/>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T96" i="3" l="1"/>
  <c r="S96" i="3" s="1"/>
  <c r="AC96" i="3" s="1"/>
  <c r="Q96" i="3"/>
  <c r="C96" i="3"/>
  <c r="R94" i="3"/>
  <c r="W94" i="3" s="1"/>
  <c r="H95" i="3"/>
  <c r="B95" i="3"/>
  <c r="E97" i="3"/>
  <c r="D97" i="3"/>
  <c r="Q97" i="3" l="1"/>
  <c r="T97" i="3"/>
  <c r="S97" i="3" s="1"/>
  <c r="AC97" i="3" s="1"/>
  <c r="C97" i="3"/>
  <c r="E98" i="3"/>
  <c r="D98" i="3"/>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Q101" i="3" l="1"/>
  <c r="T101" i="3"/>
  <c r="S101" i="3" s="1"/>
  <c r="AC101" i="3" s="1"/>
  <c r="C101" i="3"/>
  <c r="R99" i="3"/>
  <c r="W99" i="3" s="1"/>
  <c r="H100" i="3"/>
  <c r="E102" i="3"/>
  <c r="D102" i="3"/>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T106" i="3" l="1"/>
  <c r="S106" i="3" s="1"/>
  <c r="AC106" i="3" s="1"/>
  <c r="Q106" i="3"/>
  <c r="C106" i="3"/>
  <c r="R104" i="3"/>
  <c r="W104" i="3" s="1"/>
  <c r="H105" i="3"/>
  <c r="B105" i="3"/>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Q112" i="3" l="1"/>
  <c r="T112" i="3"/>
  <c r="S112" i="3" s="1"/>
  <c r="AC112" i="3" s="1"/>
  <c r="C112" i="3"/>
  <c r="E113" i="3"/>
  <c r="D113" i="3"/>
  <c r="R110" i="3"/>
  <c r="W110" i="3" s="1"/>
  <c r="H111" i="3"/>
  <c r="B111" i="3"/>
  <c r="B112" i="3" s="1"/>
  <c r="Q113" i="3" l="1"/>
  <c r="T113" i="3"/>
  <c r="S113" i="3" s="1"/>
  <c r="AC113" i="3" s="1"/>
  <c r="C113" i="3"/>
  <c r="B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Q117" i="3"/>
  <c r="T117" i="3"/>
  <c r="S117" i="3" s="1"/>
  <c r="AC117" i="3" s="1"/>
  <c r="R115" i="3"/>
  <c r="W115" i="3" s="1"/>
  <c r="E118" i="3"/>
  <c r="D118" i="3"/>
  <c r="Q118" i="3" s="1"/>
  <c r="B116" i="3"/>
  <c r="H116" i="3" s="1"/>
  <c r="C118" i="3" l="1"/>
  <c r="S118" i="3"/>
  <c r="AC118" i="3" s="1"/>
  <c r="R116" i="3"/>
  <c r="W116" i="3" s="1"/>
  <c r="D119" i="3"/>
  <c r="B117" i="3"/>
  <c r="B118" i="3" s="1"/>
  <c r="C119" i="3" l="1"/>
  <c r="T119" i="3"/>
  <c r="S119" i="3" s="1"/>
  <c r="AC119" i="3" s="1"/>
  <c r="Q119" i="3"/>
  <c r="H117" i="3"/>
  <c r="H118" i="3" s="1"/>
  <c r="D120" i="3"/>
  <c r="Q120" i="3" s="1"/>
  <c r="B119" i="3"/>
  <c r="R117" i="3" l="1"/>
  <c r="W117" i="3" s="1"/>
  <c r="C120" i="3"/>
  <c r="B120" i="3" s="1"/>
  <c r="E121" i="3"/>
  <c r="D121" i="3"/>
  <c r="S120" i="3"/>
  <c r="AC120" i="3" s="1"/>
  <c r="R118" i="3"/>
  <c r="W118" i="3" s="1"/>
  <c r="H119" i="3"/>
  <c r="C121" i="3" l="1"/>
  <c r="R119" i="3"/>
  <c r="W119" i="3" s="1"/>
  <c r="H120" i="3"/>
  <c r="S121" i="3"/>
  <c r="AC121" i="3" s="1"/>
  <c r="E122" i="3"/>
  <c r="D122" i="3"/>
  <c r="C122" i="3" l="1"/>
  <c r="D123" i="3"/>
  <c r="E123" i="3"/>
  <c r="R120" i="3"/>
  <c r="W120" i="3" s="1"/>
  <c r="S122" i="3"/>
  <c r="AC122" i="3" s="1"/>
  <c r="B121" i="3"/>
  <c r="H121" i="3" s="1"/>
  <c r="C123" i="3" l="1"/>
  <c r="R121" i="3"/>
  <c r="W121" i="3" s="1"/>
  <c r="B122" i="3"/>
  <c r="H122" i="3" s="1"/>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T132" i="3"/>
  <c r="S132" i="3" s="1"/>
  <c r="AC132" i="3" s="1"/>
  <c r="Q132" i="3"/>
  <c r="R130" i="3"/>
  <c r="W130" i="3" s="1"/>
  <c r="H131" i="3"/>
  <c r="D133" i="3"/>
  <c r="E133" i="3"/>
  <c r="C133" i="3" l="1"/>
  <c r="E134" i="3"/>
  <c r="D134" i="3"/>
  <c r="S133" i="3"/>
  <c r="AC133" i="3" s="1"/>
  <c r="B132" i="3"/>
  <c r="R131" i="3"/>
  <c r="W131" i="3" s="1"/>
  <c r="H132" i="3"/>
  <c r="Q134" i="3" l="1"/>
  <c r="T134" i="3"/>
  <c r="S134" i="3" s="1"/>
  <c r="AC134" i="3" s="1"/>
  <c r="C134" i="3"/>
  <c r="R132" i="3"/>
  <c r="W132" i="3" s="1"/>
  <c r="H133" i="3"/>
  <c r="E135" i="3"/>
  <c r="D135" i="3"/>
  <c r="B133" i="3"/>
  <c r="Q135" i="3" l="1"/>
  <c r="T135" i="3"/>
  <c r="S135" i="3" s="1"/>
  <c r="AC135" i="3" s="1"/>
  <c r="C135" i="3"/>
  <c r="E136" i="3"/>
  <c r="D136" i="3"/>
  <c r="R133" i="3"/>
  <c r="W133" i="3" s="1"/>
  <c r="H134" i="3"/>
  <c r="B134" i="3"/>
  <c r="B135" i="3" s="1"/>
  <c r="Q136" i="3" l="1"/>
  <c r="T136" i="3"/>
  <c r="S136" i="3" s="1"/>
  <c r="AC136" i="3" s="1"/>
  <c r="C136" i="3"/>
  <c r="B136" i="3" s="1"/>
  <c r="E137" i="3"/>
  <c r="D137" i="3"/>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T141" i="3" l="1"/>
  <c r="S141" i="3" s="1"/>
  <c r="AC141" i="3" s="1"/>
  <c r="Q141" i="3"/>
  <c r="C141" i="3"/>
  <c r="B141" i="3" s="1"/>
  <c r="E142" i="3"/>
  <c r="D142" i="3"/>
  <c r="R139" i="3"/>
  <c r="W139" i="3" s="1"/>
  <c r="H140" i="3"/>
  <c r="C142" i="3" l="1"/>
  <c r="Q142" i="3"/>
  <c r="T142" i="3"/>
  <c r="S142" i="3" s="1"/>
  <c r="AC142" i="3" s="1"/>
  <c r="E143" i="3"/>
  <c r="D143" i="3"/>
  <c r="R140" i="3"/>
  <c r="W140" i="3" s="1"/>
  <c r="H141" i="3"/>
  <c r="B142" i="3"/>
  <c r="C143" i="3" l="1"/>
  <c r="Q143" i="3"/>
  <c r="T143" i="3"/>
  <c r="S143" i="3" s="1"/>
  <c r="AC143" i="3" s="1"/>
  <c r="R141" i="3"/>
  <c r="W141" i="3" s="1"/>
  <c r="H142" i="3"/>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Q153" i="3" l="1"/>
  <c r="T153" i="3"/>
  <c r="S153" i="3" s="1"/>
  <c r="AC153" i="3" s="1"/>
  <c r="C153" i="3"/>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Q173" i="3" l="1"/>
  <c r="T173" i="3"/>
  <c r="S173" i="3" s="1"/>
  <c r="AC173" i="3" s="1"/>
  <c r="C173" i="3"/>
  <c r="D174" i="3"/>
  <c r="E174" i="3"/>
  <c r="R171" i="3"/>
  <c r="W171" i="3" s="1"/>
  <c r="B172" i="3"/>
  <c r="H172" i="3" s="1"/>
  <c r="C174" i="3" l="1"/>
  <c r="B173" i="3"/>
  <c r="R172" i="3"/>
  <c r="W172" i="3" s="1"/>
  <c r="H173" i="3"/>
  <c r="D175" i="3"/>
  <c r="E175" i="3"/>
  <c r="S174" i="3"/>
  <c r="AC174" i="3" s="1"/>
  <c r="T175" i="3" l="1"/>
  <c r="S175" i="3" s="1"/>
  <c r="AC175" i="3" s="1"/>
  <c r="Q175" i="3"/>
  <c r="C175" i="3"/>
  <c r="D176" i="3"/>
  <c r="E176" i="3"/>
  <c r="R173" i="3"/>
  <c r="W173" i="3" s="1"/>
  <c r="B174" i="3"/>
  <c r="B175" i="3" s="1"/>
  <c r="H174" i="3" l="1"/>
  <c r="H175" i="3" s="1"/>
  <c r="C176" i="3"/>
  <c r="D177" i="3"/>
  <c r="E177" i="3"/>
  <c r="S176" i="3"/>
  <c r="AC176" i="3" s="1"/>
  <c r="R174" i="3" l="1"/>
  <c r="W174" i="3" s="1"/>
  <c r="C177" i="3"/>
  <c r="D178" i="3"/>
  <c r="E178" i="3"/>
  <c r="S177" i="3"/>
  <c r="AC177" i="3" s="1"/>
  <c r="R175" i="3"/>
  <c r="W175" i="3" s="1"/>
  <c r="B176" i="3"/>
  <c r="H176" i="3" s="1"/>
  <c r="C178" i="3" l="1"/>
  <c r="B177" i="3"/>
  <c r="R176" i="3"/>
  <c r="W176" i="3" s="1"/>
  <c r="H177" i="3"/>
  <c r="D179" i="3"/>
  <c r="E179" i="3"/>
  <c r="S178" i="3"/>
  <c r="AC178" i="3" s="1"/>
  <c r="C179" i="3" l="1"/>
  <c r="D180" i="3"/>
  <c r="E180" i="3"/>
  <c r="S179" i="3"/>
  <c r="AC179" i="3" s="1"/>
  <c r="R177" i="3"/>
  <c r="W177" i="3" s="1"/>
  <c r="B178" i="3"/>
  <c r="B179" i="3" l="1"/>
  <c r="H178" i="3"/>
  <c r="H179" i="3" s="1"/>
  <c r="C180" i="3"/>
  <c r="D181" i="3"/>
  <c r="E181" i="3"/>
  <c r="S180" i="3"/>
  <c r="AC180" i="3" s="1"/>
  <c r="R178" i="3" l="1"/>
  <c r="W178" i="3" s="1"/>
  <c r="C181" i="3"/>
  <c r="S181" i="3"/>
  <c r="AC181" i="3" s="1"/>
  <c r="D182" i="3"/>
  <c r="E182" i="3"/>
  <c r="R179" i="3"/>
  <c r="W179" i="3" s="1"/>
  <c r="B180" i="3"/>
  <c r="B181" i="3" s="1"/>
  <c r="H180" i="3" l="1"/>
  <c r="R180" i="3" s="1"/>
  <c r="W180" i="3" s="1"/>
  <c r="C182" i="3"/>
  <c r="D183" i="3"/>
  <c r="E183" i="3"/>
  <c r="S182" i="3"/>
  <c r="AC182" i="3" s="1"/>
  <c r="Q183" i="3" l="1"/>
  <c r="H181" i="3"/>
  <c r="R181" i="3" s="1"/>
  <c r="W181" i="3" s="1"/>
  <c r="C183" i="3"/>
  <c r="B182" i="3"/>
  <c r="D184" i="3"/>
  <c r="E184" i="3"/>
  <c r="S183" i="3"/>
  <c r="AC183" i="3" s="1"/>
  <c r="H182" i="3" l="1"/>
  <c r="R182" i="3" s="1"/>
  <c r="W182" i="3" s="1"/>
  <c r="C184" i="3"/>
  <c r="D185" i="3"/>
  <c r="E185" i="3"/>
  <c r="S184" i="3"/>
  <c r="AC184"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Q220" i="3" l="1"/>
  <c r="T220" i="3"/>
  <c r="S220" i="3" s="1"/>
  <c r="AC220" i="3" s="1"/>
  <c r="C220" i="3"/>
  <c r="D221" i="3"/>
  <c r="B219" i="3"/>
  <c r="R218" i="3"/>
  <c r="W218" i="3" s="1"/>
  <c r="H219" i="3"/>
  <c r="C221" i="3" l="1"/>
  <c r="T221" i="3"/>
  <c r="S221" i="3" s="1"/>
  <c r="AC221" i="3" s="1"/>
  <c r="Q221" i="3"/>
  <c r="E222" i="3"/>
  <c r="D222" i="3"/>
  <c r="R219" i="3"/>
  <c r="W219" i="3" s="1"/>
  <c r="H220" i="3"/>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Q225" i="3" l="1"/>
  <c r="T225" i="3"/>
  <c r="S225" i="3" s="1"/>
  <c r="AC225" i="3" s="1"/>
  <c r="C225" i="3"/>
  <c r="B224" i="3"/>
  <c r="R223" i="3"/>
  <c r="W223" i="3" s="1"/>
  <c r="H224" i="3"/>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Q229" i="3"/>
  <c r="T229" i="3"/>
  <c r="S229" i="3" s="1"/>
  <c r="AC229" i="3" s="1"/>
  <c r="E230" i="3"/>
  <c r="D230" i="3"/>
  <c r="R227" i="3"/>
  <c r="W227" i="3" s="1"/>
  <c r="H228" i="3"/>
  <c r="B228" i="3"/>
  <c r="C230" i="3" l="1"/>
  <c r="B229" i="3"/>
  <c r="S230" i="3"/>
  <c r="AC230" i="3" s="1"/>
  <c r="E231" i="3"/>
  <c r="D231" i="3"/>
  <c r="R228" i="3"/>
  <c r="W228" i="3" s="1"/>
  <c r="H229" i="3"/>
  <c r="C231" i="3" l="1"/>
  <c r="B230" i="3"/>
  <c r="R229" i="3"/>
  <c r="W229" i="3" s="1"/>
  <c r="H230" i="3"/>
  <c r="E232" i="3"/>
  <c r="D232" i="3"/>
  <c r="S231" i="3"/>
  <c r="AC231" i="3" s="1"/>
  <c r="C232" i="3" l="1"/>
  <c r="S232" i="3"/>
  <c r="AC232" i="3" s="1"/>
  <c r="E233" i="3"/>
  <c r="D233" i="3"/>
  <c r="C233" i="3" s="1"/>
  <c r="B231" i="3"/>
  <c r="R230" i="3"/>
  <c r="W230" i="3" s="1"/>
  <c r="H231" i="3"/>
  <c r="E234" i="3" l="1"/>
  <c r="D234" i="3"/>
  <c r="C234" i="3" s="1"/>
  <c r="R231" i="3"/>
  <c r="W231" i="3" s="1"/>
  <c r="S233" i="3"/>
  <c r="AC233" i="3" s="1"/>
  <c r="B232" i="3"/>
  <c r="B233" i="3" s="1"/>
  <c r="H232" i="3" l="1"/>
  <c r="R232" i="3" s="1"/>
  <c r="W232" i="3" s="1"/>
  <c r="S234" i="3"/>
  <c r="AC234" i="3" s="1"/>
  <c r="B234" i="3"/>
  <c r="E235" i="3"/>
  <c r="D235" i="3"/>
  <c r="H233" i="3" l="1"/>
  <c r="R233" i="3" s="1"/>
  <c r="W233" i="3" s="1"/>
  <c r="C235" i="3"/>
  <c r="B235" i="3" s="1"/>
  <c r="S235" i="3"/>
  <c r="AC235" i="3" s="1"/>
  <c r="D236" i="3"/>
  <c r="E236" i="3"/>
  <c r="H234" i="3" l="1"/>
  <c r="R234" i="3" s="1"/>
  <c r="W234" i="3" s="1"/>
  <c r="C236" i="3"/>
  <c r="S236" i="3"/>
  <c r="AC236" i="3" s="1"/>
  <c r="E237" i="3"/>
  <c r="D237" i="3"/>
  <c r="B236" i="3"/>
  <c r="C237" i="3" l="1"/>
  <c r="H235" i="3"/>
  <c r="R235" i="3" s="1"/>
  <c r="W235" i="3" s="1"/>
  <c r="S237" i="3"/>
  <c r="AC237" i="3" s="1"/>
  <c r="E238" i="3"/>
  <c r="D238" i="3"/>
  <c r="B237" i="3"/>
  <c r="C238" i="3" l="1"/>
  <c r="H236" i="3"/>
  <c r="H237" i="3" s="1"/>
  <c r="E239" i="3"/>
  <c r="D239" i="3"/>
  <c r="S238" i="3"/>
  <c r="AC238" i="3" s="1"/>
  <c r="C239" i="3" l="1"/>
  <c r="R236" i="3"/>
  <c r="W236" i="3" s="1"/>
  <c r="R237" i="3"/>
  <c r="W237" i="3" s="1"/>
  <c r="B238" i="3"/>
  <c r="H238" i="3" s="1"/>
  <c r="S239" i="3"/>
  <c r="AC239" i="3" s="1"/>
  <c r="E240" i="3"/>
  <c r="D240" i="3"/>
  <c r="C240" i="3" l="1"/>
  <c r="S240" i="3"/>
  <c r="AC240" i="3" s="1"/>
  <c r="E241" i="3"/>
  <c r="D241" i="3"/>
  <c r="R238" i="3"/>
  <c r="W238" i="3" s="1"/>
  <c r="H239" i="3"/>
  <c r="B239" i="3"/>
  <c r="C241" i="3" l="1"/>
  <c r="E242" i="3"/>
  <c r="D242" i="3"/>
  <c r="R239" i="3"/>
  <c r="W239" i="3" s="1"/>
  <c r="S241" i="3"/>
  <c r="AC241" i="3" s="1"/>
  <c r="B240" i="3"/>
  <c r="B241" i="3" s="1"/>
  <c r="C242" i="3" l="1"/>
  <c r="H240" i="3"/>
  <c r="R240" i="3" s="1"/>
  <c r="W240" i="3" s="1"/>
  <c r="S242" i="3"/>
  <c r="AC242" i="3" s="1"/>
  <c r="E243" i="3"/>
  <c r="D243" i="3"/>
  <c r="B242" i="3"/>
  <c r="H241" i="3" l="1"/>
  <c r="R241" i="3" s="1"/>
  <c r="W241" i="3" s="1"/>
  <c r="C243" i="3"/>
  <c r="D244" i="3"/>
  <c r="E244" i="3"/>
  <c r="S243" i="3"/>
  <c r="AC243" i="3" s="1"/>
  <c r="H242" i="3" l="1"/>
  <c r="R242" i="3" s="1"/>
  <c r="W242" i="3" s="1"/>
  <c r="C244" i="3"/>
  <c r="B243" i="3"/>
  <c r="E245" i="3"/>
  <c r="D245" i="3"/>
  <c r="S244" i="3"/>
  <c r="AC244" i="3" s="1"/>
  <c r="H243" i="3" l="1"/>
  <c r="R243" i="3" s="1"/>
  <c r="W243" i="3" s="1"/>
  <c r="C245" i="3"/>
  <c r="S245" i="3"/>
  <c r="AC245" i="3" s="1"/>
  <c r="E246" i="3"/>
  <c r="D246" i="3"/>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T279" i="3" l="1"/>
  <c r="S279" i="3" s="1"/>
  <c r="AC279" i="3" s="1"/>
  <c r="Q279" i="3"/>
  <c r="C279" i="3"/>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Q289" i="3"/>
  <c r="T289" i="3"/>
  <c r="S289" i="3" s="1"/>
  <c r="AC289" i="3" s="1"/>
  <c r="R287" i="3"/>
  <c r="W287" i="3" s="1"/>
  <c r="H288" i="3"/>
  <c r="D290" i="3"/>
  <c r="B289" i="3"/>
  <c r="T290" i="3" l="1"/>
  <c r="S290" i="3" s="1"/>
  <c r="AC290" i="3" s="1"/>
  <c r="Q290" i="3"/>
  <c r="C290" i="3"/>
  <c r="R288" i="3"/>
  <c r="W288" i="3" s="1"/>
  <c r="H289" i="3"/>
  <c r="E291" i="3"/>
  <c r="D291" i="3"/>
  <c r="B290" i="3"/>
  <c r="C291" i="3" l="1"/>
  <c r="E292" i="3"/>
  <c r="D292" i="3"/>
  <c r="S291" i="3"/>
  <c r="AC291" i="3" s="1"/>
  <c r="R289" i="3"/>
  <c r="W289" i="3" s="1"/>
  <c r="H290" i="3"/>
  <c r="C292" i="3" l="1"/>
  <c r="R290" i="3"/>
  <c r="W290" i="3" s="1"/>
  <c r="H291" i="3"/>
  <c r="B291" i="3"/>
  <c r="S292" i="3"/>
  <c r="AC292" i="3" s="1"/>
  <c r="E293" i="3"/>
  <c r="D293" i="3"/>
  <c r="Q293" i="3" l="1"/>
  <c r="T293" i="3"/>
  <c r="S293" i="3" s="1"/>
  <c r="AC293" i="3" s="1"/>
  <c r="C293" i="3"/>
  <c r="E294" i="3"/>
  <c r="D294" i="3"/>
  <c r="R291" i="3"/>
  <c r="W291" i="3" s="1"/>
  <c r="B292" i="3"/>
  <c r="H292" i="3" s="1"/>
  <c r="C294" i="3" l="1"/>
  <c r="R292" i="3"/>
  <c r="W292" i="3" s="1"/>
  <c r="B293" i="3"/>
  <c r="H293" i="3" s="1"/>
  <c r="S294" i="3"/>
  <c r="AC294" i="3" s="1"/>
  <c r="E295" i="3"/>
  <c r="D295" i="3"/>
  <c r="C295" i="3" l="1"/>
  <c r="E296" i="3"/>
  <c r="D296" i="3"/>
  <c r="R293" i="3"/>
  <c r="W293" i="3" s="1"/>
  <c r="S295" i="3"/>
  <c r="AC295" i="3" s="1"/>
  <c r="B294" i="3"/>
  <c r="H294" i="3" s="1"/>
  <c r="T296" i="3" l="1"/>
  <c r="S296" i="3" s="1"/>
  <c r="AC296" i="3" s="1"/>
  <c r="Q296" i="3"/>
  <c r="C296" i="3"/>
  <c r="R294" i="3"/>
  <c r="W294" i="3" s="1"/>
  <c r="B295" i="3"/>
  <c r="H295" i="3" s="1"/>
  <c r="D297" i="3"/>
  <c r="Q297" i="3" l="1"/>
  <c r="T297" i="3"/>
  <c r="S297" i="3" s="1"/>
  <c r="AC297" i="3" s="1"/>
  <c r="C297" i="3"/>
  <c r="D298" i="3"/>
  <c r="R295" i="3"/>
  <c r="W295" i="3" s="1"/>
  <c r="H296" i="3"/>
  <c r="B296" i="3"/>
  <c r="Q298" i="3" l="1"/>
  <c r="T298" i="3"/>
  <c r="S298" i="3" s="1"/>
  <c r="AC298" i="3" s="1"/>
  <c r="C298" i="3"/>
  <c r="R296" i="3"/>
  <c r="W296" i="3" s="1"/>
  <c r="D299" i="3"/>
  <c r="B297" i="3"/>
  <c r="H297" i="3" s="1"/>
  <c r="Q299" i="3" l="1"/>
  <c r="T299" i="3"/>
  <c r="S299" i="3" s="1"/>
  <c r="AC299" i="3" s="1"/>
  <c r="C299" i="3"/>
  <c r="R297" i="3"/>
  <c r="W297" i="3" s="1"/>
  <c r="H298" i="3"/>
  <c r="E300" i="3"/>
  <c r="D300" i="3"/>
  <c r="B298" i="3"/>
  <c r="C300" i="3" l="1"/>
  <c r="S300" i="3"/>
  <c r="AC300" i="3" s="1"/>
  <c r="E301" i="3"/>
  <c r="D301" i="3"/>
  <c r="R298" i="3"/>
  <c r="W298" i="3" s="1"/>
  <c r="B299" i="3"/>
  <c r="B300" i="3" s="1"/>
  <c r="C301" i="3" l="1"/>
  <c r="T301" i="3"/>
  <c r="S301" i="3" s="1"/>
  <c r="AC301" i="3" s="1"/>
  <c r="Q301" i="3"/>
  <c r="H299" i="3"/>
  <c r="H300" i="3" s="1"/>
  <c r="D302" i="3"/>
  <c r="B301" i="3"/>
  <c r="T302" i="3" l="1"/>
  <c r="S302" i="3" s="1"/>
  <c r="AC302" i="3" s="1"/>
  <c r="Q302" i="3"/>
  <c r="R299" i="3"/>
  <c r="W299" i="3" s="1"/>
  <c r="C302" i="3"/>
  <c r="B302" i="3" s="1"/>
  <c r="D303" i="3"/>
  <c r="R300" i="3"/>
  <c r="W300" i="3" s="1"/>
  <c r="H301" i="3"/>
  <c r="T303" i="3" l="1"/>
  <c r="S303" i="3" s="1"/>
  <c r="AC303" i="3" s="1"/>
  <c r="Q303" i="3"/>
  <c r="C303" i="3"/>
  <c r="R301" i="3"/>
  <c r="W301" i="3" s="1"/>
  <c r="H302" i="3"/>
  <c r="D304" i="3"/>
  <c r="T304" i="3" l="1"/>
  <c r="S304" i="3" s="1"/>
  <c r="AC304" i="3" s="1"/>
  <c r="Q304" i="3"/>
  <c r="C304" i="3"/>
  <c r="E305" i="3"/>
  <c r="D305" i="3"/>
  <c r="B303" i="3"/>
  <c r="R302" i="3"/>
  <c r="W302" i="3" s="1"/>
  <c r="B304" i="3" l="1"/>
  <c r="C305" i="3"/>
  <c r="Q305" i="3"/>
  <c r="T305" i="3"/>
  <c r="S305" i="3" s="1"/>
  <c r="AC305" i="3" s="1"/>
  <c r="H303" i="3"/>
  <c r="H304" i="3" s="1"/>
  <c r="D306" i="3"/>
  <c r="B305" i="3" l="1"/>
  <c r="T306" i="3"/>
  <c r="S306" i="3" s="1"/>
  <c r="AC306" i="3" s="1"/>
  <c r="Q306" i="3"/>
  <c r="C306" i="3"/>
  <c r="R303" i="3"/>
  <c r="W303" i="3" s="1"/>
  <c r="R304" i="3"/>
  <c r="W304" i="3" s="1"/>
  <c r="H305" i="3"/>
  <c r="H306" i="3" s="1"/>
  <c r="E307" i="3"/>
  <c r="D307" i="3"/>
  <c r="C307" i="3" l="1"/>
  <c r="S307" i="3"/>
  <c r="AC307" i="3" s="1"/>
  <c r="R305" i="3"/>
  <c r="W305" i="3" s="1"/>
  <c r="E308" i="3"/>
  <c r="D308" i="3"/>
  <c r="B306" i="3"/>
  <c r="C308" i="3" l="1"/>
  <c r="E309" i="3"/>
  <c r="D309" i="3"/>
  <c r="S308" i="3"/>
  <c r="AC308" i="3" s="1"/>
  <c r="R306" i="3"/>
  <c r="W306" i="3" s="1"/>
  <c r="B307" i="3"/>
  <c r="H307" i="3" s="1"/>
  <c r="Q309" i="3" l="1"/>
  <c r="T309" i="3"/>
  <c r="S309" i="3" s="1"/>
  <c r="AC309" i="3" s="1"/>
  <c r="C309" i="3"/>
  <c r="R307" i="3"/>
  <c r="W307" i="3" s="1"/>
  <c r="E310" i="3"/>
  <c r="D310" i="3"/>
  <c r="B308" i="3"/>
  <c r="H308" i="3" s="1"/>
  <c r="C310" i="3" l="1"/>
  <c r="S310" i="3"/>
  <c r="AC310" i="3" s="1"/>
  <c r="R308" i="3"/>
  <c r="W308" i="3" s="1"/>
  <c r="E311" i="3"/>
  <c r="D311" i="3"/>
  <c r="B309" i="3"/>
  <c r="H309" i="3" s="1"/>
  <c r="T311" i="3" l="1"/>
  <c r="S311" i="3" s="1"/>
  <c r="AC311" i="3" s="1"/>
  <c r="Q311" i="3"/>
  <c r="C311" i="3"/>
  <c r="E312" i="3"/>
  <c r="D312" i="3"/>
  <c r="C312" i="3" s="1"/>
  <c r="R309" i="3"/>
  <c r="W309" i="3" s="1"/>
  <c r="B310" i="3"/>
  <c r="B311" i="3" s="1"/>
  <c r="H310" i="3" l="1"/>
  <c r="H311" i="3" s="1"/>
  <c r="S312" i="3"/>
  <c r="AC312" i="3" s="1"/>
  <c r="E313" i="3"/>
  <c r="D313" i="3"/>
  <c r="B312" i="3"/>
  <c r="R310" i="3" l="1"/>
  <c r="W310" i="3" s="1"/>
  <c r="C313" i="3"/>
  <c r="S313" i="3"/>
  <c r="AC313" i="3" s="1"/>
  <c r="E314" i="3"/>
  <c r="D314" i="3"/>
  <c r="R311" i="3"/>
  <c r="W311" i="3" s="1"/>
  <c r="H312" i="3"/>
  <c r="B313" i="3"/>
  <c r="C314" i="3" l="1"/>
  <c r="S314" i="3"/>
  <c r="AC314" i="3" s="1"/>
  <c r="E315" i="3"/>
  <c r="D315" i="3"/>
  <c r="C315" i="3" s="1"/>
  <c r="R312" i="3"/>
  <c r="W312" i="3" s="1"/>
  <c r="H313" i="3"/>
  <c r="B314" i="3"/>
  <c r="S315" i="3" l="1"/>
  <c r="AC315" i="3" s="1"/>
  <c r="E316" i="3"/>
  <c r="D316" i="3"/>
  <c r="R313" i="3"/>
  <c r="W313" i="3" s="1"/>
  <c r="H314" i="3"/>
  <c r="B315" i="3"/>
  <c r="C316" i="3" l="1"/>
  <c r="S316" i="3"/>
  <c r="AC316" i="3" s="1"/>
  <c r="E317" i="3"/>
  <c r="D317" i="3"/>
  <c r="R314" i="3"/>
  <c r="W314" i="3" s="1"/>
  <c r="H315" i="3"/>
  <c r="B316" i="3"/>
  <c r="C317" i="3" l="1"/>
  <c r="B317" i="3" s="1"/>
  <c r="S317" i="3"/>
  <c r="AC317" i="3" s="1"/>
  <c r="E318" i="3"/>
  <c r="D318" i="3"/>
  <c r="R315" i="3"/>
  <c r="W315" i="3" s="1"/>
  <c r="H316" i="3"/>
  <c r="C318" i="3" l="1"/>
  <c r="S318" i="3"/>
  <c r="AC318" i="3" s="1"/>
  <c r="E319" i="3"/>
  <c r="D319" i="3"/>
  <c r="R316" i="3"/>
  <c r="W316" i="3" s="1"/>
  <c r="H317" i="3"/>
  <c r="B318"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R330" i="3"/>
  <c r="W330" i="3" s="1"/>
  <c r="H331" i="3"/>
  <c r="B332" i="3"/>
  <c r="C333" i="3" l="1"/>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Q354" i="3" l="1"/>
  <c r="T354" i="3"/>
  <c r="S354" i="3" s="1"/>
  <c r="AC354" i="3" s="1"/>
  <c r="C354" i="3"/>
  <c r="R352" i="3"/>
  <c r="W352" i="3" s="1"/>
  <c r="D355" i="3"/>
  <c r="B353" i="3"/>
  <c r="H353" i="3" s="1"/>
  <c r="Q355" i="3" l="1"/>
  <c r="T355" i="3"/>
  <c r="S355" i="3" s="1"/>
  <c r="AC355" i="3" s="1"/>
  <c r="C355" i="3"/>
  <c r="D356" i="3"/>
  <c r="R353" i="3"/>
  <c r="W353" i="3" s="1"/>
  <c r="B354" i="3"/>
  <c r="B355" i="3" s="1"/>
  <c r="C356" i="3" l="1"/>
  <c r="Q356" i="3"/>
  <c r="T356" i="3"/>
  <c r="S356" i="3" s="1"/>
  <c r="AC356" i="3" s="1"/>
  <c r="H354" i="3"/>
  <c r="H355" i="3" s="1"/>
  <c r="D357" i="3"/>
  <c r="B356" i="3"/>
  <c r="T357" i="3" l="1"/>
  <c r="S357" i="3" s="1"/>
  <c r="AC357" i="3" s="1"/>
  <c r="Q357" i="3"/>
  <c r="R354" i="3"/>
  <c r="W354" i="3" s="1"/>
  <c r="C357" i="3"/>
  <c r="R355" i="3"/>
  <c r="W355" i="3" s="1"/>
  <c r="H356" i="3"/>
  <c r="D358" i="3"/>
  <c r="E358" i="3"/>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H359" i="3"/>
  <c r="B359" i="3"/>
  <c r="C361" i="3" l="1"/>
  <c r="R359" i="3"/>
  <c r="W359" i="3" s="1"/>
  <c r="B360" i="3"/>
  <c r="H360" i="3" s="1"/>
  <c r="D362" i="3"/>
  <c r="E362" i="3"/>
  <c r="S361" i="3"/>
  <c r="AC361" i="3" s="1"/>
  <c r="C362" i="3" l="1"/>
  <c r="D363" i="3"/>
  <c r="E363" i="3"/>
  <c r="S362" i="3"/>
  <c r="AC362" i="3" s="1"/>
  <c r="R360" i="3"/>
  <c r="W360" i="3" s="1"/>
  <c r="H361" i="3"/>
  <c r="B361" i="3"/>
  <c r="B362" i="3" s="1"/>
  <c r="C363" i="3" l="1"/>
  <c r="R361" i="3"/>
  <c r="W361" i="3" s="1"/>
  <c r="H362" i="3"/>
  <c r="D364" i="3"/>
  <c r="E364" i="3"/>
  <c r="S363" i="3"/>
  <c r="AC363" i="3" s="1"/>
  <c r="T364" i="3" l="1"/>
  <c r="S364" i="3" s="1"/>
  <c r="AC364" i="3" s="1"/>
  <c r="Q364" i="3"/>
  <c r="C364" i="3"/>
  <c r="D365" i="3"/>
  <c r="E365" i="3"/>
  <c r="R362" i="3"/>
  <c r="W362" i="3" s="1"/>
  <c r="B363" i="3"/>
  <c r="B364" i="3" s="1"/>
  <c r="H363" i="3" l="1"/>
  <c r="R363" i="3" s="1"/>
  <c r="W363" i="3" s="1"/>
  <c r="C365" i="3"/>
  <c r="D366" i="3"/>
  <c r="E366" i="3"/>
  <c r="S365" i="3"/>
  <c r="AC365" i="3" s="1"/>
  <c r="Q366" i="3" l="1"/>
  <c r="T366" i="3"/>
  <c r="S366" i="3" s="1"/>
  <c r="AC366" i="3" s="1"/>
  <c r="H364" i="3"/>
  <c r="R364" i="3" s="1"/>
  <c r="W364" i="3" s="1"/>
  <c r="C366" i="3"/>
  <c r="D367" i="3"/>
  <c r="E367" i="3"/>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T370" i="3" l="1"/>
  <c r="S370" i="3" s="1"/>
  <c r="AC370" i="3" s="1"/>
  <c r="Q370" i="3"/>
  <c r="H368" i="3"/>
  <c r="H369" i="3" s="1"/>
  <c r="C370" i="3"/>
  <c r="D371" i="3"/>
  <c r="E371" i="3"/>
  <c r="B369" i="3"/>
  <c r="T371" i="3" l="1"/>
  <c r="S371" i="3" s="1"/>
  <c r="AC371" i="3" s="1"/>
  <c r="Q371" i="3"/>
  <c r="R368" i="3"/>
  <c r="W368" i="3" s="1"/>
  <c r="C371" i="3"/>
  <c r="R369" i="3"/>
  <c r="W369" i="3" s="1"/>
  <c r="B370" i="3"/>
  <c r="H370" i="3" s="1"/>
  <c r="D372" i="3"/>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B375" i="3"/>
  <c r="B376" i="3" s="1"/>
  <c r="H375" i="3" l="1"/>
  <c r="H376" i="3" s="1"/>
  <c r="C377" i="3"/>
  <c r="D378" i="3"/>
  <c r="E378" i="3"/>
  <c r="S377" i="3"/>
  <c r="AC377" i="3" s="1"/>
  <c r="R375" i="3" l="1"/>
  <c r="W375" i="3" s="1"/>
  <c r="C378" i="3"/>
  <c r="D379" i="3"/>
  <c r="E379" i="3"/>
  <c r="S378" i="3"/>
  <c r="AC378" i="3" s="1"/>
  <c r="R376" i="3"/>
  <c r="W376" i="3" s="1"/>
  <c r="B377" i="3"/>
  <c r="B378" i="3" s="1"/>
  <c r="H377" i="3" l="1"/>
  <c r="H378" i="3" s="1"/>
  <c r="C379" i="3"/>
  <c r="D380" i="3"/>
  <c r="E380" i="3"/>
  <c r="S379" i="3"/>
  <c r="AC379" i="3" s="1"/>
  <c r="R377" i="3" l="1"/>
  <c r="W377" i="3" s="1"/>
  <c r="C380" i="3"/>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E419" i="3"/>
  <c r="D419" i="3"/>
  <c r="B417" i="3"/>
  <c r="B418" i="3" l="1"/>
  <c r="C419" i="3"/>
  <c r="H417" i="3"/>
  <c r="H418" i="3" s="1"/>
  <c r="S419" i="3"/>
  <c r="AC419" i="3" s="1"/>
  <c r="D420" i="3"/>
  <c r="E420" i="3"/>
  <c r="B419" i="3" l="1"/>
  <c r="R417" i="3"/>
  <c r="W417" i="3" s="1"/>
  <c r="C420" i="3"/>
  <c r="D421" i="3"/>
  <c r="E421" i="3"/>
  <c r="R418" i="3"/>
  <c r="W418" i="3" s="1"/>
  <c r="H419" i="3"/>
  <c r="S420" i="3"/>
  <c r="AC420" i="3" s="1"/>
  <c r="C421" i="3" l="1"/>
  <c r="R419" i="3"/>
  <c r="W419" i="3" s="1"/>
  <c r="B420" i="3"/>
  <c r="H420" i="3" s="1"/>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Q432" i="3" l="1"/>
  <c r="T432" i="3"/>
  <c r="S432" i="3" s="1"/>
  <c r="AC432" i="3" s="1"/>
  <c r="C432" i="3"/>
  <c r="D433" i="3"/>
  <c r="E433" i="3"/>
  <c r="R430" i="3"/>
  <c r="W430" i="3" s="1"/>
  <c r="B431" i="3"/>
  <c r="H431" i="3" s="1"/>
  <c r="T433" i="3" l="1"/>
  <c r="S433" i="3" s="1"/>
  <c r="AC433" i="3" s="1"/>
  <c r="Q433" i="3"/>
  <c r="C433" i="3"/>
  <c r="R431" i="3"/>
  <c r="W431" i="3" s="1"/>
  <c r="D434" i="3"/>
  <c r="B432" i="3"/>
  <c r="H432" i="3" s="1"/>
  <c r="T434" i="3" l="1"/>
  <c r="S434" i="3" s="1"/>
  <c r="AC434" i="3" s="1"/>
  <c r="Q434" i="3"/>
  <c r="C434" i="3"/>
  <c r="D435" i="3"/>
  <c r="E435" i="3"/>
  <c r="R432" i="3"/>
  <c r="W432" i="3" s="1"/>
  <c r="H433" i="3"/>
  <c r="B433" i="3"/>
  <c r="C435" i="3" l="1"/>
  <c r="R433" i="3"/>
  <c r="W433" i="3" s="1"/>
  <c r="E436" i="3"/>
  <c r="D436" i="3"/>
  <c r="S435" i="3"/>
  <c r="AC435" i="3" s="1"/>
  <c r="B434" i="3"/>
  <c r="H434" i="3" s="1"/>
  <c r="C436" i="3" l="1"/>
  <c r="S436" i="3"/>
  <c r="AC436" i="3" s="1"/>
  <c r="E437" i="3"/>
  <c r="D437" i="3"/>
  <c r="R434" i="3"/>
  <c r="W434" i="3" s="1"/>
  <c r="B435" i="3"/>
  <c r="H435" i="3" s="1"/>
  <c r="C437" i="3" l="1"/>
  <c r="D438" i="3"/>
  <c r="E438" i="3"/>
  <c r="R435" i="3"/>
  <c r="W435" i="3" s="1"/>
  <c r="S437" i="3"/>
  <c r="AC437" i="3" s="1"/>
  <c r="B436" i="3"/>
  <c r="H436" i="3" s="1"/>
  <c r="B437" i="3" l="1"/>
  <c r="C438" i="3"/>
  <c r="R436" i="3"/>
  <c r="W436" i="3" s="1"/>
  <c r="H437" i="3"/>
  <c r="E439" i="3"/>
  <c r="D439" i="3"/>
  <c r="S438" i="3"/>
  <c r="AC438" i="3" s="1"/>
  <c r="Q439" i="3" l="1"/>
  <c r="T439" i="3"/>
  <c r="S439" i="3" s="1"/>
  <c r="AC439" i="3" s="1"/>
  <c r="C439" i="3"/>
  <c r="E440" i="3"/>
  <c r="D440" i="3"/>
  <c r="R437" i="3"/>
  <c r="W437" i="3" s="1"/>
  <c r="B438" i="3"/>
  <c r="H438" i="3" s="1"/>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s="1"/>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S477" i="3"/>
  <c r="AC477" i="3" s="1"/>
  <c r="E478" i="3"/>
  <c r="D478" i="3"/>
  <c r="B476" i="3"/>
  <c r="H476" i="3" s="1"/>
  <c r="C478" i="3" l="1"/>
  <c r="S478" i="3"/>
  <c r="AC478" i="3" s="1"/>
  <c r="R476" i="3"/>
  <c r="W476" i="3" s="1"/>
  <c r="E479" i="3"/>
  <c r="D479" i="3"/>
  <c r="B477" i="3"/>
  <c r="H477" i="3" s="1"/>
  <c r="C479" i="3" l="1"/>
  <c r="S479" i="3"/>
  <c r="AC479" i="3" s="1"/>
  <c r="D480" i="3"/>
  <c r="E480" i="3"/>
  <c r="R477" i="3"/>
  <c r="W477" i="3" s="1"/>
  <c r="B478" i="3"/>
  <c r="B479" i="3" s="1"/>
  <c r="Q480" i="3" l="1"/>
  <c r="T480" i="3"/>
  <c r="S480" i="3" s="1"/>
  <c r="AC480" i="3" s="1"/>
  <c r="H478" i="3"/>
  <c r="R478" i="3" s="1"/>
  <c r="W478" i="3" s="1"/>
  <c r="C480" i="3"/>
  <c r="B480" i="3" s="1"/>
  <c r="D481" i="3"/>
  <c r="E481" i="3"/>
  <c r="H479" i="3" l="1"/>
  <c r="H480" i="3" s="1"/>
  <c r="C481" i="3"/>
  <c r="E482" i="3"/>
  <c r="D482" i="3"/>
  <c r="S481" i="3"/>
  <c r="AC481" i="3" s="1"/>
  <c r="R479" i="3" l="1"/>
  <c r="W479" i="3" s="1"/>
  <c r="C482" i="3"/>
  <c r="E483" i="3"/>
  <c r="D483" i="3"/>
  <c r="S482" i="3"/>
  <c r="AC482" i="3" s="1"/>
  <c r="R480" i="3"/>
  <c r="W480" i="3" s="1"/>
  <c r="H481" i="3"/>
  <c r="B481" i="3"/>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l="1"/>
  <c r="R488" i="3"/>
  <c r="W488" i="3" s="1"/>
  <c r="E492" i="3"/>
  <c r="D492" i="3"/>
  <c r="C492" i="3" s="1"/>
  <c r="S491" i="3"/>
  <c r="AC491" i="3" s="1"/>
  <c r="R489" i="3"/>
  <c r="W489" i="3" s="1"/>
  <c r="B490" i="3"/>
  <c r="H490" i="3" s="1"/>
  <c r="R490" i="3" l="1"/>
  <c r="W490" i="3" s="1"/>
  <c r="B491" i="3"/>
  <c r="H491" i="3" s="1"/>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R494" i="3"/>
  <c r="W494" i="3" s="1"/>
  <c r="B495" i="3"/>
  <c r="B496" i="3" s="1"/>
  <c r="C497" i="3" l="1"/>
  <c r="H495" i="3"/>
  <c r="H496" i="3" s="1"/>
  <c r="S497" i="3"/>
  <c r="AC497" i="3" s="1"/>
  <c r="E498" i="3"/>
  <c r="D498" i="3"/>
  <c r="B497" i="3"/>
  <c r="R495" i="3" l="1"/>
  <c r="W495" i="3" s="1"/>
  <c r="C498" i="3"/>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T510" i="3" l="1"/>
  <c r="S510" i="3" s="1"/>
  <c r="AC510" i="3" s="1"/>
  <c r="Q510" i="3"/>
  <c r="C510" i="3"/>
  <c r="D511" i="3"/>
  <c r="E511" i="3"/>
  <c r="R508" i="3"/>
  <c r="W508" i="3" s="1"/>
  <c r="H509" i="3"/>
  <c r="B509" i="3"/>
  <c r="Q511" i="3" l="1"/>
  <c r="T511" i="3"/>
  <c r="S511" i="3" s="1"/>
  <c r="AC511" i="3" s="1"/>
  <c r="C511" i="3"/>
  <c r="R509" i="3"/>
  <c r="W509" i="3" s="1"/>
  <c r="H510" i="3"/>
  <c r="D512" i="3"/>
  <c r="E512" i="3"/>
  <c r="B510" i="3"/>
  <c r="C512" i="3" l="1"/>
  <c r="D513" i="3"/>
  <c r="E513" i="3"/>
  <c r="S512" i="3"/>
  <c r="AC512" i="3" s="1"/>
  <c r="R510" i="3"/>
  <c r="W510" i="3" s="1"/>
  <c r="H511" i="3"/>
  <c r="B511" i="3"/>
  <c r="C513" i="3" l="1"/>
  <c r="R511" i="3"/>
  <c r="W511" i="3" s="1"/>
  <c r="H512" i="3"/>
  <c r="D514" i="3"/>
  <c r="E514" i="3"/>
  <c r="S513" i="3"/>
  <c r="AC513" i="3" s="1"/>
  <c r="B512" i="3"/>
  <c r="Q514" i="3" l="1"/>
  <c r="T514" i="3"/>
  <c r="S514" i="3" s="1"/>
  <c r="AC514" i="3" s="1"/>
  <c r="B513" i="3"/>
  <c r="C514" i="3"/>
  <c r="D515" i="3"/>
  <c r="E515" i="3"/>
  <c r="R512" i="3"/>
  <c r="W512" i="3" s="1"/>
  <c r="H513" i="3"/>
  <c r="C515" i="3" l="1"/>
  <c r="R513" i="3"/>
  <c r="W513" i="3" s="1"/>
  <c r="D516" i="3"/>
  <c r="E516" i="3"/>
  <c r="S515" i="3"/>
  <c r="AC515" i="3" s="1"/>
  <c r="B514" i="3"/>
  <c r="H514" i="3" s="1"/>
  <c r="Q516" i="3" l="1"/>
  <c r="T516" i="3"/>
  <c r="S516" i="3" s="1"/>
  <c r="AC516" i="3" s="1"/>
  <c r="C516" i="3"/>
  <c r="R514" i="3"/>
  <c r="W514" i="3" s="1"/>
  <c r="H515" i="3"/>
  <c r="D517" i="3"/>
  <c r="E517" i="3"/>
  <c r="B515" i="3"/>
  <c r="B516" i="3" s="1"/>
  <c r="T517" i="3" l="1"/>
  <c r="S517" i="3" s="1"/>
  <c r="AC517" i="3" s="1"/>
  <c r="Q517" i="3"/>
  <c r="C517" i="3"/>
  <c r="D518" i="3"/>
  <c r="R515" i="3"/>
  <c r="W515" i="3" s="1"/>
  <c r="H516" i="3"/>
  <c r="T518" i="3" l="1"/>
  <c r="S518" i="3" s="1"/>
  <c r="AC518" i="3" s="1"/>
  <c r="Q518" i="3"/>
  <c r="C518" i="3"/>
  <c r="R516" i="3"/>
  <c r="W516" i="3" s="1"/>
  <c r="H517" i="3"/>
  <c r="D519" i="3"/>
  <c r="E519" i="3"/>
  <c r="B517" i="3"/>
  <c r="T519" i="3" l="1"/>
  <c r="S519" i="3" s="1"/>
  <c r="AC519" i="3" s="1"/>
  <c r="Q519" i="3"/>
  <c r="C519" i="3"/>
  <c r="D520" i="3"/>
  <c r="E520" i="3"/>
  <c r="R517" i="3"/>
  <c r="W517" i="3" s="1"/>
  <c r="H518" i="3"/>
  <c r="B518" i="3"/>
  <c r="T520" i="3" l="1"/>
  <c r="S520" i="3" s="1"/>
  <c r="AC520" i="3" s="1"/>
  <c r="Q520" i="3"/>
  <c r="C520" i="3"/>
  <c r="R518" i="3"/>
  <c r="W518" i="3" s="1"/>
  <c r="H519" i="3"/>
  <c r="D521" i="3"/>
  <c r="E521" i="3"/>
  <c r="B519" i="3"/>
  <c r="C521" i="3" l="1"/>
  <c r="D522" i="3"/>
  <c r="E522" i="3"/>
  <c r="S521" i="3"/>
  <c r="AC521" i="3" s="1"/>
  <c r="R519" i="3"/>
  <c r="W519" i="3" s="1"/>
  <c r="H520" i="3"/>
  <c r="B520" i="3"/>
  <c r="C522" i="3" l="1"/>
  <c r="R520" i="3"/>
  <c r="W520" i="3" s="1"/>
  <c r="H521" i="3"/>
  <c r="D523" i="3"/>
  <c r="E523" i="3"/>
  <c r="S522" i="3"/>
  <c r="AC522" i="3" s="1"/>
  <c r="B521" i="3"/>
  <c r="Q523" i="3" l="1"/>
  <c r="T523" i="3"/>
  <c r="S523" i="3" s="1"/>
  <c r="AC523" i="3" s="1"/>
  <c r="C523" i="3"/>
  <c r="D524" i="3"/>
  <c r="E524" i="3"/>
  <c r="R521" i="3"/>
  <c r="W521" i="3" s="1"/>
  <c r="H522" i="3"/>
  <c r="B522" i="3"/>
  <c r="C524" i="3" l="1"/>
  <c r="R522" i="3"/>
  <c r="W522" i="3" s="1"/>
  <c r="H523" i="3"/>
  <c r="B523" i="3"/>
  <c r="D525" i="3"/>
  <c r="E525" i="3"/>
  <c r="S524" i="3"/>
  <c r="AC524" i="3" s="1"/>
  <c r="T525" i="3" l="1"/>
  <c r="S525" i="3" s="1"/>
  <c r="AC525" i="3" s="1"/>
  <c r="Q525" i="3"/>
  <c r="C525" i="3"/>
  <c r="D526" i="3"/>
  <c r="E526" i="3"/>
  <c r="R523" i="3"/>
  <c r="W523" i="3" s="1"/>
  <c r="H524" i="3"/>
  <c r="B524" i="3"/>
  <c r="Q526" i="3" l="1"/>
  <c r="T526" i="3"/>
  <c r="S526" i="3" s="1"/>
  <c r="AC526" i="3" s="1"/>
  <c r="C526" i="3"/>
  <c r="B525" i="3"/>
  <c r="R524" i="3"/>
  <c r="W524" i="3" s="1"/>
  <c r="H525" i="3"/>
  <c r="D527" i="3"/>
  <c r="E527" i="3"/>
  <c r="T527" i="3" l="1"/>
  <c r="S527" i="3" s="1"/>
  <c r="AC527" i="3" s="1"/>
  <c r="Q527" i="3"/>
  <c r="C527" i="3"/>
  <c r="D528" i="3"/>
  <c r="E528" i="3"/>
  <c r="R525" i="3"/>
  <c r="W525" i="3" s="1"/>
  <c r="H526" i="3"/>
  <c r="B526" i="3"/>
  <c r="C528" i="3" l="1"/>
  <c r="R526" i="3"/>
  <c r="W526" i="3" s="1"/>
  <c r="H527" i="3"/>
  <c r="B527" i="3"/>
  <c r="D529" i="3"/>
  <c r="E529" i="3"/>
  <c r="S528" i="3"/>
  <c r="AC528" i="3" s="1"/>
  <c r="Q529" i="3" l="1"/>
  <c r="T529" i="3"/>
  <c r="S529" i="3" s="1"/>
  <c r="AC529" i="3" s="1"/>
  <c r="C529" i="3"/>
  <c r="D530" i="3"/>
  <c r="E530" i="3"/>
  <c r="R527" i="3"/>
  <c r="W527" i="3" s="1"/>
  <c r="H528" i="3"/>
  <c r="B528" i="3"/>
  <c r="B529" i="3" s="1"/>
  <c r="T530" i="3" l="1"/>
  <c r="S530" i="3" s="1"/>
  <c r="AC530" i="3" s="1"/>
  <c r="Q530" i="3"/>
  <c r="C530" i="3"/>
  <c r="R528" i="3"/>
  <c r="W528" i="3" s="1"/>
  <c r="H529" i="3"/>
  <c r="D531" i="3"/>
  <c r="T531" i="3" l="1"/>
  <c r="S531" i="3" s="1"/>
  <c r="AC531" i="3" s="1"/>
  <c r="Q531" i="3"/>
  <c r="C531" i="3"/>
  <c r="D532" i="3"/>
  <c r="R529" i="3"/>
  <c r="W529" i="3" s="1"/>
  <c r="H530" i="3"/>
  <c r="B530" i="3"/>
  <c r="Q532" i="3" l="1"/>
  <c r="T532" i="3"/>
  <c r="S532" i="3" s="1"/>
  <c r="AC532" i="3" s="1"/>
  <c r="C532" i="3"/>
  <c r="R530" i="3"/>
  <c r="W530" i="3" s="1"/>
  <c r="H531" i="3"/>
  <c r="D533" i="3"/>
  <c r="E533" i="3"/>
  <c r="B531" i="3"/>
  <c r="T533" i="3" l="1"/>
  <c r="S533" i="3" s="1"/>
  <c r="AC533" i="3" s="1"/>
  <c r="Q533" i="3"/>
  <c r="C533" i="3"/>
  <c r="D534" i="3"/>
  <c r="E534" i="3"/>
  <c r="R531" i="3"/>
  <c r="W531" i="3" s="1"/>
  <c r="B532" i="3"/>
  <c r="H532" i="3" s="1"/>
  <c r="C534" i="3" l="1"/>
  <c r="R532" i="3"/>
  <c r="W532" i="3" s="1"/>
  <c r="D535" i="3"/>
  <c r="E535" i="3"/>
  <c r="S534" i="3"/>
  <c r="AC534" i="3" s="1"/>
  <c r="B533" i="3"/>
  <c r="H533" i="3" s="1"/>
  <c r="C535" i="3" l="1"/>
  <c r="D536" i="3"/>
  <c r="E536" i="3"/>
  <c r="S535" i="3"/>
  <c r="AC535" i="3" s="1"/>
  <c r="R533" i="3"/>
  <c r="W533" i="3" s="1"/>
  <c r="H534" i="3"/>
  <c r="B534" i="3"/>
  <c r="C536" i="3" l="1"/>
  <c r="R534" i="3"/>
  <c r="W534" i="3" s="1"/>
  <c r="D537" i="3"/>
  <c r="E537" i="3"/>
  <c r="S536" i="3"/>
  <c r="AC536" i="3" s="1"/>
  <c r="B535" i="3"/>
  <c r="H535" i="3" s="1"/>
  <c r="C537" i="3" l="1"/>
  <c r="D538" i="3"/>
  <c r="E538" i="3"/>
  <c r="S537" i="3"/>
  <c r="AC537" i="3" s="1"/>
  <c r="R535" i="3"/>
  <c r="W535" i="3" s="1"/>
  <c r="H536" i="3"/>
  <c r="B536" i="3"/>
  <c r="T538" i="3" l="1"/>
  <c r="S538" i="3" s="1"/>
  <c r="AC538" i="3" s="1"/>
  <c r="Q538" i="3"/>
  <c r="C538" i="3"/>
  <c r="R536" i="3"/>
  <c r="W536" i="3" s="1"/>
  <c r="D539" i="3"/>
  <c r="E539" i="3"/>
  <c r="B537" i="3"/>
  <c r="H537" i="3" s="1"/>
  <c r="T539" i="3" l="1"/>
  <c r="S539" i="3" s="1"/>
  <c r="AC539" i="3" s="1"/>
  <c r="Q539" i="3"/>
  <c r="C539" i="3"/>
  <c r="D540" i="3"/>
  <c r="R537" i="3"/>
  <c r="W537" i="3" s="1"/>
  <c r="H538" i="3"/>
  <c r="B538" i="3"/>
  <c r="Q540" i="3" l="1"/>
  <c r="T540" i="3"/>
  <c r="S540" i="3" s="1"/>
  <c r="AC540" i="3" s="1"/>
  <c r="C540" i="3"/>
  <c r="R538" i="3"/>
  <c r="W538" i="3" s="1"/>
  <c r="D541" i="3"/>
  <c r="E541" i="3"/>
  <c r="B539" i="3"/>
  <c r="H539" i="3" s="1"/>
  <c r="C541" i="3" l="1"/>
  <c r="D542" i="3"/>
  <c r="E542" i="3"/>
  <c r="S541" i="3"/>
  <c r="AC541" i="3" s="1"/>
  <c r="R539" i="3"/>
  <c r="W539" i="3" s="1"/>
  <c r="H540" i="3"/>
  <c r="B540" i="3"/>
  <c r="T542" i="3" l="1"/>
  <c r="S542" i="3" s="1"/>
  <c r="AC542" i="3" s="1"/>
  <c r="Q542" i="3"/>
  <c r="C542" i="3"/>
  <c r="R540" i="3"/>
  <c r="W540" i="3" s="1"/>
  <c r="D543" i="3"/>
  <c r="E543" i="3"/>
  <c r="B541" i="3"/>
  <c r="H541" i="3" s="1"/>
  <c r="T543" i="3" l="1"/>
  <c r="S543" i="3" s="1"/>
  <c r="AC543" i="3" s="1"/>
  <c r="Q543" i="3"/>
  <c r="C543" i="3"/>
  <c r="D544" i="3"/>
  <c r="E544" i="3"/>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H545" i="3" s="1"/>
  <c r="Q547" i="3" l="1"/>
  <c r="T547" i="3"/>
  <c r="S547" i="3" s="1"/>
  <c r="AC547" i="3" s="1"/>
  <c r="C547" i="3"/>
  <c r="B546" i="3"/>
  <c r="E548" i="3"/>
  <c r="D548" i="3"/>
  <c r="R545" i="3"/>
  <c r="W545" i="3" s="1"/>
  <c r="H546" i="3"/>
  <c r="C548" i="3" l="1"/>
  <c r="R546" i="3"/>
  <c r="W546" i="3" s="1"/>
  <c r="B547" i="3"/>
  <c r="H547" i="3" s="1"/>
  <c r="S548" i="3"/>
  <c r="AC548" i="3" s="1"/>
  <c r="E549" i="3"/>
  <c r="D549" i="3"/>
  <c r="C549" i="3" l="1"/>
  <c r="E550" i="3"/>
  <c r="D550" i="3"/>
  <c r="S549" i="3"/>
  <c r="AC549" i="3" s="1"/>
  <c r="R547" i="3"/>
  <c r="W547" i="3" s="1"/>
  <c r="B548" i="3"/>
  <c r="H548" i="3" s="1"/>
  <c r="C550" i="3" l="1"/>
  <c r="R548" i="3"/>
  <c r="W548" i="3" s="1"/>
  <c r="B549" i="3"/>
  <c r="H549" i="3" s="1"/>
  <c r="S550" i="3"/>
  <c r="AC550" i="3" s="1"/>
  <c r="E551" i="3"/>
  <c r="D551" i="3"/>
  <c r="C551" i="3" l="1"/>
  <c r="S551" i="3"/>
  <c r="AC551" i="3" s="1"/>
  <c r="R549" i="3"/>
  <c r="W549" i="3" s="1"/>
  <c r="H550" i="3"/>
  <c r="E552" i="3"/>
  <c r="D552" i="3"/>
  <c r="B550" i="3"/>
  <c r="B551" i="3" s="1"/>
  <c r="Q552" i="3" l="1"/>
  <c r="T552" i="3"/>
  <c r="S552" i="3" s="1"/>
  <c r="AC552" i="3" s="1"/>
  <c r="C552" i="3"/>
  <c r="R550" i="3"/>
  <c r="W550" i="3" s="1"/>
  <c r="H551" i="3"/>
  <c r="E553" i="3"/>
  <c r="D553" i="3"/>
  <c r="B552" i="3"/>
  <c r="T553" i="3" l="1"/>
  <c r="S553" i="3" s="1"/>
  <c r="AC553" i="3" s="1"/>
  <c r="Q553" i="3"/>
  <c r="C553" i="3"/>
  <c r="R551" i="3"/>
  <c r="W551" i="3" s="1"/>
  <c r="H552" i="3"/>
  <c r="D554" i="3"/>
  <c r="T554" i="3" l="1"/>
  <c r="S554" i="3" s="1"/>
  <c r="AC554" i="3" s="1"/>
  <c r="Q554" i="3"/>
  <c r="C554" i="3"/>
  <c r="D555" i="3"/>
  <c r="R552" i="3"/>
  <c r="W552" i="3" s="1"/>
  <c r="B553" i="3"/>
  <c r="H553" i="3" s="1"/>
  <c r="T555" i="3" l="1"/>
  <c r="S555" i="3" s="1"/>
  <c r="AC555" i="3" s="1"/>
  <c r="Q555" i="3"/>
  <c r="C555" i="3"/>
  <c r="B554" i="3"/>
  <c r="R553" i="3"/>
  <c r="W553" i="3" s="1"/>
  <c r="H554" i="3"/>
  <c r="E556" i="3"/>
  <c r="D556" i="3"/>
  <c r="B555" i="3" l="1"/>
  <c r="C556" i="3"/>
  <c r="R554" i="3"/>
  <c r="W554" i="3" s="1"/>
  <c r="H555" i="3"/>
  <c r="S556" i="3"/>
  <c r="AC556" i="3" s="1"/>
  <c r="E557" i="3"/>
  <c r="D557" i="3"/>
  <c r="B556" i="3" l="1"/>
  <c r="C557" i="3"/>
  <c r="E558" i="3"/>
  <c r="D558" i="3"/>
  <c r="S557" i="3"/>
  <c r="AC557" i="3" s="1"/>
  <c r="R555" i="3"/>
  <c r="W555" i="3" s="1"/>
  <c r="H556" i="3"/>
  <c r="T558" i="3" l="1"/>
  <c r="S558" i="3" s="1"/>
  <c r="AC558" i="3" s="1"/>
  <c r="Q558" i="3"/>
  <c r="C558" i="3"/>
  <c r="R556" i="3"/>
  <c r="W556" i="3" s="1"/>
  <c r="B557" i="3"/>
  <c r="H557"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H562" i="3"/>
  <c r="B562" i="3"/>
  <c r="Q564" i="3" l="1"/>
  <c r="T564" i="3"/>
  <c r="S564" i="3" s="1"/>
  <c r="AC564" i="3" s="1"/>
  <c r="C564" i="3"/>
  <c r="R562" i="3"/>
  <c r="W562" i="3" s="1"/>
  <c r="B563" i="3"/>
  <c r="H563" i="3" s="1"/>
  <c r="E565" i="3"/>
  <c r="D565" i="3"/>
  <c r="C565" i="3" l="1"/>
  <c r="E566" i="3"/>
  <c r="D566" i="3"/>
  <c r="S565" i="3"/>
  <c r="AC565" i="3" s="1"/>
  <c r="R563" i="3"/>
  <c r="W563" i="3" s="1"/>
  <c r="B564" i="3"/>
  <c r="H564" i="3" s="1"/>
  <c r="C566" i="3" l="1"/>
  <c r="R564" i="3"/>
  <c r="W564" i="3" s="1"/>
  <c r="B565" i="3"/>
  <c r="H565" i="3" s="1"/>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T569" i="3"/>
  <c r="S569" i="3" s="1"/>
  <c r="AC569" i="3" s="1"/>
  <c r="Q569" i="3"/>
  <c r="R567" i="3"/>
  <c r="W567" i="3" s="1"/>
  <c r="H568" i="3"/>
  <c r="E570" i="3"/>
  <c r="D570" i="3"/>
  <c r="B568" i="3"/>
  <c r="C570" i="3" l="1"/>
  <c r="S570" i="3"/>
  <c r="AC570" i="3" s="1"/>
  <c r="E571" i="3"/>
  <c r="D571" i="3"/>
  <c r="R568" i="3"/>
  <c r="W568" i="3" s="1"/>
  <c r="H569" i="3"/>
  <c r="B569" i="3"/>
  <c r="B570" i="3" s="1"/>
  <c r="C571" i="3" l="1"/>
  <c r="B571" i="3" s="1"/>
  <c r="S571" i="3"/>
  <c r="AC571" i="3" s="1"/>
  <c r="E572" i="3"/>
  <c r="D572" i="3"/>
  <c r="R569" i="3"/>
  <c r="W569" i="3" s="1"/>
  <c r="H570"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B589" i="3" s="1"/>
  <c r="S589" i="3"/>
  <c r="AC589" i="3" s="1"/>
  <c r="E590" i="3"/>
  <c r="D590" i="3"/>
  <c r="R587" i="3"/>
  <c r="W587" i="3" s="1"/>
  <c r="H588"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Q602" i="3" l="1"/>
  <c r="T602" i="3"/>
  <c r="S602" i="3" s="1"/>
  <c r="AC602" i="3" s="1"/>
  <c r="C602" i="3"/>
  <c r="B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B608" i="3"/>
  <c r="H608" i="3" s="1"/>
  <c r="B609" i="3" l="1"/>
  <c r="C610" i="3" s="1"/>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S614" i="3"/>
  <c r="AC614" i="3" s="1"/>
  <c r="B613" i="3"/>
  <c r="H613" i="3" s="1"/>
  <c r="R613" i="3" l="1"/>
  <c r="W613" i="3" s="1"/>
  <c r="B614" i="3"/>
  <c r="H614" i="3" s="1"/>
  <c r="S615" i="3"/>
  <c r="AC615" i="3" s="1"/>
  <c r="D616" i="3"/>
  <c r="E616" i="3"/>
  <c r="C615" i="3" l="1"/>
  <c r="S616" i="3"/>
  <c r="AC616" i="3" s="1"/>
  <c r="E617" i="3"/>
  <c r="D617" i="3"/>
  <c r="R614" i="3"/>
  <c r="W614" i="3" s="1"/>
  <c r="C616" i="3" l="1"/>
  <c r="B615" i="3"/>
  <c r="H615" i="3" s="1"/>
  <c r="D618" i="3"/>
  <c r="E618" i="3"/>
  <c r="S617" i="3"/>
  <c r="AC617" i="3" s="1"/>
  <c r="C617" i="3" l="1"/>
  <c r="B616" i="3"/>
  <c r="H616" i="3"/>
  <c r="R615" i="3"/>
  <c r="W615" i="3" s="1"/>
  <c r="E619" i="3"/>
  <c r="D619" i="3"/>
  <c r="S618" i="3"/>
  <c r="AC618" i="3" s="1"/>
  <c r="B617" i="3" l="1"/>
  <c r="C618" i="3" s="1"/>
  <c r="H617" i="3"/>
  <c r="R616" i="3"/>
  <c r="W616" i="3" s="1"/>
  <c r="C619" i="3"/>
  <c r="S619" i="3"/>
  <c r="AC619" i="3" s="1"/>
  <c r="D620" i="3"/>
  <c r="E620" i="3"/>
  <c r="B618" i="3"/>
  <c r="B619" i="3" l="1"/>
  <c r="H618" i="3"/>
  <c r="R618" i="3" s="1"/>
  <c r="W618" i="3" s="1"/>
  <c r="R617" i="3"/>
  <c r="W617" i="3" s="1"/>
  <c r="C620" i="3"/>
  <c r="E621" i="3"/>
  <c r="D621" i="3"/>
  <c r="S620" i="3"/>
  <c r="AC620" i="3" s="1"/>
  <c r="H619" i="3" l="1"/>
  <c r="H620" i="3" s="1"/>
  <c r="S621" i="3"/>
  <c r="AC621" i="3" s="1"/>
  <c r="D622" i="3"/>
  <c r="E622" i="3"/>
  <c r="B620" i="3"/>
  <c r="C621" i="3" s="1"/>
  <c r="R619" i="3" l="1"/>
  <c r="W619" i="3" s="1"/>
  <c r="S622" i="3"/>
  <c r="AC622" i="3" s="1"/>
  <c r="R620" i="3"/>
  <c r="W620" i="3" s="1"/>
  <c r="H621" i="3"/>
  <c r="E623" i="3"/>
  <c r="D623" i="3"/>
  <c r="B621" i="3"/>
  <c r="C622" i="3" s="1"/>
  <c r="B622" i="3" l="1"/>
  <c r="C623" i="3"/>
  <c r="S623" i="3"/>
  <c r="AC623" i="3" s="1"/>
  <c r="D624" i="3"/>
  <c r="E624" i="3"/>
  <c r="R621" i="3"/>
  <c r="W621" i="3" s="1"/>
  <c r="H622" i="3"/>
  <c r="B623" i="3" l="1"/>
  <c r="C624" i="3"/>
  <c r="B624" i="3" s="1"/>
  <c r="E625" i="3"/>
  <c r="D625" i="3"/>
  <c r="S624" i="3"/>
  <c r="AC624" i="3" s="1"/>
  <c r="R622" i="3"/>
  <c r="W622" i="3" s="1"/>
  <c r="H623" i="3"/>
  <c r="C625" i="3" l="1"/>
  <c r="R623" i="3"/>
  <c r="W623" i="3" s="1"/>
  <c r="H624" i="3"/>
  <c r="S625" i="3"/>
  <c r="AC625" i="3" s="1"/>
  <c r="D626" i="3"/>
  <c r="E626" i="3"/>
  <c r="C626" i="3" l="1"/>
  <c r="S626" i="3"/>
  <c r="AC626" i="3" s="1"/>
  <c r="R624" i="3"/>
  <c r="W624" i="3" s="1"/>
  <c r="E627" i="3"/>
  <c r="D627" i="3"/>
  <c r="B625" i="3"/>
  <c r="H625" i="3" s="1"/>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B653" i="3"/>
  <c r="B654" i="3" l="1"/>
  <c r="H653" i="3"/>
  <c r="R653" i="3" s="1"/>
  <c r="W653" i="3" s="1"/>
  <c r="C655" i="3"/>
  <c r="D656" i="3"/>
  <c r="E656" i="3"/>
  <c r="S655" i="3"/>
  <c r="AC655" i="3" s="1"/>
  <c r="H654" i="3" l="1"/>
  <c r="R654" i="3" s="1"/>
  <c r="W654" i="3" s="1"/>
  <c r="C656" i="3"/>
  <c r="D657" i="3"/>
  <c r="E657" i="3"/>
  <c r="S656" i="3"/>
  <c r="AC656" i="3" s="1"/>
  <c r="B655" i="3"/>
  <c r="H655" i="3" l="1"/>
  <c r="H656" i="3" s="1"/>
  <c r="C657" i="3"/>
  <c r="D658" i="3"/>
  <c r="E658" i="3"/>
  <c r="S657" i="3"/>
  <c r="AC657" i="3" s="1"/>
  <c r="B656" i="3"/>
  <c r="R655" i="3" l="1"/>
  <c r="W655" i="3" s="1"/>
  <c r="C658" i="3"/>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B659" i="3"/>
  <c r="B660" i="3" s="1"/>
  <c r="H659" i="3" l="1"/>
  <c r="H660" i="3" s="1"/>
  <c r="C661" i="3"/>
  <c r="D662" i="3"/>
  <c r="E662" i="3"/>
  <c r="S661" i="3"/>
  <c r="AC661" i="3" s="1"/>
  <c r="R659" i="3" l="1"/>
  <c r="W659" i="3" s="1"/>
  <c r="C662" i="3"/>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H665" i="3" s="1"/>
  <c r="S666" i="3"/>
  <c r="AC666" i="3" s="1"/>
  <c r="B666" i="3" l="1"/>
  <c r="C667" i="3"/>
  <c r="D668" i="3"/>
  <c r="E668" i="3"/>
  <c r="S667" i="3"/>
  <c r="AC667" i="3" s="1"/>
  <c r="R665" i="3"/>
  <c r="W665" i="3" s="1"/>
  <c r="H666" i="3"/>
  <c r="C668" i="3" l="1"/>
  <c r="D669" i="3"/>
  <c r="E669" i="3"/>
  <c r="R666" i="3"/>
  <c r="W666" i="3" s="1"/>
  <c r="S668" i="3"/>
  <c r="AC668" i="3" s="1"/>
  <c r="B667" i="3"/>
  <c r="H667" i="3" s="1"/>
  <c r="C669" i="3" l="1"/>
  <c r="R667" i="3"/>
  <c r="W667" i="3" s="1"/>
  <c r="D670" i="3"/>
  <c r="E670" i="3"/>
  <c r="S669" i="3"/>
  <c r="AC669" i="3" s="1"/>
  <c r="B668" i="3"/>
  <c r="H668" i="3" s="1"/>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B673" i="3"/>
  <c r="B674" i="3" s="1"/>
  <c r="H673" i="3" l="1"/>
  <c r="R673" i="3" s="1"/>
  <c r="W673" i="3" s="1"/>
  <c r="C675" i="3"/>
  <c r="S675" i="3"/>
  <c r="AC675" i="3" s="1"/>
  <c r="E676" i="3"/>
  <c r="D676" i="3"/>
  <c r="B675" i="3"/>
  <c r="C676" i="3" l="1"/>
  <c r="H674" i="3"/>
  <c r="H675" i="3" s="1"/>
  <c r="S676" i="3"/>
  <c r="AC676" i="3" s="1"/>
  <c r="E677" i="3"/>
  <c r="D677" i="3"/>
  <c r="B676" i="3"/>
  <c r="R674" i="3" l="1"/>
  <c r="W674" i="3" s="1"/>
  <c r="C677" i="3"/>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S682" i="3"/>
  <c r="AC682" i="3" s="1"/>
  <c r="D683" i="3"/>
  <c r="E683" i="3"/>
  <c r="B681" i="3"/>
  <c r="H681" i="3" s="1"/>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S698" i="3"/>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l="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T716" i="3" l="1"/>
  <c r="S716" i="3" s="1"/>
  <c r="AC716" i="3" s="1"/>
  <c r="Q716" i="3"/>
  <c r="C716" i="3"/>
  <c r="R714" i="3"/>
  <c r="W714" i="3" s="1"/>
  <c r="B715" i="3"/>
  <c r="H715" i="3" s="1"/>
  <c r="E717" i="3"/>
  <c r="D717" i="3"/>
  <c r="C717" i="3" l="1"/>
  <c r="E718" i="3"/>
  <c r="D718" i="3"/>
  <c r="S717" i="3"/>
  <c r="AC717" i="3" s="1"/>
  <c r="R715" i="3"/>
  <c r="W715" i="3" s="1"/>
  <c r="H716" i="3"/>
  <c r="B716" i="3"/>
  <c r="C718" i="3" l="1"/>
  <c r="R716" i="3"/>
  <c r="W716" i="3" s="1"/>
  <c r="B717" i="3"/>
  <c r="H717" i="3" s="1"/>
  <c r="S718" i="3"/>
  <c r="AC718" i="3" s="1"/>
  <c r="E719" i="3"/>
  <c r="D719" i="3"/>
  <c r="C719" i="3" l="1"/>
  <c r="S719" i="3"/>
  <c r="AC719" i="3" s="1"/>
  <c r="E720" i="3"/>
  <c r="D720" i="3"/>
  <c r="R717" i="3"/>
  <c r="W717" i="3" s="1"/>
  <c r="H718" i="3"/>
  <c r="B718" i="3"/>
  <c r="C720" i="3" l="1"/>
  <c r="E721" i="3"/>
  <c r="D721" i="3"/>
  <c r="R718" i="3"/>
  <c r="W718" i="3" s="1"/>
  <c r="S720" i="3"/>
  <c r="AC720" i="3" s="1"/>
  <c r="B719" i="3"/>
  <c r="H719" i="3" s="1"/>
  <c r="C721" i="3" l="1"/>
  <c r="B720" i="3"/>
  <c r="R719" i="3"/>
  <c r="W719" i="3" s="1"/>
  <c r="H720" i="3"/>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B725" i="3" s="1"/>
  <c r="E726" i="3"/>
  <c r="D726" i="3"/>
  <c r="S725" i="3"/>
  <c r="AC725" i="3" s="1"/>
  <c r="H724" i="3" l="1"/>
  <c r="H725" i="3" s="1"/>
  <c r="C726" i="3"/>
  <c r="S726" i="3"/>
  <c r="AC726" i="3" s="1"/>
  <c r="E727" i="3"/>
  <c r="D727" i="3"/>
  <c r="C727" i="3" l="1"/>
  <c r="R724" i="3"/>
  <c r="W724" i="3" s="1"/>
  <c r="E728" i="3"/>
  <c r="D728" i="3"/>
  <c r="S727" i="3"/>
  <c r="AC727" i="3" s="1"/>
  <c r="R725" i="3"/>
  <c r="W725" i="3" s="1"/>
  <c r="B726" i="3"/>
  <c r="H726" i="3" s="1"/>
  <c r="C728" i="3" l="1"/>
  <c r="R726" i="3"/>
  <c r="W726" i="3" s="1"/>
  <c r="B727" i="3"/>
  <c r="H727" i="3" s="1"/>
  <c r="S728" i="3"/>
  <c r="AC728" i="3" s="1"/>
  <c r="E729" i="3"/>
  <c r="D729" i="3"/>
  <c r="C729" i="3" l="1"/>
  <c r="S729" i="3"/>
  <c r="AC729" i="3" s="1"/>
  <c r="E730" i="3"/>
  <c r="D730" i="3"/>
  <c r="R727" i="3"/>
  <c r="W727" i="3" s="1"/>
  <c r="B728" i="3"/>
  <c r="H728" i="3" s="1"/>
  <c r="C730" i="3" l="1"/>
  <c r="E731" i="3"/>
  <c r="D731" i="3"/>
  <c r="R728" i="3"/>
  <c r="W728" i="3" s="1"/>
  <c r="S730" i="3"/>
  <c r="AC730" i="3" s="1"/>
  <c r="B729" i="3"/>
  <c r="H729" i="3" s="1"/>
  <c r="B730" i="3" l="1"/>
  <c r="C731" i="3"/>
  <c r="R729" i="3"/>
  <c r="W729" i="3" s="1"/>
  <c r="H730" i="3"/>
  <c r="S731" i="3"/>
  <c r="AC731" i="3" s="1"/>
  <c r="E732" i="3"/>
  <c r="D732" i="3"/>
  <c r="B731" i="3" l="1"/>
  <c r="C732" i="3"/>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B733" i="3"/>
  <c r="H733" i="3" s="1"/>
  <c r="C735" i="3" l="1"/>
  <c r="D736" i="3"/>
  <c r="E736" i="3"/>
  <c r="R733" i="3"/>
  <c r="W733" i="3" s="1"/>
  <c r="S735" i="3"/>
  <c r="AC735" i="3" s="1"/>
  <c r="B734" i="3"/>
  <c r="B735" i="3" l="1"/>
  <c r="H734" i="3"/>
  <c r="H735" i="3" s="1"/>
  <c r="C736" i="3"/>
  <c r="E737" i="3"/>
  <c r="D737" i="3"/>
  <c r="S736" i="3"/>
  <c r="AC736" i="3" s="1"/>
  <c r="R734" i="3" l="1"/>
  <c r="W734" i="3" s="1"/>
  <c r="C737" i="3"/>
  <c r="B736" i="3"/>
  <c r="S737" i="3"/>
  <c r="AC737" i="3" s="1"/>
  <c r="D738" i="3"/>
  <c r="E738" i="3"/>
  <c r="R735" i="3"/>
  <c r="W735" i="3" s="1"/>
  <c r="H736" i="3"/>
  <c r="C738" i="3" l="1"/>
  <c r="S738" i="3"/>
  <c r="AC738" i="3" s="1"/>
  <c r="R736" i="3"/>
  <c r="W736" i="3" s="1"/>
  <c r="E739" i="3"/>
  <c r="D739" i="3"/>
  <c r="B737" i="3"/>
  <c r="H737" i="3" s="1"/>
  <c r="B738" i="3" l="1"/>
  <c r="C739" i="3"/>
  <c r="R737" i="3"/>
  <c r="W737" i="3" s="1"/>
  <c r="H738" i="3"/>
  <c r="S739" i="3"/>
  <c r="AC739" i="3" s="1"/>
  <c r="E740" i="3"/>
  <c r="D740" i="3"/>
  <c r="B739" i="3"/>
  <c r="C740" i="3" l="1"/>
  <c r="E741" i="3"/>
  <c r="D741" i="3"/>
  <c r="S740" i="3"/>
  <c r="AC740" i="3" s="1"/>
  <c r="R738" i="3"/>
  <c r="W738" i="3" s="1"/>
  <c r="H739" i="3"/>
  <c r="C741" i="3" l="1"/>
  <c r="R739" i="3"/>
  <c r="W739" i="3" s="1"/>
  <c r="B740" i="3"/>
  <c r="H740" i="3" s="1"/>
  <c r="S741" i="3"/>
  <c r="AC741" i="3" s="1"/>
  <c r="E742" i="3"/>
  <c r="D742" i="3"/>
  <c r="C742" i="3" l="1"/>
  <c r="E743" i="3"/>
  <c r="D743" i="3"/>
  <c r="S742" i="3"/>
  <c r="AC742" i="3" s="1"/>
  <c r="R740" i="3"/>
  <c r="W740" i="3" s="1"/>
  <c r="B741" i="3"/>
  <c r="H741" i="3" s="1"/>
  <c r="C743" i="3" l="1"/>
  <c r="R741" i="3"/>
  <c r="W741" i="3" s="1"/>
  <c r="B742" i="3"/>
  <c r="H742" i="3" s="1"/>
  <c r="S743" i="3"/>
  <c r="AC743" i="3" s="1"/>
  <c r="E744" i="3"/>
  <c r="D744" i="3"/>
  <c r="C744" i="3" l="1"/>
  <c r="E745" i="3"/>
  <c r="D745" i="3"/>
  <c r="S744" i="3"/>
  <c r="AC744" i="3" s="1"/>
  <c r="R742" i="3"/>
  <c r="W742" i="3" s="1"/>
  <c r="H743" i="3"/>
  <c r="B743" i="3"/>
  <c r="C745" i="3" l="1"/>
  <c r="R743" i="3"/>
  <c r="W743" i="3" s="1"/>
  <c r="B744" i="3"/>
  <c r="H744" i="3" s="1"/>
  <c r="S745" i="3"/>
  <c r="AC745" i="3" s="1"/>
  <c r="E746" i="3"/>
  <c r="D746" i="3"/>
  <c r="C746" i="3" l="1"/>
  <c r="E747" i="3"/>
  <c r="D747" i="3"/>
  <c r="S746" i="3"/>
  <c r="AC746" i="3" s="1"/>
  <c r="R744" i="3"/>
  <c r="W744" i="3" s="1"/>
  <c r="B745" i="3"/>
  <c r="H745" i="3" s="1"/>
  <c r="C747" i="3" l="1"/>
  <c r="R745" i="3"/>
  <c r="W745" i="3" s="1"/>
  <c r="H746" i="3"/>
  <c r="B746" i="3"/>
  <c r="S747" i="3"/>
  <c r="AC747" i="3" s="1"/>
  <c r="E748" i="3"/>
  <c r="D748" i="3"/>
  <c r="C748" i="3" l="1"/>
  <c r="E749" i="3"/>
  <c r="D749" i="3"/>
  <c r="R746" i="3"/>
  <c r="W746" i="3" s="1"/>
  <c r="H747" i="3"/>
  <c r="S748" i="3"/>
  <c r="AC748" i="3" s="1"/>
  <c r="B747" i="3"/>
  <c r="T749" i="3" l="1"/>
  <c r="S749" i="3" s="1"/>
  <c r="AC749" i="3" s="1"/>
  <c r="Q749" i="3"/>
  <c r="C749" i="3"/>
  <c r="R747" i="3"/>
  <c r="W747" i="3" s="1"/>
  <c r="H748" i="3"/>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Q764" i="3" l="1"/>
  <c r="T764" i="3"/>
  <c r="S764" i="3" s="1"/>
  <c r="AC764" i="3" s="1"/>
  <c r="C764" i="3"/>
  <c r="B764" i="3" s="1"/>
  <c r="E765" i="3"/>
  <c r="D765" i="3"/>
  <c r="R762" i="3"/>
  <c r="W762" i="3" s="1"/>
  <c r="H763" i="3"/>
  <c r="T765" i="3" l="1"/>
  <c r="S765" i="3" s="1"/>
  <c r="AC765" i="3" s="1"/>
  <c r="Q765" i="3"/>
  <c r="C765" i="3"/>
  <c r="B765" i="3" s="1"/>
  <c r="R763" i="3"/>
  <c r="W763" i="3" s="1"/>
  <c r="H764" i="3"/>
  <c r="D766" i="3"/>
  <c r="Q766" i="3" l="1"/>
  <c r="T766" i="3"/>
  <c r="S766" i="3" s="1"/>
  <c r="AC766" i="3" s="1"/>
  <c r="C766" i="3"/>
  <c r="B766" i="3" s="1"/>
  <c r="R764" i="3"/>
  <c r="W764" i="3" s="1"/>
  <c r="H765" i="3"/>
  <c r="E767" i="3"/>
  <c r="D767" i="3"/>
  <c r="T767" i="3" l="1"/>
  <c r="S767" i="3" s="1"/>
  <c r="AC767" i="3" s="1"/>
  <c r="Q767" i="3"/>
  <c r="C767" i="3"/>
  <c r="B767" i="3" s="1"/>
  <c r="E768" i="3"/>
  <c r="D768" i="3"/>
  <c r="R765" i="3"/>
  <c r="W765" i="3" s="1"/>
  <c r="H766" i="3"/>
  <c r="T768" i="3" l="1"/>
  <c r="S768" i="3" s="1"/>
  <c r="AC768" i="3" s="1"/>
  <c r="Q768" i="3"/>
  <c r="C768" i="3"/>
  <c r="B768" i="3" s="1"/>
  <c r="D769" i="3"/>
  <c r="R766" i="3"/>
  <c r="W766" i="3" s="1"/>
  <c r="H767" i="3"/>
  <c r="C769" i="3" l="1"/>
  <c r="Q769" i="3"/>
  <c r="T769" i="3"/>
  <c r="S769" i="3" s="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T773" i="3" l="1"/>
  <c r="S773" i="3" s="1"/>
  <c r="AC773" i="3" s="1"/>
  <c r="Q773" i="3"/>
  <c r="C773" i="3"/>
  <c r="R771" i="3"/>
  <c r="W771" i="3" s="1"/>
  <c r="B772" i="3"/>
  <c r="H772" i="3" s="1"/>
  <c r="E774" i="3"/>
  <c r="D774" i="3"/>
  <c r="C774" i="3" l="1"/>
  <c r="E775" i="3"/>
  <c r="D775" i="3"/>
  <c r="S774" i="3"/>
  <c r="AC774" i="3" s="1"/>
  <c r="R772" i="3"/>
  <c r="W772" i="3" s="1"/>
  <c r="B773" i="3"/>
  <c r="H773" i="3" s="1"/>
  <c r="C775" i="3" l="1"/>
  <c r="R773" i="3"/>
  <c r="W773" i="3" s="1"/>
  <c r="S775" i="3"/>
  <c r="AC775" i="3" s="1"/>
  <c r="E776" i="3"/>
  <c r="D776" i="3"/>
  <c r="B774" i="3"/>
  <c r="H774" i="3" s="1"/>
  <c r="C776" i="3" l="1"/>
  <c r="R774" i="3"/>
  <c r="W774" i="3" s="1"/>
  <c r="S776" i="3"/>
  <c r="AC776" i="3" s="1"/>
  <c r="E777" i="3"/>
  <c r="D777" i="3"/>
  <c r="B775" i="3"/>
  <c r="H775" i="3" s="1"/>
  <c r="C777" i="3" l="1"/>
  <c r="R775" i="3"/>
  <c r="W775" i="3" s="1"/>
  <c r="S777" i="3"/>
  <c r="AC777" i="3" s="1"/>
  <c r="E778" i="3"/>
  <c r="D778" i="3"/>
  <c r="B776" i="3"/>
  <c r="H776" i="3" s="1"/>
  <c r="C778" i="3" l="1"/>
  <c r="R776" i="3"/>
  <c r="W776" i="3" s="1"/>
  <c r="S778" i="3"/>
  <c r="AC778" i="3" s="1"/>
  <c r="E779" i="3"/>
  <c r="D779" i="3"/>
  <c r="B777" i="3"/>
  <c r="H777" i="3" s="1"/>
  <c r="C779" i="3" l="1"/>
  <c r="R777" i="3"/>
  <c r="W777" i="3" s="1"/>
  <c r="S779" i="3"/>
  <c r="AC779" i="3" s="1"/>
  <c r="E780" i="3"/>
  <c r="D780" i="3"/>
  <c r="B778" i="3"/>
  <c r="H778" i="3" s="1"/>
  <c r="C780" i="3" l="1"/>
  <c r="R778" i="3"/>
  <c r="W778" i="3" s="1"/>
  <c r="S780" i="3"/>
  <c r="AC780" i="3" s="1"/>
  <c r="E781" i="3"/>
  <c r="D781" i="3"/>
  <c r="B779" i="3"/>
  <c r="H779" i="3" s="1"/>
  <c r="C781" i="3" l="1"/>
  <c r="R779" i="3"/>
  <c r="W779" i="3" s="1"/>
  <c r="S781" i="3"/>
  <c r="AC781" i="3" s="1"/>
  <c r="E782" i="3"/>
  <c r="D782" i="3"/>
  <c r="B780" i="3"/>
  <c r="H780" i="3" s="1"/>
  <c r="Q782" i="3" l="1"/>
  <c r="T782" i="3"/>
  <c r="S782" i="3" s="1"/>
  <c r="AC782" i="3" s="1"/>
  <c r="C782" i="3"/>
  <c r="R780" i="3"/>
  <c r="W780" i="3" s="1"/>
  <c r="E783" i="3"/>
  <c r="D783" i="3"/>
  <c r="B781" i="3"/>
  <c r="H781" i="3" s="1"/>
  <c r="T783" i="3" l="1"/>
  <c r="S783" i="3" s="1"/>
  <c r="AC783" i="3" s="1"/>
  <c r="Q783" i="3"/>
  <c r="R781" i="3"/>
  <c r="W781" i="3" s="1"/>
  <c r="E784" i="3"/>
  <c r="D784" i="3"/>
  <c r="B782" i="3"/>
  <c r="C783" i="3" s="1"/>
  <c r="H782" i="3" l="1"/>
  <c r="R782" i="3" s="1"/>
  <c r="W782" i="3" s="1"/>
  <c r="C784" i="3"/>
  <c r="S784" i="3"/>
  <c r="AC784" i="3" s="1"/>
  <c r="E785" i="3"/>
  <c r="D785" i="3"/>
  <c r="B783" i="3"/>
  <c r="H783" i="3" l="1"/>
  <c r="R783" i="3" s="1"/>
  <c r="W783" i="3" s="1"/>
  <c r="C785" i="3"/>
  <c r="B784" i="3"/>
  <c r="S785" i="3"/>
  <c r="AC785" i="3" s="1"/>
  <c r="E786" i="3"/>
  <c r="D786" i="3"/>
  <c r="B785" i="3" l="1"/>
  <c r="C786" i="3"/>
  <c r="H784" i="3"/>
  <c r="H785" i="3" s="1"/>
  <c r="S786" i="3"/>
  <c r="AC786" i="3" s="1"/>
  <c r="E787" i="3"/>
  <c r="D787" i="3"/>
  <c r="C787" i="3" l="1"/>
  <c r="R784" i="3"/>
  <c r="W784" i="3" s="1"/>
  <c r="S787" i="3"/>
  <c r="AC787" i="3" s="1"/>
  <c r="E788" i="3"/>
  <c r="D788" i="3"/>
  <c r="R785" i="3"/>
  <c r="W785" i="3" s="1"/>
  <c r="B786" i="3"/>
  <c r="H786" i="3" s="1"/>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B792" i="3" s="1"/>
  <c r="R790" i="3"/>
  <c r="W790" i="3" s="1"/>
  <c r="H791" i="3"/>
  <c r="S792" i="3"/>
  <c r="AC792" i="3" s="1"/>
  <c r="E793" i="3"/>
  <c r="D793" i="3"/>
  <c r="C793" i="3" l="1"/>
  <c r="E794" i="3"/>
  <c r="D794" i="3"/>
  <c r="S793" i="3"/>
  <c r="AC793" i="3" s="1"/>
  <c r="R791" i="3"/>
  <c r="W791" i="3" s="1"/>
  <c r="H792" i="3"/>
  <c r="C794" i="3" l="1"/>
  <c r="R792" i="3"/>
  <c r="W792" i="3" s="1"/>
  <c r="B793" i="3"/>
  <c r="H793" i="3" s="1"/>
  <c r="S794" i="3"/>
  <c r="AC794" i="3" s="1"/>
  <c r="E795" i="3"/>
  <c r="D795" i="3"/>
  <c r="C795" i="3" l="1"/>
  <c r="E796" i="3"/>
  <c r="D796" i="3"/>
  <c r="S795" i="3"/>
  <c r="AC795" i="3" s="1"/>
  <c r="R793" i="3"/>
  <c r="W793" i="3" s="1"/>
  <c r="B794" i="3"/>
  <c r="H794" i="3" s="1"/>
  <c r="C796" i="3" l="1"/>
  <c r="R794" i="3"/>
  <c r="W794" i="3" s="1"/>
  <c r="B795" i="3"/>
  <c r="H795" i="3" s="1"/>
  <c r="S796" i="3"/>
  <c r="AC796" i="3" s="1"/>
  <c r="E797" i="3"/>
  <c r="D797" i="3"/>
  <c r="C797" i="3" l="1"/>
  <c r="E798" i="3"/>
  <c r="D798" i="3"/>
  <c r="S797" i="3"/>
  <c r="AC797" i="3" s="1"/>
  <c r="R795" i="3"/>
  <c r="W795" i="3" s="1"/>
  <c r="B796" i="3"/>
  <c r="H796" i="3" s="1"/>
  <c r="C798" i="3" l="1"/>
  <c r="R796" i="3"/>
  <c r="W796" i="3" s="1"/>
  <c r="S798" i="3"/>
  <c r="AC798" i="3" s="1"/>
  <c r="E799" i="3"/>
  <c r="D799" i="3"/>
  <c r="B797" i="3"/>
  <c r="H797" i="3" s="1"/>
  <c r="C799" i="3" l="1"/>
  <c r="R797" i="3"/>
  <c r="W797" i="3" s="1"/>
  <c r="S799" i="3"/>
  <c r="AC799" i="3" s="1"/>
  <c r="E800" i="3"/>
  <c r="D800" i="3"/>
  <c r="B798" i="3"/>
  <c r="H798" i="3" s="1"/>
  <c r="C800" i="3" l="1"/>
  <c r="S800" i="3"/>
  <c r="AC800" i="3" s="1"/>
  <c r="R798" i="3"/>
  <c r="W798" i="3" s="1"/>
  <c r="E801" i="3"/>
  <c r="D801" i="3"/>
  <c r="B799" i="3"/>
  <c r="B800" i="3" l="1"/>
  <c r="H799" i="3"/>
  <c r="R799" i="3" s="1"/>
  <c r="W799" i="3" s="1"/>
  <c r="C801" i="3"/>
  <c r="S801" i="3"/>
  <c r="AC801" i="3" s="1"/>
  <c r="E802" i="3"/>
  <c r="D802" i="3"/>
  <c r="B801" i="3" l="1"/>
  <c r="H800" i="3"/>
  <c r="R800" i="3" s="1"/>
  <c r="W800" i="3" s="1"/>
  <c r="C802" i="3"/>
  <c r="S802" i="3"/>
  <c r="AC802" i="3" s="1"/>
  <c r="E803" i="3"/>
  <c r="D803" i="3"/>
  <c r="B802" i="3"/>
  <c r="C803" i="3" l="1"/>
  <c r="B803" i="3" s="1"/>
  <c r="H801" i="3"/>
  <c r="H802" i="3" s="1"/>
  <c r="S803" i="3"/>
  <c r="AC803" i="3" s="1"/>
  <c r="E804" i="3"/>
  <c r="D804" i="3"/>
  <c r="R801" i="3" l="1"/>
  <c r="W801" i="3" s="1"/>
  <c r="C804" i="3"/>
  <c r="E805" i="3"/>
  <c r="D805" i="3"/>
  <c r="S804" i="3"/>
  <c r="AC804" i="3" s="1"/>
  <c r="R802" i="3"/>
  <c r="W802" i="3" s="1"/>
  <c r="H803" i="3"/>
  <c r="B804" i="3"/>
  <c r="C805" i="3" l="1"/>
  <c r="R803" i="3"/>
  <c r="W803" i="3" s="1"/>
  <c r="H804" i="3"/>
  <c r="S805" i="3"/>
  <c r="AC805" i="3" s="1"/>
  <c r="E806" i="3"/>
  <c r="D806" i="3"/>
  <c r="C806" i="3" l="1"/>
  <c r="E807" i="3"/>
  <c r="D807" i="3"/>
  <c r="R804" i="3"/>
  <c r="W804" i="3" s="1"/>
  <c r="S806" i="3"/>
  <c r="AC806" i="3" s="1"/>
  <c r="B805" i="3"/>
  <c r="B806" i="3" s="1"/>
  <c r="H805" i="3" l="1"/>
  <c r="H806" i="3" s="1"/>
  <c r="C807" i="3"/>
  <c r="S807" i="3"/>
  <c r="AC807" i="3" s="1"/>
  <c r="E808" i="3"/>
  <c r="D808" i="3"/>
  <c r="B807" i="3"/>
  <c r="R805" i="3" l="1"/>
  <c r="W805" i="3" s="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B833" i="3"/>
  <c r="H833" i="3" s="1"/>
  <c r="S834" i="3"/>
  <c r="AC834" i="3" s="1"/>
  <c r="E835" i="3"/>
  <c r="D835" i="3"/>
  <c r="C835" i="3" l="1"/>
  <c r="E836" i="3"/>
  <c r="D836" i="3"/>
  <c r="S835" i="3"/>
  <c r="AC835" i="3" s="1"/>
  <c r="R833" i="3"/>
  <c r="W833" i="3" s="1"/>
  <c r="B834" i="3"/>
  <c r="H834" i="3" s="1"/>
  <c r="C836" i="3" l="1"/>
  <c r="R834" i="3"/>
  <c r="W834" i="3" s="1"/>
  <c r="B835" i="3"/>
  <c r="H835" i="3" s="1"/>
  <c r="S836" i="3"/>
  <c r="AC836" i="3" s="1"/>
  <c r="E837" i="3"/>
  <c r="D837" i="3"/>
  <c r="C837" i="3" l="1"/>
  <c r="E838" i="3"/>
  <c r="D838" i="3"/>
  <c r="S837" i="3"/>
  <c r="AC837" i="3" s="1"/>
  <c r="R835" i="3"/>
  <c r="W835" i="3" s="1"/>
  <c r="H836" i="3"/>
  <c r="B836" i="3"/>
  <c r="C838" i="3" l="1"/>
  <c r="R836" i="3"/>
  <c r="W836" i="3" s="1"/>
  <c r="S838" i="3"/>
  <c r="AC838" i="3" s="1"/>
  <c r="D839" i="3"/>
  <c r="E839" i="3"/>
  <c r="B837" i="3"/>
  <c r="H837" i="3" s="1"/>
  <c r="C839" i="3" l="1"/>
  <c r="D840" i="3"/>
  <c r="E840" i="3"/>
  <c r="R837" i="3"/>
  <c r="W837" i="3" s="1"/>
  <c r="S839" i="3"/>
  <c r="AC839" i="3" s="1"/>
  <c r="B838" i="3"/>
  <c r="H838" i="3" s="1"/>
  <c r="C840" i="3" l="1"/>
  <c r="D841" i="3"/>
  <c r="E841" i="3"/>
  <c r="R838" i="3"/>
  <c r="W838" i="3" s="1"/>
  <c r="S840" i="3"/>
  <c r="AC840" i="3" s="1"/>
  <c r="B839" i="3"/>
  <c r="B840" i="3" s="1"/>
  <c r="H839" i="3" l="1"/>
  <c r="H840" i="3" s="1"/>
  <c r="C841" i="3"/>
  <c r="D842" i="3"/>
  <c r="E842" i="3"/>
  <c r="S841" i="3"/>
  <c r="AC841" i="3" s="1"/>
  <c r="R839" i="3" l="1"/>
  <c r="W839" i="3" s="1"/>
  <c r="C842" i="3"/>
  <c r="D843" i="3"/>
  <c r="E843" i="3"/>
  <c r="B841" i="3"/>
  <c r="H841" i="3" s="1"/>
  <c r="S842" i="3"/>
  <c r="AC842" i="3" s="1"/>
  <c r="R840" i="3"/>
  <c r="W840" i="3" s="1"/>
  <c r="C843" i="3" l="1"/>
  <c r="D844" i="3"/>
  <c r="E844" i="3"/>
  <c r="S843" i="3"/>
  <c r="AC843" i="3" s="1"/>
  <c r="R841" i="3"/>
  <c r="W841" i="3" s="1"/>
  <c r="B842" i="3"/>
  <c r="H842" i="3" s="1"/>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B871" i="3" s="1"/>
  <c r="S871" i="3"/>
  <c r="AC871" i="3" s="1"/>
  <c r="E872" i="3"/>
  <c r="D872" i="3"/>
  <c r="C872" i="3" s="1"/>
  <c r="R869" i="3"/>
  <c r="W869" i="3" s="1"/>
  <c r="H870" i="3"/>
  <c r="S872" i="3" l="1"/>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B893" i="3"/>
  <c r="H893" i="3" s="1"/>
  <c r="S894" i="3"/>
  <c r="AC894" i="3" s="1"/>
  <c r="E895" i="3"/>
  <c r="D895" i="3"/>
  <c r="C895" i="3" l="1"/>
  <c r="E896" i="3"/>
  <c r="D896" i="3"/>
  <c r="S895" i="3"/>
  <c r="AC895" i="3" s="1"/>
  <c r="R893" i="3"/>
  <c r="W893" i="3" s="1"/>
  <c r="B894" i="3"/>
  <c r="H894" i="3" s="1"/>
  <c r="C896" i="3" l="1"/>
  <c r="R894" i="3"/>
  <c r="W894" i="3" s="1"/>
  <c r="S896" i="3"/>
  <c r="AC896" i="3" s="1"/>
  <c r="E897" i="3"/>
  <c r="D897" i="3"/>
  <c r="B895" i="3"/>
  <c r="H895" i="3" s="1"/>
  <c r="C897" i="3" l="1"/>
  <c r="R895" i="3"/>
  <c r="W895" i="3" s="1"/>
  <c r="S897" i="3"/>
  <c r="AC897" i="3" s="1"/>
  <c r="E898" i="3"/>
  <c r="D898" i="3"/>
  <c r="B896" i="3"/>
  <c r="H896" i="3" s="1"/>
  <c r="Q898" i="3" l="1"/>
  <c r="T898" i="3"/>
  <c r="S898" i="3" s="1"/>
  <c r="AC898" i="3" s="1"/>
  <c r="C898" i="3"/>
  <c r="R896" i="3"/>
  <c r="W896" i="3" s="1"/>
  <c r="E899" i="3"/>
  <c r="D899" i="3"/>
  <c r="B897" i="3"/>
  <c r="H897" i="3" s="1"/>
  <c r="Q899" i="3" l="1"/>
  <c r="T899" i="3"/>
  <c r="S899" i="3" s="1"/>
  <c r="AC899" i="3" s="1"/>
  <c r="C899" i="3"/>
  <c r="R897" i="3"/>
  <c r="W897" i="3" s="1"/>
  <c r="D900" i="3"/>
  <c r="B898" i="3"/>
  <c r="H898" i="3" s="1"/>
  <c r="Q900" i="3" l="1"/>
  <c r="T900" i="3"/>
  <c r="S900" i="3" s="1"/>
  <c r="AC900" i="3" s="1"/>
  <c r="C900" i="3"/>
  <c r="R898" i="3"/>
  <c r="W898" i="3" s="1"/>
  <c r="E901" i="3"/>
  <c r="D901" i="3"/>
  <c r="B899" i="3"/>
  <c r="H899" i="3" s="1"/>
  <c r="C901" i="3" l="1"/>
  <c r="R899" i="3"/>
  <c r="W899" i="3" s="1"/>
  <c r="S901" i="3"/>
  <c r="AC901" i="3" s="1"/>
  <c r="E902" i="3"/>
  <c r="D902" i="3"/>
  <c r="B900" i="3"/>
  <c r="H900" i="3" s="1"/>
  <c r="C902" i="3" l="1"/>
  <c r="R900" i="3"/>
  <c r="W900" i="3" s="1"/>
  <c r="S902" i="3"/>
  <c r="AC902" i="3" s="1"/>
  <c r="E903" i="3"/>
  <c r="D903" i="3"/>
  <c r="B901" i="3"/>
  <c r="H901" i="3" s="1"/>
  <c r="C903" i="3" l="1"/>
  <c r="S903" i="3"/>
  <c r="AC903" i="3" s="1"/>
  <c r="R901" i="3"/>
  <c r="W901" i="3" s="1"/>
  <c r="E904" i="3"/>
  <c r="D904" i="3"/>
  <c r="B902" i="3"/>
  <c r="H902" i="3" s="1"/>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B907" i="3" s="1"/>
  <c r="S907" i="3"/>
  <c r="AC907" i="3" s="1"/>
  <c r="E908" i="3"/>
  <c r="D908" i="3"/>
  <c r="R905" i="3"/>
  <c r="W905" i="3" s="1"/>
  <c r="H906" i="3"/>
  <c r="C908" i="3" l="1"/>
  <c r="B908" i="3" s="1"/>
  <c r="S908" i="3"/>
  <c r="AC908" i="3" s="1"/>
  <c r="E909" i="3"/>
  <c r="D909" i="3"/>
  <c r="R906" i="3"/>
  <c r="W906" i="3" s="1"/>
  <c r="H907" i="3"/>
  <c r="C909" i="3" l="1"/>
  <c r="S909" i="3"/>
  <c r="AC909" i="3" s="1"/>
  <c r="E910" i="3"/>
  <c r="D910" i="3"/>
  <c r="R907" i="3"/>
  <c r="W907" i="3" s="1"/>
  <c r="H908" i="3"/>
  <c r="B909" i="3"/>
  <c r="C910" i="3" l="1"/>
  <c r="R908" i="3"/>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T913" i="3"/>
  <c r="S913" i="3" s="1"/>
  <c r="AC913" i="3" s="1"/>
  <c r="Q913" i="3"/>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l="1"/>
  <c r="R919" i="3"/>
  <c r="W919" i="3" s="1"/>
  <c r="S921" i="3"/>
  <c r="AC921" i="3" s="1"/>
  <c r="E922" i="3"/>
  <c r="D922" i="3"/>
  <c r="B920" i="3"/>
  <c r="H920" i="3" s="1"/>
  <c r="C922" i="3" l="1"/>
  <c r="R920" i="3"/>
  <c r="W920" i="3" s="1"/>
  <c r="S922" i="3"/>
  <c r="AC922" i="3" s="1"/>
  <c r="E923" i="3"/>
  <c r="D923" i="3"/>
  <c r="B921" i="3"/>
  <c r="H921" i="3" s="1"/>
  <c r="C923" i="3" l="1"/>
  <c r="R921" i="3"/>
  <c r="W921" i="3" s="1"/>
  <c r="S923" i="3"/>
  <c r="AC923" i="3" s="1"/>
  <c r="E924" i="3"/>
  <c r="D924" i="3"/>
  <c r="B922" i="3"/>
  <c r="H922" i="3" s="1"/>
  <c r="C924" i="3" l="1"/>
  <c r="R922" i="3"/>
  <c r="W922" i="3" s="1"/>
  <c r="S924" i="3"/>
  <c r="AC924" i="3" s="1"/>
  <c r="E925" i="3"/>
  <c r="D925" i="3"/>
  <c r="B923" i="3"/>
  <c r="H923" i="3" s="1"/>
  <c r="Q925" i="3" l="1"/>
  <c r="C925" i="3"/>
  <c r="R923" i="3"/>
  <c r="W923" i="3" s="1"/>
  <c r="S925" i="3"/>
  <c r="AC925" i="3" s="1"/>
  <c r="E926" i="3"/>
  <c r="D926" i="3"/>
  <c r="B924" i="3"/>
  <c r="H924" i="3" s="1"/>
  <c r="C926" i="3" l="1"/>
  <c r="S926" i="3"/>
  <c r="AC926" i="3" s="1"/>
  <c r="R924" i="3"/>
  <c r="W924" i="3" s="1"/>
  <c r="E927" i="3"/>
  <c r="D927" i="3"/>
  <c r="B925" i="3"/>
  <c r="H925" i="3" s="1"/>
  <c r="C927" i="3" l="1"/>
  <c r="E928" i="3"/>
  <c r="D928" i="3"/>
  <c r="S927" i="3"/>
  <c r="AC927" i="3" s="1"/>
  <c r="R925" i="3"/>
  <c r="W925" i="3" s="1"/>
  <c r="B926" i="3"/>
  <c r="H926" i="3" s="1"/>
  <c r="C928" i="3" l="1"/>
  <c r="S928" i="3"/>
  <c r="AC928" i="3" s="1"/>
  <c r="R926" i="3"/>
  <c r="W926" i="3" s="1"/>
  <c r="B927" i="3"/>
  <c r="B928" i="3" s="1"/>
  <c r="E929" i="3"/>
  <c r="D929" i="3"/>
  <c r="H927" i="3" l="1"/>
  <c r="R927" i="3" s="1"/>
  <c r="W927" i="3" s="1"/>
  <c r="C929" i="3"/>
  <c r="B929" i="3" s="1"/>
  <c r="S929" i="3"/>
  <c r="AC929" i="3" s="1"/>
  <c r="E930" i="3"/>
  <c r="D930" i="3"/>
  <c r="H928" i="3" l="1"/>
  <c r="R928" i="3" s="1"/>
  <c r="W928" i="3" s="1"/>
  <c r="C930" i="3"/>
  <c r="B930" i="3" s="1"/>
  <c r="S930" i="3"/>
  <c r="AC930" i="3" s="1"/>
  <c r="E931" i="3"/>
  <c r="D931" i="3"/>
  <c r="C931" i="3" l="1"/>
  <c r="H929" i="3"/>
  <c r="H930" i="3" s="1"/>
  <c r="S931" i="3"/>
  <c r="AC931" i="3" s="1"/>
  <c r="E932" i="3"/>
  <c r="D932" i="3"/>
  <c r="B931" i="3"/>
  <c r="R929" i="3" l="1"/>
  <c r="W929" i="3" s="1"/>
  <c r="C932" i="3"/>
  <c r="S932" i="3"/>
  <c r="AC932" i="3" s="1"/>
  <c r="R930" i="3"/>
  <c r="W930" i="3" s="1"/>
  <c r="H931" i="3"/>
  <c r="E933" i="3"/>
  <c r="D933" i="3"/>
  <c r="B932" i="3"/>
  <c r="C933" i="3" l="1"/>
  <c r="R931" i="3"/>
  <c r="W931" i="3" s="1"/>
  <c r="H932" i="3"/>
  <c r="S933" i="3"/>
  <c r="AC933" i="3" s="1"/>
  <c r="E934" i="3"/>
  <c r="D934" i="3"/>
  <c r="B933" i="3"/>
  <c r="C934" i="3" l="1"/>
  <c r="T934" i="3"/>
  <c r="S934" i="3" s="1"/>
  <c r="AC934" i="3" s="1"/>
  <c r="Q934" i="3"/>
  <c r="E935" i="3"/>
  <c r="D935" i="3"/>
  <c r="R932" i="3"/>
  <c r="W932" i="3" s="1"/>
  <c r="H933" i="3"/>
  <c r="C935" i="3" l="1"/>
  <c r="T935" i="3"/>
  <c r="S935" i="3" s="1"/>
  <c r="AC935" i="3" s="1"/>
  <c r="Q935" i="3"/>
  <c r="R933" i="3"/>
  <c r="W933" i="3" s="1"/>
  <c r="H934" i="3"/>
  <c r="B934" i="3"/>
  <c r="D936" i="3"/>
  <c r="T936" i="3" l="1"/>
  <c r="S936" i="3" s="1"/>
  <c r="AC936" i="3" s="1"/>
  <c r="Q936" i="3"/>
  <c r="C936" i="3"/>
  <c r="D937" i="3"/>
  <c r="R934" i="3"/>
  <c r="W934" i="3" s="1"/>
  <c r="H935" i="3"/>
  <c r="B935" i="3"/>
  <c r="T937" i="3" l="1"/>
  <c r="S937" i="3" s="1"/>
  <c r="AC937" i="3" s="1"/>
  <c r="Q937" i="3"/>
  <c r="C937" i="3"/>
  <c r="R935" i="3"/>
  <c r="W935" i="3" s="1"/>
  <c r="H936" i="3"/>
  <c r="B936" i="3"/>
  <c r="D938" i="3"/>
  <c r="T938" i="3" l="1"/>
  <c r="S938" i="3" s="1"/>
  <c r="AC938" i="3" s="1"/>
  <c r="Q938" i="3"/>
  <c r="C938" i="3"/>
  <c r="E939" i="3"/>
  <c r="D939" i="3"/>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T944" i="3" l="1"/>
  <c r="S944" i="3" s="1"/>
  <c r="AC944" i="3" s="1"/>
  <c r="Q944" i="3"/>
  <c r="C944" i="3"/>
  <c r="E945" i="3"/>
  <c r="D945" i="3"/>
  <c r="R942" i="3"/>
  <c r="W942" i="3" s="1"/>
  <c r="H943" i="3"/>
  <c r="B943" i="3"/>
  <c r="Q945" i="3" l="1"/>
  <c r="T945" i="3"/>
  <c r="S945" i="3" s="1"/>
  <c r="AC945" i="3" s="1"/>
  <c r="B944" i="3"/>
  <c r="C945" i="3"/>
  <c r="B945" i="3" s="1"/>
  <c r="E946" i="3"/>
  <c r="D946" i="3"/>
  <c r="R943" i="3"/>
  <c r="W943" i="3" s="1"/>
  <c r="H944" i="3"/>
  <c r="C946" i="3" l="1"/>
  <c r="B946" i="3" s="1"/>
  <c r="S946" i="3"/>
  <c r="AC946" i="3" s="1"/>
  <c r="E947" i="3"/>
  <c r="D947" i="3"/>
  <c r="R944" i="3"/>
  <c r="W944" i="3" s="1"/>
  <c r="H945" i="3"/>
  <c r="C947" i="3" l="1"/>
  <c r="S947" i="3"/>
  <c r="AC947" i="3" s="1"/>
  <c r="E948" i="3"/>
  <c r="D948" i="3"/>
  <c r="R945" i="3"/>
  <c r="W945" i="3" s="1"/>
  <c r="H946" i="3"/>
  <c r="B947" i="3"/>
  <c r="C948" i="3" l="1"/>
  <c r="B948" i="3" s="1"/>
  <c r="S948" i="3"/>
  <c r="AC948" i="3" s="1"/>
  <c r="E949" i="3"/>
  <c r="D949" i="3"/>
  <c r="R946" i="3"/>
  <c r="W946" i="3" s="1"/>
  <c r="H947"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l="1"/>
  <c r="C953" i="3"/>
  <c r="T953" i="3"/>
  <c r="S953" i="3" s="1"/>
  <c r="AC953" i="3" s="1"/>
  <c r="Q953" i="3"/>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S967" i="3"/>
  <c r="AC967" i="3" s="1"/>
  <c r="R965" i="3"/>
  <c r="W965" i="3" s="1"/>
  <c r="H966" i="3"/>
  <c r="C968" i="3" l="1"/>
  <c r="R966" i="3"/>
  <c r="W966" i="3" s="1"/>
  <c r="S968" i="3"/>
  <c r="AC968" i="3" s="1"/>
  <c r="B967" i="3"/>
  <c r="H967" i="3" s="1"/>
  <c r="E969" i="3"/>
  <c r="D969" i="3"/>
  <c r="C969" i="3" l="1"/>
  <c r="S969" i="3"/>
  <c r="AC969" i="3" s="1"/>
  <c r="B968" i="3"/>
  <c r="E970" i="3"/>
  <c r="D970" i="3"/>
  <c r="R967" i="3"/>
  <c r="W967" i="3" s="1"/>
  <c r="H968" i="3"/>
  <c r="C970" i="3" l="1"/>
  <c r="R968" i="3"/>
  <c r="W968" i="3" s="1"/>
  <c r="S970" i="3"/>
  <c r="AC970" i="3" s="1"/>
  <c r="E971" i="3"/>
  <c r="D971" i="3"/>
  <c r="B969" i="3"/>
  <c r="H969" i="3" s="1"/>
  <c r="C971" i="3" l="1"/>
  <c r="S971" i="3"/>
  <c r="AC971" i="3" s="1"/>
  <c r="B970" i="3"/>
  <c r="E972" i="3"/>
  <c r="D972" i="3"/>
  <c r="R969" i="3"/>
  <c r="W969" i="3" s="1"/>
  <c r="H970" i="3"/>
  <c r="C972" i="3" l="1"/>
  <c r="E973" i="3"/>
  <c r="D973" i="3"/>
  <c r="R970" i="3"/>
  <c r="W970" i="3" s="1"/>
  <c r="S972" i="3"/>
  <c r="AC972" i="3" s="1"/>
  <c r="B971" i="3"/>
  <c r="B972" i="3" l="1"/>
  <c r="H971" i="3"/>
  <c r="H972" i="3" s="1"/>
  <c r="C973" i="3"/>
  <c r="B973" i="3" s="1"/>
  <c r="S973" i="3"/>
  <c r="AC973" i="3" s="1"/>
  <c r="E974" i="3"/>
  <c r="D974" i="3"/>
  <c r="R971" i="3" l="1"/>
  <c r="W971" i="3" s="1"/>
  <c r="C974" i="3"/>
  <c r="E975" i="3"/>
  <c r="D975" i="3"/>
  <c r="S974" i="3"/>
  <c r="AC974" i="3" s="1"/>
  <c r="R972" i="3"/>
  <c r="W972" i="3" s="1"/>
  <c r="H973" i="3"/>
  <c r="C975" i="3" l="1"/>
  <c r="R973" i="3"/>
  <c r="W973" i="3" s="1"/>
  <c r="B974" i="3"/>
  <c r="H974" i="3" s="1"/>
  <c r="S975" i="3"/>
  <c r="AC975" i="3" s="1"/>
  <c r="E976" i="3"/>
  <c r="D976" i="3"/>
  <c r="C976" i="3" l="1"/>
  <c r="E977" i="3"/>
  <c r="D977" i="3"/>
  <c r="S976" i="3"/>
  <c r="AC976" i="3" s="1"/>
  <c r="R974" i="3"/>
  <c r="W974" i="3" s="1"/>
  <c r="B975" i="3"/>
  <c r="H975" i="3" s="1"/>
  <c r="C977" i="3" l="1"/>
  <c r="R975" i="3"/>
  <c r="W975" i="3" s="1"/>
  <c r="B976" i="3"/>
  <c r="H976" i="3" s="1"/>
  <c r="S977" i="3"/>
  <c r="AC977" i="3" s="1"/>
  <c r="E978" i="3"/>
  <c r="D978" i="3"/>
  <c r="C978" i="3" l="1"/>
  <c r="E979" i="3"/>
  <c r="D979" i="3"/>
  <c r="S978" i="3"/>
  <c r="AC978" i="3" s="1"/>
  <c r="R976" i="3"/>
  <c r="W976" i="3" s="1"/>
  <c r="H977" i="3"/>
  <c r="B977" i="3"/>
  <c r="C979" i="3" l="1"/>
  <c r="R977" i="3"/>
  <c r="W977" i="3" s="1"/>
  <c r="B978" i="3"/>
  <c r="H978" i="3" s="1"/>
  <c r="S979" i="3"/>
  <c r="AC979" i="3" s="1"/>
  <c r="E980" i="3"/>
  <c r="D980" i="3"/>
  <c r="C980" i="3" l="1"/>
  <c r="E981" i="3"/>
  <c r="D981" i="3"/>
  <c r="S980" i="3"/>
  <c r="AC980" i="3" s="1"/>
  <c r="R978" i="3"/>
  <c r="W978" i="3" s="1"/>
  <c r="H979" i="3"/>
  <c r="B979" i="3"/>
  <c r="C981" i="3" l="1"/>
  <c r="R979" i="3"/>
  <c r="W979" i="3" s="1"/>
  <c r="B980" i="3"/>
  <c r="H980" i="3" s="1"/>
  <c r="S981" i="3"/>
  <c r="AC981" i="3" s="1"/>
  <c r="E982" i="3"/>
  <c r="D982" i="3"/>
  <c r="C982" i="3" l="1"/>
  <c r="E983" i="3"/>
  <c r="D983" i="3"/>
  <c r="S982" i="3"/>
  <c r="AC982" i="3" s="1"/>
  <c r="R980" i="3"/>
  <c r="W980" i="3" s="1"/>
  <c r="B981" i="3"/>
  <c r="H981" i="3" s="1"/>
  <c r="C983" i="3" l="1"/>
  <c r="R981" i="3"/>
  <c r="W981" i="3" s="1"/>
  <c r="S983" i="3"/>
  <c r="AC983" i="3" s="1"/>
  <c r="E984" i="3"/>
  <c r="D984" i="3"/>
  <c r="B982" i="3"/>
  <c r="H982" i="3" s="1"/>
  <c r="C984" i="3" l="1"/>
  <c r="E985" i="3"/>
  <c r="D985" i="3"/>
  <c r="S984" i="3"/>
  <c r="AC984" i="3" s="1"/>
  <c r="R982" i="3"/>
  <c r="W982" i="3" s="1"/>
  <c r="H983" i="3"/>
  <c r="B983" i="3"/>
  <c r="C985" i="3" l="1"/>
  <c r="R983" i="3"/>
  <c r="W983" i="3" s="1"/>
  <c r="B984" i="3"/>
  <c r="H984" i="3" s="1"/>
  <c r="S985" i="3"/>
  <c r="AC985" i="3" s="1"/>
  <c r="E986" i="3"/>
  <c r="D986" i="3"/>
  <c r="C986" i="3" l="1"/>
  <c r="E987" i="3"/>
  <c r="D987" i="3"/>
  <c r="S986" i="3"/>
  <c r="AC986" i="3" s="1"/>
  <c r="R984" i="3"/>
  <c r="W984" i="3" s="1"/>
  <c r="B985" i="3"/>
  <c r="H985" i="3" s="1"/>
  <c r="C987" i="3" l="1"/>
  <c r="R985" i="3"/>
  <c r="W985" i="3" s="1"/>
  <c r="B986" i="3"/>
  <c r="H986" i="3" s="1"/>
  <c r="S987" i="3"/>
  <c r="AC987" i="3" s="1"/>
  <c r="E988" i="3"/>
  <c r="D988" i="3"/>
  <c r="C988" i="3" l="1"/>
  <c r="E989" i="3"/>
  <c r="D989" i="3"/>
  <c r="S988" i="3"/>
  <c r="AC988" i="3" s="1"/>
  <c r="R986" i="3"/>
  <c r="W986" i="3" s="1"/>
  <c r="B987" i="3"/>
  <c r="H987" i="3" s="1"/>
  <c r="C989" i="3" l="1"/>
  <c r="R987" i="3"/>
  <c r="W987" i="3" s="1"/>
  <c r="S989" i="3"/>
  <c r="AC989" i="3" s="1"/>
  <c r="E990" i="3"/>
  <c r="D990" i="3"/>
  <c r="B988" i="3"/>
  <c r="H988" i="3" s="1"/>
  <c r="C990" i="3" l="1"/>
  <c r="R988" i="3"/>
  <c r="W988" i="3" s="1"/>
  <c r="S990" i="3"/>
  <c r="AC990" i="3" s="1"/>
  <c r="E991" i="3"/>
  <c r="D991" i="3"/>
  <c r="B989" i="3"/>
  <c r="H989" i="3" s="1"/>
  <c r="C991" i="3" l="1"/>
  <c r="R989" i="3"/>
  <c r="W989" i="3" s="1"/>
  <c r="S991" i="3"/>
  <c r="AC991" i="3" s="1"/>
  <c r="E992" i="3"/>
  <c r="D992" i="3"/>
  <c r="B990" i="3"/>
  <c r="H990" i="3" s="1"/>
  <c r="C992" i="3" l="1"/>
  <c r="R990" i="3"/>
  <c r="W990" i="3" s="1"/>
  <c r="H991" i="3"/>
  <c r="S992" i="3"/>
  <c r="AC992" i="3" s="1"/>
  <c r="E993" i="3"/>
  <c r="D993" i="3"/>
  <c r="B991" i="3"/>
  <c r="C993" i="3" l="1"/>
  <c r="S993" i="3"/>
  <c r="AC993" i="3" s="1"/>
  <c r="R991" i="3"/>
  <c r="W991" i="3" s="1"/>
  <c r="H992" i="3"/>
  <c r="E994" i="3"/>
  <c r="D994" i="3"/>
  <c r="B992" i="3"/>
  <c r="C994" i="3" l="1"/>
  <c r="S994" i="3"/>
  <c r="AC994" i="3" s="1"/>
  <c r="E995" i="3"/>
  <c r="D995" i="3"/>
  <c r="R992" i="3"/>
  <c r="W992" i="3" s="1"/>
  <c r="H993" i="3"/>
  <c r="B993" i="3"/>
  <c r="B994" i="3" l="1"/>
  <c r="C995" i="3"/>
  <c r="S995" i="3"/>
  <c r="AC995" i="3" s="1"/>
  <c r="E996" i="3"/>
  <c r="D996" i="3"/>
  <c r="R993" i="3"/>
  <c r="W993" i="3" s="1"/>
  <c r="H994" i="3"/>
  <c r="B995" i="3"/>
  <c r="C996" i="3" l="1"/>
  <c r="B996" i="3" s="1"/>
  <c r="S996" i="3"/>
  <c r="AC996" i="3" s="1"/>
  <c r="E997" i="3"/>
  <c r="D997" i="3"/>
  <c r="R994" i="3"/>
  <c r="W994" i="3" s="1"/>
  <c r="H995" i="3"/>
  <c r="C997" i="3" l="1"/>
  <c r="B997" i="3" s="1"/>
  <c r="S997" i="3"/>
  <c r="AC997" i="3" s="1"/>
  <c r="E998" i="3"/>
  <c r="D998" i="3"/>
  <c r="R995" i="3"/>
  <c r="W995" i="3" s="1"/>
  <c r="H996"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S1013" i="3"/>
  <c r="AC1013" i="3" s="1"/>
  <c r="E1014" i="3"/>
  <c r="D1014" i="3"/>
  <c r="B1012" i="3"/>
  <c r="H1012" i="3" s="1"/>
  <c r="C1014" i="3" l="1"/>
  <c r="R1012" i="3"/>
  <c r="W1012" i="3" s="1"/>
  <c r="S1014" i="3"/>
  <c r="AC1014" i="3" s="1"/>
  <c r="E1015" i="3"/>
  <c r="D1015" i="3"/>
  <c r="B1013" i="3"/>
  <c r="H1013" i="3" s="1"/>
  <c r="C1015" i="3" l="1"/>
  <c r="R1013" i="3"/>
  <c r="W1013" i="3" s="1"/>
  <c r="S1015" i="3"/>
  <c r="AC1015" i="3" s="1"/>
  <c r="E1016" i="3"/>
  <c r="D1016" i="3"/>
  <c r="B1014" i="3"/>
  <c r="H1014" i="3" s="1"/>
  <c r="C1016" i="3" l="1"/>
  <c r="R1014" i="3"/>
  <c r="W1014" i="3" s="1"/>
  <c r="S1016" i="3"/>
  <c r="AC1016" i="3" s="1"/>
  <c r="E1017" i="3"/>
  <c r="D1017" i="3"/>
  <c r="B1015" i="3"/>
  <c r="H1015" i="3" s="1"/>
  <c r="C1017" i="3" l="1"/>
  <c r="S1017" i="3"/>
  <c r="AC1017" i="3" s="1"/>
  <c r="R1015" i="3"/>
  <c r="W1015" i="3" s="1"/>
  <c r="E1018" i="3"/>
  <c r="D1018" i="3"/>
  <c r="B1016" i="3"/>
  <c r="B1017" i="3" s="1"/>
  <c r="H1016" i="3" l="1"/>
  <c r="R1016" i="3" s="1"/>
  <c r="W1016" i="3" s="1"/>
  <c r="C1018" i="3"/>
  <c r="E1019" i="3"/>
  <c r="D1019" i="3"/>
  <c r="S1018" i="3"/>
  <c r="AC1018" i="3" s="1"/>
  <c r="B1018" i="3"/>
  <c r="H1017" i="3" l="1"/>
  <c r="H1018" i="3" s="1"/>
  <c r="C1019" i="3"/>
  <c r="S1019" i="3"/>
  <c r="AC1019" i="3" s="1"/>
  <c r="E1020" i="3"/>
  <c r="D1020" i="3"/>
  <c r="C1020" i="3" l="1"/>
  <c r="R1017" i="3"/>
  <c r="W1017" i="3" s="1"/>
  <c r="R1018" i="3"/>
  <c r="W1018" i="3" s="1"/>
  <c r="S1020" i="3"/>
  <c r="AC1020" i="3" s="1"/>
  <c r="E1021" i="3"/>
  <c r="D1021" i="3"/>
  <c r="B1019" i="3"/>
  <c r="H1019" i="3" s="1"/>
  <c r="C1021" i="3" l="1"/>
  <c r="R1019" i="3"/>
  <c r="W1019" i="3" s="1"/>
  <c r="S1021" i="3"/>
  <c r="AC1021" i="3" s="1"/>
  <c r="E1022" i="3"/>
  <c r="D1022" i="3"/>
  <c r="B1020" i="3"/>
  <c r="H1020" i="3" s="1"/>
  <c r="C1022" i="3" l="1"/>
  <c r="S1022" i="3"/>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B1029" i="3"/>
  <c r="H1029" i="3" s="1"/>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l="1"/>
  <c r="R1032" i="3"/>
  <c r="W1032" i="3" s="1"/>
  <c r="S1034" i="3"/>
  <c r="AC1034" i="3" s="1"/>
  <c r="E1035" i="3"/>
  <c r="D1035" i="3"/>
  <c r="B1033" i="3"/>
  <c r="H1033" i="3" s="1"/>
  <c r="C1035" i="3" l="1"/>
  <c r="R1033" i="3"/>
  <c r="W1033" i="3" s="1"/>
  <c r="S1035" i="3"/>
  <c r="AC1035" i="3" s="1"/>
  <c r="E1036" i="3"/>
  <c r="D1036" i="3"/>
  <c r="B1034" i="3"/>
  <c r="H1034" i="3" s="1"/>
  <c r="C1036" i="3" l="1"/>
  <c r="R1034" i="3"/>
  <c r="W1034" i="3" s="1"/>
  <c r="S1036" i="3"/>
  <c r="AC1036" i="3" s="1"/>
  <c r="E1037" i="3"/>
  <c r="D1037" i="3"/>
  <c r="B1035" i="3"/>
  <c r="H1035" i="3" s="1"/>
  <c r="C1037" i="3" l="1"/>
  <c r="R1035" i="3"/>
  <c r="W1035" i="3" s="1"/>
  <c r="S1037" i="3"/>
  <c r="AC1037" i="3" s="1"/>
  <c r="E1038" i="3"/>
  <c r="D1038" i="3"/>
  <c r="B1036" i="3"/>
  <c r="H1036" i="3" s="1"/>
  <c r="C1038" i="3" l="1"/>
  <c r="S1038" i="3"/>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B1042" i="3"/>
  <c r="H1042" i="3" s="1"/>
  <c r="C1044" i="3" l="1"/>
  <c r="R1042" i="3"/>
  <c r="W1042" i="3" s="1"/>
  <c r="E1045" i="3"/>
  <c r="D1045" i="3"/>
  <c r="S1044" i="3"/>
  <c r="AC1044" i="3" s="1"/>
  <c r="B1043" i="3"/>
  <c r="H1043" i="3" s="1"/>
  <c r="C1045" i="3" l="1"/>
  <c r="S1045" i="3"/>
  <c r="AC1045" i="3" s="1"/>
  <c r="E1046" i="3"/>
  <c r="D1046" i="3"/>
  <c r="R1043" i="3"/>
  <c r="W1043" i="3" s="1"/>
  <c r="H1044" i="3"/>
  <c r="B1044" i="3"/>
  <c r="C1046" i="3" l="1"/>
  <c r="S1046" i="3"/>
  <c r="AC1046" i="3" s="1"/>
  <c r="E1047" i="3"/>
  <c r="D1047" i="3"/>
  <c r="R1044" i="3"/>
  <c r="W1044" i="3" s="1"/>
  <c r="B1045" i="3"/>
  <c r="B1046" i="3" s="1"/>
  <c r="H1045" i="3" l="1"/>
  <c r="R1045" i="3" s="1"/>
  <c r="W1045" i="3" s="1"/>
  <c r="C1047" i="3"/>
  <c r="S1047" i="3"/>
  <c r="AC1047" i="3" s="1"/>
  <c r="E1048" i="3"/>
  <c r="D1048" i="3"/>
  <c r="B1047" i="3"/>
  <c r="C1048" i="3" l="1"/>
  <c r="B1048" i="3" s="1"/>
  <c r="H1046" i="3"/>
  <c r="H1047" i="3" s="1"/>
  <c r="S1048" i="3"/>
  <c r="AC1048" i="3" s="1"/>
  <c r="E1049" i="3"/>
  <c r="D1049" i="3"/>
  <c r="R1046" i="3" l="1"/>
  <c r="W1046" i="3" s="1"/>
  <c r="C1049" i="3"/>
  <c r="S1049" i="3"/>
  <c r="AC1049" i="3" s="1"/>
  <c r="E1050" i="3"/>
  <c r="D1050" i="3"/>
  <c r="R1047" i="3"/>
  <c r="W1047" i="3" s="1"/>
  <c r="H1048" i="3"/>
  <c r="B1049" i="3"/>
  <c r="C1050" i="3" l="1"/>
  <c r="B1050" i="3" s="1"/>
  <c r="S1050" i="3"/>
  <c r="AC1050" i="3" s="1"/>
  <c r="E1051" i="3"/>
  <c r="D1051" i="3"/>
  <c r="R1048" i="3"/>
  <c r="W1048" i="3" s="1"/>
  <c r="H1049" i="3"/>
  <c r="C1051" i="3" l="1"/>
  <c r="S1051" i="3"/>
  <c r="AC1051" i="3" s="1"/>
  <c r="E1052" i="3"/>
  <c r="D1052" i="3"/>
  <c r="R1049" i="3"/>
  <c r="W1049" i="3" s="1"/>
  <c r="H1050" i="3"/>
  <c r="B1051" i="3"/>
  <c r="C1052" i="3" l="1"/>
  <c r="S1052" i="3"/>
  <c r="AC1052" i="3" s="1"/>
  <c r="E1053" i="3"/>
  <c r="D1053" i="3"/>
  <c r="R1050" i="3"/>
  <c r="W1050" i="3" s="1"/>
  <c r="H1051" i="3"/>
  <c r="B1052" i="3"/>
  <c r="C1053" i="3" l="1"/>
  <c r="B1053" i="3" s="1"/>
  <c r="S1053" i="3"/>
  <c r="AC1053" i="3" s="1"/>
  <c r="E1054" i="3"/>
  <c r="D1054" i="3"/>
  <c r="R1051" i="3"/>
  <c r="W1051" i="3" s="1"/>
  <c r="H1052" i="3"/>
  <c r="C1054" i="3" l="1"/>
  <c r="S1054" i="3"/>
  <c r="AC1054" i="3" s="1"/>
  <c r="E1055" i="3"/>
  <c r="D1055" i="3"/>
  <c r="R1052" i="3"/>
  <c r="W1052" i="3" s="1"/>
  <c r="H1053" i="3"/>
  <c r="B1054" i="3"/>
  <c r="C1055" i="3" l="1"/>
  <c r="S1055" i="3"/>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Q1065" i="3" l="1"/>
  <c r="T1065" i="3"/>
  <c r="S1065" i="3" s="1"/>
  <c r="AC1065" i="3" s="1"/>
  <c r="C1065" i="3"/>
  <c r="B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B1068" i="3"/>
  <c r="C1069" i="3" l="1"/>
  <c r="E1070" i="3"/>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B1072" i="3"/>
  <c r="H1072" i="3" s="1"/>
  <c r="C1074" i="3" l="1"/>
  <c r="R1072" i="3"/>
  <c r="W1072" i="3" s="1"/>
  <c r="B1073" i="3"/>
  <c r="H1073" i="3" s="1"/>
  <c r="S1074" i="3"/>
  <c r="AC1074" i="3" s="1"/>
  <c r="E1075" i="3"/>
  <c r="D1075" i="3"/>
  <c r="C1075" i="3" l="1"/>
  <c r="E1076" i="3"/>
  <c r="D1076" i="3"/>
  <c r="S1075" i="3"/>
  <c r="AC1075" i="3" s="1"/>
  <c r="R1073" i="3"/>
  <c r="W1073" i="3" s="1"/>
  <c r="B1074" i="3"/>
  <c r="H1074" i="3" s="1"/>
  <c r="C1076" i="3" l="1"/>
  <c r="R1074" i="3"/>
  <c r="W1074" i="3" s="1"/>
  <c r="S1076" i="3"/>
  <c r="AC1076" i="3" s="1"/>
  <c r="E1077" i="3"/>
  <c r="D1077" i="3"/>
  <c r="B1075" i="3"/>
  <c r="H1075" i="3" s="1"/>
  <c r="C1077" i="3" l="1"/>
  <c r="R1075" i="3"/>
  <c r="W1075" i="3" s="1"/>
  <c r="S1077" i="3"/>
  <c r="AC1077" i="3" s="1"/>
  <c r="E1078" i="3"/>
  <c r="D1078" i="3"/>
  <c r="B1076" i="3"/>
  <c r="H1076" i="3" s="1"/>
  <c r="C1078" i="3" l="1"/>
  <c r="S1078" i="3"/>
  <c r="AC1078" i="3" s="1"/>
  <c r="R1076" i="3"/>
  <c r="W1076" i="3" s="1"/>
  <c r="E1079" i="3"/>
  <c r="D1079" i="3"/>
  <c r="B1077" i="3"/>
  <c r="H1077" i="3" s="1"/>
  <c r="C1079" i="3" l="1"/>
  <c r="S1079" i="3"/>
  <c r="AC1079" i="3" s="1"/>
  <c r="E1080" i="3"/>
  <c r="D1080" i="3"/>
  <c r="R1077" i="3"/>
  <c r="W1077" i="3" s="1"/>
  <c r="H1078" i="3"/>
  <c r="B1078" i="3"/>
  <c r="B1079" i="3" s="1"/>
  <c r="C1080" i="3" l="1"/>
  <c r="S1080" i="3"/>
  <c r="AC1080" i="3" s="1"/>
  <c r="E1081" i="3"/>
  <c r="D1081" i="3"/>
  <c r="R1078" i="3"/>
  <c r="W1078" i="3" s="1"/>
  <c r="H1079" i="3"/>
  <c r="B1080" i="3"/>
  <c r="T1081" i="3" l="1"/>
  <c r="S1081" i="3" s="1"/>
  <c r="AC1081" i="3" s="1"/>
  <c r="Q1081" i="3"/>
  <c r="C1081" i="3"/>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Q1088" i="3" l="1"/>
  <c r="T1088" i="3"/>
  <c r="S1088" i="3" s="1"/>
  <c r="AC1088" i="3" s="1"/>
  <c r="C1088" i="3"/>
  <c r="B1088" i="3" s="1"/>
  <c r="R1086" i="3"/>
  <c r="W1086" i="3" s="1"/>
  <c r="H1087" i="3"/>
  <c r="D1089" i="3"/>
  <c r="T1089" i="3" l="1"/>
  <c r="S1089" i="3" s="1"/>
  <c r="AC1089" i="3" s="1"/>
  <c r="Q1089" i="3"/>
  <c r="C1089" i="3"/>
  <c r="E1090" i="3"/>
  <c r="D1090" i="3"/>
  <c r="R1087" i="3"/>
  <c r="W1087" i="3" s="1"/>
  <c r="H1088" i="3"/>
  <c r="Q1090" i="3" l="1"/>
  <c r="T1090" i="3"/>
  <c r="S1090" i="3" s="1"/>
  <c r="AC1090" i="3" s="1"/>
  <c r="C1090" i="3"/>
  <c r="R1088" i="3"/>
  <c r="W1088" i="3" s="1"/>
  <c r="D1091" i="3"/>
  <c r="B1089" i="3"/>
  <c r="H1089" i="3" s="1"/>
  <c r="Q1091" i="3" l="1"/>
  <c r="T1091" i="3"/>
  <c r="S1091" i="3" s="1"/>
  <c r="AC1091" i="3" s="1"/>
  <c r="C1091" i="3"/>
  <c r="R1089" i="3"/>
  <c r="W1089" i="3" s="1"/>
  <c r="D1092" i="3"/>
  <c r="B1090" i="3"/>
  <c r="H1090" i="3" s="1"/>
  <c r="T1092" i="3" l="1"/>
  <c r="S1092" i="3" s="1"/>
  <c r="AC1092" i="3" s="1"/>
  <c r="Q1092" i="3"/>
  <c r="C1092" i="3"/>
  <c r="R1090" i="3"/>
  <c r="W1090" i="3" s="1"/>
  <c r="H1091" i="3"/>
  <c r="E1093" i="3"/>
  <c r="D1093" i="3"/>
  <c r="B1091" i="3"/>
  <c r="T1093" i="3" l="1"/>
  <c r="S1093" i="3" s="1"/>
  <c r="AC1093" i="3" s="1"/>
  <c r="Q1093" i="3"/>
  <c r="C1093" i="3"/>
  <c r="E1094" i="3"/>
  <c r="D1094" i="3"/>
  <c r="R1091" i="3"/>
  <c r="W1091" i="3" s="1"/>
  <c r="B1092" i="3"/>
  <c r="H1092" i="3" s="1"/>
  <c r="C1094" i="3" l="1"/>
  <c r="B1093" i="3"/>
  <c r="S1094" i="3"/>
  <c r="AC1094" i="3" s="1"/>
  <c r="E1095" i="3"/>
  <c r="D1095" i="3"/>
  <c r="R1092" i="3"/>
  <c r="W1092" i="3" s="1"/>
  <c r="H1093" i="3"/>
  <c r="B1094" i="3" l="1"/>
  <c r="Q1095" i="3"/>
  <c r="T1095" i="3"/>
  <c r="S1095" i="3" s="1"/>
  <c r="AC1095" i="3" s="1"/>
  <c r="C1095" i="3"/>
  <c r="B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B1098" i="3" s="1"/>
  <c r="S1098" i="3"/>
  <c r="AC1098" i="3" s="1"/>
  <c r="E1099" i="3"/>
  <c r="D1099" i="3"/>
  <c r="R1096" i="3"/>
  <c r="W1096" i="3" s="1"/>
  <c r="H1097" i="3"/>
  <c r="C1099" i="3" l="1"/>
  <c r="S1099" i="3"/>
  <c r="AC1099" i="3" s="1"/>
  <c r="E1100" i="3"/>
  <c r="D1100" i="3"/>
  <c r="R1097" i="3"/>
  <c r="W1097" i="3" s="1"/>
  <c r="H1098" i="3"/>
  <c r="B1099" i="3"/>
  <c r="T1100" i="3" l="1"/>
  <c r="S1100" i="3" s="1"/>
  <c r="AC1100" i="3" s="1"/>
  <c r="Q1100" i="3"/>
  <c r="C1100" i="3"/>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B1104" i="3" s="1"/>
  <c r="S1104" i="3"/>
  <c r="AC1104" i="3" s="1"/>
  <c r="E1105" i="3"/>
  <c r="D1105" i="3"/>
  <c r="R1102" i="3"/>
  <c r="W1102" i="3" s="1"/>
  <c r="H1103" i="3"/>
  <c r="T1105" i="3" l="1"/>
  <c r="S1105" i="3" s="1"/>
  <c r="AC1105" i="3" s="1"/>
  <c r="Q1105" i="3"/>
  <c r="C1105" i="3"/>
  <c r="B1105" i="3" s="1"/>
  <c r="E1106" i="3"/>
  <c r="D1106" i="3"/>
  <c r="R1103" i="3"/>
  <c r="W1103" i="3" s="1"/>
  <c r="H1104" i="3"/>
  <c r="C1106" i="3" l="1"/>
  <c r="Q1106" i="3"/>
  <c r="T1106" i="3"/>
  <c r="S1106" i="3" s="1"/>
  <c r="AC1106" i="3" s="1"/>
  <c r="R1104" i="3"/>
  <c r="W1104" i="3" s="1"/>
  <c r="H1105" i="3"/>
  <c r="D1107" i="3"/>
  <c r="B1106" i="3"/>
  <c r="T1107" i="3" l="1"/>
  <c r="S1107" i="3" s="1"/>
  <c r="AC1107" i="3" s="1"/>
  <c r="Q1107" i="3"/>
  <c r="C1107" i="3"/>
  <c r="R1105" i="3"/>
  <c r="W1105" i="3" s="1"/>
  <c r="H1106" i="3"/>
  <c r="E1108" i="3"/>
  <c r="D1108" i="3"/>
  <c r="C1108" i="3" l="1"/>
  <c r="R1106" i="3"/>
  <c r="W1106" i="3" s="1"/>
  <c r="S1108" i="3"/>
  <c r="AC1108" i="3" s="1"/>
  <c r="E1109" i="3"/>
  <c r="D1109" i="3"/>
  <c r="B1107" i="3"/>
  <c r="H1107" i="3" s="1"/>
  <c r="C1109" i="3" l="1"/>
  <c r="S1109" i="3"/>
  <c r="AC1109" i="3" s="1"/>
  <c r="R1107" i="3"/>
  <c r="W1107" i="3" s="1"/>
  <c r="H1108" i="3"/>
  <c r="E1110" i="3"/>
  <c r="D1110" i="3"/>
  <c r="B1108" i="3"/>
  <c r="C1110" i="3" l="1"/>
  <c r="S1110" i="3"/>
  <c r="AC1110" i="3" s="1"/>
  <c r="E1111" i="3"/>
  <c r="D1111" i="3"/>
  <c r="Q1111" i="3" s="1"/>
  <c r="R1108" i="3"/>
  <c r="W1108" i="3" s="1"/>
  <c r="B1109" i="3"/>
  <c r="B1110" i="3" s="1"/>
  <c r="H1109" i="3" l="1"/>
  <c r="R1109" i="3" s="1"/>
  <c r="W1109" i="3" s="1"/>
  <c r="C1111" i="3"/>
  <c r="S1111" i="3"/>
  <c r="AC1111" i="3" s="1"/>
  <c r="D1112" i="3"/>
  <c r="E1112" i="3"/>
  <c r="B1111" i="3"/>
  <c r="Q1112" i="3" l="1"/>
  <c r="H1110" i="3"/>
  <c r="R1110" i="3" s="1"/>
  <c r="W1110" i="3" s="1"/>
  <c r="C1112" i="3"/>
  <c r="D1113" i="3"/>
  <c r="E1113" i="3"/>
  <c r="S1112" i="3"/>
  <c r="AC1112" i="3" s="1"/>
  <c r="B1112" i="3"/>
  <c r="H1111" i="3" l="1"/>
  <c r="H1112" i="3" s="1"/>
  <c r="C1113" i="3"/>
  <c r="D1114" i="3"/>
  <c r="E1114" i="3"/>
  <c r="S1113" i="3"/>
  <c r="AC1113" i="3" s="1"/>
  <c r="Q1114" i="3" l="1"/>
  <c r="T1114" i="3"/>
  <c r="S1114" i="3" s="1"/>
  <c r="AC1114" i="3" s="1"/>
  <c r="R1111" i="3"/>
  <c r="W1111" i="3" s="1"/>
  <c r="C1114" i="3"/>
  <c r="D1115" i="3"/>
  <c r="E1115" i="3"/>
  <c r="R1112" i="3"/>
  <c r="W1112" i="3" s="1"/>
  <c r="B1113" i="3"/>
  <c r="H1113" i="3" s="1"/>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Q1120" i="3" l="1"/>
  <c r="T1120" i="3"/>
  <c r="S1120" i="3" s="1"/>
  <c r="AC1120" i="3" s="1"/>
  <c r="C1120" i="3"/>
  <c r="R1118" i="3"/>
  <c r="W1118" i="3" s="1"/>
  <c r="H1119" i="3"/>
  <c r="E1121" i="3"/>
  <c r="D1121" i="3"/>
  <c r="B1119" i="3"/>
  <c r="T1121" i="3" l="1"/>
  <c r="S1121" i="3" s="1"/>
  <c r="AC1121" i="3" s="1"/>
  <c r="Q1121" i="3"/>
  <c r="C1121" i="3"/>
  <c r="E1122" i="3"/>
  <c r="D1122" i="3"/>
  <c r="R1119" i="3"/>
  <c r="W1119" i="3" s="1"/>
  <c r="H1120" i="3"/>
  <c r="B1120" i="3"/>
  <c r="Q1122" i="3" l="1"/>
  <c r="T1122" i="3"/>
  <c r="S1122" i="3" s="1"/>
  <c r="AC1122" i="3" s="1"/>
  <c r="C1122" i="3"/>
  <c r="B1121" i="3"/>
  <c r="E1123" i="3"/>
  <c r="D1123" i="3"/>
  <c r="R1120" i="3"/>
  <c r="W1120" i="3" s="1"/>
  <c r="H1121" i="3"/>
  <c r="Q1123" i="3" l="1"/>
  <c r="T1123" i="3"/>
  <c r="S1123" i="3" s="1"/>
  <c r="AC1123" i="3" s="1"/>
  <c r="C1123" i="3"/>
  <c r="B1122" i="3"/>
  <c r="D1124" i="3"/>
  <c r="E1124" i="3"/>
  <c r="R1121" i="3"/>
  <c r="W1121" i="3" s="1"/>
  <c r="H1122" i="3"/>
  <c r="B1123" i="3" l="1"/>
  <c r="C1124" i="3"/>
  <c r="E1125" i="3"/>
  <c r="D1125" i="3"/>
  <c r="S1124" i="3"/>
  <c r="AC1124" i="3" s="1"/>
  <c r="R1122" i="3"/>
  <c r="W1122" i="3" s="1"/>
  <c r="H1123" i="3"/>
  <c r="B1124" i="3"/>
  <c r="Q1125" i="3" l="1"/>
  <c r="T1125" i="3"/>
  <c r="S1125" i="3" s="1"/>
  <c r="AC1125" i="3" s="1"/>
  <c r="C1125" i="3"/>
  <c r="R1123" i="3"/>
  <c r="W1123" i="3" s="1"/>
  <c r="H1124" i="3"/>
  <c r="D1126" i="3"/>
  <c r="E1126" i="3"/>
  <c r="T1126" i="3" l="1"/>
  <c r="S1126" i="3" s="1"/>
  <c r="AC1126" i="3" s="1"/>
  <c r="Q1126" i="3"/>
  <c r="C1126" i="3"/>
  <c r="R1124" i="3"/>
  <c r="W1124" i="3" s="1"/>
  <c r="H1125" i="3"/>
  <c r="D1127" i="3"/>
  <c r="B1125" i="3"/>
  <c r="T1127" i="3" l="1"/>
  <c r="S1127" i="3" s="1"/>
  <c r="AC1127" i="3" s="1"/>
  <c r="Q1127" i="3"/>
  <c r="C1127" i="3"/>
  <c r="E1128" i="3"/>
  <c r="D1128" i="3"/>
  <c r="R1125" i="3"/>
  <c r="W1125" i="3" s="1"/>
  <c r="H1126" i="3"/>
  <c r="B1126" i="3"/>
  <c r="C1128" i="3" l="1"/>
  <c r="S1128" i="3"/>
  <c r="AC1128" i="3" s="1"/>
  <c r="E1129" i="3"/>
  <c r="D1129" i="3"/>
  <c r="R1126" i="3"/>
  <c r="W1126" i="3" s="1"/>
  <c r="H1127" i="3"/>
  <c r="B1127" i="3"/>
  <c r="B1128" i="3" l="1"/>
  <c r="T1129" i="3"/>
  <c r="S1129" i="3" s="1"/>
  <c r="AC1129" i="3" s="1"/>
  <c r="Q1129" i="3"/>
  <c r="C1129" i="3"/>
  <c r="D1130" i="3"/>
  <c r="R1127" i="3"/>
  <c r="W1127" i="3" s="1"/>
  <c r="H1128" i="3"/>
  <c r="B1129" i="3"/>
  <c r="C1130" i="3" l="1"/>
  <c r="Q1130" i="3"/>
  <c r="T1130" i="3"/>
  <c r="S1130" i="3" s="1"/>
  <c r="AC1130" i="3" s="1"/>
  <c r="E1131" i="3"/>
  <c r="D1131" i="3"/>
  <c r="R1128" i="3"/>
  <c r="W1128" i="3" s="1"/>
  <c r="H1129" i="3"/>
  <c r="B1130" i="3"/>
  <c r="T1131" i="3" l="1"/>
  <c r="S1131" i="3" s="1"/>
  <c r="AC1131" i="3" s="1"/>
  <c r="Q1131" i="3"/>
  <c r="C1131" i="3"/>
  <c r="B1131" i="3" s="1"/>
  <c r="D1132" i="3"/>
  <c r="E1132" i="3"/>
  <c r="R1129" i="3"/>
  <c r="W1129" i="3" s="1"/>
  <c r="H1130"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B1133" i="3"/>
  <c r="H1133" i="3" s="1"/>
  <c r="C1135" i="3" l="1"/>
  <c r="R1133" i="3"/>
  <c r="W1133" i="3" s="1"/>
  <c r="S1135" i="3"/>
  <c r="AC1135" i="3" s="1"/>
  <c r="E1136" i="3"/>
  <c r="D1136" i="3"/>
  <c r="B1134" i="3"/>
  <c r="H1134" i="3" s="1"/>
  <c r="C1136" i="3" l="1"/>
  <c r="R1134" i="3"/>
  <c r="W1134" i="3" s="1"/>
  <c r="S1136" i="3"/>
  <c r="AC1136" i="3" s="1"/>
  <c r="E1137" i="3"/>
  <c r="D1137" i="3"/>
  <c r="B1135" i="3"/>
  <c r="H1135" i="3" s="1"/>
  <c r="C1137" i="3" l="1"/>
  <c r="R1135" i="3"/>
  <c r="W1135" i="3" s="1"/>
  <c r="S1137" i="3"/>
  <c r="AC1137" i="3" s="1"/>
  <c r="E1138" i="3"/>
  <c r="D1138" i="3"/>
  <c r="B1136" i="3"/>
  <c r="H1136" i="3" s="1"/>
  <c r="C1138" i="3" l="1"/>
  <c r="S1138" i="3"/>
  <c r="AC1138" i="3" s="1"/>
  <c r="R1136" i="3"/>
  <c r="W1136" i="3" s="1"/>
  <c r="H1137" i="3"/>
  <c r="E1139" i="3"/>
  <c r="D1139" i="3"/>
  <c r="B1137" i="3"/>
  <c r="C1139" i="3" l="1"/>
  <c r="S1139" i="3"/>
  <c r="AC1139" i="3" s="1"/>
  <c r="D1140" i="3"/>
  <c r="E1140" i="3"/>
  <c r="R1137" i="3"/>
  <c r="W1137" i="3" s="1"/>
  <c r="B1138" i="3"/>
  <c r="B1139" i="3" s="1"/>
  <c r="H1138" i="3" l="1"/>
  <c r="R1138" i="3" s="1"/>
  <c r="W1138" i="3" s="1"/>
  <c r="C1140" i="3"/>
  <c r="B1140" i="3" s="1"/>
  <c r="D1141" i="3"/>
  <c r="E1141" i="3"/>
  <c r="S1140" i="3"/>
  <c r="AC1140" i="3" s="1"/>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R1141" i="3"/>
  <c r="W1141" i="3" s="1"/>
  <c r="B1142" i="3"/>
  <c r="B1143" i="3" l="1"/>
  <c r="C1144" i="3"/>
  <c r="T1144" i="3"/>
  <c r="S1144" i="3" s="1"/>
  <c r="AC1144" i="3" s="1"/>
  <c r="Q1144" i="3"/>
  <c r="H1142" i="3"/>
  <c r="H1143" i="3" s="1"/>
  <c r="D1145" i="3"/>
  <c r="B1144" i="3" l="1"/>
  <c r="T1145" i="3"/>
  <c r="S1145" i="3" s="1"/>
  <c r="AC1145" i="3" s="1"/>
  <c r="Q1145" i="3"/>
  <c r="R1142" i="3"/>
  <c r="W1142" i="3" s="1"/>
  <c r="C1145" i="3"/>
  <c r="B1145" i="3" s="1"/>
  <c r="E1146" i="3"/>
  <c r="D1146" i="3"/>
  <c r="R1143" i="3"/>
  <c r="W1143" i="3" s="1"/>
  <c r="H1144" i="3"/>
  <c r="T1146" i="3" l="1"/>
  <c r="S1146" i="3" s="1"/>
  <c r="AC1146" i="3" s="1"/>
  <c r="Q1146" i="3"/>
  <c r="C1146" i="3"/>
  <c r="R1144" i="3"/>
  <c r="W1144" i="3" s="1"/>
  <c r="H1145" i="3"/>
  <c r="D1147" i="3"/>
  <c r="Q1147" i="3" l="1"/>
  <c r="T1147" i="3"/>
  <c r="S1147" i="3" s="1"/>
  <c r="AC1147" i="3" s="1"/>
  <c r="C1147" i="3"/>
  <c r="R1145" i="3"/>
  <c r="W1145" i="3" s="1"/>
  <c r="E1148" i="3"/>
  <c r="D1148" i="3"/>
  <c r="B1146" i="3"/>
  <c r="B1147" i="3" s="1"/>
  <c r="H1146" i="3" l="1"/>
  <c r="R1146" i="3" s="1"/>
  <c r="W1146" i="3" s="1"/>
  <c r="C1148" i="3"/>
  <c r="B1148" i="3" s="1"/>
  <c r="S1148" i="3"/>
  <c r="AC1148" i="3" s="1"/>
  <c r="D1149" i="3"/>
  <c r="E1149" i="3"/>
  <c r="H1147" i="3" l="1"/>
  <c r="R1147" i="3" s="1"/>
  <c r="W1147" i="3" s="1"/>
  <c r="C1149" i="3"/>
  <c r="B1149" i="3" s="1"/>
  <c r="E1150" i="3"/>
  <c r="D1150" i="3"/>
  <c r="S1149" i="3"/>
  <c r="AC1149" i="3" s="1"/>
  <c r="T1150" i="3" l="1"/>
  <c r="S1150" i="3" s="1"/>
  <c r="AC1150" i="3" s="1"/>
  <c r="Q1150" i="3"/>
  <c r="H1148" i="3"/>
  <c r="H1149" i="3" s="1"/>
  <c r="C1150" i="3"/>
  <c r="E1151" i="3"/>
  <c r="D1151" i="3"/>
  <c r="C1151" i="3" l="1"/>
  <c r="R1148" i="3"/>
  <c r="W1148" i="3" s="1"/>
  <c r="R1149" i="3"/>
  <c r="W1149" i="3" s="1"/>
  <c r="S1151" i="3"/>
  <c r="AC1151" i="3" s="1"/>
  <c r="E1152" i="3"/>
  <c r="D1152" i="3"/>
  <c r="B1150" i="3"/>
  <c r="H1150" i="3" s="1"/>
  <c r="C1152" i="3" l="1"/>
  <c r="R1150" i="3"/>
  <c r="W1150" i="3" s="1"/>
  <c r="S1152" i="3"/>
  <c r="AC1152" i="3" s="1"/>
  <c r="D1153" i="3"/>
  <c r="E1153" i="3"/>
  <c r="B1151" i="3"/>
  <c r="H1151" i="3" s="1"/>
  <c r="C1153" i="3" l="1"/>
  <c r="R1151" i="3"/>
  <c r="W1151" i="3" s="1"/>
  <c r="E1154" i="3"/>
  <c r="D1154" i="3"/>
  <c r="S1153" i="3"/>
  <c r="AC1153" i="3" s="1"/>
  <c r="B1152" i="3"/>
  <c r="H1152" i="3" s="1"/>
  <c r="C1154" i="3" l="1"/>
  <c r="S1154" i="3"/>
  <c r="AC1154" i="3" s="1"/>
  <c r="E1155" i="3"/>
  <c r="D1155" i="3"/>
  <c r="R1152" i="3"/>
  <c r="W1152" i="3" s="1"/>
  <c r="H1153" i="3"/>
  <c r="B1153" i="3"/>
  <c r="C1155" i="3" l="1"/>
  <c r="Q1155" i="3"/>
  <c r="T1155" i="3"/>
  <c r="S1155" i="3" s="1"/>
  <c r="AC1155" i="3" s="1"/>
  <c r="E1156" i="3"/>
  <c r="D1156" i="3"/>
  <c r="R1153" i="3"/>
  <c r="W1153" i="3" s="1"/>
  <c r="B1154" i="3"/>
  <c r="H1154" i="3" s="1"/>
  <c r="C1156" i="3" l="1"/>
  <c r="B1155" i="3"/>
  <c r="R1154" i="3"/>
  <c r="W1154" i="3" s="1"/>
  <c r="H1155" i="3"/>
  <c r="S1156" i="3"/>
  <c r="AC1156" i="3" s="1"/>
  <c r="E1157" i="3"/>
  <c r="D1157" i="3"/>
  <c r="C1157" i="3" l="1"/>
  <c r="S1157" i="3"/>
  <c r="AC1157" i="3" s="1"/>
  <c r="R1155" i="3"/>
  <c r="W1155" i="3" s="1"/>
  <c r="E1158" i="3"/>
  <c r="D1158" i="3"/>
  <c r="B1156" i="3"/>
  <c r="B1157" i="3" s="1"/>
  <c r="H1156" i="3" l="1"/>
  <c r="R1156" i="3" s="1"/>
  <c r="W1156" i="3" s="1"/>
  <c r="C1158" i="3"/>
  <c r="B1158" i="3" s="1"/>
  <c r="S1158" i="3"/>
  <c r="AC1158" i="3" s="1"/>
  <c r="E1159" i="3"/>
  <c r="D1159" i="3"/>
  <c r="C1159" i="3" l="1"/>
  <c r="H1157" i="3"/>
  <c r="H1158" i="3" s="1"/>
  <c r="S1159" i="3"/>
  <c r="AC1159" i="3" s="1"/>
  <c r="E1160" i="3"/>
  <c r="D1160" i="3"/>
  <c r="B1159" i="3"/>
  <c r="R1157" i="3" l="1"/>
  <c r="W1157" i="3" s="1"/>
  <c r="C1160" i="3"/>
  <c r="R1158" i="3"/>
  <c r="W1158" i="3" s="1"/>
  <c r="H1159" i="3"/>
  <c r="S1160" i="3"/>
  <c r="AC1160" i="3" s="1"/>
  <c r="E1161" i="3"/>
  <c r="D1161" i="3"/>
  <c r="B1160" i="3"/>
  <c r="C1161" i="3" l="1"/>
  <c r="E1162" i="3"/>
  <c r="D1162" i="3"/>
  <c r="S1161" i="3"/>
  <c r="AC1161" i="3" s="1"/>
  <c r="R1159" i="3"/>
  <c r="W1159" i="3" s="1"/>
  <c r="H1160" i="3"/>
  <c r="C1162" i="3" l="1"/>
  <c r="R1160" i="3"/>
  <c r="W1160" i="3" s="1"/>
  <c r="B1161" i="3"/>
  <c r="H1161" i="3" s="1"/>
  <c r="S1162" i="3"/>
  <c r="AC1162" i="3" s="1"/>
  <c r="E1163" i="3"/>
  <c r="D1163" i="3"/>
  <c r="C1163" i="3" l="1"/>
  <c r="E1164" i="3"/>
  <c r="D1164" i="3"/>
  <c r="S1163" i="3"/>
  <c r="AC1163" i="3" s="1"/>
  <c r="R1161" i="3"/>
  <c r="W1161" i="3" s="1"/>
  <c r="B1162" i="3"/>
  <c r="H1162" i="3" s="1"/>
  <c r="C1164" i="3" l="1"/>
  <c r="R1162" i="3"/>
  <c r="W1162" i="3" s="1"/>
  <c r="B1163" i="3"/>
  <c r="H1163" i="3" s="1"/>
  <c r="S1164" i="3"/>
  <c r="AC1164" i="3" s="1"/>
  <c r="E1165" i="3"/>
  <c r="D1165" i="3"/>
  <c r="C1165" i="3" l="1"/>
  <c r="E1166" i="3"/>
  <c r="D1166" i="3"/>
  <c r="S1165" i="3"/>
  <c r="AC1165" i="3" s="1"/>
  <c r="R1163" i="3"/>
  <c r="W1163" i="3" s="1"/>
  <c r="B1164" i="3"/>
  <c r="H1164" i="3" s="1"/>
  <c r="T1166" i="3" l="1"/>
  <c r="S1166" i="3" s="1"/>
  <c r="AC1166" i="3" s="1"/>
  <c r="Q1166" i="3"/>
  <c r="C1166" i="3"/>
  <c r="R1164" i="3"/>
  <c r="W1164" i="3" s="1"/>
  <c r="B1165" i="3"/>
  <c r="H1165" i="3" s="1"/>
  <c r="E1167" i="3"/>
  <c r="D1167" i="3"/>
  <c r="C1167" i="3" l="1"/>
  <c r="E1168" i="3"/>
  <c r="D1168" i="3"/>
  <c r="S1167" i="3"/>
  <c r="AC1167" i="3" s="1"/>
  <c r="R1165" i="3"/>
  <c r="W1165" i="3" s="1"/>
  <c r="B1166" i="3"/>
  <c r="H1166" i="3" s="1"/>
  <c r="C1168" i="3" l="1"/>
  <c r="R1166" i="3"/>
  <c r="W1166" i="3" s="1"/>
  <c r="B1167" i="3"/>
  <c r="H1167" i="3" s="1"/>
  <c r="S1168" i="3"/>
  <c r="AC1168" i="3" s="1"/>
  <c r="E1169" i="3"/>
  <c r="D1169" i="3"/>
  <c r="T1169" i="3" l="1"/>
  <c r="S1169" i="3" s="1"/>
  <c r="AC1169" i="3" s="1"/>
  <c r="Q1169" i="3"/>
  <c r="C1169" i="3"/>
  <c r="E1170" i="3"/>
  <c r="D1170" i="3"/>
  <c r="R1167" i="3"/>
  <c r="W1167" i="3" s="1"/>
  <c r="B1168" i="3"/>
  <c r="H1168" i="3" s="1"/>
  <c r="C1170" i="3" l="1"/>
  <c r="R1168" i="3"/>
  <c r="W1168" i="3" s="1"/>
  <c r="B1169" i="3"/>
  <c r="H1169" i="3" s="1"/>
  <c r="S1170" i="3"/>
  <c r="AC1170" i="3" s="1"/>
  <c r="E1171" i="3"/>
  <c r="D1171" i="3"/>
  <c r="C1171" i="3" l="1"/>
  <c r="E1172" i="3"/>
  <c r="D1172" i="3"/>
  <c r="S1171" i="3"/>
  <c r="AC1171" i="3" s="1"/>
  <c r="R1169" i="3"/>
  <c r="W1169" i="3" s="1"/>
  <c r="B1170" i="3"/>
  <c r="H1170" i="3" s="1"/>
  <c r="C1172" i="3" l="1"/>
  <c r="R1170" i="3"/>
  <c r="W1170" i="3" s="1"/>
  <c r="B1171" i="3"/>
  <c r="H1171" i="3" s="1"/>
  <c r="S1172" i="3"/>
  <c r="AC1172" i="3" s="1"/>
  <c r="E1173" i="3"/>
  <c r="D1173" i="3"/>
  <c r="C1173" i="3" l="1"/>
  <c r="E1174" i="3"/>
  <c r="D1174" i="3"/>
  <c r="S1173" i="3"/>
  <c r="AC1173" i="3" s="1"/>
  <c r="R1171" i="3"/>
  <c r="W1171" i="3" s="1"/>
  <c r="B1172" i="3"/>
  <c r="H1172" i="3" s="1"/>
  <c r="C1174" i="3" l="1"/>
  <c r="R1172" i="3"/>
  <c r="W1172" i="3" s="1"/>
  <c r="S1174" i="3"/>
  <c r="AC1174" i="3" s="1"/>
  <c r="E1175" i="3"/>
  <c r="D1175" i="3"/>
  <c r="B1173" i="3"/>
  <c r="H1173" i="3" s="1"/>
  <c r="C1175" i="3" l="1"/>
  <c r="S1175" i="3"/>
  <c r="AC1175" i="3" s="1"/>
  <c r="R1173" i="3"/>
  <c r="W1173" i="3" s="1"/>
  <c r="E1176" i="3"/>
  <c r="D1176" i="3"/>
  <c r="B1174" i="3"/>
  <c r="H1174" i="3" s="1"/>
  <c r="Q1176" i="3" l="1"/>
  <c r="C1176" i="3"/>
  <c r="R1174" i="3"/>
  <c r="W1174" i="3" s="1"/>
  <c r="S1176" i="3"/>
  <c r="AC1176" i="3" s="1"/>
  <c r="B1175" i="3"/>
  <c r="B1176" i="3" s="1"/>
  <c r="E1177" i="3"/>
  <c r="D1177" i="3"/>
  <c r="Q1177" i="3" l="1"/>
  <c r="T1177" i="3"/>
  <c r="S1177" i="3" s="1"/>
  <c r="AC1177" i="3" s="1"/>
  <c r="H1175" i="3"/>
  <c r="R1175" i="3" s="1"/>
  <c r="W1175" i="3" s="1"/>
  <c r="C1177" i="3"/>
  <c r="D1178" i="3"/>
  <c r="Q1178" i="3" l="1"/>
  <c r="T1178" i="3"/>
  <c r="S1178" i="3" s="1"/>
  <c r="AC1178" i="3" s="1"/>
  <c r="H1176" i="3"/>
  <c r="H1177" i="3" s="1"/>
  <c r="C1178" i="3"/>
  <c r="B1177" i="3"/>
  <c r="D1179" i="3"/>
  <c r="Q1179" i="3" l="1"/>
  <c r="T1179" i="3"/>
  <c r="S1179" i="3" s="1"/>
  <c r="AC1179" i="3" s="1"/>
  <c r="R1176" i="3"/>
  <c r="W1176" i="3" s="1"/>
  <c r="C1179" i="3"/>
  <c r="B1178" i="3"/>
  <c r="E1180" i="3"/>
  <c r="D1180" i="3"/>
  <c r="R1177" i="3"/>
  <c r="W1177" i="3" s="1"/>
  <c r="H1178" i="3"/>
  <c r="Q1180" i="3" l="1"/>
  <c r="T1180" i="3"/>
  <c r="S1180" i="3" s="1"/>
  <c r="AC1180" i="3" s="1"/>
  <c r="C1180" i="3"/>
  <c r="D1181" i="3"/>
  <c r="R1178" i="3"/>
  <c r="W1178" i="3" s="1"/>
  <c r="B1179" i="3"/>
  <c r="H1179" i="3" s="1"/>
  <c r="T1181" i="3" l="1"/>
  <c r="S1181" i="3" s="1"/>
  <c r="AC1181" i="3" s="1"/>
  <c r="Q1181" i="3"/>
  <c r="C1181" i="3"/>
  <c r="B1180" i="3"/>
  <c r="R1179" i="3"/>
  <c r="W1179" i="3" s="1"/>
  <c r="H1180" i="3"/>
  <c r="D1182" i="3"/>
  <c r="T1182" i="3" l="1"/>
  <c r="S1182" i="3" s="1"/>
  <c r="AC1182" i="3" s="1"/>
  <c r="Q1182" i="3"/>
  <c r="C1182" i="3"/>
  <c r="R1180" i="3"/>
  <c r="W1180" i="3" s="1"/>
  <c r="H1181" i="3"/>
  <c r="E1183" i="3"/>
  <c r="D1183" i="3"/>
  <c r="B1181" i="3"/>
  <c r="Q1183" i="3" l="1"/>
  <c r="T1183" i="3"/>
  <c r="S1183" i="3" s="1"/>
  <c r="AC1183" i="3" s="1"/>
  <c r="C1183" i="3"/>
  <c r="R1181" i="3"/>
  <c r="W1181" i="3" s="1"/>
  <c r="H1182" i="3"/>
  <c r="E1184" i="3"/>
  <c r="D1184" i="3"/>
  <c r="B1182" i="3"/>
  <c r="C1184" i="3" l="1"/>
  <c r="R1182" i="3"/>
  <c r="W1182" i="3" s="1"/>
  <c r="H1183" i="3"/>
  <c r="S1184" i="3"/>
  <c r="AC1184" i="3" s="1"/>
  <c r="E1185" i="3"/>
  <c r="D1185" i="3"/>
  <c r="B1183" i="3"/>
  <c r="T1185" i="3" l="1"/>
  <c r="S1185" i="3" s="1"/>
  <c r="AC1185" i="3" s="1"/>
  <c r="Q1185" i="3"/>
  <c r="C1185" i="3"/>
  <c r="R1183" i="3"/>
  <c r="W1183" i="3" s="1"/>
  <c r="H1184" i="3"/>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S1193" i="3"/>
  <c r="AC1193" i="3" s="1"/>
  <c r="E1194" i="3"/>
  <c r="D1194" i="3"/>
  <c r="B1192" i="3"/>
  <c r="H1192" i="3" s="1"/>
  <c r="C1194" i="3" l="1"/>
  <c r="R1192" i="3"/>
  <c r="W1192" i="3" s="1"/>
  <c r="S1194" i="3"/>
  <c r="AC1194" i="3" s="1"/>
  <c r="D1195" i="3"/>
  <c r="E1195" i="3"/>
  <c r="B1193" i="3"/>
  <c r="H1193" i="3" s="1"/>
  <c r="T1195" i="3" l="1"/>
  <c r="S1195" i="3" s="1"/>
  <c r="AC1195" i="3" s="1"/>
  <c r="Q1195" i="3"/>
  <c r="C1195" i="3"/>
  <c r="R1193" i="3"/>
  <c r="W1193" i="3" s="1"/>
  <c r="E1196" i="3"/>
  <c r="D1196" i="3"/>
  <c r="B1194" i="3"/>
  <c r="H1194" i="3" s="1"/>
  <c r="Q1196" i="3" l="1"/>
  <c r="T1196" i="3"/>
  <c r="S1196" i="3" s="1"/>
  <c r="AC1196" i="3" s="1"/>
  <c r="C1196" i="3"/>
  <c r="D1197" i="3"/>
  <c r="R1194" i="3"/>
  <c r="W1194" i="3" s="1"/>
  <c r="B1195" i="3"/>
  <c r="H1195" i="3" s="1"/>
  <c r="Q1197" i="3" l="1"/>
  <c r="T1197" i="3"/>
  <c r="S1197" i="3" s="1"/>
  <c r="AC1197" i="3" s="1"/>
  <c r="C1197" i="3"/>
  <c r="B1196" i="3"/>
  <c r="E1198" i="3"/>
  <c r="D1198" i="3"/>
  <c r="R1195" i="3"/>
  <c r="W1195" i="3" s="1"/>
  <c r="H1196" i="3"/>
  <c r="C1198" i="3" l="1"/>
  <c r="B1197" i="3"/>
  <c r="B1198" i="3" s="1"/>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Q1207" i="3" l="1"/>
  <c r="T1207" i="3"/>
  <c r="S1207" i="3" s="1"/>
  <c r="AC1207" i="3" s="1"/>
  <c r="C1207" i="3"/>
  <c r="R1205" i="3"/>
  <c r="W1205" i="3" s="1"/>
  <c r="H1206" i="3"/>
  <c r="D1208" i="3"/>
  <c r="E1208" i="3"/>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S1213" i="3"/>
  <c r="AC1213" i="3" s="1"/>
  <c r="E1214" i="3"/>
  <c r="D1214" i="3"/>
  <c r="B1212" i="3"/>
  <c r="H1212" i="3" s="1"/>
  <c r="Q1214" i="3" l="1"/>
  <c r="T1214" i="3"/>
  <c r="S1214" i="3" s="1"/>
  <c r="AC1214" i="3" s="1"/>
  <c r="C1214" i="3"/>
  <c r="R1212" i="3"/>
  <c r="W1212" i="3" s="1"/>
  <c r="E1215" i="3"/>
  <c r="D1215" i="3"/>
  <c r="B1213" i="3"/>
  <c r="H1213" i="3" s="1"/>
  <c r="Q1215" i="3" l="1"/>
  <c r="T1215" i="3"/>
  <c r="S1215" i="3" s="1"/>
  <c r="AC1215" i="3" s="1"/>
  <c r="C1215" i="3"/>
  <c r="R1213" i="3"/>
  <c r="W1213" i="3" s="1"/>
  <c r="E1216" i="3"/>
  <c r="D1216" i="3"/>
  <c r="B1214" i="3"/>
  <c r="H1214" i="3" s="1"/>
  <c r="C1216" i="3" l="1"/>
  <c r="R1214" i="3"/>
  <c r="W1214" i="3" s="1"/>
  <c r="S1216" i="3"/>
  <c r="AC1216" i="3" s="1"/>
  <c r="E1217" i="3"/>
  <c r="D1217" i="3"/>
  <c r="B1215" i="3"/>
  <c r="H1215" i="3" s="1"/>
  <c r="C1217" i="3" l="1"/>
  <c r="S1217" i="3"/>
  <c r="AC1217" i="3" s="1"/>
  <c r="R1215" i="3"/>
  <c r="W1215" i="3" s="1"/>
  <c r="E1218" i="3"/>
  <c r="D1218" i="3"/>
  <c r="B1216" i="3"/>
  <c r="H1216" i="3" s="1"/>
  <c r="C1218" i="3" l="1"/>
  <c r="S1218" i="3"/>
  <c r="AC1218" i="3" s="1"/>
  <c r="E1219" i="3"/>
  <c r="D1219" i="3"/>
  <c r="R1216" i="3"/>
  <c r="W1216" i="3" s="1"/>
  <c r="B1217" i="3"/>
  <c r="B1218" i="3" s="1"/>
  <c r="C1219" i="3" l="1"/>
  <c r="H1217" i="3"/>
  <c r="R1217" i="3" s="1"/>
  <c r="W1217" i="3" s="1"/>
  <c r="E1220" i="3"/>
  <c r="D1220" i="3"/>
  <c r="S1219" i="3"/>
  <c r="AC1219" i="3" s="1"/>
  <c r="H1218" i="3" l="1"/>
  <c r="H1219" i="3" s="1"/>
  <c r="C1220" i="3"/>
  <c r="S1220" i="3"/>
  <c r="AC1220" i="3" s="1"/>
  <c r="B1219" i="3"/>
  <c r="E1221" i="3"/>
  <c r="D1221" i="3"/>
  <c r="B1220" i="3" l="1"/>
  <c r="R1218" i="3"/>
  <c r="W1218" i="3" s="1"/>
  <c r="C1221" i="3"/>
  <c r="R1219" i="3"/>
  <c r="W1219" i="3" s="1"/>
  <c r="H1220" i="3"/>
  <c r="S1221" i="3"/>
  <c r="AC1221" i="3" s="1"/>
  <c r="E1222" i="3"/>
  <c r="D1222" i="3"/>
  <c r="B1221" i="3"/>
  <c r="C1222" i="3" l="1"/>
  <c r="E1223" i="3"/>
  <c r="D1223" i="3"/>
  <c r="S1222" i="3"/>
  <c r="AC1222" i="3" s="1"/>
  <c r="R1220" i="3"/>
  <c r="W1220" i="3" s="1"/>
  <c r="H1221" i="3"/>
  <c r="C1223" i="3" l="1"/>
  <c r="R1221" i="3"/>
  <c r="W1221" i="3" s="1"/>
  <c r="B1222" i="3"/>
  <c r="H1222" i="3" s="1"/>
  <c r="S1223" i="3"/>
  <c r="AC1223" i="3" s="1"/>
  <c r="E1224" i="3"/>
  <c r="D1224" i="3"/>
  <c r="C1224" i="3" l="1"/>
  <c r="E1225" i="3"/>
  <c r="D1225" i="3"/>
  <c r="S1224" i="3"/>
  <c r="AC1224" i="3" s="1"/>
  <c r="R1222" i="3"/>
  <c r="W1222" i="3" s="1"/>
  <c r="H1223" i="3"/>
  <c r="B1223" i="3"/>
  <c r="C1225" i="3" l="1"/>
  <c r="R1223" i="3"/>
  <c r="W1223" i="3" s="1"/>
  <c r="S1225" i="3"/>
  <c r="AC1225" i="3" s="1"/>
  <c r="E1226" i="3"/>
  <c r="D1226" i="3"/>
  <c r="B1224" i="3"/>
  <c r="H1224" i="3" s="1"/>
  <c r="C1226" i="3" l="1"/>
  <c r="R1224" i="3"/>
  <c r="W1224" i="3" s="1"/>
  <c r="S1226" i="3"/>
  <c r="AC1226" i="3" s="1"/>
  <c r="E1227" i="3"/>
  <c r="D1227" i="3"/>
  <c r="B1225" i="3"/>
  <c r="H1225" i="3" s="1"/>
  <c r="C1227" i="3" l="1"/>
  <c r="E1228" i="3"/>
  <c r="D1228" i="3"/>
  <c r="S1227" i="3"/>
  <c r="AC1227" i="3" s="1"/>
  <c r="R1225" i="3"/>
  <c r="W1225" i="3" s="1"/>
  <c r="H1226" i="3"/>
  <c r="B1226" i="3"/>
  <c r="C1228" i="3" l="1"/>
  <c r="R1226" i="3"/>
  <c r="W1226" i="3" s="1"/>
  <c r="B1227" i="3"/>
  <c r="H1227" i="3" s="1"/>
  <c r="S1228" i="3"/>
  <c r="AC1228" i="3" s="1"/>
  <c r="E1229" i="3"/>
  <c r="D1229" i="3"/>
  <c r="C1229" i="3" l="1"/>
  <c r="E1230" i="3"/>
  <c r="D1230" i="3"/>
  <c r="S1229" i="3"/>
  <c r="AC1229" i="3" s="1"/>
  <c r="R1227" i="3"/>
  <c r="W1227" i="3" s="1"/>
  <c r="B1228" i="3"/>
  <c r="H1228" i="3" s="1"/>
  <c r="C1230" i="3" l="1"/>
  <c r="R1228" i="3"/>
  <c r="W1228" i="3" s="1"/>
  <c r="B1229" i="3"/>
  <c r="H1229" i="3" s="1"/>
  <c r="S1230" i="3"/>
  <c r="AC1230" i="3" s="1"/>
  <c r="E1231" i="3"/>
  <c r="D1231" i="3"/>
  <c r="C1231" i="3" l="1"/>
  <c r="E1232" i="3"/>
  <c r="D1232" i="3"/>
  <c r="S1231" i="3"/>
  <c r="AC1231" i="3" s="1"/>
  <c r="R1229" i="3"/>
  <c r="W1229" i="3" s="1"/>
  <c r="H1230" i="3"/>
  <c r="B1230" i="3"/>
  <c r="C1232" i="3" l="1"/>
  <c r="R1230" i="3"/>
  <c r="W1230" i="3" s="1"/>
  <c r="S1232" i="3"/>
  <c r="AC1232" i="3" s="1"/>
  <c r="E1233" i="3"/>
  <c r="D1233" i="3"/>
  <c r="B1231" i="3"/>
  <c r="H1231" i="3" s="1"/>
  <c r="C1233" i="3" l="1"/>
  <c r="R1231" i="3"/>
  <c r="W1231" i="3" s="1"/>
  <c r="S1233" i="3"/>
  <c r="AC1233" i="3" s="1"/>
  <c r="E1234" i="3"/>
  <c r="D1234" i="3"/>
  <c r="B1232" i="3"/>
  <c r="H1232" i="3" s="1"/>
  <c r="Q1234" i="3" l="1"/>
  <c r="C1234" i="3"/>
  <c r="S1234" i="3"/>
  <c r="AC1234" i="3" s="1"/>
  <c r="R1232" i="3"/>
  <c r="W1232" i="3" s="1"/>
  <c r="E1235" i="3"/>
  <c r="D1235" i="3"/>
  <c r="B1233" i="3"/>
  <c r="B1234" i="3" s="1"/>
  <c r="C1235" i="3" l="1"/>
  <c r="H1233" i="3"/>
  <c r="H1234" i="3" s="1"/>
  <c r="S1235" i="3"/>
  <c r="AC1235" i="3" s="1"/>
  <c r="E1236" i="3"/>
  <c r="D1236" i="3"/>
  <c r="B1235" i="3"/>
  <c r="Q1236" i="3" l="1"/>
  <c r="T1236" i="3"/>
  <c r="S1236" i="3" s="1"/>
  <c r="AC1236" i="3" s="1"/>
  <c r="C1236" i="3"/>
  <c r="B1236" i="3" s="1"/>
  <c r="R1233" i="3"/>
  <c r="W1233" i="3" s="1"/>
  <c r="E1237" i="3"/>
  <c r="D1237" i="3"/>
  <c r="R1234" i="3"/>
  <c r="W1234" i="3" s="1"/>
  <c r="H1235" i="3"/>
  <c r="C1237" i="3" l="1"/>
  <c r="S1237" i="3"/>
  <c r="AC1237" i="3" s="1"/>
  <c r="E1238" i="3"/>
  <c r="D1238" i="3"/>
  <c r="R1235" i="3"/>
  <c r="W1235" i="3" s="1"/>
  <c r="H1236" i="3"/>
  <c r="B1237" i="3"/>
  <c r="C1238" i="3" l="1"/>
  <c r="S1238" i="3"/>
  <c r="AC1238" i="3" s="1"/>
  <c r="R1236" i="3"/>
  <c r="W1236" i="3" s="1"/>
  <c r="H1237" i="3"/>
  <c r="E1239" i="3"/>
  <c r="D1239" i="3"/>
  <c r="B1238" i="3"/>
  <c r="T1239" i="3" l="1"/>
  <c r="S1239" i="3" s="1"/>
  <c r="AC1239" i="3" s="1"/>
  <c r="Q1239" i="3"/>
  <c r="C1239" i="3"/>
  <c r="R1237" i="3"/>
  <c r="W1237" i="3" s="1"/>
  <c r="H1238" i="3"/>
  <c r="B1239" i="3"/>
  <c r="E1240" i="3"/>
  <c r="D1240" i="3"/>
  <c r="C1240" i="3" l="1"/>
  <c r="E1241" i="3"/>
  <c r="D1241" i="3"/>
  <c r="S1240" i="3"/>
  <c r="AC1240" i="3" s="1"/>
  <c r="R1238" i="3"/>
  <c r="W1238" i="3" s="1"/>
  <c r="H1239" i="3"/>
  <c r="C1241" i="3" l="1"/>
  <c r="R1239" i="3"/>
  <c r="W1239" i="3" s="1"/>
  <c r="S1241" i="3"/>
  <c r="AC1241" i="3" s="1"/>
  <c r="B1240" i="3"/>
  <c r="H1240" i="3" s="1"/>
  <c r="E1242" i="3"/>
  <c r="D1242" i="3"/>
  <c r="C1242" i="3" l="1"/>
  <c r="S1242" i="3"/>
  <c r="AC1242" i="3" s="1"/>
  <c r="B1241" i="3"/>
  <c r="E1243" i="3"/>
  <c r="D1243" i="3"/>
  <c r="R1240" i="3"/>
  <c r="W1240" i="3" s="1"/>
  <c r="H1241" i="3"/>
  <c r="C1243" i="3" l="1"/>
  <c r="E1244" i="3"/>
  <c r="D1244" i="3"/>
  <c r="R1241" i="3"/>
  <c r="W1241" i="3" s="1"/>
  <c r="S1243" i="3"/>
  <c r="AC1243" i="3" s="1"/>
  <c r="B1242" i="3"/>
  <c r="B1243" i="3" s="1"/>
  <c r="H1242" i="3" l="1"/>
  <c r="H1243" i="3" s="1"/>
  <c r="C1244" i="3"/>
  <c r="S1244" i="3"/>
  <c r="AC1244" i="3" s="1"/>
  <c r="E1245" i="3"/>
  <c r="D1245" i="3"/>
  <c r="R1242" i="3" l="1"/>
  <c r="W1242" i="3" s="1"/>
  <c r="C1245" i="3"/>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B1253" i="3"/>
  <c r="C1254" i="3" l="1"/>
  <c r="E1255" i="3"/>
  <c r="D1255" i="3"/>
  <c r="S1254" i="3"/>
  <c r="AC1254" i="3" s="1"/>
  <c r="R1252" i="3"/>
  <c r="W1252" i="3" s="1"/>
  <c r="H1253" i="3"/>
  <c r="C1255" i="3" l="1"/>
  <c r="R1253" i="3"/>
  <c r="W1253" i="3" s="1"/>
  <c r="B1254" i="3"/>
  <c r="H1254" i="3" s="1"/>
  <c r="S1255" i="3"/>
  <c r="AC1255" i="3" s="1"/>
  <c r="E1256" i="3"/>
  <c r="D1256" i="3"/>
  <c r="C1256" i="3" l="1"/>
  <c r="E1257" i="3"/>
  <c r="D1257" i="3"/>
  <c r="S1256" i="3"/>
  <c r="AC1256" i="3" s="1"/>
  <c r="R1254" i="3"/>
  <c r="W1254" i="3" s="1"/>
  <c r="B1255" i="3"/>
  <c r="H1255" i="3" s="1"/>
  <c r="C1257" i="3" l="1"/>
  <c r="R1255" i="3"/>
  <c r="W1255" i="3" s="1"/>
  <c r="B1256" i="3"/>
  <c r="H1256" i="3" s="1"/>
  <c r="S1257" i="3"/>
  <c r="AC1257" i="3" s="1"/>
  <c r="E1258" i="3"/>
  <c r="D1258" i="3"/>
  <c r="C1258" i="3" l="1"/>
  <c r="E1259" i="3"/>
  <c r="D1259" i="3"/>
  <c r="S1258" i="3"/>
  <c r="AC1258" i="3" s="1"/>
  <c r="R1256" i="3"/>
  <c r="W1256" i="3" s="1"/>
  <c r="B1257" i="3"/>
  <c r="H1257" i="3" s="1"/>
  <c r="C1259" i="3" l="1"/>
  <c r="R1257" i="3"/>
  <c r="W1257" i="3" s="1"/>
  <c r="S1259" i="3"/>
  <c r="AC1259" i="3" s="1"/>
  <c r="E1260" i="3"/>
  <c r="D1260" i="3"/>
  <c r="B1258" i="3"/>
  <c r="H1258" i="3" s="1"/>
  <c r="Q1260" i="3" l="1"/>
  <c r="T1260" i="3"/>
  <c r="S1260" i="3" s="1"/>
  <c r="AC1260" i="3" s="1"/>
  <c r="C1260" i="3"/>
  <c r="E1261" i="3"/>
  <c r="D1261" i="3"/>
  <c r="R1258" i="3"/>
  <c r="W1258" i="3" s="1"/>
  <c r="B1259" i="3"/>
  <c r="H1259" i="3" s="1"/>
  <c r="C1261" i="3" l="1"/>
  <c r="R1259" i="3"/>
  <c r="W1259" i="3" s="1"/>
  <c r="B1260" i="3"/>
  <c r="H1260" i="3" s="1"/>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E1268" i="3"/>
  <c r="D1268" i="3"/>
  <c r="S1267" i="3"/>
  <c r="AC1267" i="3" s="1"/>
  <c r="B1266" i="3"/>
  <c r="C1268" i="3" l="1"/>
  <c r="H1266" i="3"/>
  <c r="R1266" i="3" s="1"/>
  <c r="W1266" i="3" s="1"/>
  <c r="R1265" i="3"/>
  <c r="W1265" i="3" s="1"/>
  <c r="S1268" i="3"/>
  <c r="AC1268" i="3" s="1"/>
  <c r="B1267" i="3"/>
  <c r="E1269" i="3"/>
  <c r="D1269" i="3"/>
  <c r="H1267" i="3" l="1"/>
  <c r="R1267" i="3" s="1"/>
  <c r="W1267" i="3" s="1"/>
  <c r="C1269" i="3"/>
  <c r="E1270" i="3"/>
  <c r="D1270" i="3"/>
  <c r="S1269" i="3"/>
  <c r="AC1269" i="3" s="1"/>
  <c r="B1268" i="3"/>
  <c r="H1268" i="3" l="1"/>
  <c r="H1269" i="3" s="1"/>
  <c r="C1270" i="3"/>
  <c r="S1270" i="3"/>
  <c r="AC1270" i="3" s="1"/>
  <c r="B1269" i="3"/>
  <c r="E1271" i="3"/>
  <c r="D1271" i="3"/>
  <c r="R1268" i="3" l="1"/>
  <c r="W1268" i="3" s="1"/>
  <c r="C1271" i="3"/>
  <c r="S1271" i="3"/>
  <c r="AC1271" i="3" s="1"/>
  <c r="E1272" i="3"/>
  <c r="D1272" i="3"/>
  <c r="R1269" i="3"/>
  <c r="W1269" i="3" s="1"/>
  <c r="B1270" i="3"/>
  <c r="H1270" i="3" s="1"/>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B1273" i="3"/>
  <c r="H1273" i="3" s="1"/>
  <c r="C1275" i="3" l="1"/>
  <c r="R1273" i="3"/>
  <c r="W1273" i="3" s="1"/>
  <c r="E1276" i="3"/>
  <c r="D1276" i="3"/>
  <c r="S1275" i="3"/>
  <c r="AC1275" i="3" s="1"/>
  <c r="B1274" i="3"/>
  <c r="H1274" i="3" s="1"/>
  <c r="C1276" i="3" l="1"/>
  <c r="S1276" i="3"/>
  <c r="AC1276" i="3" s="1"/>
  <c r="E1277" i="3"/>
  <c r="D1277" i="3"/>
  <c r="R1274" i="3"/>
  <c r="W1274" i="3" s="1"/>
  <c r="B1275" i="3"/>
  <c r="H1275" i="3" s="1"/>
  <c r="C1277" i="3" l="1"/>
  <c r="E1278" i="3"/>
  <c r="D1278" i="3"/>
  <c r="R1275" i="3"/>
  <c r="W1275" i="3" s="1"/>
  <c r="S1277" i="3"/>
  <c r="AC1277" i="3" s="1"/>
  <c r="B1276" i="3"/>
  <c r="H1276" i="3" s="1"/>
  <c r="C1278" i="3" l="1"/>
  <c r="B1277" i="3"/>
  <c r="R1276" i="3"/>
  <c r="W1276" i="3" s="1"/>
  <c r="H1277" i="3"/>
  <c r="S1278" i="3"/>
  <c r="AC1278" i="3" s="1"/>
  <c r="D1279" i="3"/>
  <c r="E1279" i="3"/>
  <c r="C1279" i="3" l="1"/>
  <c r="S1279" i="3"/>
  <c r="AC1279" i="3" s="1"/>
  <c r="R1277" i="3"/>
  <c r="W1277" i="3" s="1"/>
  <c r="E1280" i="3"/>
  <c r="D1280" i="3"/>
  <c r="B1278" i="3"/>
  <c r="B1279" i="3" s="1"/>
  <c r="H1278" i="3" l="1"/>
  <c r="R1278" i="3" s="1"/>
  <c r="W1278" i="3" s="1"/>
  <c r="C1280" i="3"/>
  <c r="B1280" i="3" s="1"/>
  <c r="S1280" i="3"/>
  <c r="AC1280" i="3" s="1"/>
  <c r="E1281" i="3"/>
  <c r="D1281" i="3"/>
  <c r="H1279" i="3" l="1"/>
  <c r="R1279" i="3" s="1"/>
  <c r="W1279" i="3" s="1"/>
  <c r="C1281" i="3"/>
  <c r="S1281" i="3"/>
  <c r="AC1281" i="3" s="1"/>
  <c r="E1282" i="3"/>
  <c r="D1282" i="3"/>
  <c r="B1281" i="3"/>
  <c r="C1282" i="3" l="1"/>
  <c r="H1280" i="3"/>
  <c r="H1281" i="3" s="1"/>
  <c r="S1282" i="3"/>
  <c r="AC1282" i="3" s="1"/>
  <c r="D1283" i="3"/>
  <c r="E1283" i="3"/>
  <c r="B1282" i="3"/>
  <c r="R1280" i="3" l="1"/>
  <c r="W1280" i="3" s="1"/>
  <c r="C1283" i="3"/>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E1286" i="3"/>
  <c r="D1286" i="3"/>
  <c r="B1284" i="3"/>
  <c r="B1285" i="3" s="1"/>
  <c r="C1286" i="3" l="1"/>
  <c r="B1286" i="3" s="1"/>
  <c r="H1284" i="3"/>
  <c r="H1285" i="3" s="1"/>
  <c r="S1286" i="3"/>
  <c r="AC1286" i="3" s="1"/>
  <c r="E1287" i="3"/>
  <c r="D1287" i="3"/>
  <c r="R1284" i="3" l="1"/>
  <c r="W1284" i="3" s="1"/>
  <c r="C1287" i="3"/>
  <c r="S1287" i="3"/>
  <c r="AC1287" i="3" s="1"/>
  <c r="R1285" i="3"/>
  <c r="W1285" i="3" s="1"/>
  <c r="H1286" i="3"/>
  <c r="E1288" i="3"/>
  <c r="D1288" i="3"/>
  <c r="B1287" i="3"/>
  <c r="C1288" i="3" l="1"/>
  <c r="R1286" i="3"/>
  <c r="W1286" i="3" s="1"/>
  <c r="H1287" i="3"/>
  <c r="S1288" i="3"/>
  <c r="AC1288" i="3" s="1"/>
  <c r="E1289" i="3"/>
  <c r="D1289" i="3"/>
  <c r="B1288" i="3"/>
  <c r="C1289" i="3" l="1"/>
  <c r="E1290" i="3"/>
  <c r="D1290" i="3"/>
  <c r="S1289" i="3"/>
  <c r="AC1289" i="3" s="1"/>
  <c r="R1287" i="3"/>
  <c r="W1287" i="3" s="1"/>
  <c r="H1288" i="3"/>
  <c r="C1290" i="3" l="1"/>
  <c r="R1288" i="3"/>
  <c r="W1288" i="3" s="1"/>
  <c r="B1289" i="3"/>
  <c r="H1289" i="3" s="1"/>
  <c r="S1290" i="3"/>
  <c r="AC1290" i="3" s="1"/>
  <c r="E1291" i="3"/>
  <c r="D1291" i="3"/>
  <c r="C1291" i="3" l="1"/>
  <c r="E1292" i="3"/>
  <c r="D1292" i="3"/>
  <c r="S1291" i="3"/>
  <c r="AC1291" i="3" s="1"/>
  <c r="R1289" i="3"/>
  <c r="W1289" i="3" s="1"/>
  <c r="B1290" i="3"/>
  <c r="H1290" i="3" s="1"/>
  <c r="T1292" i="3" l="1"/>
  <c r="S1292" i="3" s="1"/>
  <c r="AC1292" i="3" s="1"/>
  <c r="Q1292" i="3"/>
  <c r="C1292" i="3"/>
  <c r="R1290" i="3"/>
  <c r="W1290" i="3" s="1"/>
  <c r="B1291" i="3"/>
  <c r="H1291"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S1297" i="3"/>
  <c r="AC1297" i="3" s="1"/>
  <c r="E1298" i="3"/>
  <c r="D1298" i="3"/>
  <c r="B1296" i="3"/>
  <c r="H1296" i="3" s="1"/>
  <c r="C1298" i="3" l="1"/>
  <c r="S1298" i="3"/>
  <c r="AC1298" i="3" s="1"/>
  <c r="R1296" i="3"/>
  <c r="W1296" i="3" s="1"/>
  <c r="H1297" i="3"/>
  <c r="E1299" i="3"/>
  <c r="D1299" i="3"/>
  <c r="B1297" i="3"/>
  <c r="C1299" i="3" l="1"/>
  <c r="S1299" i="3"/>
  <c r="AC1299" i="3" s="1"/>
  <c r="E1300" i="3"/>
  <c r="D1300" i="3"/>
  <c r="R1297" i="3"/>
  <c r="W1297" i="3" s="1"/>
  <c r="B1298" i="3"/>
  <c r="B1299" i="3" s="1"/>
  <c r="C1300" i="3" l="1"/>
  <c r="Q1300" i="3"/>
  <c r="H1298" i="3"/>
  <c r="H1299" i="3" s="1"/>
  <c r="E1301" i="3"/>
  <c r="D1301" i="3"/>
  <c r="S1300" i="3"/>
  <c r="AC1300" i="3" s="1"/>
  <c r="B1300" i="3"/>
  <c r="T1301" i="3" l="1"/>
  <c r="S1301" i="3" s="1"/>
  <c r="AC1301" i="3" s="1"/>
  <c r="Q1301" i="3"/>
  <c r="C1301" i="3"/>
  <c r="R1298" i="3"/>
  <c r="W1298" i="3" s="1"/>
  <c r="R1299" i="3"/>
  <c r="W1299" i="3" s="1"/>
  <c r="H1300" i="3"/>
  <c r="C1302" i="3" l="1"/>
  <c r="R1300" i="3"/>
  <c r="W1300" i="3" s="1"/>
  <c r="S1302" i="3"/>
  <c r="AC1302" i="3" s="1"/>
  <c r="B1301" i="3"/>
  <c r="H1301" i="3" s="1"/>
  <c r="C1303" i="3" l="1"/>
  <c r="E1304" i="3"/>
  <c r="D1304" i="3"/>
  <c r="S1303" i="3"/>
  <c r="AC1303" i="3" s="1"/>
  <c r="R1301" i="3"/>
  <c r="W1301" i="3" s="1"/>
  <c r="B1302" i="3"/>
  <c r="H1302" i="3" s="1"/>
  <c r="C1304" i="3" l="1"/>
  <c r="R1302" i="3"/>
  <c r="W1302" i="3" s="1"/>
  <c r="B1303" i="3"/>
  <c r="H1303" i="3" s="1"/>
  <c r="S1304" i="3"/>
  <c r="AC1304" i="3" s="1"/>
  <c r="E1305" i="3"/>
  <c r="D1305" i="3"/>
  <c r="C1305" i="3" l="1"/>
  <c r="E1306" i="3"/>
  <c r="D1306" i="3"/>
  <c r="S1305" i="3"/>
  <c r="AC1305" i="3" s="1"/>
  <c r="R1303" i="3"/>
  <c r="W1303" i="3" s="1"/>
  <c r="B1304" i="3"/>
  <c r="H1304" i="3" s="1"/>
  <c r="C1306" i="3" l="1"/>
  <c r="R1304" i="3"/>
  <c r="W1304" i="3" s="1"/>
  <c r="S1306" i="3"/>
  <c r="AC1306" i="3" s="1"/>
  <c r="D1307" i="3"/>
  <c r="E1307" i="3"/>
  <c r="B1305" i="3"/>
  <c r="H1305" i="3" s="1"/>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T1312" i="3" l="1"/>
  <c r="S1312" i="3" s="1"/>
  <c r="AC1312" i="3" s="1"/>
  <c r="Q1312" i="3"/>
  <c r="C1312" i="3"/>
  <c r="D1313" i="3"/>
  <c r="R1310" i="3"/>
  <c r="W1310" i="3" s="1"/>
  <c r="H1311" i="3"/>
  <c r="B1311" i="3"/>
  <c r="T1313" i="3" l="1"/>
  <c r="S1313" i="3" s="1"/>
  <c r="AC1313" i="3" s="1"/>
  <c r="Q1313" i="3"/>
  <c r="C1313" i="3"/>
  <c r="R1311" i="3"/>
  <c r="W1311" i="3" s="1"/>
  <c r="D1314" i="3"/>
  <c r="E1314" i="3"/>
  <c r="B1312" i="3"/>
  <c r="Q1314" i="3" l="1"/>
  <c r="T1314" i="3"/>
  <c r="S1314" i="3" s="1"/>
  <c r="AC1314" i="3" s="1"/>
  <c r="B1313" i="3"/>
  <c r="H1312" i="3"/>
  <c r="H1313" i="3" s="1"/>
  <c r="C1314" i="3"/>
  <c r="D1315" i="3"/>
  <c r="E1315" i="3"/>
  <c r="Q1315" i="3" l="1"/>
  <c r="T1315" i="3"/>
  <c r="S1315" i="3" s="1"/>
  <c r="AC1315" i="3" s="1"/>
  <c r="R1312" i="3"/>
  <c r="W1312" i="3" s="1"/>
  <c r="C1315" i="3"/>
  <c r="D1316" i="3"/>
  <c r="B1314" i="3"/>
  <c r="H1314" i="3" s="1"/>
  <c r="R1313" i="3"/>
  <c r="W1313" i="3" s="1"/>
  <c r="Q1316" i="3" l="1"/>
  <c r="T1316" i="3"/>
  <c r="S1316" i="3" s="1"/>
  <c r="AC1316" i="3" s="1"/>
  <c r="C1316" i="3"/>
  <c r="R1314" i="3"/>
  <c r="W1314" i="3" s="1"/>
  <c r="B1315" i="3"/>
  <c r="H1315" i="3" s="1"/>
  <c r="D1317" i="3"/>
  <c r="E1317" i="3"/>
  <c r="T1317" i="3" l="1"/>
  <c r="S1317" i="3" s="1"/>
  <c r="AC1317" i="3" s="1"/>
  <c r="Q1317" i="3"/>
  <c r="C1317" i="3"/>
  <c r="D1318" i="3"/>
  <c r="E1318" i="3"/>
  <c r="R1315" i="3"/>
  <c r="W1315" i="3" s="1"/>
  <c r="H1316" i="3"/>
  <c r="B1316" i="3"/>
  <c r="B1317" i="3" s="1"/>
  <c r="C1318" i="3" l="1"/>
  <c r="R1316" i="3"/>
  <c r="W1316" i="3" s="1"/>
  <c r="H1317" i="3"/>
  <c r="D1319" i="3"/>
  <c r="E1319" i="3"/>
  <c r="S1318" i="3"/>
  <c r="AC1318" i="3" s="1"/>
  <c r="Q1319" i="3" l="1"/>
  <c r="T1319" i="3"/>
  <c r="S1319" i="3" s="1"/>
  <c r="AC1319" i="3" s="1"/>
  <c r="C1319" i="3"/>
  <c r="D1320" i="3"/>
  <c r="E1320" i="3"/>
  <c r="R1317" i="3"/>
  <c r="W1317" i="3" s="1"/>
  <c r="B1318" i="3"/>
  <c r="H1318" i="3" s="1"/>
  <c r="T1320" i="3" l="1"/>
  <c r="S1320" i="3" s="1"/>
  <c r="AC1320" i="3" s="1"/>
  <c r="Q1320" i="3"/>
  <c r="C1320" i="3"/>
  <c r="R1318" i="3"/>
  <c r="W1318" i="3" s="1"/>
  <c r="D1321" i="3"/>
  <c r="B1319" i="3"/>
  <c r="H1319" i="3" s="1"/>
  <c r="T1321" i="3" l="1"/>
  <c r="S1321" i="3" s="1"/>
  <c r="AC1321" i="3" s="1"/>
  <c r="Q1321" i="3"/>
  <c r="C1321" i="3"/>
  <c r="E1322" i="3"/>
  <c r="D1322" i="3"/>
  <c r="R1319" i="3"/>
  <c r="W1319" i="3" s="1"/>
  <c r="H1320" i="3"/>
  <c r="B1320" i="3"/>
  <c r="C1322" i="3" l="1"/>
  <c r="R1320" i="3"/>
  <c r="W1320" i="3" s="1"/>
  <c r="B1321" i="3"/>
  <c r="H1321" i="3" s="1"/>
  <c r="S1322" i="3"/>
  <c r="AC1322" i="3" s="1"/>
  <c r="E1323" i="3"/>
  <c r="D1323" i="3"/>
  <c r="T1323" i="3" l="1"/>
  <c r="S1323" i="3" s="1"/>
  <c r="AC1323" i="3" s="1"/>
  <c r="Q1323" i="3"/>
  <c r="C1323" i="3"/>
  <c r="E1324" i="3"/>
  <c r="D1324" i="3"/>
  <c r="R1321" i="3"/>
  <c r="W1321" i="3" s="1"/>
  <c r="B1322" i="3"/>
  <c r="H1322" i="3" s="1"/>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B1325" i="3"/>
  <c r="H1325" i="3" s="1"/>
  <c r="T1327" i="3" l="1"/>
  <c r="S1327" i="3" s="1"/>
  <c r="AC1327" i="3" s="1"/>
  <c r="Q1327" i="3"/>
  <c r="C1327" i="3"/>
  <c r="R1325" i="3"/>
  <c r="W1325" i="3" s="1"/>
  <c r="E1328" i="3"/>
  <c r="D1328" i="3"/>
  <c r="B1326" i="3"/>
  <c r="H1326" i="3" s="1"/>
  <c r="Q1328" i="3" l="1"/>
  <c r="T1328" i="3"/>
  <c r="S1328" i="3" s="1"/>
  <c r="AC1328" i="3" s="1"/>
  <c r="C1328" i="3"/>
  <c r="R1326" i="3"/>
  <c r="W1326" i="3" s="1"/>
  <c r="E1329" i="3"/>
  <c r="D1329" i="3"/>
  <c r="B1327" i="3"/>
  <c r="H1327" i="3" s="1"/>
  <c r="C1329" i="3" l="1"/>
  <c r="R1327" i="3"/>
  <c r="W1327" i="3" s="1"/>
  <c r="S1329" i="3"/>
  <c r="AC1329" i="3" s="1"/>
  <c r="E1330" i="3"/>
  <c r="D1330" i="3"/>
  <c r="B1328" i="3"/>
  <c r="H1328" i="3" s="1"/>
  <c r="C1330" i="3" l="1"/>
  <c r="S1330" i="3"/>
  <c r="AC1330" i="3" s="1"/>
  <c r="R1328" i="3"/>
  <c r="W1328" i="3" s="1"/>
  <c r="H1329" i="3"/>
  <c r="E1331" i="3"/>
  <c r="D1331" i="3"/>
  <c r="B1329" i="3"/>
  <c r="B1330" i="3" s="1"/>
  <c r="C1331" i="3" l="1"/>
  <c r="B1331" i="3" s="1"/>
  <c r="S1331" i="3"/>
  <c r="AC1331" i="3" s="1"/>
  <c r="E1332" i="3"/>
  <c r="D1332" i="3"/>
  <c r="R1329" i="3"/>
  <c r="W1329" i="3" s="1"/>
  <c r="H1330" i="3"/>
  <c r="Q1332" i="3" l="1"/>
  <c r="T1332" i="3"/>
  <c r="S1332" i="3" s="1"/>
  <c r="AC1332" i="3" s="1"/>
  <c r="C1332" i="3"/>
  <c r="B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B1334" i="3"/>
  <c r="C1335" i="3" l="1"/>
  <c r="E1336" i="3"/>
  <c r="D1336" i="3"/>
  <c r="S1335" i="3"/>
  <c r="AC1335" i="3" s="1"/>
  <c r="R1333" i="3"/>
  <c r="W1333" i="3" s="1"/>
  <c r="H1334" i="3"/>
  <c r="C1336" i="3" l="1"/>
  <c r="R1334" i="3"/>
  <c r="W1334" i="3" s="1"/>
  <c r="B1335" i="3"/>
  <c r="H1335" i="3" s="1"/>
  <c r="S1336" i="3"/>
  <c r="AC1336" i="3" s="1"/>
  <c r="E1337" i="3"/>
  <c r="D1337" i="3"/>
  <c r="C1337" i="3" l="1"/>
  <c r="E1338" i="3"/>
  <c r="D1338" i="3"/>
  <c r="S1337" i="3"/>
  <c r="AC1337" i="3" s="1"/>
  <c r="R1335" i="3"/>
  <c r="W1335" i="3" s="1"/>
  <c r="B1336" i="3"/>
  <c r="H1336" i="3" s="1"/>
  <c r="C1338" i="3" l="1"/>
  <c r="R1336" i="3"/>
  <c r="W1336" i="3" s="1"/>
  <c r="S1338" i="3"/>
  <c r="AC1338" i="3" s="1"/>
  <c r="E1339" i="3"/>
  <c r="D1339" i="3"/>
  <c r="B1337" i="3"/>
  <c r="H1337" i="3" s="1"/>
  <c r="C1339" i="3" l="1"/>
  <c r="R1337" i="3"/>
  <c r="W1337" i="3" s="1"/>
  <c r="S1339" i="3"/>
  <c r="AC1339" i="3" s="1"/>
  <c r="E1340" i="3"/>
  <c r="D1340" i="3"/>
  <c r="B1338" i="3"/>
  <c r="H1338" i="3" s="1"/>
  <c r="C1340" i="3" l="1"/>
  <c r="S1340" i="3"/>
  <c r="AC1340" i="3" s="1"/>
  <c r="R1338" i="3"/>
  <c r="W1338" i="3" s="1"/>
  <c r="E1341" i="3"/>
  <c r="D1341" i="3"/>
  <c r="B1339" i="3"/>
  <c r="H1339" i="3" s="1"/>
  <c r="C1341" i="3" l="1"/>
  <c r="S1341" i="3"/>
  <c r="AC1341" i="3" s="1"/>
  <c r="E1342" i="3"/>
  <c r="D1342" i="3"/>
  <c r="R1339" i="3"/>
  <c r="W1339" i="3" s="1"/>
  <c r="B1340" i="3"/>
  <c r="B1341" i="3" l="1"/>
  <c r="C1342" i="3"/>
  <c r="H1340" i="3"/>
  <c r="H1341" i="3" s="1"/>
  <c r="S1342" i="3"/>
  <c r="AC1342" i="3" s="1"/>
  <c r="E1343" i="3"/>
  <c r="D1343" i="3"/>
  <c r="B1342" i="3" l="1"/>
  <c r="R1340" i="3"/>
  <c r="W1340" i="3" s="1"/>
  <c r="C1343" i="3"/>
  <c r="B1343" i="3" s="1"/>
  <c r="S1343" i="3"/>
  <c r="AC1343" i="3" s="1"/>
  <c r="E1344" i="3"/>
  <c r="D1344" i="3"/>
  <c r="R1341" i="3"/>
  <c r="W1341" i="3" s="1"/>
  <c r="H1342" i="3"/>
  <c r="C1344" i="3" l="1"/>
  <c r="S1344" i="3"/>
  <c r="AC1344" i="3" s="1"/>
  <c r="E1345" i="3"/>
  <c r="D1345" i="3"/>
  <c r="R1342" i="3"/>
  <c r="W1342" i="3" s="1"/>
  <c r="H1343" i="3"/>
  <c r="B1344" i="3"/>
  <c r="C1345" i="3" l="1"/>
  <c r="S1345" i="3"/>
  <c r="AC1345" i="3" s="1"/>
  <c r="E1346" i="3"/>
  <c r="D1346" i="3"/>
  <c r="R1343" i="3"/>
  <c r="W1343" i="3" s="1"/>
  <c r="H1344" i="3"/>
  <c r="B1345" i="3"/>
  <c r="C1346" i="3" l="1"/>
  <c r="B1346" i="3" s="1"/>
  <c r="S1346" i="3"/>
  <c r="AC1346" i="3" s="1"/>
  <c r="E1347" i="3"/>
  <c r="D1347" i="3"/>
  <c r="R1344" i="3"/>
  <c r="W1344" i="3" s="1"/>
  <c r="H1345" i="3"/>
  <c r="C1347" i="3" l="1"/>
  <c r="S1347" i="3"/>
  <c r="AC1347" i="3" s="1"/>
  <c r="E1348" i="3"/>
  <c r="D1348" i="3"/>
  <c r="R1345" i="3"/>
  <c r="W1345" i="3" s="1"/>
  <c r="H1346" i="3"/>
  <c r="B1347" i="3"/>
  <c r="C1348" i="3" l="1"/>
  <c r="S1348" i="3"/>
  <c r="AC1348" i="3" s="1"/>
  <c r="E1349" i="3"/>
  <c r="D1349" i="3"/>
  <c r="R1346" i="3"/>
  <c r="W1346" i="3" s="1"/>
  <c r="H1347" i="3"/>
  <c r="B1348" i="3"/>
  <c r="C1349" i="3" l="1"/>
  <c r="B1349" i="3" s="1"/>
  <c r="S1349" i="3"/>
  <c r="AC1349" i="3" s="1"/>
  <c r="E1350" i="3"/>
  <c r="D1350" i="3"/>
  <c r="R1347" i="3"/>
  <c r="W1347" i="3" s="1"/>
  <c r="H1348"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B1353" i="3"/>
  <c r="C1354" i="3" l="1"/>
  <c r="B1354" i="3" s="1"/>
  <c r="S1354" i="3"/>
  <c r="AC1354" i="3" s="1"/>
  <c r="E1355" i="3"/>
  <c r="D1355" i="3"/>
  <c r="R1352" i="3"/>
  <c r="W1352" i="3" s="1"/>
  <c r="H1353" i="3"/>
  <c r="C1355" i="3" l="1"/>
  <c r="B1355" i="3" s="1"/>
  <c r="S1355" i="3"/>
  <c r="AC1355" i="3" s="1"/>
  <c r="E1356" i="3"/>
  <c r="D1356" i="3"/>
  <c r="R1353" i="3"/>
  <c r="W1353" i="3" s="1"/>
  <c r="H1354"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S1361" i="3"/>
  <c r="AC1361" i="3" s="1"/>
  <c r="E1362" i="3"/>
  <c r="D1362" i="3"/>
  <c r="B1360" i="3"/>
  <c r="H1360" i="3" s="1"/>
  <c r="C1362" i="3" l="1"/>
  <c r="S1362" i="3"/>
  <c r="AC1362" i="3" s="1"/>
  <c r="R1360" i="3"/>
  <c r="W1360" i="3" s="1"/>
  <c r="E1363" i="3"/>
  <c r="D1363" i="3"/>
  <c r="B1361" i="3"/>
  <c r="H1361" i="3" s="1"/>
  <c r="C1363" i="3" l="1"/>
  <c r="S1363" i="3"/>
  <c r="AC1363" i="3" s="1"/>
  <c r="E1364" i="3"/>
  <c r="D1364" i="3"/>
  <c r="R1361" i="3"/>
  <c r="W1361" i="3" s="1"/>
  <c r="B1362" i="3"/>
  <c r="H1362" i="3" s="1"/>
  <c r="C1364" i="3" l="1"/>
  <c r="B1363" i="3"/>
  <c r="H1363" i="3" s="1"/>
  <c r="S1364" i="3"/>
  <c r="AC1364" i="3" s="1"/>
  <c r="E1365" i="3"/>
  <c r="D1365" i="3"/>
  <c r="R1362" i="3"/>
  <c r="W1362" i="3" s="1"/>
  <c r="C1365" i="3" l="1"/>
  <c r="S1365" i="3"/>
  <c r="AC1365" i="3" s="1"/>
  <c r="E1366" i="3"/>
  <c r="D1366" i="3"/>
  <c r="R1363" i="3"/>
  <c r="W1363" i="3" s="1"/>
  <c r="B1364" i="3"/>
  <c r="H1364" i="3" s="1"/>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B1368" i="3"/>
  <c r="H1368" i="3" s="1"/>
  <c r="S1369" i="3"/>
  <c r="AC1369" i="3" s="1"/>
  <c r="E1370" i="3"/>
  <c r="D1370" i="3"/>
  <c r="C1370" i="3" l="1"/>
  <c r="E1371" i="3"/>
  <c r="D1371" i="3"/>
  <c r="R1368" i="3"/>
  <c r="W1368" i="3" s="1"/>
  <c r="H1369" i="3"/>
  <c r="S1370" i="3"/>
  <c r="AC1370" i="3" s="1"/>
  <c r="B1369" i="3"/>
  <c r="Q1371" i="3" l="1"/>
  <c r="T1371" i="3"/>
  <c r="S1371" i="3" s="1"/>
  <c r="AC1371" i="3" s="1"/>
  <c r="C1371" i="3"/>
  <c r="R1369" i="3"/>
  <c r="W1369" i="3" s="1"/>
  <c r="H1370" i="3"/>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S1375" i="3"/>
  <c r="AC1375" i="3" s="1"/>
  <c r="E1376" i="3"/>
  <c r="D1376" i="3"/>
  <c r="R1373" i="3"/>
  <c r="W1373" i="3" s="1"/>
  <c r="H1374" i="3"/>
  <c r="B1375" i="3"/>
  <c r="C1376" i="3" l="1"/>
  <c r="B1376" i="3" s="1"/>
  <c r="S1376" i="3"/>
  <c r="AC1376" i="3" s="1"/>
  <c r="E1377" i="3"/>
  <c r="D1377" i="3"/>
  <c r="R1374" i="3"/>
  <c r="W1374" i="3" s="1"/>
  <c r="H1375" i="3"/>
  <c r="C1377" i="3" l="1"/>
  <c r="B1377" i="3" s="1"/>
  <c r="S1377" i="3"/>
  <c r="AC1377" i="3" s="1"/>
  <c r="E1378" i="3"/>
  <c r="D1378" i="3"/>
  <c r="R1375" i="3"/>
  <c r="W1375" i="3" s="1"/>
  <c r="H1376" i="3"/>
  <c r="C1378" i="3" l="1"/>
  <c r="S1378" i="3"/>
  <c r="AC1378" i="3" s="1"/>
  <c r="R1376" i="3"/>
  <c r="W1376" i="3" s="1"/>
  <c r="H1377" i="3"/>
  <c r="E1379" i="3"/>
  <c r="D1379" i="3"/>
  <c r="B1378" i="3"/>
  <c r="C1379" i="3" l="1"/>
  <c r="B1379" i="3" s="1"/>
  <c r="R1377" i="3"/>
  <c r="W1377" i="3" s="1"/>
  <c r="H1378" i="3"/>
  <c r="S1379" i="3"/>
  <c r="AC1379" i="3" s="1"/>
  <c r="E1380" i="3"/>
  <c r="D1380" i="3"/>
  <c r="C1380" i="3" l="1"/>
  <c r="B1380" i="3" s="1"/>
  <c r="S1380" i="3"/>
  <c r="AC1380" i="3" s="1"/>
  <c r="E1381" i="3"/>
  <c r="D1381"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Q1384" i="3" l="1"/>
  <c r="T1384" i="3"/>
  <c r="S1384" i="3" s="1"/>
  <c r="AC1384" i="3" s="1"/>
  <c r="C1384" i="3"/>
  <c r="B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T1387" i="3" l="1"/>
  <c r="S1387" i="3" s="1"/>
  <c r="AC1387" i="3" s="1"/>
  <c r="Q1387" i="3"/>
  <c r="C1387" i="3"/>
  <c r="E1388" i="3"/>
  <c r="D1388" i="3"/>
  <c r="B1386" i="3"/>
  <c r="R1385" i="3"/>
  <c r="W1385" i="3" s="1"/>
  <c r="H1386" i="3"/>
  <c r="B1387" i="3" l="1"/>
  <c r="C1388" i="3"/>
  <c r="B1388" i="3" s="1"/>
  <c r="S1388" i="3"/>
  <c r="AC1388" i="3" s="1"/>
  <c r="E1389" i="3"/>
  <c r="D1389" i="3"/>
  <c r="R1386" i="3"/>
  <c r="W1386" i="3" s="1"/>
  <c r="H1387"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S1392" i="3"/>
  <c r="AC1392" i="3" s="1"/>
  <c r="E1393" i="3"/>
  <c r="D1393" i="3"/>
  <c r="B1391" i="3"/>
  <c r="H1391" i="3" s="1"/>
  <c r="Q1393" i="3" l="1"/>
  <c r="T1393" i="3"/>
  <c r="S1393" i="3" s="1"/>
  <c r="AC1393" i="3" s="1"/>
  <c r="C1393" i="3"/>
  <c r="R1391" i="3"/>
  <c r="W1391" i="3" s="1"/>
  <c r="E1394" i="3"/>
  <c r="D1394" i="3"/>
  <c r="B1392" i="3"/>
  <c r="H1392" i="3" s="1"/>
  <c r="C1394" i="3" l="1"/>
  <c r="S1394" i="3"/>
  <c r="AC1394" i="3" s="1"/>
  <c r="R1392" i="3"/>
  <c r="W1392" i="3" s="1"/>
  <c r="E1395" i="3"/>
  <c r="D1395" i="3"/>
  <c r="B1393" i="3"/>
  <c r="H1393" i="3" s="1"/>
  <c r="C1395" i="3" l="1"/>
  <c r="S1395" i="3"/>
  <c r="AC1395" i="3" s="1"/>
  <c r="E1396" i="3"/>
  <c r="D1396" i="3"/>
  <c r="R1393" i="3"/>
  <c r="W1393" i="3" s="1"/>
  <c r="B1394" i="3"/>
  <c r="H1394" i="3" s="1"/>
  <c r="C1396" i="3" l="1"/>
  <c r="B1395" i="3"/>
  <c r="H1395" i="3" s="1"/>
  <c r="E1397" i="3"/>
  <c r="D1397" i="3"/>
  <c r="S1396" i="3"/>
  <c r="AC1396" i="3" s="1"/>
  <c r="R1394" i="3"/>
  <c r="W1394" i="3" s="1"/>
  <c r="B1396" i="3" l="1"/>
  <c r="C1397" i="3"/>
  <c r="R1395" i="3"/>
  <c r="W1395" i="3" s="1"/>
  <c r="H1396" i="3"/>
  <c r="S1397" i="3"/>
  <c r="AC1397" i="3" s="1"/>
  <c r="E1398" i="3"/>
  <c r="D1398" i="3"/>
  <c r="C1398" i="3" l="1"/>
  <c r="R1396" i="3"/>
  <c r="W1396" i="3" s="1"/>
  <c r="S1398" i="3"/>
  <c r="AC1398" i="3" s="1"/>
  <c r="E1399" i="3"/>
  <c r="D1399" i="3"/>
  <c r="B1397" i="3"/>
  <c r="H1397" i="3" s="1"/>
  <c r="C1399" i="3" l="1"/>
  <c r="S1399" i="3"/>
  <c r="AC1399" i="3" s="1"/>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S1403" i="3"/>
  <c r="AC1403" i="3" s="1"/>
  <c r="E1404" i="3"/>
  <c r="D1404" i="3"/>
  <c r="B1402" i="3"/>
  <c r="H1402" i="3" s="1"/>
  <c r="C1404" i="3" l="1"/>
  <c r="S1404" i="3"/>
  <c r="AC1404" i="3" s="1"/>
  <c r="R1402" i="3"/>
  <c r="W1402" i="3" s="1"/>
  <c r="H1403" i="3"/>
  <c r="E1405" i="3"/>
  <c r="D1405" i="3"/>
  <c r="B1403" i="3"/>
  <c r="C1405" i="3" l="1"/>
  <c r="S1405" i="3"/>
  <c r="AC1405" i="3" s="1"/>
  <c r="E1406" i="3"/>
  <c r="D1406" i="3"/>
  <c r="R1403" i="3"/>
  <c r="W1403" i="3" s="1"/>
  <c r="B1404" i="3"/>
  <c r="Q1406" i="3" l="1"/>
  <c r="T1406" i="3"/>
  <c r="S1406" i="3" s="1"/>
  <c r="AC1406" i="3" s="1"/>
  <c r="B1405" i="3"/>
  <c r="H1404" i="3"/>
  <c r="R1404" i="3" s="1"/>
  <c r="W1404" i="3" s="1"/>
  <c r="C1406" i="3"/>
  <c r="B1406" i="3" s="1"/>
  <c r="D1407" i="3"/>
  <c r="Q1407" i="3" l="1"/>
  <c r="T1407" i="3"/>
  <c r="S1407" i="3" s="1"/>
  <c r="AC1407" i="3" s="1"/>
  <c r="C1407" i="3"/>
  <c r="B1407" i="3" s="1"/>
  <c r="H1405" i="3"/>
  <c r="H1406" i="3" s="1"/>
  <c r="E1408" i="3"/>
  <c r="D1408" i="3"/>
  <c r="R1405" i="3" l="1"/>
  <c r="W1405" i="3" s="1"/>
  <c r="C1408" i="3"/>
  <c r="R1406" i="3"/>
  <c r="W1406" i="3" s="1"/>
  <c r="H1407" i="3"/>
  <c r="S1408" i="3"/>
  <c r="AC1408" i="3" s="1"/>
  <c r="E1409" i="3"/>
  <c r="D1409" i="3"/>
  <c r="B1408" i="3"/>
  <c r="C1409" i="3" l="1"/>
  <c r="E1410" i="3"/>
  <c r="D1410" i="3"/>
  <c r="S1409" i="3"/>
  <c r="AC1409" i="3" s="1"/>
  <c r="R1407" i="3"/>
  <c r="W1407" i="3" s="1"/>
  <c r="H1408" i="3"/>
  <c r="C1410" i="3" l="1"/>
  <c r="R1408" i="3"/>
  <c r="W1408" i="3" s="1"/>
  <c r="B1409" i="3"/>
  <c r="H1409" i="3" s="1"/>
  <c r="S1410" i="3"/>
  <c r="AC1410" i="3" s="1"/>
  <c r="E1411" i="3"/>
  <c r="D1411" i="3"/>
  <c r="C1411" i="3" l="1"/>
  <c r="E1412" i="3"/>
  <c r="D1412" i="3"/>
  <c r="S1411" i="3"/>
  <c r="AC1411" i="3" s="1"/>
  <c r="R1409" i="3"/>
  <c r="W1409" i="3" s="1"/>
  <c r="B1410" i="3"/>
  <c r="H1410" i="3" s="1"/>
  <c r="C1412" i="3" l="1"/>
  <c r="R1410" i="3"/>
  <c r="W1410" i="3" s="1"/>
  <c r="S1412" i="3"/>
  <c r="AC1412" i="3" s="1"/>
  <c r="E1413" i="3"/>
  <c r="D1413" i="3"/>
  <c r="B1411" i="3"/>
  <c r="H1411" i="3" s="1"/>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T1416" i="3" l="1"/>
  <c r="S1416" i="3" s="1"/>
  <c r="AC1416" i="3" s="1"/>
  <c r="Q1416" i="3"/>
  <c r="C1416" i="3"/>
  <c r="R1414" i="3"/>
  <c r="W1414" i="3" s="1"/>
  <c r="E1417" i="3"/>
  <c r="D1417" i="3"/>
  <c r="B1415" i="3"/>
  <c r="H1415" i="3" s="1"/>
  <c r="C1417" i="3" l="1"/>
  <c r="R1415" i="3"/>
  <c r="W1415" i="3" s="1"/>
  <c r="S1417" i="3"/>
  <c r="AC1417" i="3" s="1"/>
  <c r="E1418" i="3"/>
  <c r="D1418" i="3"/>
  <c r="B1416" i="3"/>
  <c r="H1416" i="3" s="1"/>
  <c r="C1418" i="3" l="1"/>
  <c r="R1416" i="3"/>
  <c r="W1416" i="3" s="1"/>
  <c r="S1418" i="3"/>
  <c r="AC1418" i="3" s="1"/>
  <c r="E1419" i="3"/>
  <c r="D1419" i="3"/>
  <c r="B1417" i="3"/>
  <c r="B1418" i="3" s="1"/>
  <c r="H1417" i="3" l="1"/>
  <c r="R1417" i="3" s="1"/>
  <c r="W1417" i="3" s="1"/>
  <c r="C1419" i="3"/>
  <c r="S1419" i="3"/>
  <c r="AC1419" i="3" s="1"/>
  <c r="E1420" i="3"/>
  <c r="D1420" i="3"/>
  <c r="H1418" i="3" l="1"/>
  <c r="R1418" i="3" s="1"/>
  <c r="W1418" i="3" s="1"/>
  <c r="C1420" i="3"/>
  <c r="E1421" i="3"/>
  <c r="D1421" i="3"/>
  <c r="S1420" i="3"/>
  <c r="AC1420" i="3" s="1"/>
  <c r="B1419" i="3"/>
  <c r="T1421" i="3" l="1"/>
  <c r="S1421" i="3" s="1"/>
  <c r="AC1421" i="3" s="1"/>
  <c r="Q1421" i="3"/>
  <c r="H1419" i="3"/>
  <c r="C1421" i="3"/>
  <c r="B1420" i="3"/>
  <c r="E1422" i="3"/>
  <c r="D1422" i="3"/>
  <c r="Q1422" i="3" l="1"/>
  <c r="T1422" i="3"/>
  <c r="S1422" i="3" s="1"/>
  <c r="AC1422" i="3" s="1"/>
  <c r="H1420" i="3"/>
  <c r="H1421" i="3" s="1"/>
  <c r="R1419" i="3"/>
  <c r="W1419" i="3" s="1"/>
  <c r="C1422" i="3"/>
  <c r="E1423" i="3"/>
  <c r="D1423" i="3"/>
  <c r="B1421" i="3"/>
  <c r="R1420" i="3" l="1"/>
  <c r="W1420" i="3" s="1"/>
  <c r="C1423" i="3"/>
  <c r="R1421" i="3"/>
  <c r="W1421" i="3" s="1"/>
  <c r="B1422" i="3"/>
  <c r="H1422" i="3" s="1"/>
  <c r="S1423" i="3"/>
  <c r="AC1423" i="3" s="1"/>
  <c r="E1424" i="3"/>
  <c r="D1424" i="3"/>
  <c r="C1424" i="3" l="1"/>
  <c r="E1425" i="3"/>
  <c r="D1425" i="3"/>
  <c r="S1424" i="3"/>
  <c r="AC1424" i="3" s="1"/>
  <c r="R1422" i="3"/>
  <c r="W1422" i="3" s="1"/>
  <c r="B1423" i="3"/>
  <c r="H1423" i="3" s="1"/>
  <c r="Q1425" i="3" l="1"/>
  <c r="T1425" i="3"/>
  <c r="S1425" i="3" s="1"/>
  <c r="AC1425" i="3" s="1"/>
  <c r="C1425" i="3"/>
  <c r="R1423" i="3"/>
  <c r="W1423" i="3" s="1"/>
  <c r="E1426" i="3"/>
  <c r="D1426" i="3"/>
  <c r="B1424" i="3"/>
  <c r="H1424" i="3" s="1"/>
  <c r="Q1426" i="3" l="1"/>
  <c r="C1426" i="3"/>
  <c r="S1426" i="3"/>
  <c r="AC1426" i="3" s="1"/>
  <c r="R1424" i="3"/>
  <c r="W1424" i="3" s="1"/>
  <c r="E1427" i="3"/>
  <c r="D1427" i="3"/>
  <c r="B1425" i="3"/>
  <c r="H1425" i="3" s="1"/>
  <c r="C1427" i="3" l="1"/>
  <c r="S1427" i="3"/>
  <c r="AC1427" i="3" s="1"/>
  <c r="E1428" i="3"/>
  <c r="D1428" i="3"/>
  <c r="R1425" i="3"/>
  <c r="W1425" i="3" s="1"/>
  <c r="B1426" i="3"/>
  <c r="B1427" i="3" s="1"/>
  <c r="H1426" i="3" l="1"/>
  <c r="H1427" i="3" s="1"/>
  <c r="C1428" i="3"/>
  <c r="B1428" i="3" s="1"/>
  <c r="S1428" i="3"/>
  <c r="AC1428" i="3" s="1"/>
  <c r="E1429" i="3"/>
  <c r="D1429" i="3"/>
  <c r="R1426" i="3" l="1"/>
  <c r="W1426" i="3" s="1"/>
  <c r="C1429" i="3"/>
  <c r="E1430" i="3"/>
  <c r="D1430" i="3"/>
  <c r="S1429" i="3"/>
  <c r="AC1429" i="3" s="1"/>
  <c r="R1427" i="3"/>
  <c r="W1427" i="3" s="1"/>
  <c r="H1428" i="3"/>
  <c r="C1430" i="3" l="1"/>
  <c r="R1428" i="3"/>
  <c r="W1428" i="3" s="1"/>
  <c r="B1429" i="3"/>
  <c r="H1429" i="3" s="1"/>
  <c r="S1430" i="3"/>
  <c r="AC1430" i="3" s="1"/>
  <c r="E1431" i="3"/>
  <c r="D1431" i="3"/>
  <c r="Q1431" i="3" l="1"/>
  <c r="T1431" i="3"/>
  <c r="S1431" i="3" s="1"/>
  <c r="AC1431" i="3" s="1"/>
  <c r="C1431" i="3"/>
  <c r="E1432" i="3"/>
  <c r="D1432" i="3"/>
  <c r="R1429" i="3"/>
  <c r="W1429" i="3" s="1"/>
  <c r="H1430" i="3"/>
  <c r="B1430" i="3"/>
  <c r="T1432" i="3" l="1"/>
  <c r="S1432" i="3" s="1"/>
  <c r="AC1432" i="3" s="1"/>
  <c r="Q1432" i="3"/>
  <c r="C1432" i="3"/>
  <c r="R1430" i="3"/>
  <c r="W1430" i="3" s="1"/>
  <c r="H1431" i="3"/>
  <c r="D1433" i="3"/>
  <c r="B1431" i="3"/>
  <c r="T1433" i="3" l="1"/>
  <c r="S1433" i="3" s="1"/>
  <c r="AC1433" i="3" s="1"/>
  <c r="Q1433" i="3"/>
  <c r="C1433" i="3"/>
  <c r="R1431" i="3"/>
  <c r="W1431" i="3" s="1"/>
  <c r="D1434" i="3"/>
  <c r="B1432" i="3"/>
  <c r="H1432" i="3" s="1"/>
  <c r="Q1434" i="3" l="1"/>
  <c r="T1434" i="3"/>
  <c r="S1434" i="3" s="1"/>
  <c r="AC1434" i="3" s="1"/>
  <c r="C1434" i="3"/>
  <c r="R1432" i="3"/>
  <c r="W1432" i="3" s="1"/>
  <c r="E1435" i="3"/>
  <c r="D1435" i="3"/>
  <c r="B1433" i="3"/>
  <c r="H1433" i="3" s="1"/>
  <c r="T1435" i="3" l="1"/>
  <c r="S1435" i="3" s="1"/>
  <c r="AC1435" i="3" s="1"/>
  <c r="Q1435" i="3"/>
  <c r="C1435" i="3"/>
  <c r="R1433" i="3"/>
  <c r="W1433" i="3" s="1"/>
  <c r="D1436" i="3"/>
  <c r="B1434" i="3"/>
  <c r="H1434" i="3" s="1"/>
  <c r="Q1436" i="3" l="1"/>
  <c r="T1436" i="3"/>
  <c r="S1436" i="3" s="1"/>
  <c r="AC1436" i="3" s="1"/>
  <c r="C1436" i="3"/>
  <c r="R1434" i="3"/>
  <c r="W1434" i="3" s="1"/>
  <c r="D1437" i="3"/>
  <c r="B1435" i="3"/>
  <c r="H1435" i="3" s="1"/>
  <c r="Q1437" i="3" l="1"/>
  <c r="T1437" i="3"/>
  <c r="S1437" i="3" s="1"/>
  <c r="AC1437" i="3" s="1"/>
  <c r="C1437" i="3"/>
  <c r="R1435" i="3"/>
  <c r="W1435" i="3" s="1"/>
  <c r="E1438" i="3"/>
  <c r="D1438" i="3"/>
  <c r="B1436" i="3"/>
  <c r="H1436" i="3" s="1"/>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Q1441" i="3" l="1"/>
  <c r="T1441" i="3"/>
  <c r="S1441" i="3" s="1"/>
  <c r="AC1441" i="3" s="1"/>
  <c r="C1441" i="3"/>
  <c r="R1439" i="3"/>
  <c r="W1439" i="3" s="1"/>
  <c r="D1442" i="3"/>
  <c r="B1440" i="3"/>
  <c r="H1440" i="3" s="1"/>
  <c r="D1443" i="3" l="1"/>
  <c r="T1442" i="3"/>
  <c r="S1442" i="3" s="1"/>
  <c r="AC1442" i="3" s="1"/>
  <c r="Q1442" i="3"/>
  <c r="C1442" i="3"/>
  <c r="R1440" i="3"/>
  <c r="W1440" i="3" s="1"/>
  <c r="B1441" i="3"/>
  <c r="S1443" i="3" l="1"/>
  <c r="AC1443" i="3" s="1"/>
  <c r="D1444" i="3"/>
  <c r="B1442" i="3"/>
  <c r="C1443" i="3"/>
  <c r="H1441" i="3"/>
  <c r="R1441" i="3" s="1"/>
  <c r="W1441" i="3" s="1"/>
  <c r="Q1444" i="3" l="1"/>
  <c r="T1444" i="3"/>
  <c r="S1444" i="3" s="1"/>
  <c r="AC1444" i="3" s="1"/>
  <c r="D1445" i="3"/>
  <c r="B1443" i="3"/>
  <c r="C1444" i="3"/>
  <c r="C1445" i="3" s="1"/>
  <c r="H1442" i="3"/>
  <c r="D1446" i="3" l="1"/>
  <c r="C1446" i="3" s="1"/>
  <c r="S1445" i="3"/>
  <c r="AC1445" i="3" s="1"/>
  <c r="B1444" i="3"/>
  <c r="B1445" i="3" s="1"/>
  <c r="R1442" i="3"/>
  <c r="W1442" i="3" s="1"/>
  <c r="H1443" i="3"/>
  <c r="S1446" i="3" l="1"/>
  <c r="AC1446" i="3" s="1"/>
  <c r="D1447" i="3"/>
  <c r="B1446" i="3"/>
  <c r="H1444" i="3"/>
  <c r="R1443" i="3"/>
  <c r="W1443" i="3" s="1"/>
  <c r="S1447" i="3" l="1"/>
  <c r="AC1447" i="3" s="1"/>
  <c r="D1448" i="3"/>
  <c r="C1447" i="3"/>
  <c r="B1447" i="3" s="1"/>
  <c r="H1445" i="3"/>
  <c r="R1444" i="3"/>
  <c r="W1444" i="3" s="1"/>
  <c r="C1448" i="3" l="1"/>
  <c r="D1449" i="3"/>
  <c r="S1448" i="3"/>
  <c r="AC1448" i="3" s="1"/>
  <c r="H1446" i="3"/>
  <c r="R1445" i="3"/>
  <c r="W1445" i="3" s="1"/>
  <c r="C1449" i="3" l="1"/>
  <c r="B1448" i="3"/>
  <c r="B1449" i="3" s="1"/>
  <c r="S1449" i="3"/>
  <c r="AC1449" i="3" s="1"/>
  <c r="D1450" i="3"/>
  <c r="H1447" i="3"/>
  <c r="R1446" i="3"/>
  <c r="W1446" i="3" s="1"/>
  <c r="D1451" i="3" l="1"/>
  <c r="S1450" i="3"/>
  <c r="AC1450" i="3" s="1"/>
  <c r="C1450" i="3"/>
  <c r="B1450" i="3" s="1"/>
  <c r="R1447" i="3"/>
  <c r="W1447" i="3" s="1"/>
  <c r="H1448" i="3"/>
  <c r="D1452" i="3" l="1"/>
  <c r="S1451" i="3"/>
  <c r="AC1451" i="3" s="1"/>
  <c r="C1451" i="3"/>
  <c r="B1451" i="3" s="1"/>
  <c r="H1449" i="3"/>
  <c r="R1448" i="3"/>
  <c r="W1448" i="3" s="1"/>
  <c r="D1453" i="3" l="1"/>
  <c r="S1452" i="3"/>
  <c r="AC1452" i="3" s="1"/>
  <c r="C1452" i="3"/>
  <c r="B1452" i="3" s="1"/>
  <c r="R1449" i="3"/>
  <c r="W1449" i="3" s="1"/>
  <c r="H1450" i="3"/>
  <c r="S1453" i="3" l="1"/>
  <c r="AC1453" i="3" s="1"/>
  <c r="D1454" i="3"/>
  <c r="C1453" i="3"/>
  <c r="H1451" i="3"/>
  <c r="R1450" i="3"/>
  <c r="W1450" i="3" s="1"/>
  <c r="C1454" i="3" l="1"/>
  <c r="Q1454" i="3"/>
  <c r="T1454" i="3"/>
  <c r="S1454" i="3" s="1"/>
  <c r="AC1454" i="3" s="1"/>
  <c r="D1455" i="3"/>
  <c r="B1453" i="3"/>
  <c r="R1451" i="3"/>
  <c r="W1451" i="3" s="1"/>
  <c r="H1452" i="3"/>
  <c r="B1454" i="3" l="1"/>
  <c r="D1456" i="3"/>
  <c r="S1455" i="3"/>
  <c r="AC1455" i="3" s="1"/>
  <c r="C1455" i="3"/>
  <c r="R1452" i="3"/>
  <c r="W1452" i="3" s="1"/>
  <c r="H1453" i="3"/>
  <c r="B1455" i="3" l="1"/>
  <c r="D1457" i="3"/>
  <c r="S1456" i="3"/>
  <c r="AC1456" i="3" s="1"/>
  <c r="C1456" i="3"/>
  <c r="C1457" i="3" s="1"/>
  <c r="H1454" i="3"/>
  <c r="R1453" i="3"/>
  <c r="W1453" i="3" s="1"/>
  <c r="S1457" i="3" l="1"/>
  <c r="AC1457" i="3" s="1"/>
  <c r="D1458" i="3"/>
  <c r="B1456" i="3"/>
  <c r="B1457" i="3" s="1"/>
  <c r="R1454" i="3"/>
  <c r="W1454" i="3" s="1"/>
  <c r="H1455" i="3"/>
  <c r="S1458" i="3" l="1"/>
  <c r="AC1458" i="3" s="1"/>
  <c r="D1459" i="3"/>
  <c r="C1458" i="3"/>
  <c r="H1456" i="3"/>
  <c r="R1455" i="3"/>
  <c r="W1455" i="3" s="1"/>
  <c r="S1459" i="3" l="1"/>
  <c r="AC1459" i="3" s="1"/>
  <c r="D1460" i="3"/>
  <c r="C1459" i="3"/>
  <c r="B1458" i="3"/>
  <c r="H1457" i="3"/>
  <c r="R1456" i="3"/>
  <c r="W1456" i="3" s="1"/>
  <c r="C1460" i="3" l="1"/>
  <c r="S1460" i="3"/>
  <c r="AC1460" i="3" s="1"/>
  <c r="D1461" i="3"/>
  <c r="B1459" i="3"/>
  <c r="B1460" i="3" s="1"/>
  <c r="R1457" i="3"/>
  <c r="W1457" i="3" s="1"/>
  <c r="H1458" i="3"/>
  <c r="D1462" i="3" l="1"/>
  <c r="S1461" i="3"/>
  <c r="AC1461" i="3" s="1"/>
  <c r="C1461" i="3"/>
  <c r="R1458" i="3"/>
  <c r="W1458" i="3" s="1"/>
  <c r="H1459" i="3"/>
  <c r="B1461" i="3" l="1"/>
  <c r="S1462" i="3"/>
  <c r="AC1462" i="3" s="1"/>
  <c r="D1463" i="3"/>
  <c r="C1462" i="3"/>
  <c r="H1460" i="3"/>
  <c r="R1459" i="3"/>
  <c r="W1459" i="3" s="1"/>
  <c r="C1463" i="3" l="1"/>
  <c r="Q1463" i="3"/>
  <c r="S1463" i="3"/>
  <c r="AC1463" i="3" s="1"/>
  <c r="D1464" i="3"/>
  <c r="B1462" i="3"/>
  <c r="B1463" i="3" s="1"/>
  <c r="R1460" i="3"/>
  <c r="W1460" i="3" s="1"/>
  <c r="H1461" i="3"/>
  <c r="D1465" i="3" l="1"/>
  <c r="S1464" i="3"/>
  <c r="AC1464" i="3" s="1"/>
  <c r="C1464" i="3"/>
  <c r="H1462" i="3"/>
  <c r="R1461" i="3"/>
  <c r="W1461" i="3" s="1"/>
  <c r="B1464" i="3" l="1"/>
  <c r="S1465" i="3"/>
  <c r="AC1465" i="3" s="1"/>
  <c r="D1466" i="3"/>
  <c r="C1465" i="3"/>
  <c r="H1463" i="3"/>
  <c r="R1462" i="3"/>
  <c r="W1462" i="3" s="1"/>
  <c r="S1466" i="3" l="1"/>
  <c r="AC1466" i="3" s="1"/>
  <c r="D1467" i="3"/>
  <c r="C1466" i="3"/>
  <c r="B1465" i="3"/>
  <c r="R1463" i="3"/>
  <c r="W1463" i="3" s="1"/>
  <c r="H1464" i="3"/>
  <c r="B1466" i="3" l="1"/>
  <c r="D1468" i="3"/>
  <c r="S1467" i="3"/>
  <c r="AC1467" i="3" s="1"/>
  <c r="C1467" i="3"/>
  <c r="R1464" i="3"/>
  <c r="W1464" i="3" s="1"/>
  <c r="H1465" i="3"/>
  <c r="S1468" i="3" l="1"/>
  <c r="AC1468" i="3" s="1"/>
  <c r="D1469" i="3"/>
  <c r="C1468" i="3"/>
  <c r="B1467" i="3"/>
  <c r="H1466" i="3"/>
  <c r="R1465" i="3"/>
  <c r="W1465" i="3" s="1"/>
  <c r="C1469" i="3" l="1"/>
  <c r="Q1469" i="3"/>
  <c r="S1469" i="3"/>
  <c r="AC1469" i="3" s="1"/>
  <c r="D1470" i="3"/>
  <c r="B1468" i="3"/>
  <c r="B1469" i="3" s="1"/>
  <c r="R1466" i="3"/>
  <c r="W1466" i="3" s="1"/>
  <c r="H1467" i="3"/>
  <c r="Q1470" i="3" l="1"/>
  <c r="T1470" i="3"/>
  <c r="S1470" i="3" s="1"/>
  <c r="AC1470" i="3" s="1"/>
  <c r="D1471" i="3"/>
  <c r="C1470" i="3"/>
  <c r="B1470" i="3" s="1"/>
  <c r="H1468" i="3"/>
  <c r="R1467" i="3"/>
  <c r="W1467" i="3" s="1"/>
  <c r="S1471" i="3" l="1"/>
  <c r="AC1471" i="3" s="1"/>
  <c r="D1472" i="3"/>
  <c r="C1471" i="3"/>
  <c r="H1469" i="3"/>
  <c r="R1468" i="3"/>
  <c r="W1468" i="3" s="1"/>
  <c r="C1472" i="3" l="1"/>
  <c r="S1472" i="3"/>
  <c r="AC1472" i="3" s="1"/>
  <c r="D1473" i="3"/>
  <c r="B1471" i="3"/>
  <c r="B1472" i="3" s="1"/>
  <c r="R1469" i="3"/>
  <c r="W1469" i="3" s="1"/>
  <c r="H1470" i="3"/>
  <c r="Q1473" i="3" l="1"/>
  <c r="T1473" i="3"/>
  <c r="S1473" i="3" s="1"/>
  <c r="AC1473" i="3" s="1"/>
  <c r="D1474" i="3"/>
  <c r="C1473" i="3"/>
  <c r="B1473" i="3" s="1"/>
  <c r="H1471" i="3"/>
  <c r="R1470" i="3"/>
  <c r="W1470" i="3" s="1"/>
  <c r="S1474" i="3" l="1"/>
  <c r="AC1474" i="3" s="1"/>
  <c r="D1475" i="3"/>
  <c r="C1474" i="3"/>
  <c r="H1472" i="3"/>
  <c r="R1471" i="3"/>
  <c r="W1471" i="3" s="1"/>
  <c r="B1474" i="3" l="1"/>
  <c r="T1475" i="3"/>
  <c r="S1475" i="3" s="1"/>
  <c r="AC1475" i="3" s="1"/>
  <c r="Q1475" i="3"/>
  <c r="D1476" i="3"/>
  <c r="C1475" i="3"/>
  <c r="R1472" i="3"/>
  <c r="W1472" i="3" s="1"/>
  <c r="H1473" i="3"/>
  <c r="D1477" i="3" l="1"/>
  <c r="S1476" i="3"/>
  <c r="AC1476" i="3" s="1"/>
  <c r="C1476" i="3"/>
  <c r="B1475" i="3"/>
  <c r="H1474" i="3"/>
  <c r="R1473" i="3"/>
  <c r="W1473" i="3" s="1"/>
  <c r="S1477" i="3" l="1"/>
  <c r="AC1477" i="3" s="1"/>
  <c r="D1478" i="3"/>
  <c r="C1477" i="3"/>
  <c r="C1478" i="3" s="1"/>
  <c r="B1476" i="3"/>
  <c r="H1475" i="3"/>
  <c r="R1474" i="3"/>
  <c r="W1474" i="3" s="1"/>
  <c r="S1478" i="3" l="1"/>
  <c r="AC1478" i="3" s="1"/>
  <c r="D1479" i="3"/>
  <c r="B1477" i="3"/>
  <c r="B1478" i="3" s="1"/>
  <c r="H1476" i="3"/>
  <c r="R1475" i="3"/>
  <c r="W1475" i="3" s="1"/>
  <c r="T1479" i="3" l="1"/>
  <c r="S1479" i="3" s="1"/>
  <c r="AC1479" i="3" s="1"/>
  <c r="Q1479" i="3"/>
  <c r="D1480" i="3"/>
  <c r="C1479" i="3"/>
  <c r="R1476" i="3"/>
  <c r="W1476" i="3" s="1"/>
  <c r="H1477" i="3"/>
  <c r="B1479" i="3" l="1"/>
  <c r="S1480" i="3"/>
  <c r="AC1480" i="3" s="1"/>
  <c r="D1481" i="3"/>
  <c r="C1480" i="3"/>
  <c r="H1478" i="3"/>
  <c r="R1477" i="3"/>
  <c r="W1477" i="3" s="1"/>
  <c r="C1481" i="3" l="1"/>
  <c r="S1481" i="3"/>
  <c r="AC1481" i="3" s="1"/>
  <c r="D1482" i="3"/>
  <c r="B1480" i="3"/>
  <c r="B1481" i="3" s="1"/>
  <c r="H1479" i="3"/>
  <c r="R1478" i="3"/>
  <c r="W1478" i="3" s="1"/>
  <c r="D1483" i="3" l="1"/>
  <c r="S1482" i="3"/>
  <c r="AC1482" i="3" s="1"/>
  <c r="C1482" i="3"/>
  <c r="B1482" i="3" s="1"/>
  <c r="H1480" i="3"/>
  <c r="R1479" i="3"/>
  <c r="W1479" i="3" s="1"/>
  <c r="S1483" i="3" l="1"/>
  <c r="AC1483" i="3" s="1"/>
  <c r="D1484" i="3"/>
  <c r="C1483" i="3"/>
  <c r="C1484" i="3" s="1"/>
  <c r="H1481" i="3"/>
  <c r="R1480" i="3"/>
  <c r="W1480" i="3" s="1"/>
  <c r="T1484" i="3" l="1"/>
  <c r="S1484" i="3" s="1"/>
  <c r="AC1484" i="3" s="1"/>
  <c r="Q1484" i="3"/>
  <c r="D1485" i="3"/>
  <c r="B1483" i="3"/>
  <c r="B1484" i="3" s="1"/>
  <c r="R1481" i="3"/>
  <c r="W1481" i="3" s="1"/>
  <c r="H1482" i="3"/>
  <c r="S1485" i="3" l="1"/>
  <c r="AC1485" i="3" s="1"/>
  <c r="D1486" i="3"/>
  <c r="C1485" i="3"/>
  <c r="H1483" i="3"/>
  <c r="R1482" i="3"/>
  <c r="W1482" i="3" s="1"/>
  <c r="S1486" i="3" l="1"/>
  <c r="AC1486" i="3" s="1"/>
  <c r="D1487" i="3"/>
  <c r="C1486" i="3"/>
  <c r="C1487" i="3" s="1"/>
  <c r="B1485" i="3"/>
  <c r="H1484" i="3"/>
  <c r="R1483" i="3"/>
  <c r="W1483" i="3" s="1"/>
  <c r="S1487" i="3" l="1"/>
  <c r="AC1487" i="3" s="1"/>
  <c r="D1488" i="3"/>
  <c r="B1486" i="3"/>
  <c r="B1487" i="3" s="1"/>
  <c r="R1484" i="3"/>
  <c r="W1484" i="3" s="1"/>
  <c r="H1485" i="3"/>
  <c r="D1489" i="3" l="1"/>
  <c r="S1488" i="3"/>
  <c r="AC1488" i="3" s="1"/>
  <c r="C1488" i="3"/>
  <c r="B1488" i="3" s="1"/>
  <c r="H1486" i="3"/>
  <c r="R1485" i="3"/>
  <c r="W1485" i="3" s="1"/>
  <c r="S1489" i="3" l="1"/>
  <c r="AC1489" i="3" s="1"/>
  <c r="D1490" i="3"/>
  <c r="C1489" i="3"/>
  <c r="H1487" i="3"/>
  <c r="R1486" i="3"/>
  <c r="W1486" i="3" s="1"/>
  <c r="B1489" i="3" l="1"/>
  <c r="Q1490" i="3"/>
  <c r="T1490" i="3"/>
  <c r="S1490" i="3" s="1"/>
  <c r="AC1490" i="3" s="1"/>
  <c r="D1491" i="3"/>
  <c r="C1490" i="3"/>
  <c r="R1487" i="3"/>
  <c r="W1487" i="3" s="1"/>
  <c r="H1488" i="3"/>
  <c r="C1491" i="3" l="1"/>
  <c r="S1491" i="3"/>
  <c r="AC1491" i="3" s="1"/>
  <c r="D1492" i="3"/>
  <c r="B1490" i="3"/>
  <c r="H1489" i="3"/>
  <c r="R1488" i="3"/>
  <c r="W1488" i="3" s="1"/>
  <c r="B1491" i="3" l="1"/>
  <c r="D1493" i="3"/>
  <c r="S1492" i="3"/>
  <c r="AC1492" i="3" s="1"/>
  <c r="C1492" i="3"/>
  <c r="R1489" i="3"/>
  <c r="W1489" i="3" s="1"/>
  <c r="H1490" i="3"/>
  <c r="C1493" i="3" l="1"/>
  <c r="B1492" i="3"/>
  <c r="D1494" i="3"/>
  <c r="S1493" i="3"/>
  <c r="AC1493" i="3" s="1"/>
  <c r="H1491" i="3"/>
  <c r="R1490" i="3"/>
  <c r="W1490" i="3" s="1"/>
  <c r="B1493" i="3" l="1"/>
  <c r="D1495" i="3"/>
  <c r="S1494" i="3"/>
  <c r="AC1494" i="3" s="1"/>
  <c r="C1494" i="3"/>
  <c r="B1494" i="3" s="1"/>
  <c r="R1491" i="3"/>
  <c r="W1491" i="3" s="1"/>
  <c r="H1492" i="3"/>
  <c r="S1495" i="3" l="1"/>
  <c r="AC1495" i="3" s="1"/>
  <c r="D1496" i="3"/>
  <c r="C1495" i="3"/>
  <c r="R1492" i="3"/>
  <c r="W1492" i="3" s="1"/>
  <c r="H1493" i="3"/>
  <c r="C1496" i="3" l="1"/>
  <c r="S1496" i="3"/>
  <c r="AC1496" i="3" s="1"/>
  <c r="D1497" i="3"/>
  <c r="B1495" i="3"/>
  <c r="B1496" i="3" s="1"/>
  <c r="R1493" i="3"/>
  <c r="W1493" i="3" s="1"/>
  <c r="H1494" i="3"/>
  <c r="D1498" i="3" l="1"/>
  <c r="S1497" i="3"/>
  <c r="AC1497" i="3" s="1"/>
  <c r="C1497" i="3"/>
  <c r="H1495" i="3"/>
  <c r="R1494" i="3"/>
  <c r="W1494" i="3" s="1"/>
  <c r="Q1498" i="3" l="1"/>
  <c r="T1498" i="3"/>
  <c r="S1498" i="3" s="1"/>
  <c r="AC1498" i="3" s="1"/>
  <c r="D1499" i="3"/>
  <c r="C1498" i="3"/>
  <c r="B1497" i="3"/>
  <c r="H1496" i="3"/>
  <c r="R1495" i="3"/>
  <c r="W1495" i="3" s="1"/>
  <c r="C1499" i="3" l="1"/>
  <c r="T1499" i="3"/>
  <c r="S1499" i="3" s="1"/>
  <c r="AC1499" i="3" s="1"/>
  <c r="Q1499" i="3"/>
  <c r="D1500" i="3"/>
  <c r="B1498" i="3"/>
  <c r="B1499" i="3" s="1"/>
  <c r="R1496" i="3"/>
  <c r="W1496" i="3" s="1"/>
  <c r="H1497" i="3"/>
  <c r="D1501" i="3" l="1"/>
  <c r="S1500" i="3"/>
  <c r="AC1500" i="3" s="1"/>
  <c r="C1500" i="3"/>
  <c r="H1498" i="3"/>
  <c r="R1497" i="3"/>
  <c r="W1497" i="3" s="1"/>
  <c r="B1500" i="3" l="1"/>
  <c r="S1501" i="3"/>
  <c r="AC1501" i="3" s="1"/>
  <c r="D1502" i="3"/>
  <c r="C1501" i="3"/>
  <c r="H1499" i="3"/>
  <c r="R1498" i="3"/>
  <c r="W1498" i="3" s="1"/>
  <c r="C1502" i="3" l="1"/>
  <c r="D1503" i="3"/>
  <c r="S1502" i="3"/>
  <c r="AC1502" i="3" s="1"/>
  <c r="B1501" i="3"/>
  <c r="B1502" i="3" s="1"/>
  <c r="R1499" i="3"/>
  <c r="W1499" i="3" s="1"/>
  <c r="H1500" i="3"/>
  <c r="C1503" i="3" l="1"/>
  <c r="B1503" i="3" s="1"/>
  <c r="S1503" i="3"/>
  <c r="AC1503" i="3" s="1"/>
  <c r="H1501" i="3"/>
  <c r="R1500" i="3"/>
  <c r="W1500" i="3" s="1"/>
  <c r="R1501" i="3" l="1"/>
  <c r="W1501" i="3" s="1"/>
  <c r="H1502" i="3"/>
  <c r="R1502" i="3" l="1"/>
  <c r="W1502" i="3" s="1"/>
  <c r="H1503" i="3"/>
  <c r="R1503" i="3" s="1"/>
  <c r="W150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<sst xmlns="http://schemas.openxmlformats.org/spreadsheetml/2006/main" count="1145" uniqueCount="267">
  <si>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</si>
  <si>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</si>
  <si>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</si>
  <si>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</si>
  <si>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</si>
  <si>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</si>
  <si>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</si>
  <si>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</si>
  <si>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</si>
  <si>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</si>
  <si>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</si>
  <si>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</si>
  <si>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</si>
  <si>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</si>
  <si>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</si>
  <si>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</si>
  <si>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</si>
  <si>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</si>
  <si>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</si>
  <si>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</si>
  <si>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</si>
  <si>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</si>
  <si>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</si>
  <si>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</si>
  <si>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</si>
  <si>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</si>
  <si>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</si>
  <si>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</si>
  <si>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</si>
  <si>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</si>
  <si>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</si>
  <si>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</si>
  <si>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</si>
  <si>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</si>
  <si>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</si>
  <si>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</si>
  <si>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</si>
  <si>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</si>
  <si>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</si>
  <si>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</si>
  <si>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</si>
  <si>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</si>
  <si>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</si>
  <si>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</si>
  <si>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</si>
  <si>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</si>
  <si>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</si>
  <si>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</si>
  <si>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</si>
  <si>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</si>
  <si>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</si>
  <si>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</si>
  <si>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</si>
  <si>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</si>
  <si>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</si>
  <si>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</si>
  <si>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</si>
  <si>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Hypericum</t>
  </si>
  <si>
    <t>revolutum</t>
  </si>
  <si>
    <t>unknown</t>
  </si>
  <si>
    <t xml:space="preserve">moves round the petals and out </t>
  </si>
  <si>
    <t>fly</t>
  </si>
  <si>
    <t xml:space="preserve">around the petals </t>
  </si>
  <si>
    <t xml:space="preserve">around the petals and base for a while </t>
  </si>
  <si>
    <t xml:space="preserve">around the petals and the base of flower </t>
  </si>
  <si>
    <t>around the petals and the base</t>
  </si>
  <si>
    <t>unknown tiny isect</t>
  </si>
  <si>
    <t xml:space="preserve">on petals and out through the sepals </t>
  </si>
  <si>
    <t xml:space="preserve">on petals </t>
  </si>
  <si>
    <t>bee</t>
  </si>
  <si>
    <t>around the petals with focus on the base</t>
  </si>
  <si>
    <t>touches the petals and leaves</t>
  </si>
  <si>
    <t xml:space="preserve">around the petals with focus on the centre </t>
  </si>
  <si>
    <t xml:space="preserve">on petals and leaves </t>
  </si>
  <si>
    <t>tiny unknown insect</t>
  </si>
  <si>
    <t xml:space="preserve">on the petals and out </t>
  </si>
  <si>
    <t xml:space="preserve">on the centre and out </t>
  </si>
  <si>
    <t>from front to back on petals and flies away</t>
  </si>
  <si>
    <t>around the petals and the centre</t>
  </si>
  <si>
    <t>on centre of both flowers and flies away</t>
  </si>
  <si>
    <t xml:space="preserve">moves from petals to centre </t>
  </si>
  <si>
    <t>on the centre and out</t>
  </si>
  <si>
    <t xml:space="preserve">unknown </t>
  </si>
  <si>
    <t xml:space="preserve">around the petals and the base </t>
  </si>
  <si>
    <t>on petals and out</t>
  </si>
  <si>
    <t xml:space="preserve">climbs through the back of petals and moves across it </t>
  </si>
  <si>
    <t xml:space="preserve">stays at the centre for a while and flies away </t>
  </si>
  <si>
    <t xml:space="preserve">focuse on the centre of both flowers </t>
  </si>
  <si>
    <t>climbs through back of petals to the centre and flies away</t>
  </si>
  <si>
    <t xml:space="preserve">climbs through the back of the petals and moves around the edge </t>
  </si>
  <si>
    <t xml:space="preserve">goes to the base and moves around petals </t>
  </si>
  <si>
    <t xml:space="preserve">goes round the petals and centre </t>
  </si>
  <si>
    <t xml:space="preserve">around the centre of both flowers </t>
  </si>
  <si>
    <t xml:space="preserve">focuses on the centre of both flowers </t>
  </si>
  <si>
    <t xml:space="preserve">moves around the centre of flower </t>
  </si>
  <si>
    <t xml:space="preserve">moves around the centre </t>
  </si>
  <si>
    <t xml:space="preserve">moves around the petals to the base and flies out </t>
  </si>
  <si>
    <t>climbs through back of petals to the centre</t>
  </si>
  <si>
    <t xml:space="preserve">on petals and out </t>
  </si>
  <si>
    <t>moves around petals and centre and flies away</t>
  </si>
  <si>
    <t xml:space="preserve">on the petals and the base </t>
  </si>
  <si>
    <t xml:space="preserve">goes directly to the centre of flower </t>
  </si>
  <si>
    <t xml:space="preserve">on petals and centre </t>
  </si>
  <si>
    <t>on the petals and flies away</t>
  </si>
  <si>
    <t xml:space="preserve">around the petals and the centre </t>
  </si>
  <si>
    <t xml:space="preserve">lands and focuses on the centre of both flowers </t>
  </si>
  <si>
    <t>on the centres</t>
  </si>
  <si>
    <t xml:space="preserve">on the centre of flower </t>
  </si>
  <si>
    <t xml:space="preserve">on the centre </t>
  </si>
  <si>
    <t xml:space="preserve">moves to the base and petals </t>
  </si>
  <si>
    <t xml:space="preserve">touches the petals and moves out </t>
  </si>
  <si>
    <t xml:space="preserve">round the petals and centre </t>
  </si>
  <si>
    <t xml:space="preserve">around the petals and centre </t>
  </si>
  <si>
    <t xml:space="preserve">around the petals and flies away </t>
  </si>
  <si>
    <t xml:space="preserve">goes from the petals to the base of flower </t>
  </si>
  <si>
    <t xml:space="preserve">around the petals and moves to the base </t>
  </si>
  <si>
    <t xml:space="preserve">moth </t>
  </si>
  <si>
    <t xml:space="preserve">from petals it goes round the centre </t>
  </si>
  <si>
    <t xml:space="preserve">around petals and the centre </t>
  </si>
  <si>
    <t xml:space="preserve">on centre </t>
  </si>
  <si>
    <t xml:space="preserve">on centre and leaves </t>
  </si>
  <si>
    <t xml:space="preserve">on centre and out </t>
  </si>
  <si>
    <t xml:space="preserve">on the centre and leaves </t>
  </si>
  <si>
    <t xml:space="preserve">on petals sepal and centre </t>
  </si>
  <si>
    <t xml:space="preserve">touches petal and leaves </t>
  </si>
  <si>
    <t xml:space="preserve">touches the centre and leaves </t>
  </si>
  <si>
    <t xml:space="preserve">on the petals and goes around centre </t>
  </si>
  <si>
    <t xml:space="preserve">around the centre </t>
  </si>
  <si>
    <t xml:space="preserve">giant unknown insect </t>
  </si>
  <si>
    <t>around the centres and flies away</t>
  </si>
  <si>
    <t xml:space="preserve">focuses on the centre and leaves </t>
  </si>
  <si>
    <t xml:space="preserve">around the centre and leaves </t>
  </si>
  <si>
    <t xml:space="preserve">focuses around the centre </t>
  </si>
  <si>
    <t xml:space="preserve">focuses on the centre of both and flies away </t>
  </si>
  <si>
    <t xml:space="preserve">moves around back and front of petals and goes away </t>
  </si>
  <si>
    <t xml:space="preserve">focuses on the centre of each </t>
  </si>
  <si>
    <t xml:space="preserve">climbs through the back of petals and goes down </t>
  </si>
  <si>
    <t xml:space="preserve">focuses on the centre and and flies away </t>
  </si>
  <si>
    <t>goes round the sepal and leaves at the arrival of a moth</t>
  </si>
  <si>
    <t xml:space="preserve">climbs to the petals, moves to the centre and out </t>
  </si>
  <si>
    <t xml:space="preserve">touches the petals and crosses over </t>
  </si>
  <si>
    <t xml:space="preserve">on sepal and chased away </t>
  </si>
  <si>
    <t xml:space="preserve">goes around petals </t>
  </si>
  <si>
    <t xml:space="preserve">moves around petals and down through sepal </t>
  </si>
  <si>
    <t xml:space="preserve">around petals and base </t>
  </si>
  <si>
    <t>moth</t>
  </si>
  <si>
    <t xml:space="preserve">focuses around the back of the petals , centre and out </t>
  </si>
  <si>
    <t xml:space="preserve">on petals and flies away </t>
  </si>
  <si>
    <t xml:space="preserve">moves to the back of petals and goes down </t>
  </si>
  <si>
    <t xml:space="preserve">enters through the sepal and moves round the back of flower </t>
  </si>
  <si>
    <t xml:space="preserve">around petals and centre of both flowers </t>
  </si>
  <si>
    <t xml:space="preserve">around the centre and petals </t>
  </si>
  <si>
    <t>around petals and centre</t>
  </si>
  <si>
    <t xml:space="preserve">climbs through the sepal, moves around centre and goes away </t>
  </si>
  <si>
    <t xml:space="preserve">moves on centre and leaves </t>
  </si>
  <si>
    <t xml:space="preserve">climbs through sepal to the petals and out </t>
  </si>
  <si>
    <t xml:space="preserve">around petals and centre </t>
  </si>
  <si>
    <t xml:space="preserve">moves from sepal to petals and goes around the centre </t>
  </si>
  <si>
    <t xml:space="preserve">on petals, round the sepal and centre </t>
  </si>
  <si>
    <t xml:space="preserve">tiny unknown insect </t>
  </si>
  <si>
    <t>moves around the petals and centre</t>
  </si>
  <si>
    <t>touches petals and leaves immediately to another branch</t>
  </si>
  <si>
    <t>on the centre</t>
  </si>
  <si>
    <t xml:space="preserve">touches petals and leaves </t>
  </si>
  <si>
    <t xml:space="preserve">drops and goes around centre of flower </t>
  </si>
  <si>
    <t xml:space="preserve">on the petals and goes down </t>
  </si>
  <si>
    <t>blue bird</t>
  </si>
  <si>
    <t xml:space="preserve">touches the centre with the beak and flies away </t>
  </si>
  <si>
    <t>from petals to the base and flies away</t>
  </si>
  <si>
    <t xml:space="preserve">from back of the petals and goes around the centre </t>
  </si>
  <si>
    <t xml:space="preserve">on the petals and crosses over to the next branch </t>
  </si>
  <si>
    <t xml:space="preserve">from back to the front of petals and chased away </t>
  </si>
  <si>
    <t xml:space="preserve">moves around petals and centre </t>
  </si>
  <si>
    <t xml:space="preserve">around the base and out </t>
  </si>
  <si>
    <t xml:space="preserve">touches the centre with beak once and flies away </t>
  </si>
  <si>
    <t xml:space="preserve">on petals and goes down through the sepal </t>
  </si>
  <si>
    <t>stays on the petals for a while and flies away</t>
  </si>
  <si>
    <t xml:space="preserve">to the centre </t>
  </si>
  <si>
    <t>from petals to the centre and out through the back</t>
  </si>
  <si>
    <t xml:space="preserve">around petals and centre and moves away </t>
  </si>
  <si>
    <t>moves to the centre of both flower</t>
  </si>
  <si>
    <t xml:space="preserve">stays around the petals and goes out </t>
  </si>
  <si>
    <t xml:space="preserve">around petals and moves to the centre </t>
  </si>
  <si>
    <t>moves around petals and centre and goes down through the sepal</t>
  </si>
  <si>
    <t xml:space="preserve">arrives on petals and leaves </t>
  </si>
  <si>
    <t>on the petals and base</t>
  </si>
  <si>
    <t xml:space="preserve">on the centre of flower and out </t>
  </si>
  <si>
    <t>from petals to the centre and goes behind the flower</t>
  </si>
  <si>
    <t>moves to centre and stays for sometime</t>
  </si>
  <si>
    <t>around petals and base</t>
  </si>
  <si>
    <t>around petals and moves to the base</t>
  </si>
  <si>
    <t xml:space="preserve">around the petals, on base and out </t>
  </si>
  <si>
    <t>on the petals and the base</t>
  </si>
  <si>
    <t>around the petals and the centre of flower</t>
  </si>
  <si>
    <t xml:space="preserve">petals to base </t>
  </si>
  <si>
    <t>from petals to base of flower</t>
  </si>
  <si>
    <t>on petals and round the centre</t>
  </si>
  <si>
    <t>moves round the base</t>
  </si>
  <si>
    <t>climbs through sepal and moves around the base</t>
  </si>
  <si>
    <t>from back of petals to the centre</t>
  </si>
  <si>
    <t xml:space="preserve">on petals and flies from out behind </t>
  </si>
  <si>
    <t xml:space="preserve">climbs through back of petals and stays for sometime </t>
  </si>
  <si>
    <t>from petals to back f flower</t>
  </si>
  <si>
    <t xml:space="preserve">around the centre and out </t>
  </si>
  <si>
    <t xml:space="preserve">moves around the base and petals </t>
  </si>
  <si>
    <t xml:space="preserve">touches the petals and leaves </t>
  </si>
  <si>
    <t>around the petals and base for a while and flies away</t>
  </si>
  <si>
    <t xml:space="preserve">on the front and back of petals </t>
  </si>
  <si>
    <t>on petals and the base</t>
  </si>
  <si>
    <t xml:space="preserve">moves to the base and out </t>
  </si>
  <si>
    <t>around petals and centre and flies away</t>
  </si>
  <si>
    <t xml:space="preserve">on petals base and out </t>
  </si>
  <si>
    <t xml:space="preserve">moves round petals centre and flies away </t>
  </si>
  <si>
    <t>goes round petals and enters into the base before flyng away</t>
  </si>
  <si>
    <t xml:space="preserve">climbs through the back of petal and focuses on the centre of both </t>
  </si>
  <si>
    <t xml:space="preserve">on petals and enters into the base for a while </t>
  </si>
  <si>
    <t>from petals to base and chased by a bee</t>
  </si>
  <si>
    <t xml:space="preserve">moves around petals with focus on the centre </t>
  </si>
  <si>
    <t>moves to the base and flies away</t>
  </si>
  <si>
    <t>from petals to the centre and out</t>
  </si>
  <si>
    <t>around the petals and base</t>
  </si>
  <si>
    <t xml:space="preserve">around the petals and base </t>
  </si>
  <si>
    <t xml:space="preserve">on petal and out </t>
  </si>
  <si>
    <t xml:space="preserve">around petals , base and flies away </t>
  </si>
  <si>
    <t xml:space="preserve">around centre and petals </t>
  </si>
  <si>
    <t xml:space="preserve">from petals to the base and out </t>
  </si>
  <si>
    <t>aroundthe petals and the centre</t>
  </si>
  <si>
    <t xml:space="preserve">from petals down to the sepal and out </t>
  </si>
  <si>
    <t xml:space="preserve">enters in to the centre and stays till end of recording </t>
  </si>
  <si>
    <t>touches the petals, leaves and come back around the base</t>
  </si>
  <si>
    <t>on centre, petals and flies awat</t>
  </si>
  <si>
    <t xml:space="preserve">moves around the petals </t>
  </si>
  <si>
    <t xml:space="preserve">on petals , base and out </t>
  </si>
  <si>
    <t>around the petals and flies qway at the arrival of a bird</t>
  </si>
  <si>
    <t>on petals, base and flies away</t>
  </si>
  <si>
    <t>Morphospecies</t>
  </si>
  <si>
    <t>small Diptera</t>
  </si>
  <si>
    <t>Grey fly with dots</t>
  </si>
  <si>
    <t>small Hymenoptera</t>
  </si>
  <si>
    <t>Melanostoma</t>
  </si>
  <si>
    <t>Brachycera</t>
  </si>
  <si>
    <t>Apis melifera</t>
  </si>
  <si>
    <t>unidentified</t>
  </si>
  <si>
    <t>Nematocera</t>
  </si>
  <si>
    <t>leafhopper</t>
  </si>
  <si>
    <t>Hippotion sp.</t>
  </si>
  <si>
    <t>Ichneumonidae</t>
  </si>
  <si>
    <t>nothing there?</t>
  </si>
  <si>
    <t>Hippotion celerio</t>
  </si>
  <si>
    <t>Apoidea</t>
  </si>
  <si>
    <t>Episyrphus</t>
  </si>
  <si>
    <t>small beetle</t>
  </si>
  <si>
    <t>yes</t>
  </si>
  <si>
    <t>Hymenoptera</t>
  </si>
  <si>
    <t>Diptera</t>
  </si>
  <si>
    <t>Lepidoptera</t>
  </si>
  <si>
    <t>Hemiptera</t>
  </si>
  <si>
    <t>Coleoptera</t>
  </si>
  <si>
    <t>JH/SD IDs</t>
  </si>
  <si>
    <t>Noctuidae sp.07</t>
  </si>
  <si>
    <t>Noctuidae sp.14</t>
  </si>
  <si>
    <t>Noctuidae sp.04</t>
  </si>
  <si>
    <t>Noctuidae sp.26</t>
  </si>
  <si>
    <t>Noctuidae sp.41</t>
  </si>
  <si>
    <t>Unknown</t>
  </si>
  <si>
    <t>Cinnyris reichenowi</t>
  </si>
  <si>
    <t>Nectariniidae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</si>
</sst>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0" fillId="18" borderId="0" xfId="0" applyFill="1"/>
    <xf numFmtId="166" fontId="0" fillId="18"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38">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7" dataDxfId="35" headerRowBorderDxfId="36" tableBorderDxfId="34">
  <autoFilter ref="A1:G13" xr:uid="{00000000-0009-0000-0100-000001000000}"/>
  <tableColumns count="7">
    <tableColumn id="1" xr3:uid="{00000000-0010-0000-0000-000001000000}" name="INSECT ORDER" dataDxfId="33"/>
    <tableColumn id="2" xr3:uid="{00000000-0010-0000-0000-000002000000}" name="NAME USED" dataDxfId="32"/>
    <tableColumn id="3" xr3:uid="{00000000-0010-0000-0000-000003000000}" name="PICTURE 1" dataDxfId="31"/>
    <tableColumn id="4" xr3:uid="{00000000-0010-0000-0000-000004000000}" name="PICTURE 2" dataDxfId="30"/>
    <tableColumn id="5" xr3:uid="{00000000-0010-0000-0000-000005000000}" name="PICTURE 3" dataDxfId="29"/>
    <tableColumn id="6" xr3:uid="{00000000-0010-0000-0000-000006000000}" name="RECORDINGS" dataDxfId="28"/>
    <tableColumn id="7" xr3:uid="{00000000-0010-0000-0000-000007000000}" name="DESCRIPTION" dataDxfId="2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03"/>
  <sheetViews>
    <sheetView tabSelected="1" zoomScale="85" zoomScaleNormal="85" workbookViewId="0">
      <pane xSplit="6" ySplit="2" topLeftCell="O1065" activePane="bottomRight" state="frozen"/>
      <selection pane="topRight" activeCell="G1" sqref="G1"/>
      <selection pane="bottomLeft" activeCell="A3" sqref="A3"/>
      <selection pane="bottomRight" activeCell="Y1100" sqref="Y1100:Z1100"/>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6"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7"/>
      <c r="AV1" s="8"/>
      <c r="AW1" s="134" t="s">
        <v>15</v>
      </c>
      <c r="AX1" s="135"/>
      <c r="AY1" s="135"/>
      <c r="AZ1" s="135"/>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8" t="s">
        <v>28</v>
      </c>
      <c r="N2" s="128"/>
      <c r="O2" s="17" t="s">
        <v>29</v>
      </c>
      <c r="P2" s="18" t="s">
        <v>30</v>
      </c>
      <c r="Q2" s="19" t="s">
        <v>31</v>
      </c>
      <c r="R2" s="20" t="s">
        <v>32</v>
      </c>
      <c r="S2" s="20" t="s">
        <v>33</v>
      </c>
      <c r="T2" s="129" t="s">
        <v>34</v>
      </c>
      <c r="U2" s="130"/>
      <c r="V2" s="131"/>
      <c r="W2" s="21" t="s">
        <v>35</v>
      </c>
      <c r="X2" s="20" t="s">
        <v>36</v>
      </c>
      <c r="Y2" s="123" t="s">
        <v>258</v>
      </c>
      <c r="Z2" s="123" t="s">
        <v>235</v>
      </c>
      <c r="AA2" s="20" t="s">
        <v>37</v>
      </c>
      <c r="AB2" s="20" t="s">
        <v>38</v>
      </c>
      <c r="AC2" s="22"/>
      <c r="AD2" s="132" t="s">
        <v>39</v>
      </c>
      <c r="AE2" s="133"/>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14</v>
      </c>
      <c r="D3" s="34">
        <v>14</v>
      </c>
      <c r="E3" s="35">
        <v>11</v>
      </c>
      <c r="F3" s="36"/>
      <c r="G3" s="37"/>
      <c r="H3" s="38" t="str">
        <f>CONCATENATE(LEFT(J3,3),LEFT(K3,3),L3,"_",A3,TEXT(MONTH(DATEVALUE(B3&amp;" 1")),"00"),TEXT(IF(AND(E3&lt;G3, D3=0), C3-1, C3),"00"),"_",TEXT(IF(E3&lt;G3, IF(D3-1=-1, 23, D3-1), D3), "00"),"_",TEXT(G3,"00"))</f>
        <v>Hyprev7_20211114_14_00</v>
      </c>
      <c r="I3" s="39">
        <v>1</v>
      </c>
      <c r="J3" s="40" t="s">
        <v>57</v>
      </c>
      <c r="K3" s="41" t="s">
        <v>58</v>
      </c>
      <c r="L3" s="42">
        <v>7</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v>
      </c>
      <c r="C4" s="63">
        <f>IF(AND(D4=0, E4=0), IF(TEXT(C3,"dd")=TEXT(EOMONTH(DATE(A3,MONTH(DATEVALUE(B3&amp;"1")),C3),0), "dd"), 1, C3+1), C3)</f>
        <v>14</v>
      </c>
      <c r="D4" s="64">
        <f t="shared" ref="D4:D67" si="7">IF(IF(E3=59,D3+1,D3)=24,0,IF(E3=59,D3+1,D3))</f>
        <v>14</v>
      </c>
      <c r="E4" s="65">
        <f t="shared" ref="E4:E67" si="8">IF(E3&lt;59,E3+1,0)</f>
        <v>12</v>
      </c>
      <c r="F4" s="66">
        <v>51</v>
      </c>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Hyprev7_20211114_14_00</v>
      </c>
      <c r="I4" s="69">
        <f>I3</f>
        <v>1</v>
      </c>
      <c r="J4" s="70" t="str">
        <f t="shared" ref="J4:N19" si="9">J3</f>
        <v>Hypericum</v>
      </c>
      <c r="K4" s="70" t="str">
        <f t="shared" si="9"/>
        <v>revolutum</v>
      </c>
      <c r="L4" s="71">
        <f t="shared" si="9"/>
        <v>7</v>
      </c>
      <c r="M4" s="71">
        <f t="shared" si="9"/>
        <v>2</v>
      </c>
      <c r="N4" s="71">
        <f t="shared" si="9"/>
        <v>0</v>
      </c>
      <c r="O4" s="44"/>
      <c r="P4" s="45">
        <f t="shared" ref="P4:P67" si="10">IF(F4="","",1)</f>
        <v>1</v>
      </c>
      <c r="Q4" s="46" t="str">
        <f t="shared" ref="Q4:Q67" si="11">TEXT(IF(P4=1,CONCATENATE($D4,":",$E4,":",(LEFT($F4,2))),""),"hh:mm:ss")</f>
        <v>14:12:51</v>
      </c>
      <c r="R4" s="47" t="str">
        <f t="shared" ref="R4:R67" si="12">TEXT(Q4-TIME(0,RIGHT($H4,2),$G$9)+(Q4&gt;TIME(0,RIGHT($H4,2),$G$9)),"mm:ss")</f>
        <v>12:51</v>
      </c>
      <c r="S4" s="48">
        <f t="shared" si="0"/>
        <v>10</v>
      </c>
      <c r="T4" s="47" t="str">
        <f t="shared" ref="T4:T67" si="13">TEXT(IF(P4=1,D4,""),"00")</f>
        <v>14</v>
      </c>
      <c r="U4" s="49">
        <v>13</v>
      </c>
      <c r="V4" s="50">
        <v>1</v>
      </c>
      <c r="W4" s="51" t="str">
        <f t="shared" ref="W4:W67" si="14">IF(O4=0,TEXT(TIME(T4,U4,V4)-TIME(D4,E4,RIGHT(F4,2))+TIME(0,LEFT(R4,2),RIGHT(R4,2)),"mm:ss"),TEXT(TIME(T4,U4,V4)-TIME(D4,E4,RIGHT(F4,2))+TIME(0,LEFT(R4,2),RIGHT(R4,2))-TIME(0,($G$10*O4),0),"mm:ss"))</f>
        <v>13:01</v>
      </c>
      <c r="X4" s="52" t="s">
        <v>59</v>
      </c>
      <c r="Y4" s="124" t="s">
        <v>236</v>
      </c>
      <c r="Z4" s="124"/>
      <c r="AA4" s="47" t="s">
        <v>254</v>
      </c>
      <c r="AB4" s="47" t="str">
        <f t="shared" ref="AB4:AB67" si="15">IF(AA4&lt;&gt;0,"NA","")</f>
        <v>NA</v>
      </c>
      <c r="AC4" s="53" t="str">
        <f t="shared" ref="AC4:AC67" si="16">IF(SUM(AH4,AJ4,AL4,AN4,AP4,AR4)=S4,,"")</f>
        <v/>
      </c>
      <c r="AD4" s="54">
        <f t="shared" ref="AD4:AD67" si="17">IF(P4=1,1,"")</f>
        <v>1</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60</v>
      </c>
      <c r="AT4" s="58"/>
      <c r="AU4" s="58"/>
      <c r="AV4" s="59"/>
      <c r="AW4" s="60">
        <f t="shared" si="1"/>
        <v>0</v>
      </c>
      <c r="AX4" s="61" t="str">
        <f t="shared" si="2"/>
        <v/>
      </c>
      <c r="AY4" s="60">
        <f t="shared" si="3"/>
        <v>0</v>
      </c>
      <c r="AZ4" s="61" t="str">
        <f t="shared" si="4"/>
        <v/>
      </c>
    </row>
    <row r="5" spans="1:52" s="3" customFormat="1" hidden="1" x14ac:dyDescent="0.35">
      <c r="A5" s="72">
        <f t="shared" si="5"/>
        <v>2021</v>
      </c>
      <c r="B5" s="72" t="str">
        <f t="shared" si="6"/>
        <v>Nov</v>
      </c>
      <c r="C5" s="73">
        <f t="shared" ref="C5:C68" si="25">IF(AND(D5=0, E5=0), IF(TEXT(C4,"dd")=TEXT(EOMONTH(DATE(A4,MONTH(DATEVALUE(B4&amp;"1")),C4),0), "dd"), 1, C4+1), C4)</f>
        <v>14</v>
      </c>
      <c r="D5" s="74">
        <f t="shared" si="7"/>
        <v>14</v>
      </c>
      <c r="E5" s="75">
        <f t="shared" si="8"/>
        <v>13</v>
      </c>
      <c r="F5" s="66">
        <v>48</v>
      </c>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Hyprev7_20211114_14_00</v>
      </c>
      <c r="I5" s="69">
        <f t="shared" ref="I5:N20" si="27">I4</f>
        <v>1</v>
      </c>
      <c r="J5" s="76" t="str">
        <f t="shared" si="9"/>
        <v>Hypericum</v>
      </c>
      <c r="K5" s="76" t="str">
        <f t="shared" si="9"/>
        <v>revolutum</v>
      </c>
      <c r="L5" s="77">
        <f t="shared" si="9"/>
        <v>7</v>
      </c>
      <c r="M5" s="77">
        <f t="shared" si="9"/>
        <v>2</v>
      </c>
      <c r="N5" s="71">
        <f t="shared" si="9"/>
        <v>0</v>
      </c>
      <c r="O5" s="44"/>
      <c r="P5" s="45">
        <f t="shared" si="10"/>
        <v>1</v>
      </c>
      <c r="Q5" s="46" t="str">
        <f t="shared" si="11"/>
        <v>14:13:48</v>
      </c>
      <c r="R5" s="47" t="str">
        <f t="shared" si="12"/>
        <v>13:48</v>
      </c>
      <c r="S5" s="48">
        <f t="shared" si="0"/>
        <v>27</v>
      </c>
      <c r="T5" s="47" t="str">
        <f t="shared" si="13"/>
        <v>14</v>
      </c>
      <c r="U5" s="49">
        <v>14</v>
      </c>
      <c r="V5" s="50">
        <v>15</v>
      </c>
      <c r="W5" s="51" t="str">
        <f t="shared" si="14"/>
        <v>14:15</v>
      </c>
      <c r="X5" s="52" t="s">
        <v>61</v>
      </c>
      <c r="Y5" s="124" t="s">
        <v>237</v>
      </c>
      <c r="Z5" s="124" t="s">
        <v>252</v>
      </c>
      <c r="AA5" s="47" t="s">
        <v>254</v>
      </c>
      <c r="AB5" s="47" t="str">
        <f t="shared" si="15"/>
        <v>NA</v>
      </c>
      <c r="AC5" s="53" t="str">
        <f t="shared" si="16"/>
        <v/>
      </c>
      <c r="AD5" s="54">
        <f t="shared" si="17"/>
        <v>1</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t="s">
        <v>62</v>
      </c>
      <c r="AT5" s="58"/>
      <c r="AU5" s="58"/>
      <c r="AV5" s="59"/>
      <c r="AW5" s="60">
        <f t="shared" si="1"/>
        <v>0</v>
      </c>
      <c r="AX5" s="61" t="str">
        <f t="shared" si="2"/>
        <v/>
      </c>
      <c r="AY5" s="60">
        <f t="shared" si="3"/>
        <v>0</v>
      </c>
      <c r="AZ5" s="61" t="str">
        <f t="shared" si="4"/>
        <v/>
      </c>
    </row>
    <row r="6" spans="1:52" s="3" customFormat="1" hidden="1" x14ac:dyDescent="0.35">
      <c r="A6" s="72">
        <f t="shared" si="5"/>
        <v>2021</v>
      </c>
      <c r="B6" s="72" t="str">
        <f t="shared" si="6"/>
        <v>Nov</v>
      </c>
      <c r="C6" s="73">
        <f t="shared" si="25"/>
        <v>14</v>
      </c>
      <c r="D6" s="74">
        <f t="shared" si="7"/>
        <v>14</v>
      </c>
      <c r="E6" s="75">
        <f t="shared" si="8"/>
        <v>14</v>
      </c>
      <c r="F6" s="66"/>
      <c r="G6" s="67" t="s">
        <v>55</v>
      </c>
      <c r="H6" s="68" t="str">
        <f t="shared" si="26"/>
        <v>Hyprev7_20211114_14_00</v>
      </c>
      <c r="I6" s="69">
        <f t="shared" si="27"/>
        <v>1</v>
      </c>
      <c r="J6" s="76" t="str">
        <f t="shared" si="9"/>
        <v>Hypericum</v>
      </c>
      <c r="K6" s="76" t="str">
        <f t="shared" si="9"/>
        <v>revolutum</v>
      </c>
      <c r="L6" s="77">
        <f t="shared" si="9"/>
        <v>7</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v>
      </c>
      <c r="C7" s="73">
        <f t="shared" si="25"/>
        <v>14</v>
      </c>
      <c r="D7" s="74">
        <f t="shared" si="7"/>
        <v>14</v>
      </c>
      <c r="E7" s="75">
        <f t="shared" si="8"/>
        <v>15</v>
      </c>
      <c r="F7" s="66">
        <v>44</v>
      </c>
      <c r="G7" s="67" t="s">
        <v>55</v>
      </c>
      <c r="H7" s="68" t="str">
        <f t="shared" si="26"/>
        <v>Hyprev7_20211114_14_00</v>
      </c>
      <c r="I7" s="69">
        <f t="shared" si="27"/>
        <v>1</v>
      </c>
      <c r="J7" s="76" t="str">
        <f t="shared" si="9"/>
        <v>Hypericum</v>
      </c>
      <c r="K7" s="76" t="str">
        <f t="shared" si="9"/>
        <v>revolutum</v>
      </c>
      <c r="L7" s="77">
        <f t="shared" si="9"/>
        <v>7</v>
      </c>
      <c r="M7" s="77">
        <f t="shared" si="9"/>
        <v>2</v>
      </c>
      <c r="N7" s="71">
        <f t="shared" si="9"/>
        <v>0</v>
      </c>
      <c r="O7" s="44"/>
      <c r="P7" s="45">
        <f t="shared" si="10"/>
        <v>1</v>
      </c>
      <c r="Q7" s="46" t="str">
        <f t="shared" si="11"/>
        <v>14:15:44</v>
      </c>
      <c r="R7" s="47" t="str">
        <f t="shared" si="12"/>
        <v>15:44</v>
      </c>
      <c r="S7" s="48">
        <f t="shared" si="0"/>
        <v>314</v>
      </c>
      <c r="T7" s="47" t="str">
        <f t="shared" si="13"/>
        <v>14</v>
      </c>
      <c r="U7" s="49">
        <v>20</v>
      </c>
      <c r="V7" s="50">
        <v>58</v>
      </c>
      <c r="W7" s="51" t="str">
        <f t="shared" si="14"/>
        <v>20:58</v>
      </c>
      <c r="X7" s="52" t="s">
        <v>59</v>
      </c>
      <c r="Y7" s="124" t="s">
        <v>238</v>
      </c>
      <c r="Z7" s="124"/>
      <c r="AA7" s="47" t="s">
        <v>253</v>
      </c>
      <c r="AB7" s="47" t="str">
        <f t="shared" si="15"/>
        <v>NA</v>
      </c>
      <c r="AC7" s="53" t="str">
        <f t="shared" si="16"/>
        <v/>
      </c>
      <c r="AD7" s="54">
        <f t="shared" si="17"/>
        <v>1</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t="s">
        <v>63</v>
      </c>
      <c r="AT7" s="58"/>
      <c r="AU7" s="58"/>
      <c r="AV7" s="59"/>
      <c r="AW7" s="60">
        <f t="shared" si="1"/>
        <v>0</v>
      </c>
      <c r="AX7" s="61" t="str">
        <f t="shared" si="2"/>
        <v/>
      </c>
      <c r="AY7" s="60">
        <f t="shared" si="3"/>
        <v>0</v>
      </c>
      <c r="AZ7" s="61" t="str">
        <f t="shared" si="4"/>
        <v/>
      </c>
    </row>
    <row r="8" spans="1:52" s="3" customFormat="1" ht="15" hidden="1" thickBot="1" x14ac:dyDescent="0.4">
      <c r="A8" s="72">
        <f t="shared" si="5"/>
        <v>2021</v>
      </c>
      <c r="B8" s="72" t="str">
        <f t="shared" si="6"/>
        <v>Nov</v>
      </c>
      <c r="C8" s="73">
        <f t="shared" si="25"/>
        <v>14</v>
      </c>
      <c r="D8" s="74">
        <f t="shared" si="7"/>
        <v>14</v>
      </c>
      <c r="E8" s="75">
        <f t="shared" si="8"/>
        <v>16</v>
      </c>
      <c r="F8" s="66">
        <v>41</v>
      </c>
      <c r="G8" s="78" t="s">
        <v>55</v>
      </c>
      <c r="H8" s="68" t="str">
        <f t="shared" si="26"/>
        <v>Hyprev7_20211114_14_00</v>
      </c>
      <c r="I8" s="69">
        <f t="shared" si="27"/>
        <v>1</v>
      </c>
      <c r="J8" s="76" t="str">
        <f t="shared" si="9"/>
        <v>Hypericum</v>
      </c>
      <c r="K8" s="76" t="str">
        <f t="shared" si="9"/>
        <v>revolutum</v>
      </c>
      <c r="L8" s="77">
        <f t="shared" si="9"/>
        <v>7</v>
      </c>
      <c r="M8" s="77">
        <f t="shared" si="9"/>
        <v>2</v>
      </c>
      <c r="N8" s="71">
        <f t="shared" si="9"/>
        <v>0</v>
      </c>
      <c r="O8" s="44"/>
      <c r="P8" s="45">
        <f t="shared" si="10"/>
        <v>1</v>
      </c>
      <c r="Q8" s="46" t="str">
        <f t="shared" si="11"/>
        <v>14:16:41</v>
      </c>
      <c r="R8" s="47" t="str">
        <f t="shared" si="12"/>
        <v>16:41</v>
      </c>
      <c r="S8" s="48">
        <f t="shared" si="0"/>
        <v>92</v>
      </c>
      <c r="T8" s="47" t="str">
        <f t="shared" si="13"/>
        <v>14</v>
      </c>
      <c r="U8" s="49">
        <v>18</v>
      </c>
      <c r="V8" s="50">
        <v>13</v>
      </c>
      <c r="W8" s="51" t="str">
        <f t="shared" si="14"/>
        <v>18:13</v>
      </c>
      <c r="X8" s="52" t="s">
        <v>59</v>
      </c>
      <c r="Y8" s="124" t="s">
        <v>239</v>
      </c>
      <c r="Z8" s="124"/>
      <c r="AA8" s="47" t="s">
        <v>254</v>
      </c>
      <c r="AB8" s="47" t="str">
        <f t="shared" si="15"/>
        <v>NA</v>
      </c>
      <c r="AC8" s="53" t="str">
        <f t="shared" si="16"/>
        <v/>
      </c>
      <c r="AD8" s="54">
        <f t="shared" si="17"/>
        <v>1</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t="s">
        <v>64</v>
      </c>
      <c r="AT8" s="58"/>
      <c r="AU8" s="58"/>
      <c r="AV8" s="59"/>
      <c r="AW8" s="60">
        <f t="shared" si="1"/>
        <v>0</v>
      </c>
      <c r="AX8" s="61" t="str">
        <f t="shared" si="2"/>
        <v/>
      </c>
      <c r="AY8" s="60">
        <f t="shared" si="3"/>
        <v>0</v>
      </c>
      <c r="AZ8" s="61" t="str">
        <f t="shared" si="4"/>
        <v/>
      </c>
    </row>
    <row r="9" spans="1:52" s="3" customFormat="1" ht="15" hidden="1" thickBot="1" x14ac:dyDescent="0.4">
      <c r="A9" s="72">
        <f t="shared" si="5"/>
        <v>2021</v>
      </c>
      <c r="B9" s="72" t="str">
        <f t="shared" si="6"/>
        <v>Nov</v>
      </c>
      <c r="C9" s="73">
        <f t="shared" si="25"/>
        <v>14</v>
      </c>
      <c r="D9" s="74">
        <f t="shared" si="7"/>
        <v>14</v>
      </c>
      <c r="E9" s="75">
        <f t="shared" si="8"/>
        <v>17</v>
      </c>
      <c r="F9" s="79"/>
      <c r="G9" s="80">
        <v>0</v>
      </c>
      <c r="H9" s="68" t="str">
        <f t="shared" si="26"/>
        <v>Hyprev7_20211114_14_00</v>
      </c>
      <c r="I9" s="69">
        <f t="shared" si="27"/>
        <v>1</v>
      </c>
      <c r="J9" s="76" t="str">
        <f t="shared" si="9"/>
        <v>Hypericum</v>
      </c>
      <c r="K9" s="76" t="str">
        <f t="shared" si="9"/>
        <v>revolutum</v>
      </c>
      <c r="L9" s="77">
        <f t="shared" si="9"/>
        <v>7</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v>
      </c>
      <c r="C10" s="73">
        <f t="shared" si="25"/>
        <v>14</v>
      </c>
      <c r="D10" s="74">
        <f t="shared" si="7"/>
        <v>14</v>
      </c>
      <c r="E10" s="75">
        <f t="shared" si="8"/>
        <v>18</v>
      </c>
      <c r="F10" s="79">
        <v>10</v>
      </c>
      <c r="G10" s="81">
        <f>IF(G4&lt;G3, ABS(G3-(G4+60)), ABS(G3-G4))</f>
        <v>0</v>
      </c>
      <c r="H10" s="68" t="str">
        <f t="shared" si="26"/>
        <v>Hyprev7_20211114_14_00</v>
      </c>
      <c r="I10" s="69">
        <f t="shared" si="27"/>
        <v>1</v>
      </c>
      <c r="J10" s="76" t="str">
        <f t="shared" si="9"/>
        <v>Hypericum</v>
      </c>
      <c r="K10" s="76" t="str">
        <f t="shared" si="9"/>
        <v>revolutum</v>
      </c>
      <c r="L10" s="77">
        <f t="shared" si="9"/>
        <v>7</v>
      </c>
      <c r="M10" s="77">
        <f t="shared" si="9"/>
        <v>2</v>
      </c>
      <c r="N10" s="71">
        <f t="shared" si="9"/>
        <v>0</v>
      </c>
      <c r="O10" s="44"/>
      <c r="P10" s="45">
        <f t="shared" si="10"/>
        <v>1</v>
      </c>
      <c r="Q10" s="46" t="str">
        <f t="shared" si="11"/>
        <v>14:18:10</v>
      </c>
      <c r="R10" s="47" t="str">
        <f t="shared" si="12"/>
        <v>18:10</v>
      </c>
      <c r="S10" s="48">
        <f t="shared" si="0"/>
        <v>76</v>
      </c>
      <c r="T10" s="47" t="str">
        <f t="shared" si="13"/>
        <v>14</v>
      </c>
      <c r="U10" s="49">
        <v>19</v>
      </c>
      <c r="V10" s="50">
        <v>26</v>
      </c>
      <c r="W10" s="51" t="str">
        <f t="shared" si="14"/>
        <v>19:26</v>
      </c>
      <c r="X10" s="52" t="s">
        <v>61</v>
      </c>
      <c r="Y10" s="124" t="s">
        <v>240</v>
      </c>
      <c r="Z10" s="124"/>
      <c r="AA10" s="47" t="s">
        <v>254</v>
      </c>
      <c r="AB10" s="47" t="str">
        <f t="shared" si="15"/>
        <v>NA</v>
      </c>
      <c r="AC10" s="53" t="str">
        <f t="shared" si="16"/>
        <v/>
      </c>
      <c r="AD10" s="54">
        <f t="shared" si="17"/>
        <v>1</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t="s">
        <v>65</v>
      </c>
      <c r="AT10" s="58"/>
      <c r="AU10" s="58"/>
      <c r="AV10" s="59"/>
      <c r="AW10" s="60">
        <f t="shared" si="1"/>
        <v>0</v>
      </c>
      <c r="AX10" s="61" t="str">
        <f t="shared" si="2"/>
        <v/>
      </c>
      <c r="AY10" s="60">
        <f t="shared" si="3"/>
        <v>0</v>
      </c>
      <c r="AZ10" s="61" t="str">
        <f t="shared" si="4"/>
        <v/>
      </c>
    </row>
    <row r="11" spans="1:52" s="3" customFormat="1" hidden="1" x14ac:dyDescent="0.35">
      <c r="A11" s="72">
        <f t="shared" si="5"/>
        <v>2021</v>
      </c>
      <c r="B11" s="72" t="str">
        <f t="shared" si="6"/>
        <v>Nov</v>
      </c>
      <c r="C11" s="73">
        <f t="shared" si="25"/>
        <v>14</v>
      </c>
      <c r="D11" s="74">
        <f t="shared" si="7"/>
        <v>14</v>
      </c>
      <c r="E11" s="75">
        <f t="shared" si="8"/>
        <v>19</v>
      </c>
      <c r="F11" s="79">
        <v>18</v>
      </c>
      <c r="G11" s="82"/>
      <c r="H11" s="68" t="str">
        <f t="shared" si="26"/>
        <v>Hyprev7_20211114_14_00</v>
      </c>
      <c r="I11" s="69">
        <f t="shared" si="27"/>
        <v>1</v>
      </c>
      <c r="J11" s="76" t="str">
        <f t="shared" si="9"/>
        <v>Hypericum</v>
      </c>
      <c r="K11" s="76" t="str">
        <f t="shared" si="9"/>
        <v>revolutum</v>
      </c>
      <c r="L11" s="77">
        <f t="shared" si="9"/>
        <v>7</v>
      </c>
      <c r="M11" s="77">
        <f t="shared" si="9"/>
        <v>2</v>
      </c>
      <c r="N11" s="71">
        <f t="shared" si="9"/>
        <v>0</v>
      </c>
      <c r="O11" s="44"/>
      <c r="P11" s="45">
        <f t="shared" si="10"/>
        <v>1</v>
      </c>
      <c r="Q11" s="46" t="str">
        <f t="shared" si="11"/>
        <v>14:19:18</v>
      </c>
      <c r="R11" s="47" t="str">
        <f t="shared" si="12"/>
        <v>19:18</v>
      </c>
      <c r="S11" s="48">
        <f t="shared" si="0"/>
        <v>314</v>
      </c>
      <c r="T11" s="47" t="str">
        <f t="shared" si="13"/>
        <v>14</v>
      </c>
      <c r="U11" s="49">
        <v>24</v>
      </c>
      <c r="V11" s="50">
        <v>32</v>
      </c>
      <c r="W11" s="51" t="str">
        <f t="shared" si="14"/>
        <v>24:32</v>
      </c>
      <c r="X11" s="52" t="s">
        <v>66</v>
      </c>
      <c r="Y11" s="124" t="s">
        <v>236</v>
      </c>
      <c r="Z11" s="124"/>
      <c r="AA11" s="47" t="s">
        <v>254</v>
      </c>
      <c r="AB11" s="47" t="str">
        <f t="shared" si="15"/>
        <v>NA</v>
      </c>
      <c r="AC11" s="53" t="str">
        <f t="shared" si="16"/>
        <v/>
      </c>
      <c r="AD11" s="54">
        <f t="shared" si="17"/>
        <v>1</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t="s">
        <v>67</v>
      </c>
      <c r="AT11" s="58"/>
      <c r="AU11" s="58"/>
      <c r="AV11" s="59"/>
      <c r="AW11" s="60">
        <f t="shared" si="1"/>
        <v>0</v>
      </c>
      <c r="AX11" s="61" t="str">
        <f t="shared" si="2"/>
        <v/>
      </c>
      <c r="AY11" s="60">
        <f t="shared" si="3"/>
        <v>0</v>
      </c>
      <c r="AZ11" s="61" t="str">
        <f t="shared" si="4"/>
        <v/>
      </c>
    </row>
    <row r="12" spans="1:52" s="3" customFormat="1" hidden="1" x14ac:dyDescent="0.35">
      <c r="A12" s="72">
        <f t="shared" si="5"/>
        <v>2021</v>
      </c>
      <c r="B12" s="72" t="str">
        <f t="shared" si="6"/>
        <v>Nov</v>
      </c>
      <c r="C12" s="73">
        <f t="shared" si="25"/>
        <v>14</v>
      </c>
      <c r="D12" s="74">
        <f t="shared" si="7"/>
        <v>14</v>
      </c>
      <c r="E12" s="75">
        <f t="shared" si="8"/>
        <v>20</v>
      </c>
      <c r="F12" s="79"/>
      <c r="G12" s="82"/>
      <c r="H12" s="68" t="str">
        <f t="shared" si="26"/>
        <v>Hyprev7_20211114_14_00</v>
      </c>
      <c r="I12" s="69">
        <f t="shared" si="27"/>
        <v>1</v>
      </c>
      <c r="J12" s="76" t="str">
        <f t="shared" si="9"/>
        <v>Hypericum</v>
      </c>
      <c r="K12" s="76" t="str">
        <f t="shared" si="9"/>
        <v>revolutum</v>
      </c>
      <c r="L12" s="77">
        <f t="shared" si="9"/>
        <v>7</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2021</v>
      </c>
      <c r="B13" s="72" t="str">
        <f t="shared" si="6"/>
        <v>Nov</v>
      </c>
      <c r="C13" s="73">
        <f t="shared" si="25"/>
        <v>14</v>
      </c>
      <c r="D13" s="74">
        <f t="shared" si="7"/>
        <v>14</v>
      </c>
      <c r="E13" s="75">
        <f t="shared" si="8"/>
        <v>21</v>
      </c>
      <c r="F13" s="79"/>
      <c r="G13" s="82"/>
      <c r="H13" s="68" t="str">
        <f t="shared" si="26"/>
        <v>Hyprev7_20211114_14_00</v>
      </c>
      <c r="I13" s="69">
        <f t="shared" si="27"/>
        <v>1</v>
      </c>
      <c r="J13" s="76" t="str">
        <f t="shared" si="9"/>
        <v>Hypericum</v>
      </c>
      <c r="K13" s="76" t="str">
        <f t="shared" si="9"/>
        <v>revolutum</v>
      </c>
      <c r="L13" s="77">
        <f t="shared" si="9"/>
        <v>7</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2021</v>
      </c>
      <c r="B14" s="72" t="str">
        <f t="shared" si="6"/>
        <v>Nov</v>
      </c>
      <c r="C14" s="73">
        <f t="shared" si="25"/>
        <v>14</v>
      </c>
      <c r="D14" s="74">
        <f t="shared" si="7"/>
        <v>14</v>
      </c>
      <c r="E14" s="75">
        <f t="shared" si="8"/>
        <v>22</v>
      </c>
      <c r="F14" s="79"/>
      <c r="G14" s="82"/>
      <c r="H14" s="68" t="str">
        <f t="shared" si="26"/>
        <v>Hyprev7_20211114_14_00</v>
      </c>
      <c r="I14" s="69">
        <f t="shared" si="27"/>
        <v>1</v>
      </c>
      <c r="J14" s="76" t="str">
        <f t="shared" si="9"/>
        <v>Hypericum</v>
      </c>
      <c r="K14" s="76" t="str">
        <f t="shared" si="9"/>
        <v>revolutum</v>
      </c>
      <c r="L14" s="77">
        <f t="shared" si="9"/>
        <v>7</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v>
      </c>
      <c r="C15" s="73">
        <f t="shared" si="25"/>
        <v>14</v>
      </c>
      <c r="D15" s="74">
        <f t="shared" si="7"/>
        <v>14</v>
      </c>
      <c r="E15" s="75">
        <f t="shared" si="8"/>
        <v>23</v>
      </c>
      <c r="F15" s="79">
        <v>31</v>
      </c>
      <c r="G15" s="82"/>
      <c r="H15" s="68" t="str">
        <f t="shared" si="26"/>
        <v>Hyprev7_20211114_14_00</v>
      </c>
      <c r="I15" s="69">
        <f t="shared" si="27"/>
        <v>1</v>
      </c>
      <c r="J15" s="76" t="str">
        <f t="shared" si="9"/>
        <v>Hypericum</v>
      </c>
      <c r="K15" s="76" t="str">
        <f t="shared" si="9"/>
        <v>revolutum</v>
      </c>
      <c r="L15" s="77">
        <f t="shared" si="9"/>
        <v>7</v>
      </c>
      <c r="M15" s="77">
        <f t="shared" si="9"/>
        <v>2</v>
      </c>
      <c r="N15" s="71">
        <f t="shared" si="9"/>
        <v>0</v>
      </c>
      <c r="O15" s="44"/>
      <c r="P15" s="45">
        <f t="shared" si="10"/>
        <v>1</v>
      </c>
      <c r="Q15" s="46" t="str">
        <f t="shared" si="11"/>
        <v>14:23:31</v>
      </c>
      <c r="R15" s="47" t="str">
        <f t="shared" si="12"/>
        <v>23:31</v>
      </c>
      <c r="S15" s="48">
        <f t="shared" si="0"/>
        <v>84</v>
      </c>
      <c r="T15" s="47" t="str">
        <f t="shared" si="13"/>
        <v>14</v>
      </c>
      <c r="U15" s="49">
        <v>24</v>
      </c>
      <c r="V15" s="50">
        <v>55</v>
      </c>
      <c r="W15" s="51" t="str">
        <f t="shared" si="14"/>
        <v>24:55</v>
      </c>
      <c r="X15" s="52" t="s">
        <v>59</v>
      </c>
      <c r="Y15" s="124" t="s">
        <v>239</v>
      </c>
      <c r="Z15" s="124"/>
      <c r="AA15" s="47" t="s">
        <v>254</v>
      </c>
      <c r="AB15" s="47" t="str">
        <f t="shared" si="15"/>
        <v>NA</v>
      </c>
      <c r="AC15" s="53" t="str">
        <f t="shared" si="16"/>
        <v/>
      </c>
      <c r="AD15" s="54">
        <f t="shared" si="17"/>
        <v>1</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t="s">
        <v>68</v>
      </c>
      <c r="AT15" s="58"/>
      <c r="AU15" s="58"/>
      <c r="AV15" s="59"/>
      <c r="AW15" s="60">
        <f t="shared" si="1"/>
        <v>0</v>
      </c>
      <c r="AX15" s="61" t="str">
        <f t="shared" si="2"/>
        <v/>
      </c>
      <c r="AY15" s="60">
        <f t="shared" si="3"/>
        <v>0</v>
      </c>
      <c r="AZ15" s="61" t="str">
        <f t="shared" si="4"/>
        <v/>
      </c>
    </row>
    <row r="16" spans="1:52" s="3" customFormat="1" hidden="1" x14ac:dyDescent="0.35">
      <c r="A16" s="72">
        <f t="shared" si="5"/>
        <v>2021</v>
      </c>
      <c r="B16" s="72" t="str">
        <f t="shared" si="6"/>
        <v>Nov</v>
      </c>
      <c r="C16" s="73">
        <f t="shared" si="25"/>
        <v>14</v>
      </c>
      <c r="D16" s="74">
        <f t="shared" si="7"/>
        <v>14</v>
      </c>
      <c r="E16" s="75">
        <f t="shared" si="8"/>
        <v>24</v>
      </c>
      <c r="F16" s="79">
        <v>27</v>
      </c>
      <c r="G16" s="82"/>
      <c r="H16" s="68" t="str">
        <f t="shared" si="26"/>
        <v>Hyprev7_20211114_14_00</v>
      </c>
      <c r="I16" s="69">
        <f t="shared" si="27"/>
        <v>1</v>
      </c>
      <c r="J16" s="76" t="str">
        <f t="shared" si="9"/>
        <v>Hypericum</v>
      </c>
      <c r="K16" s="76" t="str">
        <f t="shared" si="9"/>
        <v>revolutum</v>
      </c>
      <c r="L16" s="77">
        <f t="shared" si="9"/>
        <v>7</v>
      </c>
      <c r="M16" s="77">
        <f t="shared" si="9"/>
        <v>2</v>
      </c>
      <c r="N16" s="71">
        <f t="shared" si="9"/>
        <v>0</v>
      </c>
      <c r="O16" s="44"/>
      <c r="P16" s="45">
        <f t="shared" si="10"/>
        <v>1</v>
      </c>
      <c r="Q16" s="46" t="str">
        <f t="shared" si="11"/>
        <v>14:24:27</v>
      </c>
      <c r="R16" s="47" t="str">
        <f t="shared" si="12"/>
        <v>24:27</v>
      </c>
      <c r="S16" s="48">
        <f t="shared" si="0"/>
        <v>50</v>
      </c>
      <c r="T16" s="47" t="str">
        <f t="shared" si="13"/>
        <v>14</v>
      </c>
      <c r="U16" s="49">
        <v>25</v>
      </c>
      <c r="V16" s="50">
        <v>17</v>
      </c>
      <c r="W16" s="51" t="str">
        <f t="shared" si="14"/>
        <v>25:17</v>
      </c>
      <c r="X16" s="52" t="s">
        <v>69</v>
      </c>
      <c r="Y16" s="124" t="s">
        <v>241</v>
      </c>
      <c r="Z16" s="124" t="s">
        <v>252</v>
      </c>
      <c r="AA16" s="47" t="s">
        <v>253</v>
      </c>
      <c r="AB16" s="47" t="str">
        <f t="shared" si="15"/>
        <v>NA</v>
      </c>
      <c r="AC16" s="53" t="str">
        <f t="shared" si="16"/>
        <v/>
      </c>
      <c r="AD16" s="54">
        <v>2</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t="s">
        <v>70</v>
      </c>
      <c r="AT16" s="58"/>
      <c r="AU16" s="58"/>
      <c r="AV16" s="59"/>
      <c r="AW16" s="60">
        <f t="shared" si="1"/>
        <v>0</v>
      </c>
      <c r="AX16" s="61" t="str">
        <f t="shared" si="2"/>
        <v/>
      </c>
      <c r="AY16" s="60">
        <f t="shared" si="3"/>
        <v>0</v>
      </c>
      <c r="AZ16" s="61" t="str">
        <f t="shared" si="4"/>
        <v/>
      </c>
    </row>
    <row r="17" spans="1:52" s="3" customFormat="1" hidden="1" x14ac:dyDescent="0.35">
      <c r="A17" s="72">
        <f t="shared" si="5"/>
        <v>2021</v>
      </c>
      <c r="B17" s="72" t="str">
        <f t="shared" si="6"/>
        <v>Nov</v>
      </c>
      <c r="C17" s="73">
        <f t="shared" si="25"/>
        <v>14</v>
      </c>
      <c r="D17" s="74">
        <f t="shared" si="7"/>
        <v>14</v>
      </c>
      <c r="E17" s="75">
        <f t="shared" si="8"/>
        <v>25</v>
      </c>
      <c r="F17" s="79">
        <v>19</v>
      </c>
      <c r="G17" s="82"/>
      <c r="H17" s="68" t="str">
        <f t="shared" si="26"/>
        <v>Hyprev7_20211114_14_00</v>
      </c>
      <c r="I17" s="69">
        <f t="shared" si="27"/>
        <v>1</v>
      </c>
      <c r="J17" s="76" t="str">
        <f t="shared" si="9"/>
        <v>Hypericum</v>
      </c>
      <c r="K17" s="76" t="str">
        <f t="shared" si="9"/>
        <v>revolutum</v>
      </c>
      <c r="L17" s="77">
        <f t="shared" si="9"/>
        <v>7</v>
      </c>
      <c r="M17" s="77">
        <f t="shared" si="9"/>
        <v>2</v>
      </c>
      <c r="N17" s="71">
        <f t="shared" si="9"/>
        <v>0</v>
      </c>
      <c r="O17" s="44"/>
      <c r="P17" s="45">
        <f t="shared" si="10"/>
        <v>1</v>
      </c>
      <c r="Q17" s="46" t="str">
        <f t="shared" si="11"/>
        <v>14:25:19</v>
      </c>
      <c r="R17" s="47" t="str">
        <f t="shared" si="12"/>
        <v>25:19</v>
      </c>
      <c r="S17" s="48">
        <f t="shared" si="0"/>
        <v>2</v>
      </c>
      <c r="T17" s="47" t="str">
        <f t="shared" si="13"/>
        <v>14</v>
      </c>
      <c r="U17" s="49">
        <v>25</v>
      </c>
      <c r="V17" s="50">
        <v>21</v>
      </c>
      <c r="W17" s="51" t="str">
        <f t="shared" si="14"/>
        <v>25:21</v>
      </c>
      <c r="X17" s="52" t="s">
        <v>69</v>
      </c>
      <c r="Y17" s="124" t="s">
        <v>241</v>
      </c>
      <c r="Z17" s="124" t="s">
        <v>252</v>
      </c>
      <c r="AA17" s="47" t="s">
        <v>253</v>
      </c>
      <c r="AB17" s="47" t="str">
        <f t="shared" si="15"/>
        <v>NA</v>
      </c>
      <c r="AC17" s="53" t="str">
        <f t="shared" si="16"/>
        <v/>
      </c>
      <c r="AD17" s="54">
        <v>2</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t="s">
        <v>71</v>
      </c>
      <c r="AT17" s="58"/>
      <c r="AU17" s="58"/>
      <c r="AV17" s="59"/>
      <c r="AW17" s="60">
        <f t="shared" si="1"/>
        <v>0</v>
      </c>
      <c r="AX17" s="61" t="str">
        <f t="shared" si="2"/>
        <v/>
      </c>
      <c r="AY17" s="60">
        <f t="shared" si="3"/>
        <v>0</v>
      </c>
      <c r="AZ17" s="61" t="str">
        <f t="shared" si="4"/>
        <v/>
      </c>
    </row>
    <row r="18" spans="1:52" s="3" customFormat="1" hidden="1" x14ac:dyDescent="0.35">
      <c r="A18" s="72">
        <f t="shared" si="5"/>
        <v>2021</v>
      </c>
      <c r="B18" s="72" t="str">
        <f t="shared" si="6"/>
        <v>Nov</v>
      </c>
      <c r="C18" s="73">
        <f t="shared" si="25"/>
        <v>14</v>
      </c>
      <c r="D18" s="74">
        <f t="shared" si="7"/>
        <v>14</v>
      </c>
      <c r="E18" s="75">
        <v>25</v>
      </c>
      <c r="F18" s="79">
        <v>22</v>
      </c>
      <c r="G18" s="82"/>
      <c r="H18" s="68" t="str">
        <f t="shared" si="26"/>
        <v>Hyprev7_20211114_14_00</v>
      </c>
      <c r="I18" s="69">
        <f t="shared" si="27"/>
        <v>1</v>
      </c>
      <c r="J18" s="76" t="str">
        <f t="shared" si="9"/>
        <v>Hypericum</v>
      </c>
      <c r="K18" s="76" t="str">
        <f t="shared" si="9"/>
        <v>revolutum</v>
      </c>
      <c r="L18" s="77">
        <f t="shared" si="9"/>
        <v>7</v>
      </c>
      <c r="M18" s="77">
        <f t="shared" si="9"/>
        <v>2</v>
      </c>
      <c r="N18" s="71">
        <f t="shared" si="9"/>
        <v>0</v>
      </c>
      <c r="O18" s="44"/>
      <c r="P18" s="45">
        <f t="shared" si="10"/>
        <v>1</v>
      </c>
      <c r="Q18" s="46" t="str">
        <f t="shared" si="11"/>
        <v>14:25:22</v>
      </c>
      <c r="R18" s="47" t="str">
        <f t="shared" si="12"/>
        <v>25:22</v>
      </c>
      <c r="S18" s="48">
        <f t="shared" si="0"/>
        <v>76</v>
      </c>
      <c r="T18" s="47" t="str">
        <f t="shared" si="13"/>
        <v>14</v>
      </c>
      <c r="U18" s="49">
        <v>26</v>
      </c>
      <c r="V18" s="50">
        <v>38</v>
      </c>
      <c r="W18" s="51" t="str">
        <f t="shared" si="14"/>
        <v>26:38</v>
      </c>
      <c r="X18" s="52" t="s">
        <v>59</v>
      </c>
      <c r="Y18" s="124" t="s">
        <v>239</v>
      </c>
      <c r="Z18" s="124"/>
      <c r="AA18" s="47" t="s">
        <v>254</v>
      </c>
      <c r="AB18" s="47" t="str">
        <f t="shared" si="15"/>
        <v>NA</v>
      </c>
      <c r="AC18" s="53" t="str">
        <f t="shared" si="16"/>
        <v/>
      </c>
      <c r="AD18" s="54">
        <f t="shared" si="17"/>
        <v>1</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t="s">
        <v>72</v>
      </c>
      <c r="AT18" s="58"/>
      <c r="AU18" s="58"/>
      <c r="AV18" s="59"/>
      <c r="AW18" s="60">
        <f t="shared" si="1"/>
        <v>0</v>
      </c>
      <c r="AX18" s="61" t="str">
        <f t="shared" si="2"/>
        <v/>
      </c>
      <c r="AY18" s="60">
        <f t="shared" si="3"/>
        <v>0</v>
      </c>
      <c r="AZ18" s="61" t="str">
        <f t="shared" si="4"/>
        <v/>
      </c>
    </row>
    <row r="19" spans="1:52" s="3" customFormat="1" hidden="1" x14ac:dyDescent="0.35">
      <c r="A19" s="72">
        <f t="shared" si="5"/>
        <v>2021</v>
      </c>
      <c r="B19" s="72" t="str">
        <f t="shared" si="6"/>
        <v>Nov</v>
      </c>
      <c r="C19" s="73">
        <f t="shared" si="25"/>
        <v>14</v>
      </c>
      <c r="D19" s="74">
        <f t="shared" si="7"/>
        <v>14</v>
      </c>
      <c r="E19" s="75">
        <v>25</v>
      </c>
      <c r="F19" s="79">
        <v>42</v>
      </c>
      <c r="G19" s="82"/>
      <c r="H19" s="68" t="str">
        <f t="shared" si="26"/>
        <v>Hyprev7_20211114_14_00</v>
      </c>
      <c r="I19" s="69">
        <f t="shared" si="27"/>
        <v>1</v>
      </c>
      <c r="J19" s="76" t="str">
        <f t="shared" si="9"/>
        <v>Hypericum</v>
      </c>
      <c r="K19" s="76" t="str">
        <f t="shared" si="9"/>
        <v>revolutum</v>
      </c>
      <c r="L19" s="77">
        <f t="shared" si="9"/>
        <v>7</v>
      </c>
      <c r="M19" s="77">
        <f t="shared" si="9"/>
        <v>2</v>
      </c>
      <c r="N19" s="71">
        <f t="shared" si="9"/>
        <v>0</v>
      </c>
      <c r="O19" s="44"/>
      <c r="P19" s="45">
        <f t="shared" si="10"/>
        <v>1</v>
      </c>
      <c r="Q19" s="46" t="str">
        <f t="shared" si="11"/>
        <v>14:25:42</v>
      </c>
      <c r="R19" s="47" t="str">
        <f t="shared" si="12"/>
        <v>25:42</v>
      </c>
      <c r="S19" s="48">
        <f t="shared" si="0"/>
        <v>1</v>
      </c>
      <c r="T19" s="47" t="str">
        <f t="shared" si="13"/>
        <v>14</v>
      </c>
      <c r="U19" s="49">
        <v>25</v>
      </c>
      <c r="V19" s="50">
        <v>43</v>
      </c>
      <c r="W19" s="51" t="str">
        <f t="shared" si="14"/>
        <v>25:43</v>
      </c>
      <c r="X19" s="52" t="s">
        <v>69</v>
      </c>
      <c r="Y19" s="124" t="s">
        <v>241</v>
      </c>
      <c r="Z19" s="124" t="s">
        <v>252</v>
      </c>
      <c r="AA19" s="47" t="s">
        <v>253</v>
      </c>
      <c r="AB19" s="47" t="str">
        <f t="shared" si="15"/>
        <v>NA</v>
      </c>
      <c r="AC19" s="53" t="str">
        <f t="shared" si="16"/>
        <v/>
      </c>
      <c r="AD19" s="54">
        <f t="shared" si="17"/>
        <v>1</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t="s">
        <v>73</v>
      </c>
      <c r="AT19" s="58"/>
      <c r="AU19" s="58"/>
      <c r="AV19" s="59"/>
      <c r="AW19" s="60">
        <f t="shared" si="1"/>
        <v>0</v>
      </c>
      <c r="AX19" s="61" t="str">
        <f t="shared" si="2"/>
        <v/>
      </c>
      <c r="AY19" s="60">
        <f t="shared" si="3"/>
        <v>0</v>
      </c>
      <c r="AZ19" s="61" t="str">
        <f t="shared" si="4"/>
        <v/>
      </c>
    </row>
    <row r="20" spans="1:52" s="3" customFormat="1" hidden="1" x14ac:dyDescent="0.35">
      <c r="A20" s="72">
        <f t="shared" si="5"/>
        <v>2021</v>
      </c>
      <c r="B20" s="72" t="str">
        <f t="shared" si="6"/>
        <v>Nov</v>
      </c>
      <c r="C20" s="73">
        <f t="shared" si="25"/>
        <v>14</v>
      </c>
      <c r="D20" s="74">
        <f t="shared" si="7"/>
        <v>14</v>
      </c>
      <c r="E20" s="75">
        <f t="shared" si="8"/>
        <v>26</v>
      </c>
      <c r="F20" s="79"/>
      <c r="G20" s="82"/>
      <c r="H20" s="68" t="str">
        <f t="shared" si="26"/>
        <v>Hyprev7_20211114_14_00</v>
      </c>
      <c r="I20" s="69">
        <f t="shared" si="27"/>
        <v>1</v>
      </c>
      <c r="J20" s="76" t="str">
        <f t="shared" si="27"/>
        <v>Hypericum</v>
      </c>
      <c r="K20" s="76" t="str">
        <f t="shared" si="27"/>
        <v>revolutum</v>
      </c>
      <c r="L20" s="77">
        <f t="shared" si="27"/>
        <v>7</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v>
      </c>
      <c r="C21" s="73">
        <f t="shared" si="25"/>
        <v>14</v>
      </c>
      <c r="D21" s="74">
        <f t="shared" si="7"/>
        <v>14</v>
      </c>
      <c r="E21" s="75">
        <f t="shared" si="8"/>
        <v>27</v>
      </c>
      <c r="F21" s="79"/>
      <c r="G21" s="82"/>
      <c r="H21" s="68" t="str">
        <f t="shared" si="26"/>
        <v>Hyprev7_20211114_14_00</v>
      </c>
      <c r="I21" s="69">
        <f t="shared" ref="I21:N36" si="28">I20</f>
        <v>1</v>
      </c>
      <c r="J21" s="76" t="str">
        <f t="shared" si="28"/>
        <v>Hypericum</v>
      </c>
      <c r="K21" s="76" t="str">
        <f t="shared" si="28"/>
        <v>revolutum</v>
      </c>
      <c r="L21" s="77">
        <f t="shared" si="28"/>
        <v>7</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v>
      </c>
      <c r="C22" s="73">
        <f t="shared" si="25"/>
        <v>14</v>
      </c>
      <c r="D22" s="74">
        <f t="shared" si="7"/>
        <v>14</v>
      </c>
      <c r="E22" s="75">
        <f t="shared" si="8"/>
        <v>28</v>
      </c>
      <c r="F22" s="79">
        <v>22</v>
      </c>
      <c r="G22" s="82"/>
      <c r="H22" s="68" t="str">
        <f t="shared" si="26"/>
        <v>Hyprev7_20211114_14_00</v>
      </c>
      <c r="I22" s="69">
        <f t="shared" si="28"/>
        <v>1</v>
      </c>
      <c r="J22" s="76" t="str">
        <f t="shared" si="28"/>
        <v>Hypericum</v>
      </c>
      <c r="K22" s="76" t="str">
        <f t="shared" si="28"/>
        <v>revolutum</v>
      </c>
      <c r="L22" s="77">
        <f t="shared" si="28"/>
        <v>7</v>
      </c>
      <c r="M22" s="77">
        <f t="shared" si="28"/>
        <v>2</v>
      </c>
      <c r="N22" s="71">
        <f t="shared" si="28"/>
        <v>0</v>
      </c>
      <c r="O22" s="44"/>
      <c r="P22" s="45">
        <f t="shared" si="10"/>
        <v>1</v>
      </c>
      <c r="Q22" s="46" t="str">
        <f t="shared" si="11"/>
        <v>14:28:22</v>
      </c>
      <c r="R22" s="47" t="str">
        <f t="shared" si="12"/>
        <v>28:22</v>
      </c>
      <c r="S22" s="48">
        <f t="shared" si="0"/>
        <v>57</v>
      </c>
      <c r="T22" s="47" t="str">
        <f t="shared" si="13"/>
        <v>14</v>
      </c>
      <c r="U22" s="49">
        <v>29</v>
      </c>
      <c r="V22" s="50">
        <v>19</v>
      </c>
      <c r="W22" s="51" t="str">
        <f t="shared" si="14"/>
        <v>29:19</v>
      </c>
      <c r="X22" s="52" t="s">
        <v>59</v>
      </c>
      <c r="Y22" s="124" t="s">
        <v>239</v>
      </c>
      <c r="Z22" s="124"/>
      <c r="AA22" s="47" t="s">
        <v>254</v>
      </c>
      <c r="AB22" s="47" t="str">
        <f t="shared" si="15"/>
        <v>NA</v>
      </c>
      <c r="AC22" s="53" t="str">
        <f t="shared" si="16"/>
        <v/>
      </c>
      <c r="AD22" s="54">
        <f t="shared" si="17"/>
        <v>1</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t="s">
        <v>64</v>
      </c>
      <c r="AT22" s="58"/>
      <c r="AU22" s="58"/>
      <c r="AV22" s="59"/>
      <c r="AW22" s="60">
        <f t="shared" si="1"/>
        <v>0</v>
      </c>
      <c r="AX22" s="61" t="str">
        <f t="shared" si="2"/>
        <v/>
      </c>
      <c r="AY22" s="60">
        <f t="shared" si="3"/>
        <v>0</v>
      </c>
      <c r="AZ22" s="61" t="str">
        <f t="shared" si="4"/>
        <v/>
      </c>
    </row>
    <row r="23" spans="1:52" s="3" customFormat="1" hidden="1" x14ac:dyDescent="0.35">
      <c r="A23" s="72">
        <f t="shared" si="5"/>
        <v>2021</v>
      </c>
      <c r="B23" s="72" t="str">
        <f t="shared" si="6"/>
        <v>Nov</v>
      </c>
      <c r="C23" s="73">
        <f t="shared" si="25"/>
        <v>14</v>
      </c>
      <c r="D23" s="74">
        <f t="shared" si="7"/>
        <v>14</v>
      </c>
      <c r="E23" s="75">
        <f t="shared" si="8"/>
        <v>29</v>
      </c>
      <c r="F23" s="79">
        <v>3</v>
      </c>
      <c r="G23" s="82"/>
      <c r="H23" s="68" t="str">
        <f t="shared" si="26"/>
        <v>Hyprev7_20211114_14_00</v>
      </c>
      <c r="I23" s="69">
        <f t="shared" si="28"/>
        <v>1</v>
      </c>
      <c r="J23" s="76" t="str">
        <f t="shared" si="28"/>
        <v>Hypericum</v>
      </c>
      <c r="K23" s="76" t="str">
        <f t="shared" si="28"/>
        <v>revolutum</v>
      </c>
      <c r="L23" s="77">
        <f t="shared" si="28"/>
        <v>7</v>
      </c>
      <c r="M23" s="77">
        <f t="shared" si="28"/>
        <v>2</v>
      </c>
      <c r="N23" s="71">
        <f t="shared" si="28"/>
        <v>0</v>
      </c>
      <c r="O23" s="44"/>
      <c r="P23" s="45">
        <f t="shared" si="10"/>
        <v>1</v>
      </c>
      <c r="Q23" s="46" t="str">
        <f t="shared" si="11"/>
        <v>14:29:03</v>
      </c>
      <c r="R23" s="47" t="str">
        <f t="shared" si="12"/>
        <v>29:03</v>
      </c>
      <c r="S23" s="48">
        <f t="shared" si="0"/>
        <v>11</v>
      </c>
      <c r="T23" s="47" t="str">
        <f t="shared" si="13"/>
        <v>14</v>
      </c>
      <c r="U23" s="49">
        <v>29</v>
      </c>
      <c r="V23" s="50">
        <v>14</v>
      </c>
      <c r="W23" s="51" t="str">
        <f t="shared" si="14"/>
        <v>29:14</v>
      </c>
      <c r="X23" s="52" t="s">
        <v>74</v>
      </c>
      <c r="Y23" s="124" t="s">
        <v>236</v>
      </c>
      <c r="Z23" s="124"/>
      <c r="AA23" s="47" t="s">
        <v>254</v>
      </c>
      <c r="AB23" s="47" t="str">
        <f t="shared" si="15"/>
        <v>NA</v>
      </c>
      <c r="AC23" s="53" t="str">
        <f t="shared" si="16"/>
        <v/>
      </c>
      <c r="AD23" s="54">
        <f t="shared" si="17"/>
        <v>1</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t="s">
        <v>75</v>
      </c>
      <c r="AT23" s="58"/>
      <c r="AU23" s="58"/>
      <c r="AV23" s="59"/>
      <c r="AW23" s="60">
        <f t="shared" si="1"/>
        <v>0</v>
      </c>
      <c r="AX23" s="61" t="str">
        <f t="shared" si="2"/>
        <v/>
      </c>
      <c r="AY23" s="60">
        <f t="shared" si="3"/>
        <v>0</v>
      </c>
      <c r="AZ23" s="61" t="str">
        <f t="shared" si="4"/>
        <v/>
      </c>
    </row>
    <row r="24" spans="1:52" s="3" customFormat="1" hidden="1" x14ac:dyDescent="0.35">
      <c r="A24" s="72">
        <f t="shared" si="5"/>
        <v>2021</v>
      </c>
      <c r="B24" s="72" t="str">
        <f t="shared" si="6"/>
        <v>Nov</v>
      </c>
      <c r="C24" s="73">
        <f t="shared" si="25"/>
        <v>14</v>
      </c>
      <c r="D24" s="74">
        <f t="shared" si="7"/>
        <v>14</v>
      </c>
      <c r="E24" s="75">
        <v>29</v>
      </c>
      <c r="F24" s="79">
        <v>3</v>
      </c>
      <c r="G24" s="82"/>
      <c r="H24" s="68" t="str">
        <f t="shared" si="26"/>
        <v>Hyprev7_20211114_14_00</v>
      </c>
      <c r="I24" s="69">
        <f t="shared" si="28"/>
        <v>1</v>
      </c>
      <c r="J24" s="76" t="str">
        <f t="shared" si="28"/>
        <v>Hypericum</v>
      </c>
      <c r="K24" s="76" t="str">
        <f t="shared" si="28"/>
        <v>revolutum</v>
      </c>
      <c r="L24" s="77">
        <f t="shared" si="28"/>
        <v>7</v>
      </c>
      <c r="M24" s="77">
        <f t="shared" si="28"/>
        <v>2</v>
      </c>
      <c r="N24" s="71">
        <f t="shared" si="28"/>
        <v>0</v>
      </c>
      <c r="O24" s="44"/>
      <c r="P24" s="45">
        <f t="shared" si="10"/>
        <v>1</v>
      </c>
      <c r="Q24" s="46" t="str">
        <f t="shared" si="11"/>
        <v>14:29:03</v>
      </c>
      <c r="R24" s="47" t="str">
        <f t="shared" si="12"/>
        <v>29:03</v>
      </c>
      <c r="S24" s="48">
        <f t="shared" si="0"/>
        <v>5</v>
      </c>
      <c r="T24" s="47" t="str">
        <f t="shared" si="13"/>
        <v>14</v>
      </c>
      <c r="U24" s="49">
        <v>29</v>
      </c>
      <c r="V24" s="50">
        <v>8</v>
      </c>
      <c r="W24" s="51" t="str">
        <f t="shared" si="14"/>
        <v>29:08</v>
      </c>
      <c r="X24" s="52" t="s">
        <v>69</v>
      </c>
      <c r="Y24" s="124" t="s">
        <v>241</v>
      </c>
      <c r="Z24" s="124" t="s">
        <v>252</v>
      </c>
      <c r="AA24" s="47" t="s">
        <v>253</v>
      </c>
      <c r="AB24" s="47" t="str">
        <f t="shared" si="15"/>
        <v>NA</v>
      </c>
      <c r="AC24" s="53" t="str">
        <f t="shared" si="16"/>
        <v/>
      </c>
      <c r="AD24" s="54">
        <f t="shared" si="17"/>
        <v>1</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t="s">
        <v>76</v>
      </c>
      <c r="AT24" s="58"/>
      <c r="AU24" s="58"/>
      <c r="AV24" s="59"/>
      <c r="AW24" s="60">
        <f t="shared" si="1"/>
        <v>0</v>
      </c>
      <c r="AX24" s="61" t="str">
        <f t="shared" si="2"/>
        <v/>
      </c>
      <c r="AY24" s="60">
        <f t="shared" si="3"/>
        <v>0</v>
      </c>
      <c r="AZ24" s="61" t="str">
        <f t="shared" si="4"/>
        <v/>
      </c>
    </row>
    <row r="25" spans="1:52" s="3" customFormat="1" hidden="1" x14ac:dyDescent="0.35">
      <c r="A25" s="72">
        <f t="shared" si="5"/>
        <v>2021</v>
      </c>
      <c r="B25" s="72" t="str">
        <f t="shared" si="6"/>
        <v>Nov</v>
      </c>
      <c r="C25" s="73">
        <f t="shared" si="25"/>
        <v>14</v>
      </c>
      <c r="D25" s="74">
        <f t="shared" si="7"/>
        <v>14</v>
      </c>
      <c r="E25" s="75">
        <v>29</v>
      </c>
      <c r="F25" s="79">
        <v>41</v>
      </c>
      <c r="G25" s="82"/>
      <c r="H25" s="68" t="str">
        <f t="shared" si="26"/>
        <v>Hyprev7_20211114_14_00</v>
      </c>
      <c r="I25" s="69">
        <f t="shared" si="28"/>
        <v>1</v>
      </c>
      <c r="J25" s="76" t="str">
        <f t="shared" si="28"/>
        <v>Hypericum</v>
      </c>
      <c r="K25" s="76" t="str">
        <f t="shared" si="28"/>
        <v>revolutum</v>
      </c>
      <c r="L25" s="77">
        <f t="shared" si="28"/>
        <v>7</v>
      </c>
      <c r="M25" s="77">
        <f t="shared" si="28"/>
        <v>2</v>
      </c>
      <c r="N25" s="71">
        <f t="shared" si="28"/>
        <v>0</v>
      </c>
      <c r="O25" s="44"/>
      <c r="P25" s="45">
        <f t="shared" si="10"/>
        <v>1</v>
      </c>
      <c r="Q25" s="46" t="str">
        <f t="shared" si="11"/>
        <v>14:29:41</v>
      </c>
      <c r="R25" s="47" t="str">
        <f t="shared" si="12"/>
        <v>29:41</v>
      </c>
      <c r="S25" s="48">
        <f t="shared" si="0"/>
        <v>336</v>
      </c>
      <c r="T25" s="47" t="str">
        <f t="shared" si="13"/>
        <v>14</v>
      </c>
      <c r="U25" s="49">
        <v>35</v>
      </c>
      <c r="V25" s="50">
        <v>17</v>
      </c>
      <c r="W25" s="51" t="str">
        <f t="shared" si="14"/>
        <v>35:17</v>
      </c>
      <c r="X25" s="52" t="s">
        <v>59</v>
      </c>
      <c r="Y25" s="124" t="s">
        <v>236</v>
      </c>
      <c r="Z25" s="124"/>
      <c r="AA25" s="47" t="s">
        <v>254</v>
      </c>
      <c r="AB25" s="47" t="str">
        <f t="shared" si="15"/>
        <v>NA</v>
      </c>
      <c r="AC25" s="53" t="str">
        <f t="shared" si="16"/>
        <v/>
      </c>
      <c r="AD25" s="54">
        <f t="shared" si="17"/>
        <v>1</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t="s">
        <v>77</v>
      </c>
      <c r="AT25" s="58"/>
      <c r="AU25" s="58"/>
      <c r="AV25" s="59"/>
      <c r="AW25" s="60">
        <f t="shared" si="1"/>
        <v>0</v>
      </c>
      <c r="AX25" s="61" t="str">
        <f t="shared" si="2"/>
        <v/>
      </c>
      <c r="AY25" s="60">
        <f t="shared" si="3"/>
        <v>0</v>
      </c>
      <c r="AZ25" s="61" t="str">
        <f t="shared" si="4"/>
        <v/>
      </c>
    </row>
    <row r="26" spans="1:52" s="3" customFormat="1" hidden="1" x14ac:dyDescent="0.35">
      <c r="A26" s="72">
        <f t="shared" si="5"/>
        <v>2021</v>
      </c>
      <c r="B26" s="72" t="str">
        <f t="shared" si="6"/>
        <v>Nov</v>
      </c>
      <c r="C26" s="73">
        <f t="shared" si="25"/>
        <v>14</v>
      </c>
      <c r="D26" s="74">
        <f t="shared" si="7"/>
        <v>14</v>
      </c>
      <c r="E26" s="75">
        <v>29</v>
      </c>
      <c r="F26" s="79">
        <v>45</v>
      </c>
      <c r="G26" s="82"/>
      <c r="H26" s="68" t="str">
        <f t="shared" si="26"/>
        <v>Hyprev7_20211114_14_00</v>
      </c>
      <c r="I26" s="69">
        <f t="shared" si="28"/>
        <v>1</v>
      </c>
      <c r="J26" s="76" t="str">
        <f t="shared" si="28"/>
        <v>Hypericum</v>
      </c>
      <c r="K26" s="76" t="str">
        <f t="shared" si="28"/>
        <v>revolutum</v>
      </c>
      <c r="L26" s="77">
        <f t="shared" si="28"/>
        <v>7</v>
      </c>
      <c r="M26" s="77">
        <f t="shared" si="28"/>
        <v>2</v>
      </c>
      <c r="N26" s="71">
        <f t="shared" si="28"/>
        <v>0</v>
      </c>
      <c r="O26" s="44"/>
      <c r="P26" s="45">
        <f t="shared" si="10"/>
        <v>1</v>
      </c>
      <c r="Q26" s="46" t="str">
        <f t="shared" si="11"/>
        <v>14:29:45</v>
      </c>
      <c r="R26" s="47" t="str">
        <f t="shared" si="12"/>
        <v>29:45</v>
      </c>
      <c r="S26" s="48">
        <f t="shared" si="0"/>
        <v>519</v>
      </c>
      <c r="T26" s="47" t="str">
        <f t="shared" si="13"/>
        <v>14</v>
      </c>
      <c r="U26" s="49">
        <v>38</v>
      </c>
      <c r="V26" s="50">
        <v>24</v>
      </c>
      <c r="W26" s="51" t="str">
        <f t="shared" si="14"/>
        <v>38:24</v>
      </c>
      <c r="X26" s="52" t="s">
        <v>61</v>
      </c>
      <c r="Y26" s="124" t="s">
        <v>237</v>
      </c>
      <c r="Z26" s="124" t="s">
        <v>252</v>
      </c>
      <c r="AA26" s="47" t="s">
        <v>254</v>
      </c>
      <c r="AB26" s="47" t="str">
        <f t="shared" si="15"/>
        <v>NA</v>
      </c>
      <c r="AC26" s="53" t="str">
        <f t="shared" si="16"/>
        <v/>
      </c>
      <c r="AD26" s="54">
        <f t="shared" si="17"/>
        <v>1</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t="s">
        <v>78</v>
      </c>
      <c r="AT26" s="58"/>
      <c r="AU26" s="58"/>
      <c r="AV26" s="59"/>
      <c r="AW26" s="60">
        <f t="shared" si="1"/>
        <v>0</v>
      </c>
      <c r="AX26" s="61" t="str">
        <f t="shared" si="2"/>
        <v/>
      </c>
      <c r="AY26" s="60">
        <f t="shared" si="3"/>
        <v>0</v>
      </c>
      <c r="AZ26" s="61" t="str">
        <f t="shared" si="4"/>
        <v/>
      </c>
    </row>
    <row r="27" spans="1:52" s="3" customFormat="1" hidden="1" x14ac:dyDescent="0.35">
      <c r="A27" s="72">
        <f t="shared" si="5"/>
        <v>2021</v>
      </c>
      <c r="B27" s="72" t="str">
        <f t="shared" si="6"/>
        <v>Nov</v>
      </c>
      <c r="C27" s="73">
        <f t="shared" si="25"/>
        <v>14</v>
      </c>
      <c r="D27" s="74">
        <f t="shared" si="7"/>
        <v>14</v>
      </c>
      <c r="E27" s="75">
        <f t="shared" si="8"/>
        <v>30</v>
      </c>
      <c r="F27" s="79"/>
      <c r="G27" s="82"/>
      <c r="H27" s="68" t="str">
        <f t="shared" si="26"/>
        <v>Hyprev7_20211114_14_00</v>
      </c>
      <c r="I27" s="69">
        <f t="shared" si="28"/>
        <v>1</v>
      </c>
      <c r="J27" s="76" t="str">
        <f t="shared" si="28"/>
        <v>Hypericum</v>
      </c>
      <c r="K27" s="76" t="str">
        <f t="shared" si="28"/>
        <v>revolutum</v>
      </c>
      <c r="L27" s="77">
        <f t="shared" si="28"/>
        <v>7</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v>
      </c>
      <c r="C28" s="73">
        <f t="shared" si="25"/>
        <v>14</v>
      </c>
      <c r="D28" s="74">
        <f t="shared" si="7"/>
        <v>14</v>
      </c>
      <c r="E28" s="75">
        <f t="shared" si="8"/>
        <v>31</v>
      </c>
      <c r="F28" s="79">
        <v>22</v>
      </c>
      <c r="G28" s="82"/>
      <c r="H28" s="68" t="str">
        <f t="shared" si="26"/>
        <v>Hyprev7_20211114_14_00</v>
      </c>
      <c r="I28" s="69">
        <f t="shared" si="28"/>
        <v>1</v>
      </c>
      <c r="J28" s="76" t="str">
        <f t="shared" si="28"/>
        <v>Hypericum</v>
      </c>
      <c r="K28" s="76" t="str">
        <f t="shared" si="28"/>
        <v>revolutum</v>
      </c>
      <c r="L28" s="77">
        <f t="shared" si="28"/>
        <v>7</v>
      </c>
      <c r="M28" s="77">
        <f t="shared" si="28"/>
        <v>2</v>
      </c>
      <c r="N28" s="71">
        <f t="shared" si="28"/>
        <v>0</v>
      </c>
      <c r="O28" s="44"/>
      <c r="P28" s="45">
        <f t="shared" si="10"/>
        <v>1</v>
      </c>
      <c r="Q28" s="46" t="str">
        <f t="shared" si="11"/>
        <v>14:31:22</v>
      </c>
      <c r="R28" s="47" t="str">
        <f t="shared" si="12"/>
        <v>31:22</v>
      </c>
      <c r="S28" s="48">
        <f t="shared" si="0"/>
        <v>9</v>
      </c>
      <c r="T28" s="47" t="str">
        <f t="shared" si="13"/>
        <v>14</v>
      </c>
      <c r="U28" s="49">
        <v>31</v>
      </c>
      <c r="V28" s="50">
        <v>31</v>
      </c>
      <c r="W28" s="51" t="str">
        <f t="shared" si="14"/>
        <v>31:31</v>
      </c>
      <c r="X28" s="52" t="s">
        <v>69</v>
      </c>
      <c r="Y28" s="124" t="s">
        <v>241</v>
      </c>
      <c r="Z28" s="124" t="s">
        <v>252</v>
      </c>
      <c r="AA28" s="47" t="s">
        <v>253</v>
      </c>
      <c r="AB28" s="47" t="str">
        <f t="shared" si="15"/>
        <v>NA</v>
      </c>
      <c r="AC28" s="53" t="str">
        <f t="shared" si="16"/>
        <v/>
      </c>
      <c r="AD28" s="54">
        <v>2</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t="s">
        <v>79</v>
      </c>
      <c r="AT28" s="58"/>
      <c r="AU28" s="58"/>
      <c r="AV28" s="59"/>
      <c r="AW28" s="60">
        <f t="shared" si="1"/>
        <v>0</v>
      </c>
      <c r="AX28" s="61" t="str">
        <f t="shared" si="2"/>
        <v/>
      </c>
      <c r="AY28" s="60">
        <f t="shared" si="3"/>
        <v>0</v>
      </c>
      <c r="AZ28" s="61" t="str">
        <f t="shared" si="4"/>
        <v/>
      </c>
    </row>
    <row r="29" spans="1:52" s="3" customFormat="1" hidden="1" x14ac:dyDescent="0.35">
      <c r="A29" s="72">
        <f t="shared" si="5"/>
        <v>2021</v>
      </c>
      <c r="B29" s="72" t="str">
        <f t="shared" si="6"/>
        <v>Nov</v>
      </c>
      <c r="C29" s="73">
        <f t="shared" si="25"/>
        <v>14</v>
      </c>
      <c r="D29" s="74">
        <f t="shared" si="7"/>
        <v>14</v>
      </c>
      <c r="E29" s="75">
        <f t="shared" si="8"/>
        <v>32</v>
      </c>
      <c r="F29" s="79">
        <v>0</v>
      </c>
      <c r="G29" s="82"/>
      <c r="H29" s="68" t="str">
        <f t="shared" si="26"/>
        <v>Hyprev7_20211114_14_00</v>
      </c>
      <c r="I29" s="69">
        <f t="shared" si="28"/>
        <v>1</v>
      </c>
      <c r="J29" s="76" t="str">
        <f t="shared" si="28"/>
        <v>Hypericum</v>
      </c>
      <c r="K29" s="76" t="str">
        <f t="shared" si="28"/>
        <v>revolutum</v>
      </c>
      <c r="L29" s="77">
        <f t="shared" si="28"/>
        <v>7</v>
      </c>
      <c r="M29" s="77">
        <f t="shared" si="28"/>
        <v>2</v>
      </c>
      <c r="N29" s="71">
        <f t="shared" si="28"/>
        <v>0</v>
      </c>
      <c r="O29" s="44"/>
      <c r="P29" s="45">
        <f t="shared" si="10"/>
        <v>1</v>
      </c>
      <c r="Q29" s="46" t="str">
        <f t="shared" si="11"/>
        <v>14:32:00</v>
      </c>
      <c r="R29" s="47" t="str">
        <f t="shared" si="12"/>
        <v>32:00</v>
      </c>
      <c r="S29" s="48">
        <f t="shared" si="0"/>
        <v>52</v>
      </c>
      <c r="T29" s="47" t="str">
        <f t="shared" si="13"/>
        <v>14</v>
      </c>
      <c r="U29" s="49">
        <v>32</v>
      </c>
      <c r="V29" s="50">
        <v>52</v>
      </c>
      <c r="W29" s="51" t="str">
        <f t="shared" si="14"/>
        <v>32:52</v>
      </c>
      <c r="X29" s="52" t="s">
        <v>59</v>
      </c>
      <c r="Y29" s="124" t="s">
        <v>239</v>
      </c>
      <c r="Z29" s="124"/>
      <c r="AA29" s="47" t="s">
        <v>254</v>
      </c>
      <c r="AB29" s="47" t="str">
        <f t="shared" si="15"/>
        <v>NA</v>
      </c>
      <c r="AC29" s="53" t="str">
        <f t="shared" si="16"/>
        <v/>
      </c>
      <c r="AD29" s="54">
        <f t="shared" si="17"/>
        <v>1</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t="s">
        <v>80</v>
      </c>
      <c r="AT29" s="58"/>
      <c r="AU29" s="58"/>
      <c r="AV29" s="59"/>
      <c r="AW29" s="60">
        <f t="shared" si="1"/>
        <v>0</v>
      </c>
      <c r="AX29" s="61" t="str">
        <f t="shared" si="2"/>
        <v/>
      </c>
      <c r="AY29" s="60">
        <f t="shared" si="3"/>
        <v>0</v>
      </c>
      <c r="AZ29" s="61" t="str">
        <f t="shared" si="4"/>
        <v/>
      </c>
    </row>
    <row r="30" spans="1:52" s="3" customFormat="1" hidden="1" x14ac:dyDescent="0.35">
      <c r="A30" s="72">
        <f t="shared" si="5"/>
        <v>2021</v>
      </c>
      <c r="B30" s="72" t="str">
        <f t="shared" si="6"/>
        <v>Nov</v>
      </c>
      <c r="C30" s="73">
        <f t="shared" si="25"/>
        <v>14</v>
      </c>
      <c r="D30" s="74">
        <f t="shared" si="7"/>
        <v>14</v>
      </c>
      <c r="E30" s="75">
        <f t="shared" si="8"/>
        <v>33</v>
      </c>
      <c r="F30" s="79">
        <v>28</v>
      </c>
      <c r="G30" s="82"/>
      <c r="H30" s="68" t="str">
        <f t="shared" si="26"/>
        <v>Hyprev7_20211114_14_00</v>
      </c>
      <c r="I30" s="69">
        <f t="shared" si="28"/>
        <v>1</v>
      </c>
      <c r="J30" s="76" t="str">
        <f t="shared" si="28"/>
        <v>Hypericum</v>
      </c>
      <c r="K30" s="76" t="str">
        <f t="shared" si="28"/>
        <v>revolutum</v>
      </c>
      <c r="L30" s="77">
        <f t="shared" si="28"/>
        <v>7</v>
      </c>
      <c r="M30" s="77">
        <f t="shared" si="28"/>
        <v>2</v>
      </c>
      <c r="N30" s="71">
        <f t="shared" si="28"/>
        <v>0</v>
      </c>
      <c r="O30" s="44"/>
      <c r="P30" s="45">
        <f t="shared" si="10"/>
        <v>1</v>
      </c>
      <c r="Q30" s="46" t="str">
        <f t="shared" si="11"/>
        <v>14:33:28</v>
      </c>
      <c r="R30" s="47" t="str">
        <f t="shared" si="12"/>
        <v>33:28</v>
      </c>
      <c r="S30" s="48">
        <f t="shared" si="0"/>
        <v>4</v>
      </c>
      <c r="T30" s="47" t="str">
        <f t="shared" si="13"/>
        <v>14</v>
      </c>
      <c r="U30" s="49">
        <v>33</v>
      </c>
      <c r="V30" s="50">
        <v>32</v>
      </c>
      <c r="W30" s="51" t="str">
        <f t="shared" si="14"/>
        <v>33:32</v>
      </c>
      <c r="X30" s="52" t="s">
        <v>69</v>
      </c>
      <c r="Y30" s="124" t="s">
        <v>241</v>
      </c>
      <c r="Z30" s="124" t="s">
        <v>252</v>
      </c>
      <c r="AA30" s="47" t="s">
        <v>253</v>
      </c>
      <c r="AB30" s="47" t="str">
        <f t="shared" si="15"/>
        <v>NA</v>
      </c>
      <c r="AC30" s="53" t="str">
        <f t="shared" si="16"/>
        <v/>
      </c>
      <c r="AD30" s="54">
        <f t="shared" si="17"/>
        <v>1</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t="s">
        <v>81</v>
      </c>
      <c r="AT30" s="58"/>
      <c r="AU30" s="58"/>
      <c r="AV30" s="59"/>
      <c r="AW30" s="60">
        <f t="shared" si="1"/>
        <v>0</v>
      </c>
      <c r="AX30" s="61" t="str">
        <f t="shared" si="2"/>
        <v/>
      </c>
      <c r="AY30" s="60">
        <f t="shared" si="3"/>
        <v>0</v>
      </c>
      <c r="AZ30" s="61" t="str">
        <f t="shared" si="4"/>
        <v/>
      </c>
    </row>
    <row r="31" spans="1:52" s="3" customFormat="1" hidden="1" x14ac:dyDescent="0.35">
      <c r="A31" s="72">
        <f t="shared" si="5"/>
        <v>2021</v>
      </c>
      <c r="B31" s="72" t="str">
        <f t="shared" si="6"/>
        <v>Nov</v>
      </c>
      <c r="C31" s="73">
        <f t="shared" si="25"/>
        <v>14</v>
      </c>
      <c r="D31" s="74">
        <f t="shared" si="7"/>
        <v>14</v>
      </c>
      <c r="E31" s="75">
        <f t="shared" si="8"/>
        <v>34</v>
      </c>
      <c r="F31" s="79">
        <v>36</v>
      </c>
      <c r="G31" s="82"/>
      <c r="H31" s="68" t="str">
        <f t="shared" si="26"/>
        <v>Hyprev7_20211114_14_00</v>
      </c>
      <c r="I31" s="69">
        <f t="shared" si="28"/>
        <v>1</v>
      </c>
      <c r="J31" s="76" t="str">
        <f t="shared" si="28"/>
        <v>Hypericum</v>
      </c>
      <c r="K31" s="76" t="str">
        <f t="shared" si="28"/>
        <v>revolutum</v>
      </c>
      <c r="L31" s="77">
        <f t="shared" si="28"/>
        <v>7</v>
      </c>
      <c r="M31" s="77">
        <f t="shared" si="28"/>
        <v>2</v>
      </c>
      <c r="N31" s="71">
        <f t="shared" si="28"/>
        <v>0</v>
      </c>
      <c r="O31" s="44"/>
      <c r="P31" s="45">
        <f t="shared" si="10"/>
        <v>1</v>
      </c>
      <c r="Q31" s="46" t="str">
        <f t="shared" si="11"/>
        <v>14:34:36</v>
      </c>
      <c r="R31" s="47" t="str">
        <f t="shared" si="12"/>
        <v>34:36</v>
      </c>
      <c r="S31" s="48">
        <f t="shared" si="0"/>
        <v>5</v>
      </c>
      <c r="T31" s="47" t="str">
        <f t="shared" si="13"/>
        <v>14</v>
      </c>
      <c r="U31" s="49">
        <v>34</v>
      </c>
      <c r="V31" s="50">
        <v>41</v>
      </c>
      <c r="W31" s="51" t="str">
        <f t="shared" si="14"/>
        <v>34:41</v>
      </c>
      <c r="X31" s="52" t="s">
        <v>69</v>
      </c>
      <c r="Y31" s="124" t="s">
        <v>241</v>
      </c>
      <c r="Z31" s="124" t="s">
        <v>252</v>
      </c>
      <c r="AA31" s="47" t="s">
        <v>253</v>
      </c>
      <c r="AB31" s="47" t="str">
        <f t="shared" si="15"/>
        <v>NA</v>
      </c>
      <c r="AC31" s="53" t="str">
        <f t="shared" si="16"/>
        <v/>
      </c>
      <c r="AD31" s="54">
        <f t="shared" si="17"/>
        <v>1</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t="s">
        <v>76</v>
      </c>
      <c r="AT31" s="58"/>
      <c r="AU31" s="58"/>
      <c r="AV31" s="59"/>
      <c r="AW31" s="60">
        <f t="shared" si="1"/>
        <v>0</v>
      </c>
      <c r="AX31" s="61" t="str">
        <f t="shared" si="2"/>
        <v/>
      </c>
      <c r="AY31" s="60">
        <f t="shared" si="3"/>
        <v>0</v>
      </c>
      <c r="AZ31" s="61" t="str">
        <f t="shared" si="4"/>
        <v/>
      </c>
    </row>
    <row r="32" spans="1:52" s="3" customFormat="1" hidden="1" x14ac:dyDescent="0.35">
      <c r="A32" s="72">
        <f t="shared" si="5"/>
        <v>2021</v>
      </c>
      <c r="B32" s="72" t="str">
        <f t="shared" si="6"/>
        <v>Nov</v>
      </c>
      <c r="C32" s="73">
        <f t="shared" si="25"/>
        <v>14</v>
      </c>
      <c r="D32" s="74">
        <f t="shared" si="7"/>
        <v>14</v>
      </c>
      <c r="E32" s="75">
        <f t="shared" si="8"/>
        <v>35</v>
      </c>
      <c r="F32" s="79"/>
      <c r="G32" s="82"/>
      <c r="H32" s="68" t="str">
        <f t="shared" si="26"/>
        <v>Hyprev7_20211114_14_00</v>
      </c>
      <c r="I32" s="69">
        <f t="shared" si="28"/>
        <v>1</v>
      </c>
      <c r="J32" s="76" t="str">
        <f t="shared" si="28"/>
        <v>Hypericum</v>
      </c>
      <c r="K32" s="76" t="str">
        <f t="shared" si="28"/>
        <v>revolutum</v>
      </c>
      <c r="L32" s="77">
        <f t="shared" si="28"/>
        <v>7</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v>
      </c>
      <c r="C33" s="73">
        <f t="shared" si="25"/>
        <v>14</v>
      </c>
      <c r="D33" s="74">
        <f t="shared" si="7"/>
        <v>14</v>
      </c>
      <c r="E33" s="75">
        <f t="shared" si="8"/>
        <v>36</v>
      </c>
      <c r="F33" s="79">
        <v>3</v>
      </c>
      <c r="G33" s="82"/>
      <c r="H33" s="68" t="str">
        <f t="shared" si="26"/>
        <v>Hyprev7_20211114_14_00</v>
      </c>
      <c r="I33" s="69">
        <f t="shared" si="28"/>
        <v>1</v>
      </c>
      <c r="J33" s="76" t="str">
        <f t="shared" si="28"/>
        <v>Hypericum</v>
      </c>
      <c r="K33" s="76" t="str">
        <f t="shared" si="28"/>
        <v>revolutum</v>
      </c>
      <c r="L33" s="77">
        <f t="shared" si="28"/>
        <v>7</v>
      </c>
      <c r="M33" s="77">
        <f t="shared" si="28"/>
        <v>2</v>
      </c>
      <c r="N33" s="71">
        <f t="shared" si="28"/>
        <v>0</v>
      </c>
      <c r="O33" s="44"/>
      <c r="P33" s="45">
        <f t="shared" si="10"/>
        <v>1</v>
      </c>
      <c r="Q33" s="46" t="str">
        <f t="shared" si="11"/>
        <v>14:36:03</v>
      </c>
      <c r="R33" s="47" t="str">
        <f t="shared" si="12"/>
        <v>36:03</v>
      </c>
      <c r="S33" s="48">
        <f t="shared" si="0"/>
        <v>5</v>
      </c>
      <c r="T33" s="47" t="str">
        <f t="shared" si="13"/>
        <v>14</v>
      </c>
      <c r="U33" s="49">
        <v>36</v>
      </c>
      <c r="V33" s="50">
        <v>8</v>
      </c>
      <c r="W33" s="51" t="str">
        <f t="shared" si="14"/>
        <v>36:08</v>
      </c>
      <c r="X33" s="84" t="s">
        <v>69</v>
      </c>
      <c r="Y33" s="124" t="s">
        <v>241</v>
      </c>
      <c r="Z33" s="124" t="s">
        <v>252</v>
      </c>
      <c r="AA33" s="47" t="s">
        <v>253</v>
      </c>
      <c r="AB33" s="47" t="str">
        <f t="shared" si="15"/>
        <v>NA</v>
      </c>
      <c r="AC33" s="53" t="str">
        <f t="shared" si="16"/>
        <v/>
      </c>
      <c r="AD33" s="54">
        <f t="shared" si="17"/>
        <v>1</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t="s">
        <v>76</v>
      </c>
      <c r="AT33" s="58"/>
      <c r="AU33" s="58"/>
      <c r="AV33" s="59"/>
      <c r="AW33" s="60">
        <f t="shared" si="1"/>
        <v>0</v>
      </c>
      <c r="AX33" s="61" t="str">
        <f t="shared" si="2"/>
        <v/>
      </c>
      <c r="AY33" s="60">
        <f t="shared" si="3"/>
        <v>0</v>
      </c>
      <c r="AZ33" s="61" t="str">
        <f t="shared" si="4"/>
        <v/>
      </c>
    </row>
    <row r="34" spans="1:52" s="3" customFormat="1" hidden="1" x14ac:dyDescent="0.35">
      <c r="A34" s="72">
        <f t="shared" si="5"/>
        <v>2021</v>
      </c>
      <c r="B34" s="72" t="str">
        <f t="shared" si="6"/>
        <v>Nov</v>
      </c>
      <c r="C34" s="73">
        <f t="shared" si="25"/>
        <v>14</v>
      </c>
      <c r="D34" s="74">
        <f t="shared" si="7"/>
        <v>14</v>
      </c>
      <c r="E34" s="75">
        <v>36</v>
      </c>
      <c r="F34" s="79">
        <v>10</v>
      </c>
      <c r="G34" s="82"/>
      <c r="H34" s="68" t="str">
        <f t="shared" si="26"/>
        <v>Hyprev7_20211114_14_00</v>
      </c>
      <c r="I34" s="69">
        <f t="shared" si="28"/>
        <v>1</v>
      </c>
      <c r="J34" s="76" t="str">
        <f t="shared" si="28"/>
        <v>Hypericum</v>
      </c>
      <c r="K34" s="76" t="str">
        <f t="shared" si="28"/>
        <v>revolutum</v>
      </c>
      <c r="L34" s="77">
        <f t="shared" si="28"/>
        <v>7</v>
      </c>
      <c r="M34" s="77">
        <f t="shared" si="28"/>
        <v>2</v>
      </c>
      <c r="N34" s="71">
        <f t="shared" si="28"/>
        <v>0</v>
      </c>
      <c r="O34" s="44"/>
      <c r="P34" s="45">
        <f t="shared" si="10"/>
        <v>1</v>
      </c>
      <c r="Q34" s="46" t="str">
        <f t="shared" si="11"/>
        <v>14:36:10</v>
      </c>
      <c r="R34" s="47" t="str">
        <f t="shared" si="12"/>
        <v>36:10</v>
      </c>
      <c r="S34" s="48">
        <f t="shared" si="0"/>
        <v>13</v>
      </c>
      <c r="T34" s="47" t="str">
        <f t="shared" si="13"/>
        <v>14</v>
      </c>
      <c r="U34" s="49">
        <v>36</v>
      </c>
      <c r="V34" s="50">
        <v>23</v>
      </c>
      <c r="W34" s="51" t="str">
        <f t="shared" si="14"/>
        <v>36:23</v>
      </c>
      <c r="X34" s="52" t="s">
        <v>82</v>
      </c>
      <c r="Y34" s="124" t="s">
        <v>236</v>
      </c>
      <c r="Z34" s="124"/>
      <c r="AA34" s="47" t="s">
        <v>254</v>
      </c>
      <c r="AB34" s="47" t="str">
        <f t="shared" si="15"/>
        <v>NA</v>
      </c>
      <c r="AC34" s="53" t="str">
        <f t="shared" si="16"/>
        <v/>
      </c>
      <c r="AD34" s="54">
        <f t="shared" si="17"/>
        <v>1</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t="s">
        <v>75</v>
      </c>
      <c r="AT34" s="58"/>
      <c r="AU34" s="58"/>
      <c r="AV34" s="59"/>
      <c r="AW34" s="60">
        <f t="shared" si="1"/>
        <v>0</v>
      </c>
      <c r="AX34" s="61" t="str">
        <f t="shared" si="2"/>
        <v/>
      </c>
      <c r="AY34" s="60">
        <f t="shared" si="3"/>
        <v>0</v>
      </c>
      <c r="AZ34" s="61" t="str">
        <f t="shared" si="4"/>
        <v/>
      </c>
    </row>
    <row r="35" spans="1:52" s="3" customFormat="1" hidden="1" x14ac:dyDescent="0.35">
      <c r="A35" s="72">
        <f t="shared" si="5"/>
        <v>2021</v>
      </c>
      <c r="B35" s="72" t="str">
        <f t="shared" si="6"/>
        <v>Nov</v>
      </c>
      <c r="C35" s="73">
        <f t="shared" si="25"/>
        <v>14</v>
      </c>
      <c r="D35" s="74">
        <f t="shared" si="7"/>
        <v>14</v>
      </c>
      <c r="E35" s="75">
        <v>36</v>
      </c>
      <c r="F35" s="79">
        <v>14</v>
      </c>
      <c r="G35" s="82"/>
      <c r="H35" s="68" t="str">
        <f t="shared" si="26"/>
        <v>Hyprev7_20211114_14_00</v>
      </c>
      <c r="I35" s="69">
        <f t="shared" si="28"/>
        <v>1</v>
      </c>
      <c r="J35" s="76" t="str">
        <f t="shared" si="28"/>
        <v>Hypericum</v>
      </c>
      <c r="K35" s="76" t="str">
        <f t="shared" si="28"/>
        <v>revolutum</v>
      </c>
      <c r="L35" s="77">
        <f t="shared" si="28"/>
        <v>7</v>
      </c>
      <c r="M35" s="77">
        <f t="shared" si="28"/>
        <v>2</v>
      </c>
      <c r="N35" s="71">
        <f t="shared" si="28"/>
        <v>0</v>
      </c>
      <c r="O35" s="44"/>
      <c r="P35" s="45">
        <f t="shared" si="10"/>
        <v>1</v>
      </c>
      <c r="Q35" s="46" t="str">
        <f t="shared" si="11"/>
        <v>14:36:14</v>
      </c>
      <c r="R35" s="47" t="str">
        <f t="shared" si="12"/>
        <v>36:14</v>
      </c>
      <c r="S35" s="48">
        <f t="shared" si="0"/>
        <v>1</v>
      </c>
      <c r="T35" s="47" t="str">
        <f t="shared" si="13"/>
        <v>14</v>
      </c>
      <c r="U35" s="49">
        <v>36</v>
      </c>
      <c r="V35" s="50">
        <v>15</v>
      </c>
      <c r="W35" s="51" t="str">
        <f t="shared" si="14"/>
        <v>36:15</v>
      </c>
      <c r="X35" s="52" t="s">
        <v>69</v>
      </c>
      <c r="Y35" s="124" t="s">
        <v>241</v>
      </c>
      <c r="Z35" s="124" t="s">
        <v>252</v>
      </c>
      <c r="AA35" s="47" t="s">
        <v>253</v>
      </c>
      <c r="AB35" s="47" t="str">
        <f t="shared" si="15"/>
        <v>NA</v>
      </c>
      <c r="AC35" s="53" t="str">
        <f t="shared" si="16"/>
        <v/>
      </c>
      <c r="AD35" s="54">
        <f t="shared" si="17"/>
        <v>1</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t="s">
        <v>71</v>
      </c>
      <c r="AT35" s="58"/>
      <c r="AU35" s="58"/>
      <c r="AV35" s="59"/>
      <c r="AW35" s="60">
        <f t="shared" si="1"/>
        <v>0</v>
      </c>
      <c r="AX35" s="61" t="str">
        <f t="shared" si="2"/>
        <v/>
      </c>
      <c r="AY35" s="60">
        <f t="shared" si="3"/>
        <v>0</v>
      </c>
      <c r="AZ35" s="61" t="str">
        <f t="shared" si="4"/>
        <v/>
      </c>
    </row>
    <row r="36" spans="1:52" s="3" customFormat="1" hidden="1" x14ac:dyDescent="0.35">
      <c r="A36" s="72">
        <f t="shared" si="5"/>
        <v>2021</v>
      </c>
      <c r="B36" s="72" t="str">
        <f t="shared" si="6"/>
        <v>Nov</v>
      </c>
      <c r="C36" s="73">
        <f t="shared" si="25"/>
        <v>14</v>
      </c>
      <c r="D36" s="74">
        <f t="shared" si="7"/>
        <v>14</v>
      </c>
      <c r="E36" s="75">
        <v>36</v>
      </c>
      <c r="F36" s="79">
        <v>20</v>
      </c>
      <c r="G36" s="82"/>
      <c r="H36" s="68" t="str">
        <f t="shared" si="26"/>
        <v>Hyprev7_20211114_14_00</v>
      </c>
      <c r="I36" s="69">
        <f t="shared" si="28"/>
        <v>1</v>
      </c>
      <c r="J36" s="76" t="str">
        <f t="shared" si="28"/>
        <v>Hypericum</v>
      </c>
      <c r="K36" s="76" t="str">
        <f t="shared" si="28"/>
        <v>revolutum</v>
      </c>
      <c r="L36" s="77">
        <f t="shared" si="28"/>
        <v>7</v>
      </c>
      <c r="M36" s="77">
        <f t="shared" si="28"/>
        <v>2</v>
      </c>
      <c r="N36" s="71">
        <f t="shared" si="28"/>
        <v>0</v>
      </c>
      <c r="O36" s="44"/>
      <c r="P36" s="45">
        <f t="shared" si="10"/>
        <v>1</v>
      </c>
      <c r="Q36" s="46" t="str">
        <f t="shared" si="11"/>
        <v>14:36:20</v>
      </c>
      <c r="R36" s="47" t="str">
        <f t="shared" si="12"/>
        <v>36:20</v>
      </c>
      <c r="S36" s="48">
        <f t="shared" si="0"/>
        <v>3</v>
      </c>
      <c r="T36" s="47" t="str">
        <f t="shared" si="13"/>
        <v>14</v>
      </c>
      <c r="U36" s="49">
        <v>36</v>
      </c>
      <c r="V36" s="50">
        <v>23</v>
      </c>
      <c r="W36" s="51" t="str">
        <f t="shared" si="14"/>
        <v>36:23</v>
      </c>
      <c r="X36" s="52" t="s">
        <v>69</v>
      </c>
      <c r="Y36" s="124" t="s">
        <v>241</v>
      </c>
      <c r="Z36" s="124" t="s">
        <v>252</v>
      </c>
      <c r="AA36" s="47" t="s">
        <v>253</v>
      </c>
      <c r="AB36" s="47" t="str">
        <f t="shared" si="15"/>
        <v>NA</v>
      </c>
      <c r="AC36" s="53" t="str">
        <f t="shared" si="16"/>
        <v/>
      </c>
      <c r="AD36" s="54">
        <f t="shared" si="17"/>
        <v>1</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t="s">
        <v>76</v>
      </c>
      <c r="AT36" s="58"/>
      <c r="AU36" s="58"/>
      <c r="AV36" s="59"/>
      <c r="AW36" s="60">
        <f t="shared" si="1"/>
        <v>0</v>
      </c>
      <c r="AX36" s="61" t="str">
        <f t="shared" si="2"/>
        <v/>
      </c>
      <c r="AY36" s="60">
        <f t="shared" si="3"/>
        <v>0</v>
      </c>
      <c r="AZ36" s="61" t="str">
        <f t="shared" si="4"/>
        <v/>
      </c>
    </row>
    <row r="37" spans="1:52" s="3" customFormat="1" hidden="1" x14ac:dyDescent="0.35">
      <c r="A37" s="72">
        <f t="shared" si="5"/>
        <v>2021</v>
      </c>
      <c r="B37" s="72" t="str">
        <f t="shared" si="6"/>
        <v>Nov</v>
      </c>
      <c r="C37" s="73">
        <f t="shared" si="25"/>
        <v>14</v>
      </c>
      <c r="D37" s="74">
        <f t="shared" si="7"/>
        <v>14</v>
      </c>
      <c r="E37" s="75">
        <f t="shared" si="8"/>
        <v>37</v>
      </c>
      <c r="F37" s="79">
        <v>9</v>
      </c>
      <c r="G37" s="82"/>
      <c r="H37" s="68" t="str">
        <f t="shared" si="26"/>
        <v>Hyprev7_20211114_14_00</v>
      </c>
      <c r="I37" s="69">
        <f t="shared" ref="I37:N52" si="29">I36</f>
        <v>1</v>
      </c>
      <c r="J37" s="76" t="str">
        <f t="shared" si="29"/>
        <v>Hypericum</v>
      </c>
      <c r="K37" s="76" t="str">
        <f t="shared" si="29"/>
        <v>revolutum</v>
      </c>
      <c r="L37" s="77">
        <f t="shared" si="29"/>
        <v>7</v>
      </c>
      <c r="M37" s="77">
        <f t="shared" si="29"/>
        <v>2</v>
      </c>
      <c r="N37" s="71">
        <f t="shared" si="29"/>
        <v>0</v>
      </c>
      <c r="O37" s="44"/>
      <c r="P37" s="45">
        <f t="shared" si="10"/>
        <v>1</v>
      </c>
      <c r="Q37" s="46" t="str">
        <f t="shared" si="11"/>
        <v>14:37:09</v>
      </c>
      <c r="R37" s="47" t="str">
        <f t="shared" si="12"/>
        <v>37:09</v>
      </c>
      <c r="S37" s="48">
        <f t="shared" si="0"/>
        <v>13</v>
      </c>
      <c r="T37" s="47" t="str">
        <f t="shared" si="13"/>
        <v>14</v>
      </c>
      <c r="U37" s="49">
        <v>37</v>
      </c>
      <c r="V37" s="50">
        <v>22</v>
      </c>
      <c r="W37" s="51" t="str">
        <f t="shared" si="14"/>
        <v>37:22</v>
      </c>
      <c r="X37" s="52" t="s">
        <v>61</v>
      </c>
      <c r="Y37" s="124" t="s">
        <v>239</v>
      </c>
      <c r="Z37" s="124"/>
      <c r="AA37" s="47" t="s">
        <v>254</v>
      </c>
      <c r="AB37" s="47" t="str">
        <f t="shared" si="15"/>
        <v>NA</v>
      </c>
      <c r="AC37" s="53" t="str">
        <f t="shared" si="16"/>
        <v/>
      </c>
      <c r="AD37" s="54">
        <f t="shared" si="17"/>
        <v>1</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t="s">
        <v>62</v>
      </c>
      <c r="AT37" s="58"/>
      <c r="AU37" s="58"/>
      <c r="AV37" s="59"/>
      <c r="AW37" s="60">
        <f t="shared" si="1"/>
        <v>0</v>
      </c>
      <c r="AX37" s="61" t="str">
        <f t="shared" si="2"/>
        <v/>
      </c>
      <c r="AY37" s="60">
        <f t="shared" si="3"/>
        <v>0</v>
      </c>
      <c r="AZ37" s="61" t="str">
        <f t="shared" si="4"/>
        <v/>
      </c>
    </row>
    <row r="38" spans="1:52" s="3" customFormat="1" hidden="1" x14ac:dyDescent="0.35">
      <c r="A38" s="72">
        <f t="shared" si="5"/>
        <v>2021</v>
      </c>
      <c r="B38" s="72" t="str">
        <f t="shared" si="6"/>
        <v>Nov</v>
      </c>
      <c r="C38" s="73">
        <f t="shared" si="25"/>
        <v>14</v>
      </c>
      <c r="D38" s="74">
        <f t="shared" si="7"/>
        <v>14</v>
      </c>
      <c r="E38" s="75">
        <v>37</v>
      </c>
      <c r="F38" s="79">
        <v>26</v>
      </c>
      <c r="G38" s="82"/>
      <c r="H38" s="68" t="str">
        <f t="shared" si="26"/>
        <v>Hyprev7_20211114_14_00</v>
      </c>
      <c r="I38" s="69">
        <f t="shared" si="29"/>
        <v>1</v>
      </c>
      <c r="J38" s="76" t="str">
        <f t="shared" si="29"/>
        <v>Hypericum</v>
      </c>
      <c r="K38" s="76" t="str">
        <f t="shared" si="29"/>
        <v>revolutum</v>
      </c>
      <c r="L38" s="77">
        <f t="shared" si="29"/>
        <v>7</v>
      </c>
      <c r="M38" s="77">
        <f t="shared" si="29"/>
        <v>2</v>
      </c>
      <c r="N38" s="71">
        <f t="shared" si="29"/>
        <v>0</v>
      </c>
      <c r="O38" s="44"/>
      <c r="P38" s="45">
        <f t="shared" si="10"/>
        <v>1</v>
      </c>
      <c r="Q38" s="46" t="str">
        <f t="shared" si="11"/>
        <v>14:37:26</v>
      </c>
      <c r="R38" s="47" t="str">
        <f t="shared" si="12"/>
        <v>37:26</v>
      </c>
      <c r="S38" s="48">
        <f t="shared" si="0"/>
        <v>8</v>
      </c>
      <c r="T38" s="47" t="str">
        <f t="shared" si="13"/>
        <v>14</v>
      </c>
      <c r="U38" s="49">
        <v>37</v>
      </c>
      <c r="V38" s="50">
        <v>34</v>
      </c>
      <c r="W38" s="51" t="str">
        <f t="shared" si="14"/>
        <v>37:34</v>
      </c>
      <c r="X38" s="52" t="s">
        <v>69</v>
      </c>
      <c r="Y38" s="124" t="s">
        <v>241</v>
      </c>
      <c r="Z38" s="124" t="s">
        <v>252</v>
      </c>
      <c r="AA38" s="47" t="s">
        <v>253</v>
      </c>
      <c r="AB38" s="47" t="str">
        <f t="shared" si="15"/>
        <v>NA</v>
      </c>
      <c r="AC38" s="53" t="str">
        <f t="shared" si="16"/>
        <v/>
      </c>
      <c r="AD38" s="54">
        <f t="shared" si="17"/>
        <v>1</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t="s">
        <v>76</v>
      </c>
      <c r="AT38" s="58"/>
      <c r="AU38" s="58"/>
      <c r="AV38" s="59"/>
      <c r="AW38" s="60">
        <f t="shared" si="1"/>
        <v>0</v>
      </c>
      <c r="AX38" s="61" t="str">
        <f t="shared" si="2"/>
        <v/>
      </c>
      <c r="AY38" s="60">
        <f t="shared" si="3"/>
        <v>0</v>
      </c>
      <c r="AZ38" s="61" t="str">
        <f t="shared" si="4"/>
        <v/>
      </c>
    </row>
    <row r="39" spans="1:52" s="3" customFormat="1" hidden="1" x14ac:dyDescent="0.35">
      <c r="A39" s="72">
        <f t="shared" si="5"/>
        <v>2021</v>
      </c>
      <c r="B39" s="72" t="str">
        <f t="shared" si="6"/>
        <v>Nov</v>
      </c>
      <c r="C39" s="73">
        <f t="shared" si="25"/>
        <v>14</v>
      </c>
      <c r="D39" s="74">
        <f t="shared" si="7"/>
        <v>14</v>
      </c>
      <c r="E39" s="75">
        <f t="shared" si="8"/>
        <v>38</v>
      </c>
      <c r="F39" s="79"/>
      <c r="G39" s="82"/>
      <c r="H39" s="68" t="str">
        <f t="shared" si="26"/>
        <v>Hyprev7_20211114_14_00</v>
      </c>
      <c r="I39" s="69">
        <f t="shared" si="29"/>
        <v>1</v>
      </c>
      <c r="J39" s="76" t="str">
        <f t="shared" si="29"/>
        <v>Hypericum</v>
      </c>
      <c r="K39" s="76" t="str">
        <f t="shared" si="29"/>
        <v>revolutum</v>
      </c>
      <c r="L39" s="77">
        <f t="shared" si="29"/>
        <v>7</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v>
      </c>
      <c r="C40" s="73">
        <f t="shared" si="25"/>
        <v>14</v>
      </c>
      <c r="D40" s="74">
        <f t="shared" si="7"/>
        <v>14</v>
      </c>
      <c r="E40" s="75">
        <f t="shared" si="8"/>
        <v>39</v>
      </c>
      <c r="F40" s="79">
        <v>14</v>
      </c>
      <c r="G40" s="82"/>
      <c r="H40" s="68" t="str">
        <f t="shared" si="26"/>
        <v>Hyprev7_20211114_14_00</v>
      </c>
      <c r="I40" s="69">
        <f t="shared" si="29"/>
        <v>1</v>
      </c>
      <c r="J40" s="76" t="str">
        <f t="shared" si="29"/>
        <v>Hypericum</v>
      </c>
      <c r="K40" s="76" t="str">
        <f t="shared" si="29"/>
        <v>revolutum</v>
      </c>
      <c r="L40" s="77">
        <f t="shared" si="29"/>
        <v>7</v>
      </c>
      <c r="M40" s="77">
        <f t="shared" si="29"/>
        <v>2</v>
      </c>
      <c r="N40" s="71">
        <f t="shared" si="29"/>
        <v>0</v>
      </c>
      <c r="O40" s="44"/>
      <c r="P40" s="45">
        <f t="shared" si="10"/>
        <v>1</v>
      </c>
      <c r="Q40" s="46" t="str">
        <f t="shared" si="11"/>
        <v>14:39:14</v>
      </c>
      <c r="R40" s="47" t="str">
        <f t="shared" si="12"/>
        <v>39:14</v>
      </c>
      <c r="S40" s="48">
        <f t="shared" si="0"/>
        <v>334</v>
      </c>
      <c r="T40" s="47" t="str">
        <f t="shared" si="13"/>
        <v>14</v>
      </c>
      <c r="U40" s="49">
        <v>44</v>
      </c>
      <c r="V40" s="50">
        <v>48</v>
      </c>
      <c r="W40" s="51" t="str">
        <f t="shared" si="14"/>
        <v>44:48</v>
      </c>
      <c r="X40" s="52" t="s">
        <v>61</v>
      </c>
      <c r="Y40" s="124" t="s">
        <v>237</v>
      </c>
      <c r="Z40" s="124" t="s">
        <v>252</v>
      </c>
      <c r="AA40" s="47" t="s">
        <v>254</v>
      </c>
      <c r="AB40" s="47" t="str">
        <f t="shared" si="15"/>
        <v>NA</v>
      </c>
      <c r="AC40" s="53" t="str">
        <f t="shared" si="16"/>
        <v/>
      </c>
      <c r="AD40" s="54">
        <v>2</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t="s">
        <v>83</v>
      </c>
      <c r="AT40" s="58"/>
      <c r="AU40" s="58"/>
      <c r="AV40" s="59"/>
      <c r="AW40" s="60">
        <f t="shared" si="1"/>
        <v>0</v>
      </c>
      <c r="AX40" s="61" t="str">
        <f t="shared" si="2"/>
        <v/>
      </c>
      <c r="AY40" s="60">
        <f t="shared" si="3"/>
        <v>0</v>
      </c>
      <c r="AZ40" s="61" t="str">
        <f t="shared" si="4"/>
        <v/>
      </c>
    </row>
    <row r="41" spans="1:52" s="3" customFormat="1" hidden="1" x14ac:dyDescent="0.35">
      <c r="A41" s="72">
        <f t="shared" si="5"/>
        <v>2021</v>
      </c>
      <c r="B41" s="72" t="str">
        <f t="shared" si="6"/>
        <v>Nov</v>
      </c>
      <c r="C41" s="73">
        <f t="shared" si="25"/>
        <v>14</v>
      </c>
      <c r="D41" s="74">
        <f t="shared" si="7"/>
        <v>14</v>
      </c>
      <c r="E41" s="75">
        <f t="shared" si="8"/>
        <v>40</v>
      </c>
      <c r="F41" s="79"/>
      <c r="G41" s="82"/>
      <c r="H41" s="68" t="str">
        <f t="shared" si="26"/>
        <v>Hyprev7_20211114_14_00</v>
      </c>
      <c r="I41" s="69">
        <f t="shared" si="29"/>
        <v>1</v>
      </c>
      <c r="J41" s="76" t="str">
        <f t="shared" si="29"/>
        <v>Hypericum</v>
      </c>
      <c r="K41" s="76" t="str">
        <f t="shared" si="29"/>
        <v>revolutum</v>
      </c>
      <c r="L41" s="77">
        <f t="shared" si="29"/>
        <v>7</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5"/>
        <v>14</v>
      </c>
      <c r="D42" s="74">
        <f t="shared" si="7"/>
        <v>14</v>
      </c>
      <c r="E42" s="75">
        <f t="shared" si="8"/>
        <v>41</v>
      </c>
      <c r="F42" s="79"/>
      <c r="G42" s="82"/>
      <c r="H42" s="68" t="str">
        <f t="shared" si="26"/>
        <v>Hyprev7_20211114_14_00</v>
      </c>
      <c r="I42" s="69">
        <f t="shared" si="29"/>
        <v>1</v>
      </c>
      <c r="J42" s="76" t="str">
        <f t="shared" si="29"/>
        <v>Hypericum</v>
      </c>
      <c r="K42" s="76" t="str">
        <f t="shared" si="29"/>
        <v>revolutum</v>
      </c>
      <c r="L42" s="77">
        <f t="shared" si="29"/>
        <v>7</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v>
      </c>
      <c r="C43" s="73">
        <f t="shared" si="25"/>
        <v>14</v>
      </c>
      <c r="D43" s="74">
        <f t="shared" si="7"/>
        <v>14</v>
      </c>
      <c r="E43" s="75">
        <f t="shared" si="8"/>
        <v>42</v>
      </c>
      <c r="F43" s="79"/>
      <c r="G43" s="82"/>
      <c r="H43" s="68" t="str">
        <f t="shared" si="26"/>
        <v>Hyprev7_20211114_14_00</v>
      </c>
      <c r="I43" s="69">
        <f t="shared" si="29"/>
        <v>1</v>
      </c>
      <c r="J43" s="76" t="str">
        <f t="shared" si="29"/>
        <v>Hypericum</v>
      </c>
      <c r="K43" s="76" t="str">
        <f t="shared" si="29"/>
        <v>revolutum</v>
      </c>
      <c r="L43" s="77">
        <f t="shared" si="29"/>
        <v>7</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v>
      </c>
      <c r="C44" s="73">
        <f t="shared" si="25"/>
        <v>14</v>
      </c>
      <c r="D44" s="74">
        <f t="shared" si="7"/>
        <v>14</v>
      </c>
      <c r="E44" s="75">
        <f t="shared" si="8"/>
        <v>43</v>
      </c>
      <c r="F44" s="79">
        <v>31</v>
      </c>
      <c r="G44" s="82"/>
      <c r="H44" s="68" t="str">
        <f t="shared" si="26"/>
        <v>Hyprev7_20211114_14_00</v>
      </c>
      <c r="I44" s="69">
        <f t="shared" si="29"/>
        <v>1</v>
      </c>
      <c r="J44" s="76" t="str">
        <f t="shared" si="29"/>
        <v>Hypericum</v>
      </c>
      <c r="K44" s="76" t="str">
        <f t="shared" si="29"/>
        <v>revolutum</v>
      </c>
      <c r="L44" s="77">
        <f t="shared" si="29"/>
        <v>7</v>
      </c>
      <c r="M44" s="77">
        <f t="shared" si="29"/>
        <v>2</v>
      </c>
      <c r="N44" s="71">
        <f t="shared" si="29"/>
        <v>0</v>
      </c>
      <c r="O44" s="44"/>
      <c r="P44" s="45">
        <f t="shared" si="10"/>
        <v>1</v>
      </c>
      <c r="Q44" s="46" t="str">
        <f t="shared" si="11"/>
        <v>14:43:31</v>
      </c>
      <c r="R44" s="47" t="str">
        <f t="shared" si="12"/>
        <v>43:31</v>
      </c>
      <c r="S44" s="48">
        <f t="shared" si="0"/>
        <v>4</v>
      </c>
      <c r="T44" s="47" t="str">
        <f t="shared" si="13"/>
        <v>14</v>
      </c>
      <c r="U44" s="49">
        <v>43</v>
      </c>
      <c r="V44" s="50">
        <v>35</v>
      </c>
      <c r="W44" s="51" t="str">
        <f t="shared" si="14"/>
        <v>43:35</v>
      </c>
      <c r="X44" s="52" t="s">
        <v>59</v>
      </c>
      <c r="Y44" s="124" t="s">
        <v>238</v>
      </c>
      <c r="Z44" s="124"/>
      <c r="AA44" s="47" t="s">
        <v>253</v>
      </c>
      <c r="AB44" s="47" t="str">
        <f t="shared" si="15"/>
        <v>NA</v>
      </c>
      <c r="AC44" s="53" t="str">
        <f t="shared" si="16"/>
        <v/>
      </c>
      <c r="AD44" s="54">
        <f t="shared" si="17"/>
        <v>1</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t="s">
        <v>84</v>
      </c>
      <c r="AT44" s="58"/>
      <c r="AU44" s="58"/>
      <c r="AV44" s="59"/>
      <c r="AW44" s="60">
        <f t="shared" si="1"/>
        <v>0</v>
      </c>
      <c r="AX44" s="61" t="str">
        <f t="shared" si="2"/>
        <v/>
      </c>
      <c r="AY44" s="60">
        <f t="shared" si="3"/>
        <v>0</v>
      </c>
      <c r="AZ44" s="61" t="str">
        <f t="shared" si="4"/>
        <v/>
      </c>
    </row>
    <row r="45" spans="1:52" s="3" customFormat="1" hidden="1" x14ac:dyDescent="0.35">
      <c r="A45" s="72">
        <f t="shared" si="5"/>
        <v>2021</v>
      </c>
      <c r="B45" s="72" t="str">
        <f t="shared" si="6"/>
        <v>Nov</v>
      </c>
      <c r="C45" s="73">
        <f t="shared" si="25"/>
        <v>14</v>
      </c>
      <c r="D45" s="74">
        <f t="shared" si="7"/>
        <v>14</v>
      </c>
      <c r="E45" s="75">
        <f t="shared" si="8"/>
        <v>44</v>
      </c>
      <c r="F45" s="79"/>
      <c r="G45" s="82"/>
      <c r="H45" s="68" t="str">
        <f t="shared" si="26"/>
        <v>Hyprev7_20211114_14_00</v>
      </c>
      <c r="I45" s="69">
        <f t="shared" si="29"/>
        <v>1</v>
      </c>
      <c r="J45" s="76" t="str">
        <f t="shared" si="29"/>
        <v>Hypericum</v>
      </c>
      <c r="K45" s="76" t="str">
        <f t="shared" si="29"/>
        <v>revolutum</v>
      </c>
      <c r="L45" s="77">
        <f t="shared" si="29"/>
        <v>7</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v>
      </c>
      <c r="C46" s="73">
        <f t="shared" si="25"/>
        <v>14</v>
      </c>
      <c r="D46" s="74">
        <f t="shared" si="7"/>
        <v>14</v>
      </c>
      <c r="E46" s="75">
        <f t="shared" si="8"/>
        <v>45</v>
      </c>
      <c r="F46" s="79">
        <v>20</v>
      </c>
      <c r="G46" s="82"/>
      <c r="H46" s="68" t="str">
        <f t="shared" si="26"/>
        <v>Hyprev7_20211114_14_00</v>
      </c>
      <c r="I46" s="69">
        <f t="shared" si="29"/>
        <v>1</v>
      </c>
      <c r="J46" s="76" t="str">
        <f t="shared" si="29"/>
        <v>Hypericum</v>
      </c>
      <c r="K46" s="76" t="str">
        <f t="shared" si="29"/>
        <v>revolutum</v>
      </c>
      <c r="L46" s="77">
        <f t="shared" si="29"/>
        <v>7</v>
      </c>
      <c r="M46" s="77">
        <f t="shared" si="29"/>
        <v>2</v>
      </c>
      <c r="N46" s="71">
        <f t="shared" si="29"/>
        <v>0</v>
      </c>
      <c r="O46" s="44"/>
      <c r="P46" s="45">
        <f t="shared" si="10"/>
        <v>1</v>
      </c>
      <c r="Q46" s="46" t="str">
        <f t="shared" si="11"/>
        <v>14:45:20</v>
      </c>
      <c r="R46" s="47" t="str">
        <f t="shared" si="12"/>
        <v>45:20</v>
      </c>
      <c r="S46" s="48">
        <f t="shared" si="0"/>
        <v>93</v>
      </c>
      <c r="T46" s="47" t="str">
        <f t="shared" si="13"/>
        <v>14</v>
      </c>
      <c r="U46" s="49">
        <v>46</v>
      </c>
      <c r="V46" s="50">
        <v>53</v>
      </c>
      <c r="W46" s="51" t="str">
        <f t="shared" si="14"/>
        <v>46:53</v>
      </c>
      <c r="X46" s="52" t="s">
        <v>59</v>
      </c>
      <c r="Y46" s="124" t="s">
        <v>238</v>
      </c>
      <c r="Z46" s="124"/>
      <c r="AA46" s="47" t="s">
        <v>253</v>
      </c>
      <c r="AB46" s="47" t="str">
        <f t="shared" si="15"/>
        <v>NA</v>
      </c>
      <c r="AC46" s="53" t="str">
        <f t="shared" si="16"/>
        <v/>
      </c>
      <c r="AD46" s="54">
        <f t="shared" si="17"/>
        <v>1</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t="s">
        <v>85</v>
      </c>
      <c r="AT46" s="58"/>
      <c r="AU46" s="58"/>
      <c r="AV46" s="59"/>
      <c r="AW46" s="60">
        <f t="shared" si="1"/>
        <v>0</v>
      </c>
      <c r="AX46" s="61" t="str">
        <f t="shared" si="2"/>
        <v/>
      </c>
      <c r="AY46" s="60">
        <f t="shared" si="3"/>
        <v>0</v>
      </c>
      <c r="AZ46" s="61" t="str">
        <f t="shared" si="4"/>
        <v/>
      </c>
    </row>
    <row r="47" spans="1:52" s="3" customFormat="1" hidden="1" x14ac:dyDescent="0.35">
      <c r="A47" s="72">
        <f t="shared" si="5"/>
        <v>2021</v>
      </c>
      <c r="B47" s="72" t="str">
        <f t="shared" si="6"/>
        <v>Nov</v>
      </c>
      <c r="C47" s="73">
        <f t="shared" si="25"/>
        <v>14</v>
      </c>
      <c r="D47" s="74">
        <f t="shared" si="7"/>
        <v>14</v>
      </c>
      <c r="E47" s="75">
        <f t="shared" si="8"/>
        <v>46</v>
      </c>
      <c r="F47" s="79">
        <v>18</v>
      </c>
      <c r="G47" s="82"/>
      <c r="H47" s="68" t="str">
        <f t="shared" si="26"/>
        <v>Hyprev7_20211114_14_00</v>
      </c>
      <c r="I47" s="69">
        <f t="shared" si="29"/>
        <v>1</v>
      </c>
      <c r="J47" s="76" t="str">
        <f t="shared" si="29"/>
        <v>Hypericum</v>
      </c>
      <c r="K47" s="76" t="str">
        <f t="shared" si="29"/>
        <v>revolutum</v>
      </c>
      <c r="L47" s="77">
        <f t="shared" si="29"/>
        <v>7</v>
      </c>
      <c r="M47" s="77">
        <f t="shared" si="29"/>
        <v>2</v>
      </c>
      <c r="N47" s="71">
        <f t="shared" si="29"/>
        <v>0</v>
      </c>
      <c r="O47" s="44"/>
      <c r="P47" s="45">
        <f t="shared" si="10"/>
        <v>1</v>
      </c>
      <c r="Q47" s="46" t="str">
        <f t="shared" si="11"/>
        <v>14:46:18</v>
      </c>
      <c r="R47" s="47" t="str">
        <f t="shared" si="12"/>
        <v>46:18</v>
      </c>
      <c r="S47" s="48">
        <f t="shared" si="0"/>
        <v>58</v>
      </c>
      <c r="T47" s="47" t="str">
        <f t="shared" si="13"/>
        <v>14</v>
      </c>
      <c r="U47" s="49">
        <v>47</v>
      </c>
      <c r="V47" s="50">
        <v>16</v>
      </c>
      <c r="W47" s="51" t="str">
        <f t="shared" si="14"/>
        <v>47:16</v>
      </c>
      <c r="X47" s="52" t="s">
        <v>61</v>
      </c>
      <c r="Y47" s="124" t="s">
        <v>237</v>
      </c>
      <c r="Z47" s="124" t="s">
        <v>252</v>
      </c>
      <c r="AA47" s="47" t="s">
        <v>254</v>
      </c>
      <c r="AB47" s="47" t="str">
        <f t="shared" si="15"/>
        <v>NA</v>
      </c>
      <c r="AC47" s="53" t="str">
        <f t="shared" si="16"/>
        <v/>
      </c>
      <c r="AD47" s="54">
        <f t="shared" si="17"/>
        <v>1</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t="s">
        <v>86</v>
      </c>
      <c r="AT47" s="58"/>
      <c r="AU47" s="58"/>
      <c r="AV47" s="59"/>
      <c r="AW47" s="60">
        <f t="shared" si="1"/>
        <v>0</v>
      </c>
      <c r="AX47" s="61" t="str">
        <f t="shared" si="2"/>
        <v/>
      </c>
      <c r="AY47" s="60">
        <f t="shared" si="3"/>
        <v>0</v>
      </c>
      <c r="AZ47" s="61" t="str">
        <f t="shared" si="4"/>
        <v/>
      </c>
    </row>
    <row r="48" spans="1:52" s="3" customFormat="1" hidden="1" x14ac:dyDescent="0.35">
      <c r="A48" s="72">
        <f t="shared" si="5"/>
        <v>2021</v>
      </c>
      <c r="B48" s="72" t="str">
        <f t="shared" si="6"/>
        <v>Nov</v>
      </c>
      <c r="C48" s="73">
        <f t="shared" si="25"/>
        <v>14</v>
      </c>
      <c r="D48" s="74">
        <f t="shared" si="7"/>
        <v>14</v>
      </c>
      <c r="E48" s="75">
        <f t="shared" si="8"/>
        <v>47</v>
      </c>
      <c r="F48" s="79"/>
      <c r="G48" s="82"/>
      <c r="H48" s="68" t="str">
        <f t="shared" si="26"/>
        <v>Hyprev7_20211114_14_00</v>
      </c>
      <c r="I48" s="69">
        <f t="shared" si="29"/>
        <v>1</v>
      </c>
      <c r="J48" s="76" t="str">
        <f t="shared" si="29"/>
        <v>Hypericum</v>
      </c>
      <c r="K48" s="76" t="str">
        <f t="shared" si="29"/>
        <v>revolutum</v>
      </c>
      <c r="L48" s="77">
        <f t="shared" si="29"/>
        <v>7</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v>
      </c>
      <c r="C49" s="73">
        <f t="shared" si="25"/>
        <v>14</v>
      </c>
      <c r="D49" s="74">
        <f t="shared" si="7"/>
        <v>14</v>
      </c>
      <c r="E49" s="75">
        <f t="shared" si="8"/>
        <v>48</v>
      </c>
      <c r="F49" s="79"/>
      <c r="G49" s="82"/>
      <c r="H49" s="68" t="str">
        <f t="shared" si="26"/>
        <v>Hyprev7_20211114_14_00</v>
      </c>
      <c r="I49" s="69">
        <f t="shared" si="29"/>
        <v>1</v>
      </c>
      <c r="J49" s="76" t="str">
        <f t="shared" si="29"/>
        <v>Hypericum</v>
      </c>
      <c r="K49" s="76" t="str">
        <f t="shared" si="29"/>
        <v>revolutum</v>
      </c>
      <c r="L49" s="77">
        <f t="shared" si="29"/>
        <v>7</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v>
      </c>
      <c r="C50" s="73">
        <f t="shared" si="25"/>
        <v>14</v>
      </c>
      <c r="D50" s="74">
        <f t="shared" si="7"/>
        <v>14</v>
      </c>
      <c r="E50" s="75">
        <f t="shared" si="8"/>
        <v>49</v>
      </c>
      <c r="F50" s="79"/>
      <c r="G50" s="82"/>
      <c r="H50" s="68" t="str">
        <f t="shared" si="26"/>
        <v>Hyprev7_20211114_14_00</v>
      </c>
      <c r="I50" s="69">
        <f t="shared" si="29"/>
        <v>1</v>
      </c>
      <c r="J50" s="76" t="str">
        <f t="shared" si="29"/>
        <v>Hypericum</v>
      </c>
      <c r="K50" s="76" t="str">
        <f t="shared" si="29"/>
        <v>revolutum</v>
      </c>
      <c r="L50" s="77">
        <f t="shared" si="29"/>
        <v>7</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v>
      </c>
      <c r="C51" s="73">
        <f t="shared" si="25"/>
        <v>14</v>
      </c>
      <c r="D51" s="74">
        <f t="shared" si="7"/>
        <v>14</v>
      </c>
      <c r="E51" s="75">
        <f t="shared" si="8"/>
        <v>50</v>
      </c>
      <c r="F51" s="79"/>
      <c r="G51" s="82"/>
      <c r="H51" s="68" t="str">
        <f t="shared" si="26"/>
        <v>Hyprev7_20211114_14_00</v>
      </c>
      <c r="I51" s="69">
        <f t="shared" si="29"/>
        <v>1</v>
      </c>
      <c r="J51" s="76" t="str">
        <f t="shared" si="29"/>
        <v>Hypericum</v>
      </c>
      <c r="K51" s="76" t="str">
        <f t="shared" si="29"/>
        <v>revolutum</v>
      </c>
      <c r="L51" s="77">
        <f t="shared" si="29"/>
        <v>7</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v>
      </c>
      <c r="C52" s="73">
        <f t="shared" si="25"/>
        <v>14</v>
      </c>
      <c r="D52" s="74">
        <f t="shared" si="7"/>
        <v>14</v>
      </c>
      <c r="E52" s="75">
        <f t="shared" si="8"/>
        <v>51</v>
      </c>
      <c r="F52" s="79">
        <v>58</v>
      </c>
      <c r="G52" s="82"/>
      <c r="H52" s="68" t="str">
        <f t="shared" si="26"/>
        <v>Hyprev7_20211114_14_00</v>
      </c>
      <c r="I52" s="69">
        <f t="shared" si="29"/>
        <v>1</v>
      </c>
      <c r="J52" s="76" t="str">
        <f t="shared" si="29"/>
        <v>Hypericum</v>
      </c>
      <c r="K52" s="76" t="str">
        <f t="shared" si="29"/>
        <v>revolutum</v>
      </c>
      <c r="L52" s="77">
        <f t="shared" si="29"/>
        <v>7</v>
      </c>
      <c r="M52" s="77">
        <f t="shared" si="29"/>
        <v>2</v>
      </c>
      <c r="N52" s="71">
        <f t="shared" si="29"/>
        <v>0</v>
      </c>
      <c r="O52" s="44"/>
      <c r="P52" s="45">
        <f t="shared" si="10"/>
        <v>1</v>
      </c>
      <c r="Q52" s="46" t="str">
        <f t="shared" si="11"/>
        <v>14:51:58</v>
      </c>
      <c r="R52" s="47" t="str">
        <f t="shared" si="12"/>
        <v>51:58</v>
      </c>
      <c r="S52" s="48">
        <f t="shared" si="0"/>
        <v>76</v>
      </c>
      <c r="T52" s="47" t="str">
        <f t="shared" si="13"/>
        <v>14</v>
      </c>
      <c r="U52" s="49">
        <v>53</v>
      </c>
      <c r="V52" s="50">
        <v>14</v>
      </c>
      <c r="W52" s="51" t="str">
        <f t="shared" si="14"/>
        <v>53:14</v>
      </c>
      <c r="X52" s="52" t="s">
        <v>69</v>
      </c>
      <c r="Y52" s="124" t="s">
        <v>241</v>
      </c>
      <c r="Z52" s="124" t="s">
        <v>252</v>
      </c>
      <c r="AA52" s="47" t="s">
        <v>253</v>
      </c>
      <c r="AB52" s="47" t="str">
        <f t="shared" si="15"/>
        <v>NA</v>
      </c>
      <c r="AC52" s="53" t="str">
        <f t="shared" si="16"/>
        <v/>
      </c>
      <c r="AD52" s="54">
        <f t="shared" si="17"/>
        <v>1</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t="s">
        <v>87</v>
      </c>
      <c r="AT52" s="58"/>
      <c r="AU52" s="58"/>
      <c r="AV52" s="59"/>
      <c r="AW52" s="60">
        <f t="shared" si="1"/>
        <v>0</v>
      </c>
      <c r="AX52" s="61" t="str">
        <f t="shared" si="2"/>
        <v/>
      </c>
      <c r="AY52" s="60">
        <f t="shared" si="3"/>
        <v>0</v>
      </c>
      <c r="AZ52" s="61" t="str">
        <f t="shared" si="4"/>
        <v/>
      </c>
    </row>
    <row r="53" spans="1:52" s="3" customFormat="1" hidden="1" x14ac:dyDescent="0.35">
      <c r="A53" s="72">
        <f t="shared" si="5"/>
        <v>2021</v>
      </c>
      <c r="B53" s="72" t="str">
        <f t="shared" si="6"/>
        <v>Nov</v>
      </c>
      <c r="C53" s="73">
        <f t="shared" si="25"/>
        <v>14</v>
      </c>
      <c r="D53" s="74">
        <f t="shared" si="7"/>
        <v>14</v>
      </c>
      <c r="E53" s="75">
        <f t="shared" si="8"/>
        <v>52</v>
      </c>
      <c r="F53" s="79"/>
      <c r="G53" s="82"/>
      <c r="H53" s="68" t="str">
        <f t="shared" si="26"/>
        <v>Hyprev7_20211114_14_00</v>
      </c>
      <c r="I53" s="69">
        <f t="shared" ref="I53:N68" si="30">I52</f>
        <v>1</v>
      </c>
      <c r="J53" s="76" t="str">
        <f t="shared" si="30"/>
        <v>Hypericum</v>
      </c>
      <c r="K53" s="76" t="str">
        <f t="shared" si="30"/>
        <v>revolutum</v>
      </c>
      <c r="L53" s="77">
        <f t="shared" si="30"/>
        <v>7</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v>
      </c>
      <c r="C54" s="73">
        <f t="shared" si="25"/>
        <v>14</v>
      </c>
      <c r="D54" s="74">
        <f t="shared" si="7"/>
        <v>14</v>
      </c>
      <c r="E54" s="75">
        <f t="shared" si="8"/>
        <v>53</v>
      </c>
      <c r="F54" s="79"/>
      <c r="G54" s="82"/>
      <c r="H54" s="68" t="str">
        <f t="shared" si="26"/>
        <v>Hyprev7_20211114_14_00</v>
      </c>
      <c r="I54" s="69">
        <f t="shared" si="30"/>
        <v>1</v>
      </c>
      <c r="J54" s="76" t="str">
        <f t="shared" si="30"/>
        <v>Hypericum</v>
      </c>
      <c r="K54" s="76" t="str">
        <f t="shared" si="30"/>
        <v>revolutum</v>
      </c>
      <c r="L54" s="77">
        <f t="shared" si="30"/>
        <v>7</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v>
      </c>
      <c r="C55" s="73">
        <f t="shared" si="25"/>
        <v>14</v>
      </c>
      <c r="D55" s="74">
        <f t="shared" si="7"/>
        <v>14</v>
      </c>
      <c r="E55" s="75">
        <f t="shared" si="8"/>
        <v>54</v>
      </c>
      <c r="F55" s="79"/>
      <c r="G55" s="82"/>
      <c r="H55" s="68" t="str">
        <f t="shared" si="26"/>
        <v>Hyprev7_20211114_14_00</v>
      </c>
      <c r="I55" s="69">
        <f t="shared" si="30"/>
        <v>1</v>
      </c>
      <c r="J55" s="76" t="str">
        <f t="shared" si="30"/>
        <v>Hypericum</v>
      </c>
      <c r="K55" s="76" t="str">
        <f t="shared" si="30"/>
        <v>revolutum</v>
      </c>
      <c r="L55" s="77">
        <f t="shared" si="30"/>
        <v>7</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v>
      </c>
      <c r="C56" s="73">
        <f t="shared" si="25"/>
        <v>14</v>
      </c>
      <c r="D56" s="74">
        <f t="shared" si="7"/>
        <v>14</v>
      </c>
      <c r="E56" s="75">
        <f t="shared" si="8"/>
        <v>55</v>
      </c>
      <c r="F56" s="79"/>
      <c r="G56" s="82"/>
      <c r="H56" s="68" t="str">
        <f t="shared" si="26"/>
        <v>Hyprev7_20211114_14_00</v>
      </c>
      <c r="I56" s="69">
        <f t="shared" si="30"/>
        <v>1</v>
      </c>
      <c r="J56" s="76" t="str">
        <f t="shared" si="30"/>
        <v>Hypericum</v>
      </c>
      <c r="K56" s="76" t="str">
        <f t="shared" si="30"/>
        <v>revolutum</v>
      </c>
      <c r="L56" s="77">
        <f t="shared" si="30"/>
        <v>7</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v>
      </c>
      <c r="C57" s="73">
        <f t="shared" si="25"/>
        <v>14</v>
      </c>
      <c r="D57" s="74">
        <f t="shared" si="7"/>
        <v>14</v>
      </c>
      <c r="E57" s="75">
        <f t="shared" si="8"/>
        <v>56</v>
      </c>
      <c r="F57" s="79">
        <v>4</v>
      </c>
      <c r="G57" s="82"/>
      <c r="H57" s="68" t="str">
        <f t="shared" si="26"/>
        <v>Hyprev7_20211114_14_00</v>
      </c>
      <c r="I57" s="69">
        <f t="shared" si="30"/>
        <v>1</v>
      </c>
      <c r="J57" s="76" t="str">
        <f t="shared" si="30"/>
        <v>Hypericum</v>
      </c>
      <c r="K57" s="76" t="str">
        <f t="shared" si="30"/>
        <v>revolutum</v>
      </c>
      <c r="L57" s="77">
        <f t="shared" si="30"/>
        <v>7</v>
      </c>
      <c r="M57" s="77">
        <f t="shared" si="30"/>
        <v>2</v>
      </c>
      <c r="N57" s="71">
        <f t="shared" si="30"/>
        <v>0</v>
      </c>
      <c r="O57" s="44"/>
      <c r="P57" s="45">
        <f t="shared" si="10"/>
        <v>1</v>
      </c>
      <c r="Q57" s="46" t="str">
        <f t="shared" si="11"/>
        <v>14:56:04</v>
      </c>
      <c r="R57" s="47" t="str">
        <f t="shared" si="12"/>
        <v>56:04</v>
      </c>
      <c r="S57" s="48">
        <f t="shared" si="0"/>
        <v>392</v>
      </c>
      <c r="T57" s="47">
        <v>15</v>
      </c>
      <c r="U57" s="49">
        <v>2</v>
      </c>
      <c r="V57" s="50">
        <v>36</v>
      </c>
      <c r="W57" s="51" t="str">
        <f t="shared" si="14"/>
        <v>02:36</v>
      </c>
      <c r="X57" s="52" t="s">
        <v>59</v>
      </c>
      <c r="Y57" s="124" t="s">
        <v>242</v>
      </c>
      <c r="Z57" s="124"/>
      <c r="AA57" s="47" t="s">
        <v>264</v>
      </c>
      <c r="AB57" s="47" t="str">
        <f t="shared" si="15"/>
        <v>NA</v>
      </c>
      <c r="AC57" s="53" t="str">
        <f t="shared" si="16"/>
        <v/>
      </c>
      <c r="AD57" s="54">
        <f t="shared" si="17"/>
        <v>1</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t="s">
        <v>88</v>
      </c>
      <c r="AT57" s="58"/>
      <c r="AU57" s="58"/>
      <c r="AV57" s="59"/>
      <c r="AW57" s="60">
        <f t="shared" si="1"/>
        <v>0</v>
      </c>
      <c r="AX57" s="61" t="str">
        <f t="shared" si="2"/>
        <v/>
      </c>
      <c r="AY57" s="60">
        <f t="shared" si="3"/>
        <v>0</v>
      </c>
      <c r="AZ57" s="61" t="str">
        <f t="shared" si="4"/>
        <v/>
      </c>
    </row>
    <row r="58" spans="1:52" s="3" customFormat="1" hidden="1" x14ac:dyDescent="0.35">
      <c r="A58" s="72">
        <f t="shared" si="5"/>
        <v>2021</v>
      </c>
      <c r="B58" s="72" t="str">
        <f t="shared" si="6"/>
        <v>Nov</v>
      </c>
      <c r="C58" s="73">
        <f t="shared" si="25"/>
        <v>14</v>
      </c>
      <c r="D58" s="74">
        <f t="shared" si="7"/>
        <v>14</v>
      </c>
      <c r="E58" s="75">
        <f t="shared" si="8"/>
        <v>57</v>
      </c>
      <c r="F58" s="79"/>
      <c r="G58" s="82"/>
      <c r="H58" s="68" t="str">
        <f t="shared" si="26"/>
        <v>Hyprev7_20211114_14_00</v>
      </c>
      <c r="I58" s="69">
        <f t="shared" si="30"/>
        <v>1</v>
      </c>
      <c r="J58" s="76" t="str">
        <f t="shared" si="30"/>
        <v>Hypericum</v>
      </c>
      <c r="K58" s="76" t="str">
        <f t="shared" si="30"/>
        <v>revolutum</v>
      </c>
      <c r="L58" s="77">
        <f t="shared" si="30"/>
        <v>7</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v>
      </c>
      <c r="C59" s="73">
        <f t="shared" si="25"/>
        <v>14</v>
      </c>
      <c r="D59" s="74">
        <f t="shared" si="7"/>
        <v>14</v>
      </c>
      <c r="E59" s="75">
        <f t="shared" si="8"/>
        <v>58</v>
      </c>
      <c r="F59" s="79"/>
      <c r="G59" s="82"/>
      <c r="H59" s="68" t="str">
        <f t="shared" si="26"/>
        <v>Hyprev7_20211114_14_00</v>
      </c>
      <c r="I59" s="69">
        <f t="shared" si="30"/>
        <v>1</v>
      </c>
      <c r="J59" s="76" t="str">
        <f t="shared" si="30"/>
        <v>Hypericum</v>
      </c>
      <c r="K59" s="76" t="str">
        <f t="shared" si="30"/>
        <v>revolutum</v>
      </c>
      <c r="L59" s="77">
        <f t="shared" si="30"/>
        <v>7</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v>
      </c>
      <c r="C60" s="73">
        <f t="shared" si="25"/>
        <v>14</v>
      </c>
      <c r="D60" s="74">
        <f t="shared" si="7"/>
        <v>14</v>
      </c>
      <c r="E60" s="75">
        <f t="shared" si="8"/>
        <v>59</v>
      </c>
      <c r="F60" s="79"/>
      <c r="G60" s="82"/>
      <c r="H60" s="68" t="str">
        <f t="shared" si="26"/>
        <v>Hyprev7_20211114_14_00</v>
      </c>
      <c r="I60" s="69">
        <f t="shared" si="30"/>
        <v>1</v>
      </c>
      <c r="J60" s="76" t="str">
        <f t="shared" si="30"/>
        <v>Hypericum</v>
      </c>
      <c r="K60" s="76" t="str">
        <f t="shared" si="30"/>
        <v>revolutum</v>
      </c>
      <c r="L60" s="77">
        <f t="shared" si="30"/>
        <v>7</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v>
      </c>
      <c r="C61" s="73">
        <f t="shared" si="25"/>
        <v>14</v>
      </c>
      <c r="D61" s="74">
        <f t="shared" si="7"/>
        <v>15</v>
      </c>
      <c r="E61" s="75">
        <f t="shared" si="8"/>
        <v>0</v>
      </c>
      <c r="F61" s="79"/>
      <c r="G61" s="82"/>
      <c r="H61" s="68" t="str">
        <f t="shared" si="26"/>
        <v>Hyprev7_20211114_15_00</v>
      </c>
      <c r="I61" s="69">
        <f t="shared" si="30"/>
        <v>1</v>
      </c>
      <c r="J61" s="76" t="str">
        <f t="shared" si="30"/>
        <v>Hypericum</v>
      </c>
      <c r="K61" s="76" t="str">
        <f t="shared" si="30"/>
        <v>revolutum</v>
      </c>
      <c r="L61" s="77">
        <f t="shared" si="30"/>
        <v>7</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v>
      </c>
      <c r="C62" s="73">
        <f t="shared" si="25"/>
        <v>14</v>
      </c>
      <c r="D62" s="74">
        <f t="shared" si="7"/>
        <v>15</v>
      </c>
      <c r="E62" s="75">
        <f t="shared" si="8"/>
        <v>1</v>
      </c>
      <c r="F62" s="79">
        <v>16</v>
      </c>
      <c r="G62" s="82"/>
      <c r="H62" s="68" t="str">
        <f t="shared" si="26"/>
        <v>Hyprev7_20211114_15_00</v>
      </c>
      <c r="I62" s="69">
        <f t="shared" si="30"/>
        <v>1</v>
      </c>
      <c r="J62" s="76" t="str">
        <f t="shared" si="30"/>
        <v>Hypericum</v>
      </c>
      <c r="K62" s="76" t="str">
        <f t="shared" si="30"/>
        <v>revolutum</v>
      </c>
      <c r="L62" s="77">
        <f t="shared" si="30"/>
        <v>7</v>
      </c>
      <c r="M62" s="77">
        <f t="shared" si="30"/>
        <v>2</v>
      </c>
      <c r="N62" s="71">
        <f t="shared" si="30"/>
        <v>0</v>
      </c>
      <c r="O62" s="44"/>
      <c r="P62" s="45">
        <f t="shared" si="10"/>
        <v>1</v>
      </c>
      <c r="Q62" s="46" t="str">
        <f t="shared" si="11"/>
        <v>15:01:16</v>
      </c>
      <c r="R62" s="47" t="str">
        <f t="shared" si="12"/>
        <v>01:16</v>
      </c>
      <c r="S62" s="48">
        <f t="shared" si="0"/>
        <v>204</v>
      </c>
      <c r="T62" s="47" t="str">
        <f t="shared" si="13"/>
        <v>15</v>
      </c>
      <c r="U62" s="49">
        <v>4</v>
      </c>
      <c r="V62" s="50">
        <v>40</v>
      </c>
      <c r="W62" s="51" t="str">
        <f t="shared" si="14"/>
        <v>04:40</v>
      </c>
      <c r="X62" s="52" t="s">
        <v>59</v>
      </c>
      <c r="Y62" s="124" t="s">
        <v>238</v>
      </c>
      <c r="Z62" s="124"/>
      <c r="AA62" s="47" t="s">
        <v>253</v>
      </c>
      <c r="AB62" s="47" t="str">
        <f t="shared" si="15"/>
        <v>NA</v>
      </c>
      <c r="AC62" s="53" t="str">
        <f t="shared" si="16"/>
        <v/>
      </c>
      <c r="AD62" s="54">
        <f t="shared" si="17"/>
        <v>1</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t="s">
        <v>89</v>
      </c>
      <c r="AT62" s="58"/>
      <c r="AU62" s="58"/>
      <c r="AV62" s="59"/>
      <c r="AW62" s="60">
        <f t="shared" si="1"/>
        <v>0</v>
      </c>
      <c r="AX62" s="61" t="str">
        <f t="shared" si="2"/>
        <v/>
      </c>
      <c r="AY62" s="60">
        <f t="shared" si="3"/>
        <v>0</v>
      </c>
      <c r="AZ62" s="61" t="str">
        <f t="shared" si="4"/>
        <v/>
      </c>
    </row>
    <row r="63" spans="1:52" s="3" customFormat="1" hidden="1" x14ac:dyDescent="0.35">
      <c r="A63" s="72">
        <f t="shared" si="5"/>
        <v>2021</v>
      </c>
      <c r="B63" s="72" t="str">
        <f t="shared" si="6"/>
        <v>Nov</v>
      </c>
      <c r="C63" s="73">
        <f t="shared" si="25"/>
        <v>14</v>
      </c>
      <c r="D63" s="74">
        <f t="shared" si="7"/>
        <v>15</v>
      </c>
      <c r="E63" s="75">
        <f t="shared" si="8"/>
        <v>2</v>
      </c>
      <c r="F63" s="79"/>
      <c r="G63" s="82"/>
      <c r="H63" s="68" t="str">
        <f t="shared" si="26"/>
        <v>Hyprev7_20211114_15_00</v>
      </c>
      <c r="I63" s="69">
        <f t="shared" si="30"/>
        <v>1</v>
      </c>
      <c r="J63" s="76" t="str">
        <f t="shared" si="30"/>
        <v>Hypericum</v>
      </c>
      <c r="K63" s="76" t="str">
        <f t="shared" si="30"/>
        <v>revolutum</v>
      </c>
      <c r="L63" s="77">
        <f t="shared" si="30"/>
        <v>7</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v>
      </c>
      <c r="C64" s="73">
        <f t="shared" si="25"/>
        <v>14</v>
      </c>
      <c r="D64" s="74">
        <f t="shared" si="7"/>
        <v>15</v>
      </c>
      <c r="E64" s="75">
        <f t="shared" si="8"/>
        <v>3</v>
      </c>
      <c r="F64" s="79"/>
      <c r="G64" s="82"/>
      <c r="H64" s="68" t="str">
        <f t="shared" si="26"/>
        <v>Hyprev7_20211114_15_00</v>
      </c>
      <c r="I64" s="69">
        <f t="shared" si="30"/>
        <v>1</v>
      </c>
      <c r="J64" s="76" t="str">
        <f t="shared" si="30"/>
        <v>Hypericum</v>
      </c>
      <c r="K64" s="76" t="str">
        <f t="shared" si="30"/>
        <v>revolutum</v>
      </c>
      <c r="L64" s="77">
        <f t="shared" si="30"/>
        <v>7</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v>
      </c>
      <c r="C65" s="73">
        <f t="shared" si="25"/>
        <v>14</v>
      </c>
      <c r="D65" s="74">
        <f t="shared" si="7"/>
        <v>15</v>
      </c>
      <c r="E65" s="75">
        <f t="shared" si="8"/>
        <v>4</v>
      </c>
      <c r="F65" s="79"/>
      <c r="G65" s="82"/>
      <c r="H65" s="68" t="str">
        <f t="shared" si="26"/>
        <v>Hyprev7_20211114_15_00</v>
      </c>
      <c r="I65" s="69">
        <f t="shared" si="30"/>
        <v>1</v>
      </c>
      <c r="J65" s="76" t="str">
        <f t="shared" si="30"/>
        <v>Hypericum</v>
      </c>
      <c r="K65" s="76" t="str">
        <f t="shared" si="30"/>
        <v>revolutum</v>
      </c>
      <c r="L65" s="77">
        <f t="shared" si="30"/>
        <v>7</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v>
      </c>
      <c r="C66" s="73">
        <f t="shared" si="25"/>
        <v>14</v>
      </c>
      <c r="D66" s="74">
        <f t="shared" si="7"/>
        <v>15</v>
      </c>
      <c r="E66" s="75">
        <f t="shared" si="8"/>
        <v>5</v>
      </c>
      <c r="F66" s="79"/>
      <c r="G66" s="82"/>
      <c r="H66" s="68" t="str">
        <f t="shared" si="26"/>
        <v>Hyprev7_20211114_15_00</v>
      </c>
      <c r="I66" s="69">
        <f t="shared" si="30"/>
        <v>1</v>
      </c>
      <c r="J66" s="76" t="str">
        <f t="shared" si="30"/>
        <v>Hypericum</v>
      </c>
      <c r="K66" s="76" t="str">
        <f t="shared" si="30"/>
        <v>revolutum</v>
      </c>
      <c r="L66" s="77">
        <f t="shared" si="30"/>
        <v>7</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v>
      </c>
      <c r="C67" s="73">
        <f t="shared" si="25"/>
        <v>14</v>
      </c>
      <c r="D67" s="74">
        <f t="shared" si="7"/>
        <v>15</v>
      </c>
      <c r="E67" s="75">
        <f t="shared" si="8"/>
        <v>6</v>
      </c>
      <c r="F67" s="79"/>
      <c r="G67" s="82"/>
      <c r="H67" s="68" t="str">
        <f t="shared" si="26"/>
        <v>Hyprev7_20211114_15_00</v>
      </c>
      <c r="I67" s="69">
        <f t="shared" si="30"/>
        <v>1</v>
      </c>
      <c r="J67" s="76" t="str">
        <f t="shared" si="30"/>
        <v>Hypericum</v>
      </c>
      <c r="K67" s="76" t="str">
        <f t="shared" si="30"/>
        <v>revolutum</v>
      </c>
      <c r="L67" s="77">
        <f t="shared" si="30"/>
        <v>7</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v>
      </c>
      <c r="C68" s="73">
        <f t="shared" si="25"/>
        <v>14</v>
      </c>
      <c r="D68" s="74">
        <f t="shared" ref="D68:D131" si="38">IF(IF(E67=59,D67+1,D67)=24,0,IF(E67=59,D67+1,D67))</f>
        <v>15</v>
      </c>
      <c r="E68" s="75">
        <f t="shared" ref="E68:E131" si="39">IF(E67&lt;59,E67+1,0)</f>
        <v>7</v>
      </c>
      <c r="F68" s="79"/>
      <c r="G68" s="82"/>
      <c r="H68" s="68" t="str">
        <f t="shared" si="26"/>
        <v>Hyprev7_20211114_15_00</v>
      </c>
      <c r="I68" s="69">
        <f t="shared" si="30"/>
        <v>1</v>
      </c>
      <c r="J68" s="76" t="str">
        <f t="shared" si="30"/>
        <v>Hypericum</v>
      </c>
      <c r="K68" s="76" t="str">
        <f t="shared" si="30"/>
        <v>revolutum</v>
      </c>
      <c r="L68" s="77">
        <f t="shared" si="30"/>
        <v>7</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v>
      </c>
      <c r="C69" s="73">
        <f t="shared" ref="C69:C132" si="55">IF(AND(D69=0, E69=0), IF(TEXT(C68,"dd")=TEXT(EOMONTH(DATE(A68,MONTH(DATEVALUE(B68&amp;"1")),C68),0), "dd"), 1, C68+1), C68)</f>
        <v>14</v>
      </c>
      <c r="D69" s="74">
        <f t="shared" si="38"/>
        <v>15</v>
      </c>
      <c r="E69" s="75">
        <f t="shared" si="39"/>
        <v>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Hyprev7_20211114_15_00</v>
      </c>
      <c r="I69" s="69">
        <f t="shared" ref="I69:N84" si="57">I68</f>
        <v>1</v>
      </c>
      <c r="J69" s="76" t="str">
        <f t="shared" si="57"/>
        <v>Hypericum</v>
      </c>
      <c r="K69" s="76" t="str">
        <f t="shared" si="57"/>
        <v>revolutum</v>
      </c>
      <c r="L69" s="77">
        <f t="shared" si="57"/>
        <v>7</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v>
      </c>
      <c r="C70" s="73">
        <f t="shared" si="55"/>
        <v>14</v>
      </c>
      <c r="D70" s="74">
        <f t="shared" si="38"/>
        <v>15</v>
      </c>
      <c r="E70" s="75">
        <f t="shared" si="39"/>
        <v>9</v>
      </c>
      <c r="F70" s="79"/>
      <c r="G70" s="82"/>
      <c r="H70" s="68" t="str">
        <f t="shared" si="56"/>
        <v>Hyprev7_20211114_15_00</v>
      </c>
      <c r="I70" s="69">
        <f t="shared" si="57"/>
        <v>1</v>
      </c>
      <c r="J70" s="76" t="str">
        <f t="shared" si="57"/>
        <v>Hypericum</v>
      </c>
      <c r="K70" s="76" t="str">
        <f t="shared" si="57"/>
        <v>revolutum</v>
      </c>
      <c r="L70" s="77">
        <f t="shared" si="57"/>
        <v>7</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v>
      </c>
      <c r="C71" s="73">
        <f t="shared" si="55"/>
        <v>14</v>
      </c>
      <c r="D71" s="74">
        <f t="shared" si="38"/>
        <v>15</v>
      </c>
      <c r="E71" s="75">
        <f t="shared" si="39"/>
        <v>10</v>
      </c>
      <c r="F71" s="79"/>
      <c r="G71" s="82"/>
      <c r="H71" s="68" t="str">
        <f t="shared" si="56"/>
        <v>Hyprev7_20211114_15_00</v>
      </c>
      <c r="I71" s="69">
        <f t="shared" si="57"/>
        <v>1</v>
      </c>
      <c r="J71" s="76" t="str">
        <f t="shared" si="57"/>
        <v>Hypericum</v>
      </c>
      <c r="K71" s="76" t="str">
        <f t="shared" si="57"/>
        <v>revolutum</v>
      </c>
      <c r="L71" s="77">
        <f t="shared" si="57"/>
        <v>7</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v>
      </c>
      <c r="C72" s="73">
        <f t="shared" si="55"/>
        <v>14</v>
      </c>
      <c r="D72" s="74">
        <f t="shared" si="38"/>
        <v>15</v>
      </c>
      <c r="E72" s="75">
        <f t="shared" si="39"/>
        <v>11</v>
      </c>
      <c r="F72" s="79"/>
      <c r="G72" s="82"/>
      <c r="H72" s="68" t="str">
        <f t="shared" si="56"/>
        <v>Hyprev7_20211114_15_00</v>
      </c>
      <c r="I72" s="69">
        <f t="shared" si="57"/>
        <v>1</v>
      </c>
      <c r="J72" s="76" t="str">
        <f t="shared" si="57"/>
        <v>Hypericum</v>
      </c>
      <c r="K72" s="76" t="str">
        <f t="shared" si="57"/>
        <v>revolutum</v>
      </c>
      <c r="L72" s="77">
        <f t="shared" si="57"/>
        <v>7</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v>
      </c>
      <c r="C73" s="73">
        <f t="shared" si="55"/>
        <v>14</v>
      </c>
      <c r="D73" s="74">
        <f t="shared" si="38"/>
        <v>15</v>
      </c>
      <c r="E73" s="75">
        <f t="shared" si="39"/>
        <v>12</v>
      </c>
      <c r="F73" s="79">
        <v>34</v>
      </c>
      <c r="G73" s="82"/>
      <c r="H73" s="68" t="str">
        <f t="shared" si="56"/>
        <v>Hyprev7_20211114_15_00</v>
      </c>
      <c r="I73" s="69">
        <f t="shared" si="57"/>
        <v>1</v>
      </c>
      <c r="J73" s="76" t="str">
        <f t="shared" si="57"/>
        <v>Hypericum</v>
      </c>
      <c r="K73" s="76" t="str">
        <f t="shared" si="57"/>
        <v>revolutum</v>
      </c>
      <c r="L73" s="77">
        <f t="shared" si="57"/>
        <v>7</v>
      </c>
      <c r="M73" s="77">
        <f t="shared" si="57"/>
        <v>2</v>
      </c>
      <c r="N73" s="71">
        <f t="shared" si="57"/>
        <v>0</v>
      </c>
      <c r="O73" s="44"/>
      <c r="P73" s="45">
        <f t="shared" si="40"/>
        <v>1</v>
      </c>
      <c r="Q73" s="46" t="str">
        <f t="shared" si="41"/>
        <v>15:12:34</v>
      </c>
      <c r="R73" s="47" t="str">
        <f t="shared" si="42"/>
        <v>12:34</v>
      </c>
      <c r="S73" s="48">
        <f t="shared" si="31"/>
        <v>229</v>
      </c>
      <c r="T73" s="47" t="str">
        <f t="shared" si="43"/>
        <v>15</v>
      </c>
      <c r="U73" s="49">
        <v>16</v>
      </c>
      <c r="V73" s="50">
        <v>23</v>
      </c>
      <c r="W73" s="51" t="str">
        <f t="shared" si="44"/>
        <v>16:23</v>
      </c>
      <c r="X73" s="52" t="s">
        <v>59</v>
      </c>
      <c r="Y73" s="124" t="s">
        <v>236</v>
      </c>
      <c r="Z73" s="124"/>
      <c r="AA73" s="47" t="s">
        <v>254</v>
      </c>
      <c r="AB73" s="47" t="str">
        <f t="shared" si="45"/>
        <v>NA</v>
      </c>
      <c r="AC73" s="53" t="str">
        <f t="shared" si="46"/>
        <v/>
      </c>
      <c r="AD73" s="54">
        <f t="shared" si="47"/>
        <v>1</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t="s">
        <v>90</v>
      </c>
      <c r="AT73" s="58"/>
      <c r="AU73" s="58"/>
      <c r="AV73" s="59"/>
      <c r="AW73" s="60">
        <f t="shared" si="32"/>
        <v>0</v>
      </c>
      <c r="AX73" s="61" t="str">
        <f t="shared" si="33"/>
        <v/>
      </c>
      <c r="AY73" s="60">
        <f t="shared" si="34"/>
        <v>0</v>
      </c>
      <c r="AZ73" s="61" t="str">
        <f t="shared" si="35"/>
        <v/>
      </c>
    </row>
    <row r="74" spans="1:52" s="3" customFormat="1" hidden="1" x14ac:dyDescent="0.35">
      <c r="A74" s="72">
        <f t="shared" si="36"/>
        <v>2021</v>
      </c>
      <c r="B74" s="72" t="str">
        <f t="shared" si="37"/>
        <v>Nov</v>
      </c>
      <c r="C74" s="73">
        <f t="shared" si="55"/>
        <v>14</v>
      </c>
      <c r="D74" s="74">
        <f t="shared" si="38"/>
        <v>15</v>
      </c>
      <c r="E74" s="75">
        <v>12</v>
      </c>
      <c r="F74" s="79">
        <v>51</v>
      </c>
      <c r="G74" s="82"/>
      <c r="H74" s="68" t="str">
        <f t="shared" si="56"/>
        <v>Hyprev7_20211114_15_00</v>
      </c>
      <c r="I74" s="69">
        <f t="shared" si="57"/>
        <v>1</v>
      </c>
      <c r="J74" s="76" t="str">
        <f t="shared" si="57"/>
        <v>Hypericum</v>
      </c>
      <c r="K74" s="76" t="str">
        <f t="shared" si="57"/>
        <v>revolutum</v>
      </c>
      <c r="L74" s="77">
        <f t="shared" si="57"/>
        <v>7</v>
      </c>
      <c r="M74" s="77">
        <f t="shared" si="57"/>
        <v>2</v>
      </c>
      <c r="N74" s="71">
        <f t="shared" si="57"/>
        <v>0</v>
      </c>
      <c r="O74" s="44"/>
      <c r="P74" s="45">
        <f t="shared" si="40"/>
        <v>1</v>
      </c>
      <c r="Q74" s="46" t="str">
        <f t="shared" si="41"/>
        <v>15:12:51</v>
      </c>
      <c r="R74" s="47" t="str">
        <f t="shared" si="42"/>
        <v>12:51</v>
      </c>
      <c r="S74" s="48">
        <f t="shared" si="31"/>
        <v>3133</v>
      </c>
      <c r="T74" s="47">
        <v>16</v>
      </c>
      <c r="U74" s="49">
        <v>5</v>
      </c>
      <c r="V74" s="50">
        <v>4</v>
      </c>
      <c r="W74" s="51" t="str">
        <f t="shared" si="44"/>
        <v>05:04</v>
      </c>
      <c r="X74" s="52" t="s">
        <v>59</v>
      </c>
      <c r="Y74" s="124" t="s">
        <v>238</v>
      </c>
      <c r="Z74" s="124"/>
      <c r="AA74" s="47" t="s">
        <v>253</v>
      </c>
      <c r="AB74" s="47" t="str">
        <f t="shared" si="45"/>
        <v>NA</v>
      </c>
      <c r="AC74" s="53" t="str">
        <f t="shared" si="46"/>
        <v/>
      </c>
      <c r="AD74" s="54">
        <f t="shared" si="47"/>
        <v>1</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t="s">
        <v>91</v>
      </c>
      <c r="AT74" s="58"/>
      <c r="AU74" s="58"/>
      <c r="AV74" s="59"/>
      <c r="AW74" s="60">
        <f t="shared" si="32"/>
        <v>0</v>
      </c>
      <c r="AX74" s="61" t="str">
        <f t="shared" si="33"/>
        <v/>
      </c>
      <c r="AY74" s="60">
        <f t="shared" si="34"/>
        <v>0</v>
      </c>
      <c r="AZ74" s="61" t="str">
        <f t="shared" si="35"/>
        <v/>
      </c>
    </row>
    <row r="75" spans="1:52" s="3" customFormat="1" hidden="1" x14ac:dyDescent="0.35">
      <c r="A75" s="72">
        <f t="shared" si="36"/>
        <v>2021</v>
      </c>
      <c r="B75" s="72" t="str">
        <f t="shared" si="37"/>
        <v>Nov</v>
      </c>
      <c r="C75" s="73">
        <f t="shared" si="55"/>
        <v>14</v>
      </c>
      <c r="D75" s="74">
        <f t="shared" si="38"/>
        <v>15</v>
      </c>
      <c r="E75" s="75">
        <f t="shared" si="39"/>
        <v>13</v>
      </c>
      <c r="F75" s="79"/>
      <c r="G75" s="82"/>
      <c r="H75" s="68" t="str">
        <f t="shared" si="56"/>
        <v>Hyprev7_20211114_15_00</v>
      </c>
      <c r="I75" s="69">
        <f t="shared" si="57"/>
        <v>1</v>
      </c>
      <c r="J75" s="76" t="str">
        <f t="shared" si="57"/>
        <v>Hypericum</v>
      </c>
      <c r="K75" s="76" t="str">
        <f t="shared" si="57"/>
        <v>revolutum</v>
      </c>
      <c r="L75" s="77">
        <f t="shared" si="57"/>
        <v>7</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2021</v>
      </c>
      <c r="B76" s="72" t="str">
        <f t="shared" si="37"/>
        <v>Nov</v>
      </c>
      <c r="C76" s="73">
        <f t="shared" si="55"/>
        <v>14</v>
      </c>
      <c r="D76" s="74">
        <f t="shared" si="38"/>
        <v>15</v>
      </c>
      <c r="E76" s="75">
        <f t="shared" si="39"/>
        <v>14</v>
      </c>
      <c r="F76" s="79"/>
      <c r="G76" s="82"/>
      <c r="H76" s="68" t="str">
        <f t="shared" si="56"/>
        <v>Hyprev7_20211114_15_00</v>
      </c>
      <c r="I76" s="69">
        <f t="shared" si="57"/>
        <v>1</v>
      </c>
      <c r="J76" s="76" t="str">
        <f t="shared" si="57"/>
        <v>Hypericum</v>
      </c>
      <c r="K76" s="76" t="str">
        <f t="shared" si="57"/>
        <v>revolutum</v>
      </c>
      <c r="L76" s="77">
        <f t="shared" si="57"/>
        <v>7</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v>
      </c>
      <c r="C77" s="73">
        <f t="shared" si="55"/>
        <v>14</v>
      </c>
      <c r="D77" s="74">
        <f t="shared" si="38"/>
        <v>15</v>
      </c>
      <c r="E77" s="75">
        <f t="shared" si="39"/>
        <v>15</v>
      </c>
      <c r="F77" s="79"/>
      <c r="G77" s="82"/>
      <c r="H77" s="68" t="str">
        <f t="shared" si="56"/>
        <v>Hyprev7_20211114_15_00</v>
      </c>
      <c r="I77" s="69">
        <f t="shared" si="57"/>
        <v>1</v>
      </c>
      <c r="J77" s="76" t="str">
        <f t="shared" si="57"/>
        <v>Hypericum</v>
      </c>
      <c r="K77" s="76" t="str">
        <f t="shared" si="57"/>
        <v>revolutum</v>
      </c>
      <c r="L77" s="77">
        <f t="shared" si="57"/>
        <v>7</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v>
      </c>
      <c r="C78" s="73">
        <f t="shared" si="55"/>
        <v>14</v>
      </c>
      <c r="D78" s="74">
        <f t="shared" si="38"/>
        <v>15</v>
      </c>
      <c r="E78" s="75">
        <f t="shared" si="39"/>
        <v>16</v>
      </c>
      <c r="F78" s="79"/>
      <c r="G78" s="82"/>
      <c r="H78" s="68" t="str">
        <f t="shared" si="56"/>
        <v>Hyprev7_20211114_15_00</v>
      </c>
      <c r="I78" s="69">
        <f t="shared" si="57"/>
        <v>1</v>
      </c>
      <c r="J78" s="76" t="str">
        <f t="shared" si="57"/>
        <v>Hypericum</v>
      </c>
      <c r="K78" s="76" t="str">
        <f t="shared" si="57"/>
        <v>revolutum</v>
      </c>
      <c r="L78" s="77">
        <f t="shared" si="57"/>
        <v>7</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v>
      </c>
      <c r="C79" s="73">
        <f t="shared" si="55"/>
        <v>14</v>
      </c>
      <c r="D79" s="74">
        <f t="shared" si="38"/>
        <v>15</v>
      </c>
      <c r="E79" s="75">
        <f t="shared" si="39"/>
        <v>17</v>
      </c>
      <c r="F79" s="79">
        <v>45</v>
      </c>
      <c r="G79" s="82"/>
      <c r="H79" s="68" t="str">
        <f t="shared" si="56"/>
        <v>Hyprev7_20211114_15_00</v>
      </c>
      <c r="I79" s="69">
        <f t="shared" si="57"/>
        <v>1</v>
      </c>
      <c r="J79" s="76" t="str">
        <f t="shared" si="57"/>
        <v>Hypericum</v>
      </c>
      <c r="K79" s="76" t="str">
        <f t="shared" si="57"/>
        <v>revolutum</v>
      </c>
      <c r="L79" s="77">
        <f t="shared" si="57"/>
        <v>7</v>
      </c>
      <c r="M79" s="77">
        <f t="shared" si="57"/>
        <v>2</v>
      </c>
      <c r="N79" s="71">
        <f t="shared" si="57"/>
        <v>0</v>
      </c>
      <c r="O79" s="44"/>
      <c r="P79" s="45">
        <f t="shared" si="40"/>
        <v>1</v>
      </c>
      <c r="Q79" s="46" t="str">
        <f t="shared" si="41"/>
        <v>15:17:45</v>
      </c>
      <c r="R79" s="47" t="str">
        <f t="shared" si="42"/>
        <v>17:45</v>
      </c>
      <c r="S79" s="48">
        <f t="shared" si="31"/>
        <v>19</v>
      </c>
      <c r="T79" s="47" t="str">
        <f t="shared" si="43"/>
        <v>15</v>
      </c>
      <c r="U79" s="49">
        <v>18</v>
      </c>
      <c r="V79" s="50">
        <v>4</v>
      </c>
      <c r="W79" s="51" t="str">
        <f t="shared" si="44"/>
        <v>18:04</v>
      </c>
      <c r="X79" s="52" t="s">
        <v>69</v>
      </c>
      <c r="Y79" s="124" t="s">
        <v>241</v>
      </c>
      <c r="Z79" s="124" t="s">
        <v>252</v>
      </c>
      <c r="AA79" s="47" t="s">
        <v>253</v>
      </c>
      <c r="AB79" s="47" t="str">
        <f t="shared" si="45"/>
        <v>NA</v>
      </c>
      <c r="AC79" s="53" t="str">
        <f t="shared" si="46"/>
        <v/>
      </c>
      <c r="AD79" s="54">
        <v>2</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t="s">
        <v>92</v>
      </c>
      <c r="AT79" s="58"/>
      <c r="AU79" s="58"/>
      <c r="AV79" s="59"/>
      <c r="AW79" s="60">
        <f t="shared" si="32"/>
        <v>0</v>
      </c>
      <c r="AX79" s="61" t="str">
        <f t="shared" si="33"/>
        <v/>
      </c>
      <c r="AY79" s="60">
        <f t="shared" si="34"/>
        <v>0</v>
      </c>
      <c r="AZ79" s="61" t="str">
        <f t="shared" si="35"/>
        <v/>
      </c>
    </row>
    <row r="80" spans="1:52" s="3" customFormat="1" hidden="1" x14ac:dyDescent="0.35">
      <c r="A80" s="72">
        <f t="shared" si="36"/>
        <v>2021</v>
      </c>
      <c r="B80" s="72" t="str">
        <f t="shared" si="37"/>
        <v>Nov</v>
      </c>
      <c r="C80" s="73">
        <f t="shared" si="55"/>
        <v>14</v>
      </c>
      <c r="D80" s="74">
        <f t="shared" si="38"/>
        <v>15</v>
      </c>
      <c r="E80" s="75">
        <f t="shared" si="39"/>
        <v>18</v>
      </c>
      <c r="F80" s="79"/>
      <c r="G80" s="82"/>
      <c r="H80" s="68" t="str">
        <f t="shared" si="56"/>
        <v>Hyprev7_20211114_15_00</v>
      </c>
      <c r="I80" s="69">
        <f t="shared" si="57"/>
        <v>1</v>
      </c>
      <c r="J80" s="76" t="str">
        <f t="shared" si="57"/>
        <v>Hypericum</v>
      </c>
      <c r="K80" s="76" t="str">
        <f t="shared" si="57"/>
        <v>revolutum</v>
      </c>
      <c r="L80" s="77">
        <f t="shared" si="57"/>
        <v>7</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v>
      </c>
      <c r="C81" s="73">
        <f t="shared" si="55"/>
        <v>14</v>
      </c>
      <c r="D81" s="74">
        <f t="shared" si="38"/>
        <v>15</v>
      </c>
      <c r="E81" s="75">
        <f t="shared" si="39"/>
        <v>19</v>
      </c>
      <c r="F81" s="79">
        <v>35</v>
      </c>
      <c r="G81" s="82"/>
      <c r="H81" s="68" t="str">
        <f t="shared" si="56"/>
        <v>Hyprev7_20211114_15_00</v>
      </c>
      <c r="I81" s="69">
        <f t="shared" si="57"/>
        <v>1</v>
      </c>
      <c r="J81" s="76" t="str">
        <f t="shared" si="57"/>
        <v>Hypericum</v>
      </c>
      <c r="K81" s="76" t="str">
        <f t="shared" si="57"/>
        <v>revolutum</v>
      </c>
      <c r="L81" s="77">
        <f t="shared" si="57"/>
        <v>7</v>
      </c>
      <c r="M81" s="77">
        <f t="shared" si="57"/>
        <v>2</v>
      </c>
      <c r="N81" s="71">
        <f t="shared" si="57"/>
        <v>0</v>
      </c>
      <c r="O81" s="44"/>
      <c r="P81" s="45">
        <f t="shared" si="40"/>
        <v>1</v>
      </c>
      <c r="Q81" s="46" t="str">
        <f t="shared" si="41"/>
        <v>15:19:35</v>
      </c>
      <c r="R81" s="47" t="str">
        <f t="shared" si="42"/>
        <v>19:35</v>
      </c>
      <c r="S81" s="48">
        <f t="shared" si="31"/>
        <v>6</v>
      </c>
      <c r="T81" s="47" t="str">
        <f t="shared" si="43"/>
        <v>15</v>
      </c>
      <c r="U81" s="49">
        <v>19</v>
      </c>
      <c r="V81" s="50">
        <v>41</v>
      </c>
      <c r="W81" s="51" t="str">
        <f t="shared" si="44"/>
        <v>19:41</v>
      </c>
      <c r="X81" s="52" t="s">
        <v>69</v>
      </c>
      <c r="Y81" s="124" t="s">
        <v>241</v>
      </c>
      <c r="Z81" s="124" t="s">
        <v>252</v>
      </c>
      <c r="AA81" s="47" t="s">
        <v>253</v>
      </c>
      <c r="AB81" s="47" t="str">
        <f t="shared" si="45"/>
        <v>NA</v>
      </c>
      <c r="AC81" s="53" t="str">
        <f t="shared" si="46"/>
        <v/>
      </c>
      <c r="AD81" s="54">
        <f t="shared" si="47"/>
        <v>1</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t="s">
        <v>76</v>
      </c>
      <c r="AT81" s="58"/>
      <c r="AU81" s="58"/>
      <c r="AV81" s="59"/>
      <c r="AW81" s="60">
        <f t="shared" si="32"/>
        <v>0</v>
      </c>
      <c r="AX81" s="61" t="str">
        <f t="shared" si="33"/>
        <v/>
      </c>
      <c r="AY81" s="60">
        <f t="shared" si="34"/>
        <v>0</v>
      </c>
      <c r="AZ81" s="61" t="str">
        <f t="shared" si="35"/>
        <v/>
      </c>
    </row>
    <row r="82" spans="1:52" s="3" customFormat="1" hidden="1" x14ac:dyDescent="0.35">
      <c r="A82" s="72">
        <f t="shared" si="36"/>
        <v>2021</v>
      </c>
      <c r="B82" s="72" t="str">
        <f t="shared" si="37"/>
        <v>Nov</v>
      </c>
      <c r="C82" s="73">
        <f t="shared" si="55"/>
        <v>14</v>
      </c>
      <c r="D82" s="74">
        <f t="shared" si="38"/>
        <v>15</v>
      </c>
      <c r="E82" s="75">
        <f t="shared" si="39"/>
        <v>20</v>
      </c>
      <c r="F82" s="79"/>
      <c r="G82" s="82"/>
      <c r="H82" s="68" t="str">
        <f t="shared" si="56"/>
        <v>Hyprev7_20211114_15_00</v>
      </c>
      <c r="I82" s="69">
        <f t="shared" si="57"/>
        <v>1</v>
      </c>
      <c r="J82" s="76" t="str">
        <f t="shared" si="57"/>
        <v>Hypericum</v>
      </c>
      <c r="K82" s="76" t="str">
        <f t="shared" si="57"/>
        <v>revolutum</v>
      </c>
      <c r="L82" s="77">
        <f t="shared" si="57"/>
        <v>7</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v>
      </c>
      <c r="C83" s="73">
        <f t="shared" si="55"/>
        <v>14</v>
      </c>
      <c r="D83" s="74">
        <f t="shared" si="38"/>
        <v>15</v>
      </c>
      <c r="E83" s="75">
        <f t="shared" si="39"/>
        <v>21</v>
      </c>
      <c r="F83" s="79">
        <v>22</v>
      </c>
      <c r="G83" s="82"/>
      <c r="H83" s="68" t="str">
        <f t="shared" si="56"/>
        <v>Hyprev7_20211114_15_00</v>
      </c>
      <c r="I83" s="69">
        <f t="shared" si="57"/>
        <v>1</v>
      </c>
      <c r="J83" s="76" t="str">
        <f t="shared" si="57"/>
        <v>Hypericum</v>
      </c>
      <c r="K83" s="76" t="str">
        <f t="shared" si="57"/>
        <v>revolutum</v>
      </c>
      <c r="L83" s="77">
        <f t="shared" si="57"/>
        <v>7</v>
      </c>
      <c r="M83" s="77">
        <f t="shared" si="57"/>
        <v>2</v>
      </c>
      <c r="N83" s="71">
        <f t="shared" si="57"/>
        <v>0</v>
      </c>
      <c r="O83" s="44"/>
      <c r="P83" s="45">
        <f t="shared" si="40"/>
        <v>1</v>
      </c>
      <c r="Q83" s="46" t="str">
        <f t="shared" si="41"/>
        <v>15:21:22</v>
      </c>
      <c r="R83" s="47" t="str">
        <f t="shared" si="42"/>
        <v>21:22</v>
      </c>
      <c r="S83" s="48">
        <f t="shared" si="31"/>
        <v>21</v>
      </c>
      <c r="T83" s="47" t="str">
        <f t="shared" si="43"/>
        <v>15</v>
      </c>
      <c r="U83" s="49">
        <v>21</v>
      </c>
      <c r="V83" s="50">
        <v>43</v>
      </c>
      <c r="W83" s="51" t="str">
        <f t="shared" si="44"/>
        <v>21:43</v>
      </c>
      <c r="X83" s="52" t="s">
        <v>69</v>
      </c>
      <c r="Y83" s="124" t="s">
        <v>241</v>
      </c>
      <c r="Z83" s="124" t="s">
        <v>252</v>
      </c>
      <c r="AA83" s="47" t="s">
        <v>253</v>
      </c>
      <c r="AB83" s="47" t="str">
        <f t="shared" si="45"/>
        <v>NA</v>
      </c>
      <c r="AC83" s="53" t="str">
        <f t="shared" si="46"/>
        <v/>
      </c>
      <c r="AD83" s="54">
        <v>2</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t="s">
        <v>93</v>
      </c>
      <c r="AT83" s="58"/>
      <c r="AU83" s="58"/>
      <c r="AV83" s="59"/>
      <c r="AW83" s="60">
        <f t="shared" si="32"/>
        <v>0</v>
      </c>
      <c r="AX83" s="61" t="str">
        <f t="shared" si="33"/>
        <v/>
      </c>
      <c r="AY83" s="60">
        <f t="shared" si="34"/>
        <v>0</v>
      </c>
      <c r="AZ83" s="61" t="str">
        <f t="shared" si="35"/>
        <v/>
      </c>
    </row>
    <row r="84" spans="1:52" s="3" customFormat="1" hidden="1" x14ac:dyDescent="0.35">
      <c r="A84" s="72">
        <f t="shared" si="36"/>
        <v>2021</v>
      </c>
      <c r="B84" s="72" t="str">
        <f t="shared" si="37"/>
        <v>Nov</v>
      </c>
      <c r="C84" s="73">
        <f t="shared" si="55"/>
        <v>14</v>
      </c>
      <c r="D84" s="74">
        <f t="shared" si="38"/>
        <v>15</v>
      </c>
      <c r="E84" s="75">
        <f t="shared" si="39"/>
        <v>22</v>
      </c>
      <c r="F84" s="79">
        <v>24</v>
      </c>
      <c r="G84" s="82"/>
      <c r="H84" s="68" t="str">
        <f t="shared" si="56"/>
        <v>Hyprev7_20211114_15_00</v>
      </c>
      <c r="I84" s="69">
        <f t="shared" si="57"/>
        <v>1</v>
      </c>
      <c r="J84" s="76" t="str">
        <f t="shared" si="57"/>
        <v>Hypericum</v>
      </c>
      <c r="K84" s="76" t="str">
        <f t="shared" si="57"/>
        <v>revolutum</v>
      </c>
      <c r="L84" s="77">
        <f t="shared" si="57"/>
        <v>7</v>
      </c>
      <c r="M84" s="77">
        <f t="shared" si="57"/>
        <v>2</v>
      </c>
      <c r="N84" s="71">
        <f t="shared" si="57"/>
        <v>0</v>
      </c>
      <c r="O84" s="44"/>
      <c r="P84" s="45">
        <f t="shared" si="40"/>
        <v>1</v>
      </c>
      <c r="Q84" s="46" t="str">
        <f t="shared" si="41"/>
        <v>15:22:24</v>
      </c>
      <c r="R84" s="47" t="str">
        <f t="shared" si="42"/>
        <v>22:24</v>
      </c>
      <c r="S84" s="48">
        <f t="shared" si="31"/>
        <v>5</v>
      </c>
      <c r="T84" s="47" t="str">
        <f t="shared" si="43"/>
        <v>15</v>
      </c>
      <c r="U84" s="49">
        <v>22</v>
      </c>
      <c r="V84" s="50">
        <v>29</v>
      </c>
      <c r="W84" s="51" t="str">
        <f t="shared" si="44"/>
        <v>22:29</v>
      </c>
      <c r="X84" s="52" t="s">
        <v>69</v>
      </c>
      <c r="Y84" s="124" t="s">
        <v>241</v>
      </c>
      <c r="Z84" s="124" t="s">
        <v>252</v>
      </c>
      <c r="AA84" s="47" t="s">
        <v>253</v>
      </c>
      <c r="AB84" s="47" t="str">
        <f t="shared" si="45"/>
        <v>NA</v>
      </c>
      <c r="AC84" s="53" t="str">
        <f t="shared" si="46"/>
        <v/>
      </c>
      <c r="AD84" s="54">
        <f t="shared" si="47"/>
        <v>1</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t="s">
        <v>94</v>
      </c>
      <c r="AT84" s="58"/>
      <c r="AU84" s="58"/>
      <c r="AV84" s="59"/>
      <c r="AW84" s="60">
        <f t="shared" si="32"/>
        <v>0</v>
      </c>
      <c r="AX84" s="61" t="str">
        <f t="shared" si="33"/>
        <v/>
      </c>
      <c r="AY84" s="60">
        <f t="shared" si="34"/>
        <v>0</v>
      </c>
      <c r="AZ84" s="61" t="str">
        <f t="shared" si="35"/>
        <v/>
      </c>
    </row>
    <row r="85" spans="1:52" s="3" customFormat="1" hidden="1" x14ac:dyDescent="0.35">
      <c r="A85" s="72">
        <f t="shared" si="36"/>
        <v>2021</v>
      </c>
      <c r="B85" s="72" t="str">
        <f t="shared" si="37"/>
        <v>Nov</v>
      </c>
      <c r="C85" s="73">
        <f t="shared" si="55"/>
        <v>14</v>
      </c>
      <c r="D85" s="74">
        <f t="shared" si="38"/>
        <v>15</v>
      </c>
      <c r="E85" s="75">
        <f t="shared" si="39"/>
        <v>23</v>
      </c>
      <c r="F85" s="79">
        <v>24</v>
      </c>
      <c r="G85" s="82"/>
      <c r="H85" s="68" t="str">
        <f t="shared" si="56"/>
        <v>Hyprev7_20211114_15_00</v>
      </c>
      <c r="I85" s="69">
        <f t="shared" ref="I85:N100" si="58">I84</f>
        <v>1</v>
      </c>
      <c r="J85" s="76" t="str">
        <f t="shared" si="58"/>
        <v>Hypericum</v>
      </c>
      <c r="K85" s="76" t="str">
        <f t="shared" si="58"/>
        <v>revolutum</v>
      </c>
      <c r="L85" s="77">
        <f t="shared" si="58"/>
        <v>7</v>
      </c>
      <c r="M85" s="77">
        <f t="shared" si="58"/>
        <v>2</v>
      </c>
      <c r="N85" s="71">
        <f t="shared" si="58"/>
        <v>0</v>
      </c>
      <c r="O85" s="44"/>
      <c r="P85" s="45">
        <f t="shared" si="40"/>
        <v>1</v>
      </c>
      <c r="Q85" s="46" t="str">
        <f t="shared" si="41"/>
        <v>15:23:24</v>
      </c>
      <c r="R85" s="47" t="str">
        <f t="shared" si="42"/>
        <v>23:24</v>
      </c>
      <c r="S85" s="48">
        <f t="shared" si="31"/>
        <v>19</v>
      </c>
      <c r="T85" s="47" t="str">
        <f t="shared" si="43"/>
        <v>15</v>
      </c>
      <c r="U85" s="49">
        <v>23</v>
      </c>
      <c r="V85" s="50">
        <v>43</v>
      </c>
      <c r="W85" s="51" t="str">
        <f t="shared" si="44"/>
        <v>23:43</v>
      </c>
      <c r="X85" s="52" t="s">
        <v>69</v>
      </c>
      <c r="Y85" s="124" t="s">
        <v>241</v>
      </c>
      <c r="Z85" s="124" t="s">
        <v>252</v>
      </c>
      <c r="AA85" s="47" t="s">
        <v>253</v>
      </c>
      <c r="AB85" s="47" t="str">
        <f t="shared" si="45"/>
        <v>NA</v>
      </c>
      <c r="AC85" s="53" t="str">
        <f t="shared" si="46"/>
        <v/>
      </c>
      <c r="AD85" s="54">
        <f t="shared" si="47"/>
        <v>1</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t="s">
        <v>95</v>
      </c>
      <c r="AT85" s="58"/>
      <c r="AU85" s="58"/>
      <c r="AV85" s="59"/>
      <c r="AW85" s="60">
        <f t="shared" si="32"/>
        <v>0</v>
      </c>
      <c r="AX85" s="61" t="str">
        <f t="shared" si="33"/>
        <v/>
      </c>
      <c r="AY85" s="60">
        <f t="shared" si="34"/>
        <v>0</v>
      </c>
      <c r="AZ85" s="61" t="str">
        <f t="shared" si="35"/>
        <v/>
      </c>
    </row>
    <row r="86" spans="1:52" s="3" customFormat="1" hidden="1" x14ac:dyDescent="0.35">
      <c r="A86" s="72">
        <f t="shared" si="36"/>
        <v>2021</v>
      </c>
      <c r="B86" s="72" t="str">
        <f t="shared" si="37"/>
        <v>Nov</v>
      </c>
      <c r="C86" s="73">
        <f t="shared" si="55"/>
        <v>14</v>
      </c>
      <c r="D86" s="74">
        <f t="shared" si="38"/>
        <v>15</v>
      </c>
      <c r="E86" s="75">
        <f t="shared" si="39"/>
        <v>24</v>
      </c>
      <c r="F86" s="79"/>
      <c r="G86" s="82"/>
      <c r="H86" s="68" t="str">
        <f t="shared" si="56"/>
        <v>Hyprev7_20211114_15_00</v>
      </c>
      <c r="I86" s="69">
        <f t="shared" si="58"/>
        <v>1</v>
      </c>
      <c r="J86" s="76" t="str">
        <f t="shared" si="58"/>
        <v>Hypericum</v>
      </c>
      <c r="K86" s="76" t="str">
        <f t="shared" si="58"/>
        <v>revolutum</v>
      </c>
      <c r="L86" s="77">
        <f t="shared" si="58"/>
        <v>7</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v>
      </c>
      <c r="C87" s="73">
        <f t="shared" si="55"/>
        <v>14</v>
      </c>
      <c r="D87" s="74">
        <f t="shared" si="38"/>
        <v>15</v>
      </c>
      <c r="E87" s="75">
        <f t="shared" si="39"/>
        <v>25</v>
      </c>
      <c r="F87" s="79"/>
      <c r="G87" s="82"/>
      <c r="H87" s="68" t="str">
        <f t="shared" si="56"/>
        <v>Hyprev7_20211114_15_00</v>
      </c>
      <c r="I87" s="69">
        <f t="shared" si="58"/>
        <v>1</v>
      </c>
      <c r="J87" s="76" t="str">
        <f t="shared" si="58"/>
        <v>Hypericum</v>
      </c>
      <c r="K87" s="76" t="str">
        <f t="shared" si="58"/>
        <v>revolutum</v>
      </c>
      <c r="L87" s="77">
        <f t="shared" si="58"/>
        <v>7</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v>
      </c>
      <c r="C88" s="73">
        <f t="shared" si="55"/>
        <v>14</v>
      </c>
      <c r="D88" s="74">
        <f t="shared" si="38"/>
        <v>15</v>
      </c>
      <c r="E88" s="75">
        <f t="shared" si="39"/>
        <v>26</v>
      </c>
      <c r="F88" s="79"/>
      <c r="G88" s="82"/>
      <c r="H88" s="68" t="str">
        <f t="shared" si="56"/>
        <v>Hyprev7_20211114_15_00</v>
      </c>
      <c r="I88" s="69">
        <f t="shared" si="58"/>
        <v>1</v>
      </c>
      <c r="J88" s="76" t="str">
        <f t="shared" si="58"/>
        <v>Hypericum</v>
      </c>
      <c r="K88" s="76" t="str">
        <f t="shared" si="58"/>
        <v>revolutum</v>
      </c>
      <c r="L88" s="77">
        <f t="shared" si="58"/>
        <v>7</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v>
      </c>
      <c r="C89" s="73">
        <f t="shared" si="55"/>
        <v>14</v>
      </c>
      <c r="D89" s="74">
        <f t="shared" si="38"/>
        <v>15</v>
      </c>
      <c r="E89" s="75">
        <f t="shared" si="39"/>
        <v>27</v>
      </c>
      <c r="F89" s="79"/>
      <c r="G89" s="82"/>
      <c r="H89" s="68" t="str">
        <f t="shared" si="56"/>
        <v>Hyprev7_20211114_15_00</v>
      </c>
      <c r="I89" s="69">
        <f t="shared" si="58"/>
        <v>1</v>
      </c>
      <c r="J89" s="76" t="str">
        <f t="shared" si="58"/>
        <v>Hypericum</v>
      </c>
      <c r="K89" s="76" t="str">
        <f t="shared" si="58"/>
        <v>revolutum</v>
      </c>
      <c r="L89" s="77">
        <f t="shared" si="58"/>
        <v>7</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v>
      </c>
      <c r="C90" s="73">
        <f t="shared" si="55"/>
        <v>14</v>
      </c>
      <c r="D90" s="74">
        <f t="shared" si="38"/>
        <v>15</v>
      </c>
      <c r="E90" s="75">
        <f t="shared" si="39"/>
        <v>28</v>
      </c>
      <c r="F90" s="79"/>
      <c r="G90" s="82"/>
      <c r="H90" s="68" t="str">
        <f t="shared" si="56"/>
        <v>Hyprev7_20211114_15_00</v>
      </c>
      <c r="I90" s="69">
        <f t="shared" si="58"/>
        <v>1</v>
      </c>
      <c r="J90" s="76" t="str">
        <f t="shared" si="58"/>
        <v>Hypericum</v>
      </c>
      <c r="K90" s="76" t="str">
        <f t="shared" si="58"/>
        <v>revolutum</v>
      </c>
      <c r="L90" s="77">
        <f t="shared" si="58"/>
        <v>7</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v>
      </c>
      <c r="C91" s="73">
        <f t="shared" si="55"/>
        <v>14</v>
      </c>
      <c r="D91" s="74">
        <f t="shared" si="38"/>
        <v>15</v>
      </c>
      <c r="E91" s="75">
        <f t="shared" si="39"/>
        <v>29</v>
      </c>
      <c r="F91" s="79"/>
      <c r="G91" s="82"/>
      <c r="H91" s="68" t="str">
        <f t="shared" si="56"/>
        <v>Hyprev7_20211114_15_00</v>
      </c>
      <c r="I91" s="69">
        <f t="shared" si="58"/>
        <v>1</v>
      </c>
      <c r="J91" s="76" t="str">
        <f t="shared" si="58"/>
        <v>Hypericum</v>
      </c>
      <c r="K91" s="76" t="str">
        <f t="shared" si="58"/>
        <v>revolutum</v>
      </c>
      <c r="L91" s="77">
        <f t="shared" si="58"/>
        <v>7</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v>
      </c>
      <c r="C92" s="73">
        <f t="shared" si="55"/>
        <v>14</v>
      </c>
      <c r="D92" s="74">
        <f t="shared" si="38"/>
        <v>15</v>
      </c>
      <c r="E92" s="75">
        <f t="shared" si="39"/>
        <v>30</v>
      </c>
      <c r="F92" s="79">
        <v>25</v>
      </c>
      <c r="G92" s="82"/>
      <c r="H92" s="68" t="str">
        <f t="shared" si="56"/>
        <v>Hyprev7_20211114_15_00</v>
      </c>
      <c r="I92" s="69">
        <f t="shared" si="58"/>
        <v>1</v>
      </c>
      <c r="J92" s="76" t="str">
        <f t="shared" si="58"/>
        <v>Hypericum</v>
      </c>
      <c r="K92" s="76" t="str">
        <f t="shared" si="58"/>
        <v>revolutum</v>
      </c>
      <c r="L92" s="77">
        <f t="shared" si="58"/>
        <v>7</v>
      </c>
      <c r="M92" s="77">
        <f t="shared" si="58"/>
        <v>2</v>
      </c>
      <c r="N92" s="71">
        <f t="shared" si="58"/>
        <v>0</v>
      </c>
      <c r="O92" s="44"/>
      <c r="P92" s="45">
        <f t="shared" si="40"/>
        <v>1</v>
      </c>
      <c r="Q92" s="46" t="str">
        <f t="shared" si="41"/>
        <v>15:30:25</v>
      </c>
      <c r="R92" s="47" t="str">
        <f t="shared" si="42"/>
        <v>30:25</v>
      </c>
      <c r="S92" s="48">
        <f t="shared" si="31"/>
        <v>39</v>
      </c>
      <c r="T92" s="47" t="str">
        <f t="shared" si="43"/>
        <v>15</v>
      </c>
      <c r="U92" s="49">
        <v>31</v>
      </c>
      <c r="V92" s="50">
        <v>4</v>
      </c>
      <c r="W92" s="51" t="str">
        <f t="shared" si="44"/>
        <v>31:04</v>
      </c>
      <c r="X92" s="52" t="s">
        <v>59</v>
      </c>
      <c r="Y92" s="124" t="s">
        <v>236</v>
      </c>
      <c r="Z92" s="124"/>
      <c r="AA92" s="47" t="s">
        <v>254</v>
      </c>
      <c r="AB92" s="47" t="str">
        <f t="shared" si="45"/>
        <v>NA</v>
      </c>
      <c r="AC92" s="53" t="str">
        <f t="shared" si="46"/>
        <v/>
      </c>
      <c r="AD92" s="54">
        <f t="shared" si="47"/>
        <v>1</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t="s">
        <v>96</v>
      </c>
      <c r="AT92" s="58"/>
      <c r="AU92" s="58"/>
      <c r="AV92" s="59"/>
      <c r="AW92" s="60">
        <f t="shared" si="32"/>
        <v>0</v>
      </c>
      <c r="AX92" s="61" t="str">
        <f t="shared" si="33"/>
        <v/>
      </c>
      <c r="AY92" s="60">
        <f t="shared" si="34"/>
        <v>0</v>
      </c>
      <c r="AZ92" s="61" t="str">
        <f t="shared" si="35"/>
        <v/>
      </c>
    </row>
    <row r="93" spans="1:52" s="3" customFormat="1" hidden="1" x14ac:dyDescent="0.35">
      <c r="A93" s="72">
        <f t="shared" si="36"/>
        <v>2021</v>
      </c>
      <c r="B93" s="72" t="str">
        <f t="shared" si="37"/>
        <v>Nov</v>
      </c>
      <c r="C93" s="73">
        <f t="shared" si="55"/>
        <v>14</v>
      </c>
      <c r="D93" s="74">
        <f t="shared" si="38"/>
        <v>15</v>
      </c>
      <c r="E93" s="75">
        <f t="shared" si="39"/>
        <v>31</v>
      </c>
      <c r="F93" s="79"/>
      <c r="G93" s="82"/>
      <c r="H93" s="68" t="str">
        <f t="shared" si="56"/>
        <v>Hyprev7_20211114_15_00</v>
      </c>
      <c r="I93" s="69">
        <f t="shared" si="58"/>
        <v>1</v>
      </c>
      <c r="J93" s="76" t="str">
        <f t="shared" si="58"/>
        <v>Hypericum</v>
      </c>
      <c r="K93" s="76" t="str">
        <f t="shared" si="58"/>
        <v>revolutum</v>
      </c>
      <c r="L93" s="77">
        <f t="shared" si="58"/>
        <v>7</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v>
      </c>
      <c r="C94" s="73">
        <f t="shared" si="55"/>
        <v>14</v>
      </c>
      <c r="D94" s="74">
        <f t="shared" si="38"/>
        <v>15</v>
      </c>
      <c r="E94" s="75">
        <f t="shared" si="39"/>
        <v>32</v>
      </c>
      <c r="F94" s="79"/>
      <c r="G94" s="82"/>
      <c r="H94" s="68" t="str">
        <f t="shared" si="56"/>
        <v>Hyprev7_20211114_15_00</v>
      </c>
      <c r="I94" s="69">
        <f t="shared" si="58"/>
        <v>1</v>
      </c>
      <c r="J94" s="76" t="str">
        <f t="shared" si="58"/>
        <v>Hypericum</v>
      </c>
      <c r="K94" s="76" t="str">
        <f t="shared" si="58"/>
        <v>revolutum</v>
      </c>
      <c r="L94" s="77">
        <f t="shared" si="58"/>
        <v>7</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v>
      </c>
      <c r="C95" s="73">
        <f t="shared" si="55"/>
        <v>14</v>
      </c>
      <c r="D95" s="74">
        <f t="shared" si="38"/>
        <v>15</v>
      </c>
      <c r="E95" s="75">
        <f t="shared" si="39"/>
        <v>33</v>
      </c>
      <c r="F95" s="79"/>
      <c r="G95" s="82"/>
      <c r="H95" s="68" t="str">
        <f t="shared" si="56"/>
        <v>Hyprev7_20211114_15_00</v>
      </c>
      <c r="I95" s="69">
        <f t="shared" si="58"/>
        <v>1</v>
      </c>
      <c r="J95" s="76" t="str">
        <f t="shared" si="58"/>
        <v>Hypericum</v>
      </c>
      <c r="K95" s="76" t="str">
        <f t="shared" si="58"/>
        <v>revolutum</v>
      </c>
      <c r="L95" s="77">
        <f t="shared" si="58"/>
        <v>7</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v>
      </c>
      <c r="C96" s="73">
        <f t="shared" si="55"/>
        <v>14</v>
      </c>
      <c r="D96" s="74">
        <f t="shared" si="38"/>
        <v>15</v>
      </c>
      <c r="E96" s="75">
        <f t="shared" si="39"/>
        <v>34</v>
      </c>
      <c r="F96" s="79">
        <v>2</v>
      </c>
      <c r="G96" s="82"/>
      <c r="H96" s="68" t="str">
        <f t="shared" si="56"/>
        <v>Hyprev7_20211114_15_00</v>
      </c>
      <c r="I96" s="69">
        <f t="shared" si="58"/>
        <v>1</v>
      </c>
      <c r="J96" s="76" t="str">
        <f t="shared" si="58"/>
        <v>Hypericum</v>
      </c>
      <c r="K96" s="76" t="str">
        <f t="shared" si="58"/>
        <v>revolutum</v>
      </c>
      <c r="L96" s="77">
        <f t="shared" si="58"/>
        <v>7</v>
      </c>
      <c r="M96" s="77">
        <f t="shared" si="58"/>
        <v>2</v>
      </c>
      <c r="N96" s="71">
        <f t="shared" si="58"/>
        <v>0</v>
      </c>
      <c r="O96" s="44"/>
      <c r="P96" s="45">
        <f t="shared" si="40"/>
        <v>1</v>
      </c>
      <c r="Q96" s="46" t="str">
        <f t="shared" si="41"/>
        <v>15:34:02</v>
      </c>
      <c r="R96" s="47" t="str">
        <f t="shared" si="42"/>
        <v>34:02</v>
      </c>
      <c r="S96" s="48">
        <f t="shared" si="31"/>
        <v>328</v>
      </c>
      <c r="T96" s="47" t="str">
        <f t="shared" si="43"/>
        <v>15</v>
      </c>
      <c r="U96" s="49">
        <v>39</v>
      </c>
      <c r="V96" s="50">
        <v>30</v>
      </c>
      <c r="W96" s="51" t="str">
        <f t="shared" si="44"/>
        <v>39:30</v>
      </c>
      <c r="X96" s="52" t="s">
        <v>59</v>
      </c>
      <c r="Y96" s="124" t="s">
        <v>238</v>
      </c>
      <c r="Z96" s="124"/>
      <c r="AA96" s="47" t="s">
        <v>253</v>
      </c>
      <c r="AB96" s="47" t="str">
        <f t="shared" si="45"/>
        <v>NA</v>
      </c>
      <c r="AC96" s="53" t="str">
        <f t="shared" si="46"/>
        <v/>
      </c>
      <c r="AD96" s="54">
        <f t="shared" si="47"/>
        <v>1</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t="s">
        <v>97</v>
      </c>
      <c r="AT96" s="58"/>
      <c r="AU96" s="58"/>
      <c r="AV96" s="59"/>
      <c r="AW96" s="60">
        <f t="shared" si="32"/>
        <v>0</v>
      </c>
      <c r="AX96" s="61" t="str">
        <f t="shared" si="33"/>
        <v/>
      </c>
      <c r="AY96" s="60">
        <f t="shared" si="34"/>
        <v>0</v>
      </c>
      <c r="AZ96" s="61" t="str">
        <f t="shared" si="35"/>
        <v/>
      </c>
    </row>
    <row r="97" spans="1:52" s="3" customFormat="1" hidden="1" x14ac:dyDescent="0.35">
      <c r="A97" s="72">
        <f t="shared" si="36"/>
        <v>2021</v>
      </c>
      <c r="B97" s="72" t="str">
        <f t="shared" si="37"/>
        <v>Nov</v>
      </c>
      <c r="C97" s="73">
        <f t="shared" si="55"/>
        <v>14</v>
      </c>
      <c r="D97" s="74">
        <f t="shared" si="38"/>
        <v>15</v>
      </c>
      <c r="E97" s="75">
        <f t="shared" si="39"/>
        <v>35</v>
      </c>
      <c r="F97" s="79">
        <v>57</v>
      </c>
      <c r="G97" s="82"/>
      <c r="H97" s="68" t="str">
        <f t="shared" si="56"/>
        <v>Hyprev7_20211114_15_00</v>
      </c>
      <c r="I97" s="69">
        <f t="shared" si="58"/>
        <v>1</v>
      </c>
      <c r="J97" s="76" t="str">
        <f t="shared" si="58"/>
        <v>Hypericum</v>
      </c>
      <c r="K97" s="76" t="str">
        <f t="shared" si="58"/>
        <v>revolutum</v>
      </c>
      <c r="L97" s="77">
        <f t="shared" si="58"/>
        <v>7</v>
      </c>
      <c r="M97" s="77">
        <f t="shared" si="58"/>
        <v>2</v>
      </c>
      <c r="N97" s="71">
        <f t="shared" si="58"/>
        <v>0</v>
      </c>
      <c r="O97" s="44"/>
      <c r="P97" s="45">
        <f t="shared" si="40"/>
        <v>1</v>
      </c>
      <c r="Q97" s="46" t="str">
        <f t="shared" si="41"/>
        <v>15:35:57</v>
      </c>
      <c r="R97" s="47" t="str">
        <f t="shared" si="42"/>
        <v>35:57</v>
      </c>
      <c r="S97" s="48">
        <f t="shared" si="31"/>
        <v>180</v>
      </c>
      <c r="T97" s="47" t="str">
        <f t="shared" si="43"/>
        <v>15</v>
      </c>
      <c r="U97" s="49">
        <v>38</v>
      </c>
      <c r="V97" s="50">
        <v>57</v>
      </c>
      <c r="W97" s="51" t="str">
        <f t="shared" si="44"/>
        <v>38:57</v>
      </c>
      <c r="X97" s="52" t="s">
        <v>74</v>
      </c>
      <c r="Y97" s="124" t="s">
        <v>242</v>
      </c>
      <c r="Z97" s="124"/>
      <c r="AA97" s="47" t="s">
        <v>264</v>
      </c>
      <c r="AB97" s="47" t="str">
        <f t="shared" si="45"/>
        <v>NA</v>
      </c>
      <c r="AC97" s="53" t="str">
        <f t="shared" si="46"/>
        <v/>
      </c>
      <c r="AD97" s="54">
        <f t="shared" si="47"/>
        <v>1</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t="s">
        <v>98</v>
      </c>
      <c r="AT97" s="58"/>
      <c r="AU97" s="58"/>
      <c r="AV97" s="59"/>
      <c r="AW97" s="60">
        <f t="shared" si="32"/>
        <v>0</v>
      </c>
      <c r="AX97" s="61" t="str">
        <f t="shared" si="33"/>
        <v/>
      </c>
      <c r="AY97" s="60">
        <f t="shared" si="34"/>
        <v>0</v>
      </c>
      <c r="AZ97" s="61" t="str">
        <f t="shared" si="35"/>
        <v/>
      </c>
    </row>
    <row r="98" spans="1:52" s="3" customFormat="1" hidden="1" x14ac:dyDescent="0.35">
      <c r="A98" s="72">
        <f t="shared" si="36"/>
        <v>2021</v>
      </c>
      <c r="B98" s="72" t="str">
        <f t="shared" si="37"/>
        <v>Nov</v>
      </c>
      <c r="C98" s="73">
        <f t="shared" si="55"/>
        <v>14</v>
      </c>
      <c r="D98" s="74">
        <f t="shared" si="38"/>
        <v>15</v>
      </c>
      <c r="E98" s="75">
        <f t="shared" si="39"/>
        <v>36</v>
      </c>
      <c r="F98" s="79"/>
      <c r="G98" s="82"/>
      <c r="H98" s="68" t="str">
        <f t="shared" si="56"/>
        <v>Hyprev7_20211114_15_00</v>
      </c>
      <c r="I98" s="69">
        <f t="shared" si="58"/>
        <v>1</v>
      </c>
      <c r="J98" s="76" t="str">
        <f t="shared" si="58"/>
        <v>Hypericum</v>
      </c>
      <c r="K98" s="76" t="str">
        <f t="shared" si="58"/>
        <v>revolutum</v>
      </c>
      <c r="L98" s="77">
        <f t="shared" si="58"/>
        <v>7</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v>
      </c>
      <c r="C99" s="73">
        <f t="shared" si="55"/>
        <v>14</v>
      </c>
      <c r="D99" s="74">
        <f t="shared" si="38"/>
        <v>15</v>
      </c>
      <c r="E99" s="75">
        <f t="shared" si="39"/>
        <v>37</v>
      </c>
      <c r="F99" s="79"/>
      <c r="G99" s="82"/>
      <c r="H99" s="68" t="str">
        <f t="shared" si="56"/>
        <v>Hyprev7_20211114_15_00</v>
      </c>
      <c r="I99" s="69">
        <f t="shared" si="58"/>
        <v>1</v>
      </c>
      <c r="J99" s="76" t="str">
        <f t="shared" si="58"/>
        <v>Hypericum</v>
      </c>
      <c r="K99" s="76" t="str">
        <f t="shared" si="58"/>
        <v>revolutum</v>
      </c>
      <c r="L99" s="77">
        <f t="shared" si="58"/>
        <v>7</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v>
      </c>
      <c r="C100" s="73">
        <f t="shared" si="55"/>
        <v>14</v>
      </c>
      <c r="D100" s="74">
        <f t="shared" si="38"/>
        <v>15</v>
      </c>
      <c r="E100" s="75">
        <f t="shared" si="39"/>
        <v>38</v>
      </c>
      <c r="F100" s="79"/>
      <c r="G100" s="82"/>
      <c r="H100" s="68" t="str">
        <f t="shared" si="56"/>
        <v>Hyprev7_20211114_15_00</v>
      </c>
      <c r="I100" s="69">
        <f t="shared" si="58"/>
        <v>1</v>
      </c>
      <c r="J100" s="76" t="str">
        <f t="shared" si="58"/>
        <v>Hypericum</v>
      </c>
      <c r="K100" s="76" t="str">
        <f t="shared" si="58"/>
        <v>revolutum</v>
      </c>
      <c r="L100" s="77">
        <f t="shared" si="58"/>
        <v>7</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v>
      </c>
      <c r="C101" s="73">
        <f t="shared" si="55"/>
        <v>14</v>
      </c>
      <c r="D101" s="74">
        <f t="shared" si="38"/>
        <v>15</v>
      </c>
      <c r="E101" s="75">
        <f t="shared" si="39"/>
        <v>39</v>
      </c>
      <c r="F101" s="79">
        <v>40</v>
      </c>
      <c r="G101" s="82"/>
      <c r="H101" s="68" t="str">
        <f t="shared" si="56"/>
        <v>Hyprev7_20211114_15_00</v>
      </c>
      <c r="I101" s="69">
        <f t="shared" ref="I101:N116" si="59">I100</f>
        <v>1</v>
      </c>
      <c r="J101" s="76" t="str">
        <f t="shared" si="59"/>
        <v>Hypericum</v>
      </c>
      <c r="K101" s="76" t="str">
        <f t="shared" si="59"/>
        <v>revolutum</v>
      </c>
      <c r="L101" s="77">
        <f t="shared" si="59"/>
        <v>7</v>
      </c>
      <c r="M101" s="77">
        <f t="shared" si="59"/>
        <v>2</v>
      </c>
      <c r="N101" s="71">
        <f t="shared" si="59"/>
        <v>0</v>
      </c>
      <c r="O101" s="44"/>
      <c r="P101" s="45">
        <f t="shared" si="40"/>
        <v>1</v>
      </c>
      <c r="Q101" s="46" t="str">
        <f t="shared" si="41"/>
        <v>15:39:40</v>
      </c>
      <c r="R101" s="47" t="str">
        <f t="shared" si="42"/>
        <v>39:40</v>
      </c>
      <c r="S101" s="48">
        <f t="shared" si="31"/>
        <v>143</v>
      </c>
      <c r="T101" s="47" t="str">
        <f t="shared" si="43"/>
        <v>15</v>
      </c>
      <c r="U101" s="49">
        <v>42</v>
      </c>
      <c r="V101" s="50">
        <v>3</v>
      </c>
      <c r="W101" s="51" t="str">
        <f t="shared" si="44"/>
        <v>42:03</v>
      </c>
      <c r="X101" s="52" t="s">
        <v>59</v>
      </c>
      <c r="Y101" s="124" t="s">
        <v>240</v>
      </c>
      <c r="Z101" s="124"/>
      <c r="AA101" s="47" t="s">
        <v>254</v>
      </c>
      <c r="AB101" s="47" t="str">
        <f t="shared" si="45"/>
        <v>NA</v>
      </c>
      <c r="AC101" s="53" t="str">
        <f t="shared" si="46"/>
        <v/>
      </c>
      <c r="AD101" s="54">
        <f t="shared" si="47"/>
        <v>1</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t="s">
        <v>99</v>
      </c>
      <c r="AT101" s="58"/>
      <c r="AU101" s="58"/>
      <c r="AV101" s="59"/>
      <c r="AW101" s="60">
        <f t="shared" si="32"/>
        <v>0</v>
      </c>
      <c r="AX101" s="61" t="str">
        <f t="shared" si="33"/>
        <v/>
      </c>
      <c r="AY101" s="60">
        <f t="shared" si="34"/>
        <v>0</v>
      </c>
      <c r="AZ101" s="61" t="str">
        <f t="shared" si="35"/>
        <v/>
      </c>
    </row>
    <row r="102" spans="1:52" s="3" customFormat="1" hidden="1" x14ac:dyDescent="0.35">
      <c r="A102" s="72">
        <f t="shared" si="36"/>
        <v>2021</v>
      </c>
      <c r="B102" s="72" t="str">
        <f t="shared" si="37"/>
        <v>Nov</v>
      </c>
      <c r="C102" s="73">
        <f t="shared" si="55"/>
        <v>14</v>
      </c>
      <c r="D102" s="74">
        <f t="shared" si="38"/>
        <v>15</v>
      </c>
      <c r="E102" s="75">
        <f t="shared" si="39"/>
        <v>40</v>
      </c>
      <c r="F102" s="79"/>
      <c r="G102" s="82"/>
      <c r="H102" s="68" t="str">
        <f t="shared" si="56"/>
        <v>Hyprev7_20211114_15_00</v>
      </c>
      <c r="I102" s="69">
        <f t="shared" si="59"/>
        <v>1</v>
      </c>
      <c r="J102" s="76" t="str">
        <f t="shared" si="59"/>
        <v>Hypericum</v>
      </c>
      <c r="K102" s="76" t="str">
        <f t="shared" si="59"/>
        <v>revolutum</v>
      </c>
      <c r="L102" s="77">
        <f t="shared" si="59"/>
        <v>7</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2021</v>
      </c>
      <c r="B103" s="72" t="str">
        <f t="shared" si="37"/>
        <v>Nov</v>
      </c>
      <c r="C103" s="73">
        <f t="shared" si="55"/>
        <v>14</v>
      </c>
      <c r="D103" s="74">
        <f t="shared" si="38"/>
        <v>15</v>
      </c>
      <c r="E103" s="75">
        <f t="shared" si="39"/>
        <v>41</v>
      </c>
      <c r="F103" s="79"/>
      <c r="G103" s="82"/>
      <c r="H103" s="68" t="str">
        <f t="shared" si="56"/>
        <v>Hyprev7_20211114_15_00</v>
      </c>
      <c r="I103" s="69">
        <f t="shared" si="59"/>
        <v>1</v>
      </c>
      <c r="J103" s="76" t="str">
        <f t="shared" si="59"/>
        <v>Hypericum</v>
      </c>
      <c r="K103" s="76" t="str">
        <f t="shared" si="59"/>
        <v>revolutum</v>
      </c>
      <c r="L103" s="77">
        <f t="shared" si="59"/>
        <v>7</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v>
      </c>
      <c r="C104" s="73">
        <f t="shared" si="55"/>
        <v>14</v>
      </c>
      <c r="D104" s="74">
        <f t="shared" si="38"/>
        <v>15</v>
      </c>
      <c r="E104" s="75">
        <f t="shared" si="39"/>
        <v>42</v>
      </c>
      <c r="F104" s="79"/>
      <c r="G104" s="82"/>
      <c r="H104" s="68" t="str">
        <f t="shared" si="56"/>
        <v>Hyprev7_20211114_15_00</v>
      </c>
      <c r="I104" s="69">
        <f t="shared" si="59"/>
        <v>1</v>
      </c>
      <c r="J104" s="76" t="str">
        <f t="shared" si="59"/>
        <v>Hypericum</v>
      </c>
      <c r="K104" s="76" t="str">
        <f t="shared" si="59"/>
        <v>revolutum</v>
      </c>
      <c r="L104" s="77">
        <f t="shared" si="59"/>
        <v>7</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v>
      </c>
      <c r="C105" s="73">
        <f t="shared" si="55"/>
        <v>14</v>
      </c>
      <c r="D105" s="74">
        <f t="shared" si="38"/>
        <v>15</v>
      </c>
      <c r="E105" s="75">
        <f t="shared" si="39"/>
        <v>43</v>
      </c>
      <c r="F105" s="79"/>
      <c r="G105" s="82"/>
      <c r="H105" s="68" t="str">
        <f t="shared" si="56"/>
        <v>Hyprev7_20211114_15_00</v>
      </c>
      <c r="I105" s="69">
        <f t="shared" si="59"/>
        <v>1</v>
      </c>
      <c r="J105" s="76" t="str">
        <f t="shared" si="59"/>
        <v>Hypericum</v>
      </c>
      <c r="K105" s="76" t="str">
        <f t="shared" si="59"/>
        <v>revolutum</v>
      </c>
      <c r="L105" s="77">
        <f t="shared" si="59"/>
        <v>7</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v>
      </c>
      <c r="C106" s="73">
        <f t="shared" si="55"/>
        <v>14</v>
      </c>
      <c r="D106" s="74">
        <f t="shared" si="38"/>
        <v>15</v>
      </c>
      <c r="E106" s="75">
        <f t="shared" si="39"/>
        <v>44</v>
      </c>
      <c r="F106" s="79">
        <v>18</v>
      </c>
      <c r="G106" s="82"/>
      <c r="H106" s="68" t="str">
        <f t="shared" si="56"/>
        <v>Hyprev7_20211114_15_00</v>
      </c>
      <c r="I106" s="69">
        <f t="shared" si="59"/>
        <v>1</v>
      </c>
      <c r="J106" s="76" t="str">
        <f t="shared" si="59"/>
        <v>Hypericum</v>
      </c>
      <c r="K106" s="76" t="str">
        <f t="shared" si="59"/>
        <v>revolutum</v>
      </c>
      <c r="L106" s="77">
        <f t="shared" si="59"/>
        <v>7</v>
      </c>
      <c r="M106" s="77">
        <f t="shared" si="59"/>
        <v>2</v>
      </c>
      <c r="N106" s="71">
        <f t="shared" si="59"/>
        <v>0</v>
      </c>
      <c r="O106" s="44"/>
      <c r="P106" s="45">
        <f t="shared" si="40"/>
        <v>1</v>
      </c>
      <c r="Q106" s="46" t="str">
        <f t="shared" si="41"/>
        <v>15:44:18</v>
      </c>
      <c r="R106" s="47" t="str">
        <f t="shared" si="42"/>
        <v>44:18</v>
      </c>
      <c r="S106" s="48">
        <f t="shared" si="31"/>
        <v>193</v>
      </c>
      <c r="T106" s="47" t="str">
        <f t="shared" si="43"/>
        <v>15</v>
      </c>
      <c r="U106" s="49">
        <v>47</v>
      </c>
      <c r="V106" s="50">
        <v>31</v>
      </c>
      <c r="W106" s="51" t="str">
        <f t="shared" si="44"/>
        <v>47:31</v>
      </c>
      <c r="X106" s="52" t="s">
        <v>59</v>
      </c>
      <c r="Y106" s="124" t="s">
        <v>238</v>
      </c>
      <c r="Z106" s="124"/>
      <c r="AA106" s="47" t="s">
        <v>253</v>
      </c>
      <c r="AB106" s="47" t="str">
        <f t="shared" si="45"/>
        <v>NA</v>
      </c>
      <c r="AC106" s="53" t="str">
        <f t="shared" si="46"/>
        <v/>
      </c>
      <c r="AD106" s="54">
        <f t="shared" si="47"/>
        <v>1</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t="s">
        <v>68</v>
      </c>
      <c r="AT106" s="58"/>
      <c r="AU106" s="58"/>
      <c r="AV106" s="59"/>
      <c r="AW106" s="60">
        <f t="shared" si="32"/>
        <v>0</v>
      </c>
      <c r="AX106" s="61" t="str">
        <f t="shared" si="33"/>
        <v/>
      </c>
      <c r="AY106" s="60">
        <f t="shared" si="34"/>
        <v>0</v>
      </c>
      <c r="AZ106" s="61" t="str">
        <f t="shared" si="35"/>
        <v/>
      </c>
    </row>
    <row r="107" spans="1:52" s="3" customFormat="1" hidden="1" x14ac:dyDescent="0.35">
      <c r="A107" s="72">
        <f t="shared" si="36"/>
        <v>2021</v>
      </c>
      <c r="B107" s="72" t="str">
        <f t="shared" si="37"/>
        <v>Nov</v>
      </c>
      <c r="C107" s="73">
        <f t="shared" si="55"/>
        <v>14</v>
      </c>
      <c r="D107" s="74">
        <f t="shared" si="38"/>
        <v>15</v>
      </c>
      <c r="E107" s="75">
        <f t="shared" si="39"/>
        <v>45</v>
      </c>
      <c r="F107" s="79"/>
      <c r="G107" s="82"/>
      <c r="H107" s="68" t="str">
        <f t="shared" si="56"/>
        <v>Hyprev7_20211114_15_00</v>
      </c>
      <c r="I107" s="69">
        <f t="shared" si="59"/>
        <v>1</v>
      </c>
      <c r="J107" s="76" t="str">
        <f t="shared" si="59"/>
        <v>Hypericum</v>
      </c>
      <c r="K107" s="76" t="str">
        <f t="shared" si="59"/>
        <v>revolutum</v>
      </c>
      <c r="L107" s="77">
        <f t="shared" si="59"/>
        <v>7</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v>
      </c>
      <c r="C108" s="73">
        <f t="shared" si="55"/>
        <v>14</v>
      </c>
      <c r="D108" s="74">
        <f t="shared" si="38"/>
        <v>15</v>
      </c>
      <c r="E108" s="75">
        <f t="shared" si="39"/>
        <v>46</v>
      </c>
      <c r="F108" s="79"/>
      <c r="G108" s="82"/>
      <c r="H108" s="68" t="str">
        <f t="shared" si="56"/>
        <v>Hyprev7_20211114_15_00</v>
      </c>
      <c r="I108" s="69">
        <f t="shared" si="59"/>
        <v>1</v>
      </c>
      <c r="J108" s="76" t="str">
        <f t="shared" si="59"/>
        <v>Hypericum</v>
      </c>
      <c r="K108" s="76" t="str">
        <f t="shared" si="59"/>
        <v>revolutum</v>
      </c>
      <c r="L108" s="77">
        <f t="shared" si="59"/>
        <v>7</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v>
      </c>
      <c r="C109" s="73">
        <f t="shared" si="55"/>
        <v>14</v>
      </c>
      <c r="D109" s="74">
        <f t="shared" si="38"/>
        <v>15</v>
      </c>
      <c r="E109" s="75">
        <f t="shared" si="39"/>
        <v>47</v>
      </c>
      <c r="F109" s="79"/>
      <c r="G109" s="82"/>
      <c r="H109" s="68" t="str">
        <f t="shared" si="56"/>
        <v>Hyprev7_20211114_15_00</v>
      </c>
      <c r="I109" s="69">
        <f t="shared" si="59"/>
        <v>1</v>
      </c>
      <c r="J109" s="76" t="str">
        <f t="shared" si="59"/>
        <v>Hypericum</v>
      </c>
      <c r="K109" s="76" t="str">
        <f t="shared" si="59"/>
        <v>revolutum</v>
      </c>
      <c r="L109" s="77">
        <f t="shared" si="59"/>
        <v>7</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v>
      </c>
      <c r="C110" s="73">
        <f t="shared" si="55"/>
        <v>14</v>
      </c>
      <c r="D110" s="74">
        <f t="shared" si="38"/>
        <v>15</v>
      </c>
      <c r="E110" s="75">
        <f t="shared" si="39"/>
        <v>48</v>
      </c>
      <c r="F110" s="79"/>
      <c r="G110" s="82"/>
      <c r="H110" s="68" t="str">
        <f t="shared" si="56"/>
        <v>Hyprev7_20211114_15_00</v>
      </c>
      <c r="I110" s="69">
        <f t="shared" si="59"/>
        <v>1</v>
      </c>
      <c r="J110" s="76" t="str">
        <f t="shared" si="59"/>
        <v>Hypericum</v>
      </c>
      <c r="K110" s="76" t="str">
        <f t="shared" si="59"/>
        <v>revolutum</v>
      </c>
      <c r="L110" s="77">
        <f t="shared" si="59"/>
        <v>7</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v>
      </c>
      <c r="C111" s="73">
        <f t="shared" si="55"/>
        <v>14</v>
      </c>
      <c r="D111" s="74">
        <f t="shared" si="38"/>
        <v>15</v>
      </c>
      <c r="E111" s="75">
        <f t="shared" si="39"/>
        <v>49</v>
      </c>
      <c r="F111" s="79"/>
      <c r="G111" s="82"/>
      <c r="H111" s="68" t="str">
        <f t="shared" si="56"/>
        <v>Hyprev7_20211114_15_00</v>
      </c>
      <c r="I111" s="69">
        <f t="shared" si="59"/>
        <v>1</v>
      </c>
      <c r="J111" s="76" t="str">
        <f t="shared" si="59"/>
        <v>Hypericum</v>
      </c>
      <c r="K111" s="76" t="str">
        <f t="shared" si="59"/>
        <v>revolutum</v>
      </c>
      <c r="L111" s="77">
        <f t="shared" si="59"/>
        <v>7</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v>
      </c>
      <c r="C112" s="73">
        <f t="shared" si="55"/>
        <v>14</v>
      </c>
      <c r="D112" s="74">
        <f t="shared" si="38"/>
        <v>15</v>
      </c>
      <c r="E112" s="75">
        <f t="shared" si="39"/>
        <v>50</v>
      </c>
      <c r="F112" s="79">
        <v>22</v>
      </c>
      <c r="G112" s="82"/>
      <c r="H112" s="68" t="str">
        <f t="shared" si="56"/>
        <v>Hyprev7_20211114_15_00</v>
      </c>
      <c r="I112" s="69">
        <f t="shared" si="59"/>
        <v>1</v>
      </c>
      <c r="J112" s="76" t="str">
        <f t="shared" si="59"/>
        <v>Hypericum</v>
      </c>
      <c r="K112" s="76" t="str">
        <f t="shared" si="59"/>
        <v>revolutum</v>
      </c>
      <c r="L112" s="77">
        <f t="shared" si="59"/>
        <v>7</v>
      </c>
      <c r="M112" s="77">
        <f t="shared" si="59"/>
        <v>2</v>
      </c>
      <c r="N112" s="71">
        <f t="shared" si="59"/>
        <v>0</v>
      </c>
      <c r="O112" s="44"/>
      <c r="P112" s="45">
        <f t="shared" si="40"/>
        <v>1</v>
      </c>
      <c r="Q112" s="46" t="str">
        <f t="shared" si="41"/>
        <v>15:50:22</v>
      </c>
      <c r="R112" s="47" t="str">
        <f t="shared" si="42"/>
        <v>50:22</v>
      </c>
      <c r="S112" s="48">
        <f t="shared" si="31"/>
        <v>56</v>
      </c>
      <c r="T112" s="47" t="str">
        <f t="shared" si="43"/>
        <v>15</v>
      </c>
      <c r="U112" s="49">
        <v>51</v>
      </c>
      <c r="V112" s="50">
        <v>18</v>
      </c>
      <c r="W112" s="51" t="str">
        <f t="shared" si="44"/>
        <v>51:18</v>
      </c>
      <c r="X112" s="52" t="s">
        <v>74</v>
      </c>
      <c r="Y112" s="124" t="s">
        <v>242</v>
      </c>
      <c r="Z112" s="124"/>
      <c r="AA112" s="47" t="s">
        <v>264</v>
      </c>
      <c r="AB112" s="47" t="str">
        <f t="shared" si="45"/>
        <v>NA</v>
      </c>
      <c r="AC112" s="53" t="str">
        <f t="shared" si="46"/>
        <v/>
      </c>
      <c r="AD112" s="54">
        <f t="shared" si="47"/>
        <v>1</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t="s">
        <v>100</v>
      </c>
      <c r="AT112" s="58"/>
      <c r="AU112" s="58"/>
      <c r="AV112" s="59"/>
      <c r="AW112" s="60">
        <f t="shared" si="32"/>
        <v>0</v>
      </c>
      <c r="AX112" s="61" t="str">
        <f t="shared" si="33"/>
        <v/>
      </c>
      <c r="AY112" s="60">
        <f t="shared" si="34"/>
        <v>0</v>
      </c>
      <c r="AZ112" s="61" t="str">
        <f t="shared" si="35"/>
        <v/>
      </c>
    </row>
    <row r="113" spans="1:52" s="3" customFormat="1" hidden="1" x14ac:dyDescent="0.35">
      <c r="A113" s="72">
        <f t="shared" si="36"/>
        <v>2021</v>
      </c>
      <c r="B113" s="72" t="str">
        <f t="shared" si="37"/>
        <v>Nov</v>
      </c>
      <c r="C113" s="73">
        <f t="shared" si="55"/>
        <v>14</v>
      </c>
      <c r="D113" s="74">
        <f t="shared" si="38"/>
        <v>15</v>
      </c>
      <c r="E113" s="75">
        <f t="shared" si="39"/>
        <v>51</v>
      </c>
      <c r="F113" s="79">
        <v>47</v>
      </c>
      <c r="G113" s="82"/>
      <c r="H113" s="68" t="str">
        <f t="shared" si="56"/>
        <v>Hyprev7_20211114_15_00</v>
      </c>
      <c r="I113" s="69">
        <f t="shared" si="59"/>
        <v>1</v>
      </c>
      <c r="J113" s="76" t="str">
        <f t="shared" si="59"/>
        <v>Hypericum</v>
      </c>
      <c r="K113" s="76" t="str">
        <f t="shared" si="59"/>
        <v>revolutum</v>
      </c>
      <c r="L113" s="77">
        <f t="shared" si="59"/>
        <v>7</v>
      </c>
      <c r="M113" s="77">
        <f t="shared" si="59"/>
        <v>2</v>
      </c>
      <c r="N113" s="71">
        <f t="shared" si="59"/>
        <v>0</v>
      </c>
      <c r="O113" s="44"/>
      <c r="P113" s="45">
        <f t="shared" si="40"/>
        <v>1</v>
      </c>
      <c r="Q113" s="46" t="str">
        <f t="shared" si="41"/>
        <v>15:51:47</v>
      </c>
      <c r="R113" s="47" t="str">
        <f t="shared" si="42"/>
        <v>51:47</v>
      </c>
      <c r="S113" s="48">
        <f t="shared" si="31"/>
        <v>183</v>
      </c>
      <c r="T113" s="47" t="str">
        <f t="shared" si="43"/>
        <v>15</v>
      </c>
      <c r="U113" s="49">
        <v>54</v>
      </c>
      <c r="V113" s="50">
        <v>50</v>
      </c>
      <c r="W113" s="51" t="str">
        <f t="shared" si="44"/>
        <v>54:50</v>
      </c>
      <c r="X113" s="52" t="s">
        <v>59</v>
      </c>
      <c r="Y113" s="124" t="s">
        <v>243</v>
      </c>
      <c r="Z113" s="124"/>
      <c r="AA113" s="47" t="s">
        <v>254</v>
      </c>
      <c r="AB113" s="47" t="str">
        <f t="shared" si="45"/>
        <v>NA</v>
      </c>
      <c r="AC113" s="53" t="str">
        <f t="shared" si="46"/>
        <v/>
      </c>
      <c r="AD113" s="54">
        <f t="shared" si="47"/>
        <v>1</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t="s">
        <v>98</v>
      </c>
      <c r="AT113" s="58"/>
      <c r="AU113" s="58"/>
      <c r="AV113" s="59"/>
      <c r="AW113" s="60">
        <f t="shared" si="32"/>
        <v>0</v>
      </c>
      <c r="AX113" s="61" t="str">
        <f t="shared" si="33"/>
        <v/>
      </c>
      <c r="AY113" s="60">
        <f t="shared" si="34"/>
        <v>0</v>
      </c>
      <c r="AZ113" s="61" t="str">
        <f t="shared" si="35"/>
        <v/>
      </c>
    </row>
    <row r="114" spans="1:52" s="3" customFormat="1" hidden="1" x14ac:dyDescent="0.35">
      <c r="A114" s="72">
        <f t="shared" si="36"/>
        <v>2021</v>
      </c>
      <c r="B114" s="72" t="str">
        <f t="shared" si="37"/>
        <v>Nov</v>
      </c>
      <c r="C114" s="73">
        <f t="shared" si="55"/>
        <v>14</v>
      </c>
      <c r="D114" s="74">
        <f t="shared" si="38"/>
        <v>15</v>
      </c>
      <c r="E114" s="75">
        <f t="shared" si="39"/>
        <v>52</v>
      </c>
      <c r="F114" s="79"/>
      <c r="G114" s="82"/>
      <c r="H114" s="68" t="str">
        <f t="shared" si="56"/>
        <v>Hyprev7_20211114_15_00</v>
      </c>
      <c r="I114" s="69">
        <f t="shared" si="59"/>
        <v>1</v>
      </c>
      <c r="J114" s="76" t="str">
        <f t="shared" si="59"/>
        <v>Hypericum</v>
      </c>
      <c r="K114" s="76" t="str">
        <f t="shared" si="59"/>
        <v>revolutum</v>
      </c>
      <c r="L114" s="77">
        <f t="shared" si="59"/>
        <v>7</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v>
      </c>
      <c r="C115" s="73">
        <f t="shared" si="55"/>
        <v>14</v>
      </c>
      <c r="D115" s="74">
        <f t="shared" si="38"/>
        <v>15</v>
      </c>
      <c r="E115" s="75">
        <f t="shared" si="39"/>
        <v>53</v>
      </c>
      <c r="F115" s="79"/>
      <c r="G115" s="82"/>
      <c r="H115" s="68" t="str">
        <f t="shared" si="56"/>
        <v>Hyprev7_20211114_15_00</v>
      </c>
      <c r="I115" s="69">
        <f t="shared" si="59"/>
        <v>1</v>
      </c>
      <c r="J115" s="76" t="str">
        <f t="shared" si="59"/>
        <v>Hypericum</v>
      </c>
      <c r="K115" s="76" t="str">
        <f t="shared" si="59"/>
        <v>revolutum</v>
      </c>
      <c r="L115" s="77">
        <f t="shared" si="59"/>
        <v>7</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v>
      </c>
      <c r="C116" s="73">
        <f t="shared" si="55"/>
        <v>14</v>
      </c>
      <c r="D116" s="74">
        <f t="shared" si="38"/>
        <v>15</v>
      </c>
      <c r="E116" s="75">
        <f t="shared" si="39"/>
        <v>54</v>
      </c>
      <c r="F116" s="79"/>
      <c r="G116" s="82"/>
      <c r="H116" s="68" t="str">
        <f t="shared" si="56"/>
        <v>Hyprev7_20211114_15_00</v>
      </c>
      <c r="I116" s="69">
        <f t="shared" si="59"/>
        <v>1</v>
      </c>
      <c r="J116" s="76" t="str">
        <f t="shared" si="59"/>
        <v>Hypericum</v>
      </c>
      <c r="K116" s="76" t="str">
        <f t="shared" si="59"/>
        <v>revolutum</v>
      </c>
      <c r="L116" s="77">
        <f t="shared" si="59"/>
        <v>7</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v>
      </c>
      <c r="C117" s="73">
        <f t="shared" si="55"/>
        <v>14</v>
      </c>
      <c r="D117" s="74">
        <f t="shared" si="38"/>
        <v>15</v>
      </c>
      <c r="E117" s="75">
        <f t="shared" si="39"/>
        <v>55</v>
      </c>
      <c r="F117" s="79">
        <v>24</v>
      </c>
      <c r="G117" s="82"/>
      <c r="H117" s="68" t="str">
        <f t="shared" si="56"/>
        <v>Hyprev7_20211114_15_00</v>
      </c>
      <c r="I117" s="69">
        <f t="shared" ref="I117:N132" si="60">I116</f>
        <v>1</v>
      </c>
      <c r="J117" s="76" t="str">
        <f t="shared" si="60"/>
        <v>Hypericum</v>
      </c>
      <c r="K117" s="76" t="str">
        <f t="shared" si="60"/>
        <v>revolutum</v>
      </c>
      <c r="L117" s="77">
        <f t="shared" si="60"/>
        <v>7</v>
      </c>
      <c r="M117" s="77">
        <f t="shared" si="60"/>
        <v>2</v>
      </c>
      <c r="N117" s="71">
        <f t="shared" si="60"/>
        <v>0</v>
      </c>
      <c r="O117" s="44"/>
      <c r="P117" s="45">
        <f t="shared" si="40"/>
        <v>1</v>
      </c>
      <c r="Q117" s="46" t="str">
        <f t="shared" si="41"/>
        <v>15:55:24</v>
      </c>
      <c r="R117" s="47" t="str">
        <f t="shared" si="42"/>
        <v>55:24</v>
      </c>
      <c r="S117" s="48">
        <f t="shared" si="31"/>
        <v>91</v>
      </c>
      <c r="T117" s="47" t="str">
        <f t="shared" si="43"/>
        <v>15</v>
      </c>
      <c r="U117" s="49">
        <v>56</v>
      </c>
      <c r="V117" s="50">
        <v>55</v>
      </c>
      <c r="W117" s="51" t="str">
        <f t="shared" si="44"/>
        <v>56:55</v>
      </c>
      <c r="X117" s="52" t="s">
        <v>61</v>
      </c>
      <c r="Y117" s="124" t="s">
        <v>237</v>
      </c>
      <c r="Z117" s="124" t="s">
        <v>252</v>
      </c>
      <c r="AA117" s="47" t="s">
        <v>254</v>
      </c>
      <c r="AB117" s="47" t="str">
        <f t="shared" si="45"/>
        <v>NA</v>
      </c>
      <c r="AC117" s="53" t="str">
        <f t="shared" si="46"/>
        <v/>
      </c>
      <c r="AD117" s="54">
        <f t="shared" si="47"/>
        <v>1</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t="s">
        <v>101</v>
      </c>
      <c r="AT117" s="58"/>
      <c r="AU117" s="58"/>
      <c r="AV117" s="59"/>
      <c r="AW117" s="60">
        <f t="shared" si="32"/>
        <v>0</v>
      </c>
      <c r="AX117" s="61" t="str">
        <f t="shared" si="33"/>
        <v/>
      </c>
      <c r="AY117" s="60">
        <f t="shared" si="34"/>
        <v>0</v>
      </c>
      <c r="AZ117" s="61" t="str">
        <f t="shared" si="35"/>
        <v/>
      </c>
    </row>
    <row r="118" spans="1:52" s="3" customFormat="1" hidden="1" x14ac:dyDescent="0.35">
      <c r="A118" s="72">
        <f t="shared" si="36"/>
        <v>2021</v>
      </c>
      <c r="B118" s="72" t="str">
        <f t="shared" si="37"/>
        <v>Nov</v>
      </c>
      <c r="C118" s="73">
        <f t="shared" si="55"/>
        <v>14</v>
      </c>
      <c r="D118" s="74">
        <f t="shared" si="38"/>
        <v>15</v>
      </c>
      <c r="E118" s="75">
        <f t="shared" si="39"/>
        <v>56</v>
      </c>
      <c r="F118" s="79">
        <v>3</v>
      </c>
      <c r="G118" s="82"/>
      <c r="H118" s="68" t="str">
        <f t="shared" si="56"/>
        <v>Hyprev7_20211114_15_00</v>
      </c>
      <c r="I118" s="69">
        <f t="shared" si="60"/>
        <v>1</v>
      </c>
      <c r="J118" s="76" t="str">
        <f t="shared" si="60"/>
        <v>Hypericum</v>
      </c>
      <c r="K118" s="76" t="str">
        <f t="shared" si="60"/>
        <v>revolutum</v>
      </c>
      <c r="L118" s="77">
        <f t="shared" si="60"/>
        <v>7</v>
      </c>
      <c r="M118" s="77">
        <f t="shared" si="60"/>
        <v>2</v>
      </c>
      <c r="N118" s="71">
        <f t="shared" si="60"/>
        <v>0</v>
      </c>
      <c r="O118" s="44"/>
      <c r="P118" s="45">
        <f t="shared" si="40"/>
        <v>1</v>
      </c>
      <c r="Q118" s="46" t="str">
        <f t="shared" si="41"/>
        <v>15:56:03</v>
      </c>
      <c r="R118" s="47" t="str">
        <f t="shared" si="42"/>
        <v>56:03</v>
      </c>
      <c r="S118" s="48">
        <f t="shared" si="31"/>
        <v>295</v>
      </c>
      <c r="T118" s="47">
        <v>16</v>
      </c>
      <c r="U118" s="49">
        <v>0</v>
      </c>
      <c r="V118" s="50">
        <v>58</v>
      </c>
      <c r="W118" s="51" t="str">
        <f t="shared" si="44"/>
        <v>00:58</v>
      </c>
      <c r="X118" s="52" t="s">
        <v>61</v>
      </c>
      <c r="Y118" s="124" t="s">
        <v>239</v>
      </c>
      <c r="Z118" s="124"/>
      <c r="AA118" s="47" t="s">
        <v>254</v>
      </c>
      <c r="AB118" s="47" t="str">
        <f t="shared" si="45"/>
        <v>NA</v>
      </c>
      <c r="AC118" s="53" t="str">
        <f t="shared" si="46"/>
        <v/>
      </c>
      <c r="AD118" s="54">
        <f t="shared" si="47"/>
        <v>1</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t="s">
        <v>102</v>
      </c>
      <c r="AT118" s="58"/>
      <c r="AU118" s="58"/>
      <c r="AV118" s="59"/>
      <c r="AW118" s="60">
        <f t="shared" si="32"/>
        <v>0</v>
      </c>
      <c r="AX118" s="61" t="str">
        <f t="shared" si="33"/>
        <v/>
      </c>
      <c r="AY118" s="60">
        <f t="shared" si="34"/>
        <v>0</v>
      </c>
      <c r="AZ118" s="61" t="str">
        <f t="shared" si="35"/>
        <v/>
      </c>
    </row>
    <row r="119" spans="1:52" s="3" customFormat="1" hidden="1" x14ac:dyDescent="0.35">
      <c r="A119" s="72">
        <f t="shared" si="36"/>
        <v>2021</v>
      </c>
      <c r="B119" s="72" t="str">
        <f t="shared" si="37"/>
        <v>Nov</v>
      </c>
      <c r="C119" s="73">
        <f t="shared" si="55"/>
        <v>14</v>
      </c>
      <c r="D119" s="74">
        <f t="shared" si="38"/>
        <v>15</v>
      </c>
      <c r="E119" s="75">
        <v>56</v>
      </c>
      <c r="F119" s="79">
        <v>47</v>
      </c>
      <c r="G119" s="82"/>
      <c r="H119" s="68" t="str">
        <f t="shared" si="56"/>
        <v>Hyprev7_20211114_15_00</v>
      </c>
      <c r="I119" s="69">
        <f t="shared" si="60"/>
        <v>1</v>
      </c>
      <c r="J119" s="76" t="str">
        <f t="shared" si="60"/>
        <v>Hypericum</v>
      </c>
      <c r="K119" s="76" t="str">
        <f t="shared" si="60"/>
        <v>revolutum</v>
      </c>
      <c r="L119" s="77">
        <f t="shared" si="60"/>
        <v>7</v>
      </c>
      <c r="M119" s="77">
        <f t="shared" si="60"/>
        <v>2</v>
      </c>
      <c r="N119" s="71">
        <f t="shared" si="60"/>
        <v>0</v>
      </c>
      <c r="O119" s="44"/>
      <c r="P119" s="45">
        <f t="shared" si="40"/>
        <v>1</v>
      </c>
      <c r="Q119" s="46" t="str">
        <f t="shared" si="41"/>
        <v>15:56:47</v>
      </c>
      <c r="R119" s="47" t="str">
        <f t="shared" si="42"/>
        <v>56:47</v>
      </c>
      <c r="S119" s="48">
        <f t="shared" si="31"/>
        <v>8</v>
      </c>
      <c r="T119" s="47" t="str">
        <f t="shared" si="43"/>
        <v>15</v>
      </c>
      <c r="U119" s="49">
        <v>56</v>
      </c>
      <c r="V119" s="50">
        <v>55</v>
      </c>
      <c r="W119" s="51" t="str">
        <f t="shared" si="44"/>
        <v>56:55</v>
      </c>
      <c r="X119" s="52" t="s">
        <v>59</v>
      </c>
      <c r="Y119" s="124" t="s">
        <v>244</v>
      </c>
      <c r="Z119" s="124"/>
      <c r="AA119" s="47" t="s">
        <v>256</v>
      </c>
      <c r="AB119" s="47" t="str">
        <f t="shared" si="45"/>
        <v>NA</v>
      </c>
      <c r="AC119" s="53" t="str">
        <f t="shared" si="46"/>
        <v/>
      </c>
      <c r="AD119" s="54">
        <f t="shared" si="47"/>
        <v>1</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t="s">
        <v>103</v>
      </c>
      <c r="AT119" s="58"/>
      <c r="AU119" s="58"/>
      <c r="AV119" s="59"/>
      <c r="AW119" s="60">
        <f t="shared" si="32"/>
        <v>0</v>
      </c>
      <c r="AX119" s="61" t="str">
        <f t="shared" si="33"/>
        <v/>
      </c>
      <c r="AY119" s="60">
        <f t="shared" si="34"/>
        <v>0</v>
      </c>
      <c r="AZ119" s="61" t="str">
        <f t="shared" si="35"/>
        <v/>
      </c>
    </row>
    <row r="120" spans="1:52" s="3" customFormat="1" hidden="1" x14ac:dyDescent="0.35">
      <c r="A120" s="72">
        <f t="shared" si="36"/>
        <v>2021</v>
      </c>
      <c r="B120" s="72" t="str">
        <f t="shared" si="37"/>
        <v>Nov</v>
      </c>
      <c r="C120" s="73">
        <f t="shared" si="55"/>
        <v>14</v>
      </c>
      <c r="D120" s="74">
        <f t="shared" si="38"/>
        <v>15</v>
      </c>
      <c r="E120" s="75">
        <v>56</v>
      </c>
      <c r="F120" s="79">
        <v>58</v>
      </c>
      <c r="G120" s="82"/>
      <c r="H120" s="68" t="str">
        <f t="shared" si="56"/>
        <v>Hyprev7_20211114_15_00</v>
      </c>
      <c r="I120" s="69">
        <f t="shared" si="60"/>
        <v>1</v>
      </c>
      <c r="J120" s="76" t="str">
        <f t="shared" si="60"/>
        <v>Hypericum</v>
      </c>
      <c r="K120" s="76" t="str">
        <f t="shared" si="60"/>
        <v>revolutum</v>
      </c>
      <c r="L120" s="77">
        <f t="shared" si="60"/>
        <v>7</v>
      </c>
      <c r="M120" s="77">
        <f t="shared" si="60"/>
        <v>2</v>
      </c>
      <c r="N120" s="71">
        <f t="shared" si="60"/>
        <v>0</v>
      </c>
      <c r="O120" s="44"/>
      <c r="P120" s="45">
        <f t="shared" si="40"/>
        <v>1</v>
      </c>
      <c r="Q120" s="46" t="str">
        <f t="shared" si="41"/>
        <v>15:56:58</v>
      </c>
      <c r="R120" s="47" t="str">
        <f t="shared" si="42"/>
        <v>56:58</v>
      </c>
      <c r="S120" s="48">
        <f t="shared" si="31"/>
        <v>1266</v>
      </c>
      <c r="T120" s="47">
        <v>16</v>
      </c>
      <c r="U120" s="49">
        <v>18</v>
      </c>
      <c r="V120" s="50">
        <v>4</v>
      </c>
      <c r="W120" s="51" t="str">
        <f t="shared" si="44"/>
        <v>18:04</v>
      </c>
      <c r="X120" s="52" t="s">
        <v>59</v>
      </c>
      <c r="Y120" s="124" t="s">
        <v>236</v>
      </c>
      <c r="Z120" s="124"/>
      <c r="AA120" s="47" t="s">
        <v>254</v>
      </c>
      <c r="AB120" s="47" t="str">
        <f t="shared" si="45"/>
        <v>NA</v>
      </c>
      <c r="AC120" s="53" t="str">
        <f t="shared" si="46"/>
        <v/>
      </c>
      <c r="AD120" s="54">
        <f t="shared" si="47"/>
        <v>1</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t="s">
        <v>104</v>
      </c>
      <c r="AT120" s="58"/>
      <c r="AU120" s="58"/>
      <c r="AV120" s="59"/>
      <c r="AW120" s="60">
        <f t="shared" si="32"/>
        <v>0</v>
      </c>
      <c r="AX120" s="61" t="str">
        <f t="shared" si="33"/>
        <v/>
      </c>
      <c r="AY120" s="60">
        <f t="shared" si="34"/>
        <v>0</v>
      </c>
      <c r="AZ120" s="61" t="str">
        <f t="shared" si="35"/>
        <v/>
      </c>
    </row>
    <row r="121" spans="1:52" s="3" customFormat="1" hidden="1" x14ac:dyDescent="0.35">
      <c r="A121" s="72">
        <f t="shared" si="36"/>
        <v>2021</v>
      </c>
      <c r="B121" s="72" t="str">
        <f t="shared" si="37"/>
        <v>Nov</v>
      </c>
      <c r="C121" s="73">
        <f t="shared" si="55"/>
        <v>14</v>
      </c>
      <c r="D121" s="74">
        <f t="shared" si="38"/>
        <v>15</v>
      </c>
      <c r="E121" s="75">
        <f t="shared" si="39"/>
        <v>57</v>
      </c>
      <c r="F121" s="79"/>
      <c r="G121" s="82"/>
      <c r="H121" s="68" t="str">
        <f t="shared" si="56"/>
        <v>Hyprev7_20211114_15_00</v>
      </c>
      <c r="I121" s="69">
        <f t="shared" si="60"/>
        <v>1</v>
      </c>
      <c r="J121" s="76" t="str">
        <f t="shared" si="60"/>
        <v>Hypericum</v>
      </c>
      <c r="K121" s="76" t="str">
        <f t="shared" si="60"/>
        <v>revolutum</v>
      </c>
      <c r="L121" s="77">
        <f t="shared" si="60"/>
        <v>7</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v>
      </c>
      <c r="C122" s="73">
        <f t="shared" si="55"/>
        <v>14</v>
      </c>
      <c r="D122" s="74">
        <f t="shared" si="38"/>
        <v>15</v>
      </c>
      <c r="E122" s="75">
        <f t="shared" si="39"/>
        <v>58</v>
      </c>
      <c r="F122" s="79"/>
      <c r="G122" s="82"/>
      <c r="H122" s="68" t="str">
        <f t="shared" si="56"/>
        <v>Hyprev7_20211114_15_00</v>
      </c>
      <c r="I122" s="69">
        <f t="shared" si="60"/>
        <v>1</v>
      </c>
      <c r="J122" s="76" t="str">
        <f t="shared" si="60"/>
        <v>Hypericum</v>
      </c>
      <c r="K122" s="76" t="str">
        <f t="shared" si="60"/>
        <v>revolutum</v>
      </c>
      <c r="L122" s="77">
        <f t="shared" si="60"/>
        <v>7</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v>
      </c>
      <c r="C123" s="73">
        <f t="shared" si="55"/>
        <v>14</v>
      </c>
      <c r="D123" s="74">
        <f t="shared" si="38"/>
        <v>15</v>
      </c>
      <c r="E123" s="75">
        <f t="shared" si="39"/>
        <v>59</v>
      </c>
      <c r="F123" s="79"/>
      <c r="G123" s="82"/>
      <c r="H123" s="68" t="str">
        <f t="shared" si="56"/>
        <v>Hyprev7_20211114_15_00</v>
      </c>
      <c r="I123" s="69">
        <f t="shared" si="60"/>
        <v>1</v>
      </c>
      <c r="J123" s="76" t="str">
        <f t="shared" si="60"/>
        <v>Hypericum</v>
      </c>
      <c r="K123" s="76" t="str">
        <f t="shared" si="60"/>
        <v>revolutum</v>
      </c>
      <c r="L123" s="77">
        <f t="shared" si="60"/>
        <v>7</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v>
      </c>
      <c r="C124" s="73">
        <f t="shared" si="55"/>
        <v>14</v>
      </c>
      <c r="D124" s="74">
        <f t="shared" si="38"/>
        <v>16</v>
      </c>
      <c r="E124" s="75">
        <f t="shared" si="39"/>
        <v>0</v>
      </c>
      <c r="F124" s="79"/>
      <c r="G124" s="82"/>
      <c r="H124" s="68" t="str">
        <f t="shared" si="56"/>
        <v>Hyprev7_20211114_16_00</v>
      </c>
      <c r="I124" s="69">
        <f t="shared" si="60"/>
        <v>1</v>
      </c>
      <c r="J124" s="76" t="str">
        <f t="shared" si="60"/>
        <v>Hypericum</v>
      </c>
      <c r="K124" s="76" t="str">
        <f t="shared" si="60"/>
        <v>revolutum</v>
      </c>
      <c r="L124" s="77">
        <f t="shared" si="60"/>
        <v>7</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v>
      </c>
      <c r="C125" s="73">
        <f t="shared" si="55"/>
        <v>14</v>
      </c>
      <c r="D125" s="74">
        <f t="shared" si="38"/>
        <v>16</v>
      </c>
      <c r="E125" s="75">
        <f t="shared" si="39"/>
        <v>1</v>
      </c>
      <c r="F125" s="79"/>
      <c r="G125" s="82"/>
      <c r="H125" s="68" t="str">
        <f t="shared" si="56"/>
        <v>Hyprev7_20211114_16_00</v>
      </c>
      <c r="I125" s="69">
        <f t="shared" si="60"/>
        <v>1</v>
      </c>
      <c r="J125" s="76" t="str">
        <f t="shared" si="60"/>
        <v>Hypericum</v>
      </c>
      <c r="K125" s="76" t="str">
        <f t="shared" si="60"/>
        <v>revolutum</v>
      </c>
      <c r="L125" s="77">
        <f t="shared" si="60"/>
        <v>7</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v>
      </c>
      <c r="C126" s="73">
        <f t="shared" si="55"/>
        <v>14</v>
      </c>
      <c r="D126" s="74">
        <f t="shared" si="38"/>
        <v>16</v>
      </c>
      <c r="E126" s="75">
        <f t="shared" si="39"/>
        <v>2</v>
      </c>
      <c r="F126" s="79"/>
      <c r="G126" s="82"/>
      <c r="H126" s="68" t="str">
        <f t="shared" si="56"/>
        <v>Hyprev7_20211114_16_00</v>
      </c>
      <c r="I126" s="69">
        <f t="shared" si="60"/>
        <v>1</v>
      </c>
      <c r="J126" s="76" t="str">
        <f t="shared" si="60"/>
        <v>Hypericum</v>
      </c>
      <c r="K126" s="76" t="str">
        <f t="shared" si="60"/>
        <v>revolutum</v>
      </c>
      <c r="L126" s="77">
        <f t="shared" si="60"/>
        <v>7</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v>
      </c>
      <c r="C127" s="73">
        <f t="shared" si="55"/>
        <v>14</v>
      </c>
      <c r="D127" s="74">
        <f t="shared" si="38"/>
        <v>16</v>
      </c>
      <c r="E127" s="75">
        <f t="shared" si="39"/>
        <v>3</v>
      </c>
      <c r="F127" s="79"/>
      <c r="G127" s="82"/>
      <c r="H127" s="68" t="str">
        <f t="shared" si="56"/>
        <v>Hyprev7_20211114_16_00</v>
      </c>
      <c r="I127" s="69">
        <f t="shared" si="60"/>
        <v>1</v>
      </c>
      <c r="J127" s="76" t="str">
        <f t="shared" si="60"/>
        <v>Hypericum</v>
      </c>
      <c r="K127" s="76" t="str">
        <f t="shared" si="60"/>
        <v>revolutum</v>
      </c>
      <c r="L127" s="77">
        <f t="shared" si="60"/>
        <v>7</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v>
      </c>
      <c r="C128" s="73">
        <f t="shared" si="55"/>
        <v>14</v>
      </c>
      <c r="D128" s="74">
        <f t="shared" si="38"/>
        <v>16</v>
      </c>
      <c r="E128" s="75">
        <f t="shared" si="39"/>
        <v>4</v>
      </c>
      <c r="F128" s="79"/>
      <c r="G128" s="82"/>
      <c r="H128" s="68" t="str">
        <f t="shared" si="56"/>
        <v>Hyprev7_20211114_16_00</v>
      </c>
      <c r="I128" s="69">
        <f t="shared" si="60"/>
        <v>1</v>
      </c>
      <c r="J128" s="76" t="str">
        <f t="shared" si="60"/>
        <v>Hypericum</v>
      </c>
      <c r="K128" s="76" t="str">
        <f t="shared" si="60"/>
        <v>revolutum</v>
      </c>
      <c r="L128" s="77">
        <f t="shared" si="60"/>
        <v>7</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v>
      </c>
      <c r="C129" s="73">
        <f t="shared" si="55"/>
        <v>14</v>
      </c>
      <c r="D129" s="74">
        <f t="shared" si="38"/>
        <v>16</v>
      </c>
      <c r="E129" s="75">
        <f t="shared" si="39"/>
        <v>5</v>
      </c>
      <c r="F129" s="79"/>
      <c r="G129" s="82"/>
      <c r="H129" s="68" t="str">
        <f t="shared" si="56"/>
        <v>Hyprev7_20211114_16_00</v>
      </c>
      <c r="I129" s="69">
        <f t="shared" si="60"/>
        <v>1</v>
      </c>
      <c r="J129" s="76" t="str">
        <f t="shared" si="60"/>
        <v>Hypericum</v>
      </c>
      <c r="K129" s="76" t="str">
        <f t="shared" si="60"/>
        <v>revolutum</v>
      </c>
      <c r="L129" s="77">
        <f t="shared" si="60"/>
        <v>7</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v>
      </c>
      <c r="C130" s="73">
        <f t="shared" si="55"/>
        <v>14</v>
      </c>
      <c r="D130" s="74">
        <f t="shared" si="38"/>
        <v>16</v>
      </c>
      <c r="E130" s="75">
        <f t="shared" si="39"/>
        <v>6</v>
      </c>
      <c r="F130" s="79"/>
      <c r="G130" s="82"/>
      <c r="H130" s="68" t="str">
        <f t="shared" si="56"/>
        <v>Hyprev7_20211114_16_00</v>
      </c>
      <c r="I130" s="69">
        <f t="shared" si="60"/>
        <v>1</v>
      </c>
      <c r="J130" s="76" t="str">
        <f t="shared" si="60"/>
        <v>Hypericum</v>
      </c>
      <c r="K130" s="76" t="str">
        <f t="shared" si="60"/>
        <v>revolutum</v>
      </c>
      <c r="L130" s="77">
        <f t="shared" si="60"/>
        <v>7</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v>
      </c>
      <c r="C131" s="73">
        <f t="shared" si="55"/>
        <v>14</v>
      </c>
      <c r="D131" s="74">
        <f t="shared" si="38"/>
        <v>16</v>
      </c>
      <c r="E131" s="75">
        <f t="shared" si="39"/>
        <v>7</v>
      </c>
      <c r="F131" s="79"/>
      <c r="G131" s="82"/>
      <c r="H131" s="68" t="str">
        <f t="shared" si="56"/>
        <v>Hyprev7_20211114_16_00</v>
      </c>
      <c r="I131" s="69">
        <f t="shared" si="60"/>
        <v>1</v>
      </c>
      <c r="J131" s="76" t="str">
        <f t="shared" si="60"/>
        <v>Hypericum</v>
      </c>
      <c r="K131" s="76" t="str">
        <f t="shared" si="60"/>
        <v>revolutum</v>
      </c>
      <c r="L131" s="77">
        <f t="shared" si="60"/>
        <v>7</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v>
      </c>
      <c r="C132" s="73">
        <f t="shared" si="55"/>
        <v>14</v>
      </c>
      <c r="D132" s="74">
        <f t="shared" ref="D132:D195" si="68">IF(IF(E131=59,D131+1,D131)=24,0,IF(E131=59,D131+1,D131))</f>
        <v>16</v>
      </c>
      <c r="E132" s="75">
        <f t="shared" ref="E132:E195" si="69">IF(E131&lt;59,E131+1,0)</f>
        <v>8</v>
      </c>
      <c r="F132" s="79">
        <v>54</v>
      </c>
      <c r="G132" s="82"/>
      <c r="H132" s="68" t="str">
        <f t="shared" si="56"/>
        <v>Hyprev7_20211114_16_00</v>
      </c>
      <c r="I132" s="69">
        <f t="shared" si="60"/>
        <v>1</v>
      </c>
      <c r="J132" s="76" t="str">
        <f t="shared" si="60"/>
        <v>Hypericum</v>
      </c>
      <c r="K132" s="76" t="str">
        <f t="shared" si="60"/>
        <v>revolutum</v>
      </c>
      <c r="L132" s="77">
        <f t="shared" si="60"/>
        <v>7</v>
      </c>
      <c r="M132" s="77">
        <f t="shared" si="60"/>
        <v>2</v>
      </c>
      <c r="N132" s="71">
        <f t="shared" si="60"/>
        <v>0</v>
      </c>
      <c r="O132" s="44"/>
      <c r="P132" s="45">
        <f t="shared" ref="P132:P195" si="70">IF(F132="","",1)</f>
        <v>1</v>
      </c>
      <c r="Q132" s="46" t="str">
        <f t="shared" ref="Q132:Q195" si="71">TEXT(IF(P132=1,CONCATENATE($D132,":",$E132,":",(LEFT($F132,2))),""),"hh:mm:ss")</f>
        <v>16:08:54</v>
      </c>
      <c r="R132" s="47" t="str">
        <f t="shared" ref="R132:R195" si="72">TEXT(Q132-TIME(0,RIGHT($H132,2),$G$9)+(Q132&gt;TIME(0,RIGHT($H132,2),$G$9)),"mm:ss")</f>
        <v>08:54</v>
      </c>
      <c r="S132" s="48">
        <f t="shared" si="61"/>
        <v>159</v>
      </c>
      <c r="T132" s="47" t="str">
        <f t="shared" ref="T132:T195" si="73">TEXT(IF(P132=1,D132,""),"00")</f>
        <v>16</v>
      </c>
      <c r="U132" s="49">
        <v>11</v>
      </c>
      <c r="V132" s="50">
        <v>33</v>
      </c>
      <c r="W132" s="51" t="str">
        <f t="shared" ref="W132:W195" si="74">IF(O132=0,TEXT(TIME(T132,U132,V132)-TIME(D132,E132,RIGHT(F132,2))+TIME(0,LEFT(R132,2),RIGHT(R132,2)),"mm:ss"),TEXT(TIME(T132,U132,V132)-TIME(D132,E132,RIGHT(F132,2))+TIME(0,LEFT(R132,2),RIGHT(R132,2))-TIME(0,($G$10*O132),0),"mm:ss"))</f>
        <v>11:33</v>
      </c>
      <c r="X132" s="52" t="s">
        <v>69</v>
      </c>
      <c r="Y132" s="124" t="s">
        <v>241</v>
      </c>
      <c r="Z132" s="124" t="s">
        <v>252</v>
      </c>
      <c r="AA132" s="47" t="s">
        <v>253</v>
      </c>
      <c r="AB132" s="47" t="str">
        <f t="shared" ref="AB132:AB195" si="75">IF(AA132&lt;&gt;0,"NA","")</f>
        <v>NA</v>
      </c>
      <c r="AC132" s="53" t="str">
        <f t="shared" ref="AC132:AC195" si="76">IF(SUM(AH132,AJ132,AL132,AN132,AP132,AR132)=S132,,"")</f>
        <v/>
      </c>
      <c r="AD132" s="54">
        <v>2</v>
      </c>
      <c r="AE132" s="54"/>
      <c r="AF132" s="54"/>
      <c r="AG132" s="55" t="str">
        <f t="shared" ref="AG132:AG195" si="77">IF(OR(X132="Something small"),1,"")</f>
        <v/>
      </c>
      <c r="AH132" s="56" t="str">
        <f t="shared" ref="AH132:AH195" si="78">IF(AG132=1,$S132,"")</f>
        <v/>
      </c>
      <c r="AI132" s="55"/>
      <c r="AJ132" s="56" t="str">
        <f t="shared" ref="AJ132:AJ195" si="79">IF(AI132=1,$S132,"")</f>
        <v/>
      </c>
      <c r="AK132" s="55"/>
      <c r="AL132" s="56" t="str">
        <f t="shared" ref="AL132:AL195" si="80">IF(AK132=1,$S132,"")</f>
        <v/>
      </c>
      <c r="AM132" s="55"/>
      <c r="AN132" s="56" t="str">
        <f t="shared" ref="AN132:AN195" si="81">IF(AM132=1,$S132,"")</f>
        <v/>
      </c>
      <c r="AO132" s="55"/>
      <c r="AP132" s="56" t="str">
        <f t="shared" ref="AP132:AP195" si="82">IF(AO132=1,$S132,"")</f>
        <v/>
      </c>
      <c r="AQ132" s="55"/>
      <c r="AR132" s="56" t="str">
        <f t="shared" ref="AR132:AR195" si="83">IF(AQ132=1,$S132,"")</f>
        <v/>
      </c>
      <c r="AS132" s="57" t="s">
        <v>105</v>
      </c>
      <c r="AT132" s="58"/>
      <c r="AU132" s="58"/>
      <c r="AV132" s="59"/>
      <c r="AW132" s="60">
        <f t="shared" si="62"/>
        <v>0</v>
      </c>
      <c r="AX132" s="61" t="str">
        <f t="shared" si="63"/>
        <v/>
      </c>
      <c r="AY132" s="60">
        <f t="shared" si="64"/>
        <v>0</v>
      </c>
      <c r="AZ132" s="61" t="str">
        <f t="shared" si="65"/>
        <v/>
      </c>
    </row>
    <row r="133" spans="1:52" s="3" customFormat="1" hidden="1" x14ac:dyDescent="0.35">
      <c r="A133" s="72">
        <f t="shared" si="66"/>
        <v>2021</v>
      </c>
      <c r="B133" s="72" t="str">
        <f t="shared" si="67"/>
        <v>Nov</v>
      </c>
      <c r="C133" s="73">
        <f t="shared" ref="C133:C196" si="84">IF(AND(D133=0, E133=0), IF(TEXT(C132,"dd")=TEXT(EOMONTH(DATE(A132,MONTH(DATEVALUE(B132&amp;"1")),C132),0), "dd"), 1, C132+1), C132)</f>
        <v>14</v>
      </c>
      <c r="D133" s="74">
        <f t="shared" si="68"/>
        <v>16</v>
      </c>
      <c r="E133" s="75">
        <f t="shared" si="69"/>
        <v>9</v>
      </c>
      <c r="F133" s="79"/>
      <c r="G133" s="82"/>
      <c r="H133" s="68" t="str">
        <f t="shared" ref="H133:H196" si="85">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Hyprev7_20211114_16_00</v>
      </c>
      <c r="I133" s="69">
        <f t="shared" ref="I133:N148" si="86">I132</f>
        <v>1</v>
      </c>
      <c r="J133" s="76" t="str">
        <f t="shared" si="86"/>
        <v>Hypericum</v>
      </c>
      <c r="K133" s="76" t="str">
        <f t="shared" si="86"/>
        <v>revolutum</v>
      </c>
      <c r="L133" s="77">
        <f t="shared" si="86"/>
        <v>7</v>
      </c>
      <c r="M133" s="77">
        <f t="shared" si="86"/>
        <v>2</v>
      </c>
      <c r="N133" s="71">
        <f t="shared" si="86"/>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ref="AD133:AD195" si="87">IF(P133=1,1,"")</f>
        <v/>
      </c>
      <c r="AE133" s="54"/>
      <c r="AF133" s="54"/>
      <c r="AG133" s="55" t="str">
        <f t="shared" si="77"/>
        <v/>
      </c>
      <c r="AH133" s="56" t="str">
        <f t="shared" si="78"/>
        <v/>
      </c>
      <c r="AI133" s="55"/>
      <c r="AJ133" s="56" t="str">
        <f t="shared" si="79"/>
        <v/>
      </c>
      <c r="AK133" s="55"/>
      <c r="AL133" s="56" t="str">
        <f t="shared" si="80"/>
        <v/>
      </c>
      <c r="AM133" s="55"/>
      <c r="AN133" s="56" t="str">
        <f t="shared" si="81"/>
        <v/>
      </c>
      <c r="AO133" s="55"/>
      <c r="AP133" s="56" t="str">
        <f t="shared" si="82"/>
        <v/>
      </c>
      <c r="AQ133" s="55"/>
      <c r="AR133" s="56" t="str">
        <f t="shared" si="83"/>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v>
      </c>
      <c r="C134" s="73">
        <f t="shared" si="84"/>
        <v>14</v>
      </c>
      <c r="D134" s="74">
        <f t="shared" si="68"/>
        <v>16</v>
      </c>
      <c r="E134" s="75">
        <f t="shared" si="69"/>
        <v>10</v>
      </c>
      <c r="F134" s="79">
        <v>28</v>
      </c>
      <c r="G134" s="82"/>
      <c r="H134" s="68" t="str">
        <f t="shared" si="85"/>
        <v>Hyprev7_20211114_16_00</v>
      </c>
      <c r="I134" s="69">
        <f t="shared" si="86"/>
        <v>1</v>
      </c>
      <c r="J134" s="76" t="str">
        <f t="shared" si="86"/>
        <v>Hypericum</v>
      </c>
      <c r="K134" s="76" t="str">
        <f t="shared" si="86"/>
        <v>revolutum</v>
      </c>
      <c r="L134" s="77">
        <f t="shared" si="86"/>
        <v>7</v>
      </c>
      <c r="M134" s="77">
        <f t="shared" si="86"/>
        <v>2</v>
      </c>
      <c r="N134" s="71">
        <f t="shared" si="86"/>
        <v>0</v>
      </c>
      <c r="O134" s="44"/>
      <c r="P134" s="45">
        <f t="shared" si="70"/>
        <v>1</v>
      </c>
      <c r="Q134" s="46" t="str">
        <f t="shared" si="71"/>
        <v>16:10:28</v>
      </c>
      <c r="R134" s="47" t="str">
        <f t="shared" si="72"/>
        <v>10:28</v>
      </c>
      <c r="S134" s="48">
        <f t="shared" si="61"/>
        <v>15</v>
      </c>
      <c r="T134" s="47" t="str">
        <f t="shared" si="73"/>
        <v>16</v>
      </c>
      <c r="U134" s="49">
        <v>10</v>
      </c>
      <c r="V134" s="50">
        <v>43</v>
      </c>
      <c r="W134" s="51" t="str">
        <f t="shared" si="74"/>
        <v>10:43</v>
      </c>
      <c r="X134" s="52" t="s">
        <v>69</v>
      </c>
      <c r="Y134" s="124" t="s">
        <v>241</v>
      </c>
      <c r="Z134" s="124" t="s">
        <v>252</v>
      </c>
      <c r="AA134" s="47" t="s">
        <v>253</v>
      </c>
      <c r="AB134" s="47" t="str">
        <f t="shared" si="75"/>
        <v>NA</v>
      </c>
      <c r="AC134" s="53" t="str">
        <f t="shared" si="76"/>
        <v/>
      </c>
      <c r="AD134" s="54">
        <v>2</v>
      </c>
      <c r="AE134" s="54"/>
      <c r="AF134" s="54"/>
      <c r="AG134" s="55" t="str">
        <f t="shared" si="77"/>
        <v/>
      </c>
      <c r="AH134" s="56" t="str">
        <f t="shared" si="78"/>
        <v/>
      </c>
      <c r="AI134" s="55"/>
      <c r="AJ134" s="56" t="str">
        <f t="shared" si="79"/>
        <v/>
      </c>
      <c r="AK134" s="55"/>
      <c r="AL134" s="56" t="str">
        <f t="shared" si="80"/>
        <v/>
      </c>
      <c r="AM134" s="55"/>
      <c r="AN134" s="56" t="str">
        <f t="shared" si="81"/>
        <v/>
      </c>
      <c r="AO134" s="55"/>
      <c r="AP134" s="56" t="str">
        <f t="shared" si="82"/>
        <v/>
      </c>
      <c r="AQ134" s="55"/>
      <c r="AR134" s="56" t="str">
        <f t="shared" si="83"/>
        <v/>
      </c>
      <c r="AS134" s="57" t="s">
        <v>106</v>
      </c>
      <c r="AT134" s="58"/>
      <c r="AU134" s="58"/>
      <c r="AV134" s="59"/>
      <c r="AW134" s="60">
        <f t="shared" si="62"/>
        <v>0</v>
      </c>
      <c r="AX134" s="61" t="str">
        <f t="shared" si="63"/>
        <v/>
      </c>
      <c r="AY134" s="60">
        <f t="shared" si="64"/>
        <v>0</v>
      </c>
      <c r="AZ134" s="61" t="str">
        <f t="shared" si="65"/>
        <v/>
      </c>
    </row>
    <row r="135" spans="1:52" s="3" customFormat="1" hidden="1" x14ac:dyDescent="0.35">
      <c r="A135" s="72">
        <f t="shared" si="66"/>
        <v>2021</v>
      </c>
      <c r="B135" s="72" t="str">
        <f t="shared" si="67"/>
        <v>Nov</v>
      </c>
      <c r="C135" s="73">
        <f t="shared" si="84"/>
        <v>14</v>
      </c>
      <c r="D135" s="74">
        <f t="shared" si="68"/>
        <v>16</v>
      </c>
      <c r="E135" s="75">
        <f t="shared" si="69"/>
        <v>11</v>
      </c>
      <c r="F135" s="79">
        <v>38</v>
      </c>
      <c r="G135" s="82"/>
      <c r="H135" s="68" t="str">
        <f t="shared" si="85"/>
        <v>Hyprev7_20211114_16_00</v>
      </c>
      <c r="I135" s="69">
        <f t="shared" si="86"/>
        <v>1</v>
      </c>
      <c r="J135" s="76" t="str">
        <f t="shared" si="86"/>
        <v>Hypericum</v>
      </c>
      <c r="K135" s="76" t="str">
        <f t="shared" si="86"/>
        <v>revolutum</v>
      </c>
      <c r="L135" s="77">
        <f t="shared" si="86"/>
        <v>7</v>
      </c>
      <c r="M135" s="77">
        <f t="shared" si="86"/>
        <v>2</v>
      </c>
      <c r="N135" s="71">
        <f t="shared" si="86"/>
        <v>0</v>
      </c>
      <c r="O135" s="44"/>
      <c r="P135" s="45">
        <f t="shared" si="70"/>
        <v>1</v>
      </c>
      <c r="Q135" s="46" t="str">
        <f t="shared" si="71"/>
        <v>16:11:38</v>
      </c>
      <c r="R135" s="47" t="str">
        <f t="shared" si="72"/>
        <v>11:38</v>
      </c>
      <c r="S135" s="48">
        <f t="shared" si="61"/>
        <v>23</v>
      </c>
      <c r="T135" s="47" t="str">
        <f t="shared" si="73"/>
        <v>16</v>
      </c>
      <c r="U135" s="49">
        <v>12</v>
      </c>
      <c r="V135" s="50">
        <v>1</v>
      </c>
      <c r="W135" s="51" t="str">
        <f t="shared" si="74"/>
        <v>12:01</v>
      </c>
      <c r="X135" s="52" t="s">
        <v>69</v>
      </c>
      <c r="Y135" s="124" t="s">
        <v>241</v>
      </c>
      <c r="Z135" s="124" t="s">
        <v>252</v>
      </c>
      <c r="AA135" s="47" t="s">
        <v>253</v>
      </c>
      <c r="AB135" s="47" t="str">
        <f t="shared" si="75"/>
        <v>NA</v>
      </c>
      <c r="AC135" s="53" t="str">
        <f t="shared" si="76"/>
        <v/>
      </c>
      <c r="AD135" s="54">
        <f t="shared" si="87"/>
        <v>1</v>
      </c>
      <c r="AE135" s="54"/>
      <c r="AF135" s="54"/>
      <c r="AG135" s="55" t="str">
        <f t="shared" si="77"/>
        <v/>
      </c>
      <c r="AH135" s="56" t="str">
        <f t="shared" si="78"/>
        <v/>
      </c>
      <c r="AI135" s="55"/>
      <c r="AJ135" s="56" t="str">
        <f t="shared" si="79"/>
        <v/>
      </c>
      <c r="AK135" s="55"/>
      <c r="AL135" s="56" t="str">
        <f t="shared" si="80"/>
        <v/>
      </c>
      <c r="AM135" s="55"/>
      <c r="AN135" s="56" t="str">
        <f t="shared" si="81"/>
        <v/>
      </c>
      <c r="AO135" s="55"/>
      <c r="AP135" s="56" t="str">
        <f t="shared" si="82"/>
        <v/>
      </c>
      <c r="AQ135" s="55"/>
      <c r="AR135" s="56" t="str">
        <f t="shared" si="83"/>
        <v/>
      </c>
      <c r="AS135" s="57" t="s">
        <v>107</v>
      </c>
      <c r="AT135" s="58"/>
      <c r="AU135" s="58"/>
      <c r="AV135" s="59"/>
      <c r="AW135" s="60">
        <f t="shared" si="62"/>
        <v>0</v>
      </c>
      <c r="AX135" s="61" t="str">
        <f t="shared" si="63"/>
        <v/>
      </c>
      <c r="AY135" s="60">
        <f t="shared" si="64"/>
        <v>0</v>
      </c>
      <c r="AZ135" s="61" t="str">
        <f t="shared" si="65"/>
        <v/>
      </c>
    </row>
    <row r="136" spans="1:52" s="3" customFormat="1" hidden="1" x14ac:dyDescent="0.35">
      <c r="A136" s="72">
        <f t="shared" si="66"/>
        <v>2021</v>
      </c>
      <c r="B136" s="72" t="str">
        <f t="shared" si="67"/>
        <v>Nov</v>
      </c>
      <c r="C136" s="73">
        <f t="shared" si="84"/>
        <v>14</v>
      </c>
      <c r="D136" s="74">
        <f t="shared" si="68"/>
        <v>16</v>
      </c>
      <c r="E136" s="75">
        <f t="shared" si="69"/>
        <v>12</v>
      </c>
      <c r="F136" s="79">
        <v>46</v>
      </c>
      <c r="G136" s="82"/>
      <c r="H136" s="68" t="str">
        <f t="shared" si="85"/>
        <v>Hyprev7_20211114_16_00</v>
      </c>
      <c r="I136" s="69">
        <f t="shared" si="86"/>
        <v>1</v>
      </c>
      <c r="J136" s="76" t="str">
        <f t="shared" si="86"/>
        <v>Hypericum</v>
      </c>
      <c r="K136" s="76" t="str">
        <f t="shared" si="86"/>
        <v>revolutum</v>
      </c>
      <c r="L136" s="77">
        <f t="shared" si="86"/>
        <v>7</v>
      </c>
      <c r="M136" s="77">
        <f t="shared" si="86"/>
        <v>2</v>
      </c>
      <c r="N136" s="71">
        <f t="shared" si="86"/>
        <v>0</v>
      </c>
      <c r="O136" s="44"/>
      <c r="P136" s="45">
        <f t="shared" si="70"/>
        <v>1</v>
      </c>
      <c r="Q136" s="46" t="str">
        <f t="shared" si="71"/>
        <v>16:12:46</v>
      </c>
      <c r="R136" s="47" t="str">
        <f t="shared" si="72"/>
        <v>12:46</v>
      </c>
      <c r="S136" s="48">
        <f t="shared" si="61"/>
        <v>2</v>
      </c>
      <c r="T136" s="47" t="str">
        <f t="shared" si="73"/>
        <v>16</v>
      </c>
      <c r="U136" s="49">
        <v>12</v>
      </c>
      <c r="V136" s="50">
        <v>48</v>
      </c>
      <c r="W136" s="51" t="str">
        <f t="shared" si="74"/>
        <v>12:48</v>
      </c>
      <c r="X136" s="52" t="s">
        <v>69</v>
      </c>
      <c r="Y136" s="124" t="s">
        <v>241</v>
      </c>
      <c r="Z136" s="124" t="s">
        <v>252</v>
      </c>
      <c r="AA136" s="47" t="s">
        <v>253</v>
      </c>
      <c r="AB136" s="47" t="str">
        <f t="shared" si="75"/>
        <v>NA</v>
      </c>
      <c r="AC136" s="53" t="str">
        <f t="shared" si="76"/>
        <v/>
      </c>
      <c r="AD136" s="54">
        <f t="shared" si="87"/>
        <v>1</v>
      </c>
      <c r="AE136" s="54"/>
      <c r="AF136" s="54"/>
      <c r="AG136" s="55" t="str">
        <f t="shared" si="77"/>
        <v/>
      </c>
      <c r="AH136" s="56" t="str">
        <f t="shared" si="78"/>
        <v/>
      </c>
      <c r="AI136" s="55"/>
      <c r="AJ136" s="56" t="str">
        <f t="shared" si="79"/>
        <v/>
      </c>
      <c r="AK136" s="55"/>
      <c r="AL136" s="56" t="str">
        <f t="shared" si="80"/>
        <v/>
      </c>
      <c r="AM136" s="55"/>
      <c r="AN136" s="56" t="str">
        <f t="shared" si="81"/>
        <v/>
      </c>
      <c r="AO136" s="55"/>
      <c r="AP136" s="56" t="str">
        <f t="shared" si="82"/>
        <v/>
      </c>
      <c r="AQ136" s="55"/>
      <c r="AR136" s="56" t="str">
        <f t="shared" si="83"/>
        <v/>
      </c>
      <c r="AS136" s="57" t="s">
        <v>108</v>
      </c>
      <c r="AT136" s="58"/>
      <c r="AU136" s="58"/>
      <c r="AV136" s="59"/>
      <c r="AW136" s="60">
        <f t="shared" si="62"/>
        <v>0</v>
      </c>
      <c r="AX136" s="61" t="str">
        <f t="shared" si="63"/>
        <v/>
      </c>
      <c r="AY136" s="60">
        <f t="shared" si="64"/>
        <v>0</v>
      </c>
      <c r="AZ136" s="61" t="str">
        <f t="shared" si="65"/>
        <v/>
      </c>
    </row>
    <row r="137" spans="1:52" s="3" customFormat="1" hidden="1" x14ac:dyDescent="0.35">
      <c r="A137" s="72">
        <f t="shared" si="66"/>
        <v>2021</v>
      </c>
      <c r="B137" s="72" t="str">
        <f t="shared" si="67"/>
        <v>Nov</v>
      </c>
      <c r="C137" s="73">
        <f t="shared" si="84"/>
        <v>14</v>
      </c>
      <c r="D137" s="74">
        <f t="shared" si="68"/>
        <v>16</v>
      </c>
      <c r="E137" s="75">
        <f t="shared" si="69"/>
        <v>13</v>
      </c>
      <c r="F137" s="79"/>
      <c r="G137" s="82"/>
      <c r="H137" s="68" t="str">
        <f t="shared" si="85"/>
        <v>Hyprev7_20211114_16_00</v>
      </c>
      <c r="I137" s="69">
        <f t="shared" si="86"/>
        <v>1</v>
      </c>
      <c r="J137" s="76" t="str">
        <f t="shared" si="86"/>
        <v>Hypericum</v>
      </c>
      <c r="K137" s="76" t="str">
        <f t="shared" si="86"/>
        <v>revolutum</v>
      </c>
      <c r="L137" s="77">
        <f t="shared" si="86"/>
        <v>7</v>
      </c>
      <c r="M137" s="77">
        <f t="shared" si="86"/>
        <v>2</v>
      </c>
      <c r="N137" s="71">
        <f t="shared" si="86"/>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87"/>
        <v/>
      </c>
      <c r="AE137" s="54"/>
      <c r="AF137" s="54"/>
      <c r="AG137" s="55" t="str">
        <f t="shared" si="77"/>
        <v/>
      </c>
      <c r="AH137" s="56" t="str">
        <f t="shared" si="78"/>
        <v/>
      </c>
      <c r="AI137" s="55"/>
      <c r="AJ137" s="56" t="str">
        <f t="shared" si="79"/>
        <v/>
      </c>
      <c r="AK137" s="55"/>
      <c r="AL137" s="56" t="str">
        <f t="shared" si="80"/>
        <v/>
      </c>
      <c r="AM137" s="55"/>
      <c r="AN137" s="56" t="str">
        <f t="shared" si="81"/>
        <v/>
      </c>
      <c r="AO137" s="55"/>
      <c r="AP137" s="56" t="str">
        <f t="shared" si="82"/>
        <v/>
      </c>
      <c r="AQ137" s="55"/>
      <c r="AR137" s="56" t="str">
        <f t="shared" si="83"/>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v>
      </c>
      <c r="C138" s="73">
        <f t="shared" si="84"/>
        <v>14</v>
      </c>
      <c r="D138" s="74">
        <f t="shared" si="68"/>
        <v>16</v>
      </c>
      <c r="E138" s="75">
        <f t="shared" si="69"/>
        <v>14</v>
      </c>
      <c r="F138" s="79"/>
      <c r="G138" s="82"/>
      <c r="H138" s="68" t="str">
        <f t="shared" si="85"/>
        <v>Hyprev7_20211114_16_00</v>
      </c>
      <c r="I138" s="69">
        <f t="shared" si="86"/>
        <v>1</v>
      </c>
      <c r="J138" s="76" t="str">
        <f t="shared" si="86"/>
        <v>Hypericum</v>
      </c>
      <c r="K138" s="76" t="str">
        <f t="shared" si="86"/>
        <v>revolutum</v>
      </c>
      <c r="L138" s="77">
        <f t="shared" si="86"/>
        <v>7</v>
      </c>
      <c r="M138" s="77">
        <f t="shared" si="86"/>
        <v>2</v>
      </c>
      <c r="N138" s="71">
        <f t="shared" si="86"/>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87"/>
        <v/>
      </c>
      <c r="AE138" s="54"/>
      <c r="AF138" s="54"/>
      <c r="AG138" s="55" t="str">
        <f t="shared" si="77"/>
        <v/>
      </c>
      <c r="AH138" s="56" t="str">
        <f t="shared" si="78"/>
        <v/>
      </c>
      <c r="AI138" s="55"/>
      <c r="AJ138" s="56" t="str">
        <f t="shared" si="79"/>
        <v/>
      </c>
      <c r="AK138" s="55"/>
      <c r="AL138" s="56" t="str">
        <f t="shared" si="80"/>
        <v/>
      </c>
      <c r="AM138" s="55"/>
      <c r="AN138" s="56" t="str">
        <f t="shared" si="81"/>
        <v/>
      </c>
      <c r="AO138" s="55"/>
      <c r="AP138" s="56" t="str">
        <f t="shared" si="82"/>
        <v/>
      </c>
      <c r="AQ138" s="55"/>
      <c r="AR138" s="56" t="str">
        <f t="shared" si="83"/>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v>
      </c>
      <c r="C139" s="73">
        <f t="shared" si="84"/>
        <v>14</v>
      </c>
      <c r="D139" s="74">
        <f t="shared" si="68"/>
        <v>16</v>
      </c>
      <c r="E139" s="75">
        <f t="shared" si="69"/>
        <v>15</v>
      </c>
      <c r="F139" s="79"/>
      <c r="G139" s="82"/>
      <c r="H139" s="68" t="str">
        <f t="shared" si="85"/>
        <v>Hyprev7_20211114_16_00</v>
      </c>
      <c r="I139" s="69">
        <f t="shared" si="86"/>
        <v>1</v>
      </c>
      <c r="J139" s="76" t="str">
        <f t="shared" si="86"/>
        <v>Hypericum</v>
      </c>
      <c r="K139" s="76" t="str">
        <f t="shared" si="86"/>
        <v>revolutum</v>
      </c>
      <c r="L139" s="77">
        <f t="shared" si="86"/>
        <v>7</v>
      </c>
      <c r="M139" s="77">
        <f t="shared" si="86"/>
        <v>2</v>
      </c>
      <c r="N139" s="71">
        <f t="shared" si="86"/>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87"/>
        <v/>
      </c>
      <c r="AE139" s="54"/>
      <c r="AF139" s="54"/>
      <c r="AG139" s="55" t="str">
        <f t="shared" si="77"/>
        <v/>
      </c>
      <c r="AH139" s="56" t="str">
        <f t="shared" si="78"/>
        <v/>
      </c>
      <c r="AI139" s="55"/>
      <c r="AJ139" s="56" t="str">
        <f t="shared" si="79"/>
        <v/>
      </c>
      <c r="AK139" s="55"/>
      <c r="AL139" s="56" t="str">
        <f t="shared" si="80"/>
        <v/>
      </c>
      <c r="AM139" s="55"/>
      <c r="AN139" s="56" t="str">
        <f t="shared" si="81"/>
        <v/>
      </c>
      <c r="AO139" s="55"/>
      <c r="AP139" s="56" t="str">
        <f t="shared" si="82"/>
        <v/>
      </c>
      <c r="AQ139" s="55"/>
      <c r="AR139" s="56" t="str">
        <f t="shared" si="83"/>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v>
      </c>
      <c r="C140" s="73">
        <f t="shared" si="84"/>
        <v>14</v>
      </c>
      <c r="D140" s="74">
        <f t="shared" si="68"/>
        <v>16</v>
      </c>
      <c r="E140" s="75">
        <f t="shared" si="69"/>
        <v>16</v>
      </c>
      <c r="F140" s="79"/>
      <c r="G140" s="82"/>
      <c r="H140" s="68" t="str">
        <f t="shared" si="85"/>
        <v>Hyprev7_20211114_16_00</v>
      </c>
      <c r="I140" s="69">
        <f t="shared" si="86"/>
        <v>1</v>
      </c>
      <c r="J140" s="76" t="str">
        <f t="shared" si="86"/>
        <v>Hypericum</v>
      </c>
      <c r="K140" s="76" t="str">
        <f t="shared" si="86"/>
        <v>revolutum</v>
      </c>
      <c r="L140" s="77">
        <f t="shared" si="86"/>
        <v>7</v>
      </c>
      <c r="M140" s="77">
        <f t="shared" si="86"/>
        <v>2</v>
      </c>
      <c r="N140" s="71">
        <f t="shared" si="86"/>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87"/>
        <v/>
      </c>
      <c r="AE140" s="54"/>
      <c r="AF140" s="54"/>
      <c r="AG140" s="55" t="str">
        <f t="shared" si="77"/>
        <v/>
      </c>
      <c r="AH140" s="56" t="str">
        <f t="shared" si="78"/>
        <v/>
      </c>
      <c r="AI140" s="55"/>
      <c r="AJ140" s="56" t="str">
        <f t="shared" si="79"/>
        <v/>
      </c>
      <c r="AK140" s="55"/>
      <c r="AL140" s="56" t="str">
        <f t="shared" si="80"/>
        <v/>
      </c>
      <c r="AM140" s="55"/>
      <c r="AN140" s="56" t="str">
        <f t="shared" si="81"/>
        <v/>
      </c>
      <c r="AO140" s="55"/>
      <c r="AP140" s="56" t="str">
        <f t="shared" si="82"/>
        <v/>
      </c>
      <c r="AQ140" s="55"/>
      <c r="AR140" s="56" t="str">
        <f t="shared" si="83"/>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2021</v>
      </c>
      <c r="B141" s="72" t="str">
        <f t="shared" si="67"/>
        <v>Nov</v>
      </c>
      <c r="C141" s="73">
        <f t="shared" si="84"/>
        <v>14</v>
      </c>
      <c r="D141" s="74">
        <f t="shared" si="68"/>
        <v>16</v>
      </c>
      <c r="E141" s="75">
        <f t="shared" si="69"/>
        <v>17</v>
      </c>
      <c r="F141" s="79">
        <v>47</v>
      </c>
      <c r="G141" s="82"/>
      <c r="H141" s="68" t="str">
        <f t="shared" si="85"/>
        <v>Hyprev7_20211114_16_00</v>
      </c>
      <c r="I141" s="69">
        <f t="shared" si="86"/>
        <v>1</v>
      </c>
      <c r="J141" s="76" t="str">
        <f t="shared" si="86"/>
        <v>Hypericum</v>
      </c>
      <c r="K141" s="76" t="str">
        <f t="shared" si="86"/>
        <v>revolutum</v>
      </c>
      <c r="L141" s="77">
        <f t="shared" si="86"/>
        <v>7</v>
      </c>
      <c r="M141" s="77">
        <f t="shared" si="86"/>
        <v>2</v>
      </c>
      <c r="N141" s="71">
        <f t="shared" si="86"/>
        <v>0</v>
      </c>
      <c r="O141" s="44"/>
      <c r="P141" s="45">
        <f t="shared" si="70"/>
        <v>1</v>
      </c>
      <c r="Q141" s="46" t="str">
        <f t="shared" si="71"/>
        <v>16:17:47</v>
      </c>
      <c r="R141" s="47" t="str">
        <f t="shared" si="72"/>
        <v>17:47</v>
      </c>
      <c r="S141" s="48">
        <f t="shared" si="61"/>
        <v>138</v>
      </c>
      <c r="T141" s="47" t="str">
        <f t="shared" si="73"/>
        <v>16</v>
      </c>
      <c r="U141" s="49">
        <v>20</v>
      </c>
      <c r="V141" s="50">
        <v>5</v>
      </c>
      <c r="W141" s="51" t="str">
        <f t="shared" si="74"/>
        <v>20:05</v>
      </c>
      <c r="X141" s="52" t="s">
        <v>59</v>
      </c>
      <c r="Y141" s="124" t="s">
        <v>243</v>
      </c>
      <c r="Z141" s="124"/>
      <c r="AA141" s="47" t="s">
        <v>254</v>
      </c>
      <c r="AB141" s="47" t="str">
        <f t="shared" si="75"/>
        <v>NA</v>
      </c>
      <c r="AC141" s="53" t="str">
        <f t="shared" si="76"/>
        <v/>
      </c>
      <c r="AD141" s="54">
        <f t="shared" si="87"/>
        <v>1</v>
      </c>
      <c r="AE141" s="54"/>
      <c r="AF141" s="54"/>
      <c r="AG141" s="55" t="str">
        <f t="shared" si="77"/>
        <v/>
      </c>
      <c r="AH141" s="56" t="str">
        <f t="shared" si="78"/>
        <v/>
      </c>
      <c r="AI141" s="55"/>
      <c r="AJ141" s="56" t="str">
        <f t="shared" si="79"/>
        <v/>
      </c>
      <c r="AK141" s="55"/>
      <c r="AL141" s="56" t="str">
        <f t="shared" si="80"/>
        <v/>
      </c>
      <c r="AM141" s="55"/>
      <c r="AN141" s="56" t="str">
        <f t="shared" si="81"/>
        <v/>
      </c>
      <c r="AO141" s="55"/>
      <c r="AP141" s="56" t="str">
        <f t="shared" si="82"/>
        <v/>
      </c>
      <c r="AQ141" s="55"/>
      <c r="AR141" s="56" t="str">
        <f t="shared" si="83"/>
        <v/>
      </c>
      <c r="AS141" s="57" t="s">
        <v>109</v>
      </c>
      <c r="AT141" s="58"/>
      <c r="AU141" s="58"/>
      <c r="AV141" s="59"/>
      <c r="AW141" s="60">
        <f t="shared" si="62"/>
        <v>0</v>
      </c>
      <c r="AX141" s="61" t="str">
        <f t="shared" si="63"/>
        <v/>
      </c>
      <c r="AY141" s="60">
        <f t="shared" si="64"/>
        <v>0</v>
      </c>
      <c r="AZ141" s="61" t="str">
        <f t="shared" si="65"/>
        <v/>
      </c>
    </row>
    <row r="142" spans="1:52" s="3" customFormat="1" hidden="1" x14ac:dyDescent="0.35">
      <c r="A142" s="72">
        <f t="shared" si="66"/>
        <v>2021</v>
      </c>
      <c r="B142" s="72" t="str">
        <f t="shared" si="67"/>
        <v>Nov</v>
      </c>
      <c r="C142" s="73">
        <f t="shared" si="84"/>
        <v>14</v>
      </c>
      <c r="D142" s="74">
        <f t="shared" si="68"/>
        <v>16</v>
      </c>
      <c r="E142" s="75">
        <f t="shared" si="69"/>
        <v>18</v>
      </c>
      <c r="F142" s="79">
        <v>11</v>
      </c>
      <c r="G142" s="82"/>
      <c r="H142" s="68" t="str">
        <f t="shared" si="85"/>
        <v>Hyprev7_20211114_16_00</v>
      </c>
      <c r="I142" s="69">
        <f t="shared" si="86"/>
        <v>1</v>
      </c>
      <c r="J142" s="76" t="str">
        <f t="shared" si="86"/>
        <v>Hypericum</v>
      </c>
      <c r="K142" s="76" t="str">
        <f t="shared" si="86"/>
        <v>revolutum</v>
      </c>
      <c r="L142" s="77">
        <f t="shared" si="86"/>
        <v>7</v>
      </c>
      <c r="M142" s="77">
        <f t="shared" si="86"/>
        <v>2</v>
      </c>
      <c r="N142" s="71">
        <f t="shared" si="86"/>
        <v>0</v>
      </c>
      <c r="O142" s="44"/>
      <c r="P142" s="45">
        <f t="shared" si="70"/>
        <v>1</v>
      </c>
      <c r="Q142" s="46" t="str">
        <f t="shared" si="71"/>
        <v>16:18:11</v>
      </c>
      <c r="R142" s="47" t="str">
        <f t="shared" si="72"/>
        <v>18:11</v>
      </c>
      <c r="S142" s="48">
        <f t="shared" si="61"/>
        <v>1</v>
      </c>
      <c r="T142" s="47" t="str">
        <f t="shared" si="73"/>
        <v>16</v>
      </c>
      <c r="U142" s="49">
        <v>18</v>
      </c>
      <c r="V142" s="50">
        <v>12</v>
      </c>
      <c r="W142" s="51" t="str">
        <f t="shared" si="74"/>
        <v>18:12</v>
      </c>
      <c r="X142" s="52" t="s">
        <v>59</v>
      </c>
      <c r="Y142" s="124" t="s">
        <v>244</v>
      </c>
      <c r="Z142" s="124"/>
      <c r="AA142" s="47" t="s">
        <v>256</v>
      </c>
      <c r="AB142" s="47" t="str">
        <f t="shared" si="75"/>
        <v>NA</v>
      </c>
      <c r="AC142" s="53" t="str">
        <f t="shared" si="76"/>
        <v/>
      </c>
      <c r="AD142" s="54">
        <f t="shared" si="87"/>
        <v>1</v>
      </c>
      <c r="AE142" s="54"/>
      <c r="AF142" s="54"/>
      <c r="AG142" s="55" t="str">
        <f t="shared" si="77"/>
        <v/>
      </c>
      <c r="AH142" s="56" t="str">
        <f t="shared" si="78"/>
        <v/>
      </c>
      <c r="AI142" s="55"/>
      <c r="AJ142" s="56" t="str">
        <f t="shared" si="79"/>
        <v/>
      </c>
      <c r="AK142" s="55"/>
      <c r="AL142" s="56" t="str">
        <f t="shared" si="80"/>
        <v/>
      </c>
      <c r="AM142" s="55"/>
      <c r="AN142" s="56" t="str">
        <f t="shared" si="81"/>
        <v/>
      </c>
      <c r="AO142" s="55"/>
      <c r="AP142" s="56" t="str">
        <f t="shared" si="82"/>
        <v/>
      </c>
      <c r="AQ142" s="55"/>
      <c r="AR142" s="56" t="str">
        <f t="shared" si="83"/>
        <v/>
      </c>
      <c r="AS142" s="57" t="s">
        <v>110</v>
      </c>
      <c r="AT142" s="58"/>
      <c r="AU142" s="58"/>
      <c r="AV142" s="59"/>
      <c r="AW142" s="60">
        <f t="shared" si="62"/>
        <v>0</v>
      </c>
      <c r="AX142" s="61" t="str">
        <f t="shared" si="63"/>
        <v/>
      </c>
      <c r="AY142" s="60">
        <f t="shared" si="64"/>
        <v>0</v>
      </c>
      <c r="AZ142" s="61" t="str">
        <f t="shared" si="65"/>
        <v/>
      </c>
    </row>
    <row r="143" spans="1:52" s="3" customFormat="1" hidden="1" x14ac:dyDescent="0.35">
      <c r="A143" s="72">
        <f t="shared" si="66"/>
        <v>2021</v>
      </c>
      <c r="B143" s="72" t="str">
        <f t="shared" si="67"/>
        <v>Nov</v>
      </c>
      <c r="C143" s="73">
        <f t="shared" si="84"/>
        <v>14</v>
      </c>
      <c r="D143" s="74">
        <f t="shared" si="68"/>
        <v>16</v>
      </c>
      <c r="E143" s="75">
        <f t="shared" si="69"/>
        <v>19</v>
      </c>
      <c r="F143" s="79">
        <v>47</v>
      </c>
      <c r="G143" s="82"/>
      <c r="H143" s="68" t="str">
        <f t="shared" si="85"/>
        <v>Hyprev7_20211114_16_00</v>
      </c>
      <c r="I143" s="69">
        <f t="shared" si="86"/>
        <v>1</v>
      </c>
      <c r="J143" s="76" t="str">
        <f t="shared" si="86"/>
        <v>Hypericum</v>
      </c>
      <c r="K143" s="76" t="str">
        <f t="shared" si="86"/>
        <v>revolutum</v>
      </c>
      <c r="L143" s="77">
        <f t="shared" si="86"/>
        <v>7</v>
      </c>
      <c r="M143" s="77">
        <f t="shared" si="86"/>
        <v>2</v>
      </c>
      <c r="N143" s="71">
        <f t="shared" si="86"/>
        <v>0</v>
      </c>
      <c r="O143" s="44"/>
      <c r="P143" s="45">
        <f t="shared" si="70"/>
        <v>1</v>
      </c>
      <c r="Q143" s="46" t="str">
        <f t="shared" si="71"/>
        <v>16:19:47</v>
      </c>
      <c r="R143" s="47" t="str">
        <f t="shared" si="72"/>
        <v>19:47</v>
      </c>
      <c r="S143" s="48">
        <f t="shared" si="61"/>
        <v>9</v>
      </c>
      <c r="T143" s="47" t="str">
        <f t="shared" si="73"/>
        <v>16</v>
      </c>
      <c r="U143" s="49">
        <v>19</v>
      </c>
      <c r="V143" s="50">
        <v>56</v>
      </c>
      <c r="W143" s="51" t="str">
        <f t="shared" si="74"/>
        <v>19:56</v>
      </c>
      <c r="X143" s="52" t="s">
        <v>59</v>
      </c>
      <c r="Y143" s="124" t="s">
        <v>236</v>
      </c>
      <c r="Z143" s="124"/>
      <c r="AA143" s="47" t="s">
        <v>254</v>
      </c>
      <c r="AB143" s="47" t="str">
        <f t="shared" si="75"/>
        <v>NA</v>
      </c>
      <c r="AC143" s="53" t="str">
        <f t="shared" si="76"/>
        <v/>
      </c>
      <c r="AD143" s="54">
        <f t="shared" si="87"/>
        <v>1</v>
      </c>
      <c r="AE143" s="54"/>
      <c r="AF143" s="54"/>
      <c r="AG143" s="55" t="str">
        <f t="shared" si="77"/>
        <v/>
      </c>
      <c r="AH143" s="56" t="str">
        <f t="shared" si="78"/>
        <v/>
      </c>
      <c r="AI143" s="55"/>
      <c r="AJ143" s="56" t="str">
        <f t="shared" si="79"/>
        <v/>
      </c>
      <c r="AK143" s="55"/>
      <c r="AL143" s="56" t="str">
        <f t="shared" si="80"/>
        <v/>
      </c>
      <c r="AM143" s="55"/>
      <c r="AN143" s="56" t="str">
        <f t="shared" si="81"/>
        <v/>
      </c>
      <c r="AO143" s="55"/>
      <c r="AP143" s="56" t="str">
        <f t="shared" si="82"/>
        <v/>
      </c>
      <c r="AQ143" s="55"/>
      <c r="AR143" s="56" t="str">
        <f t="shared" si="83"/>
        <v/>
      </c>
      <c r="AS143" s="57" t="s">
        <v>111</v>
      </c>
      <c r="AT143" s="58"/>
      <c r="AU143" s="58"/>
      <c r="AV143" s="59"/>
      <c r="AW143" s="60">
        <f t="shared" si="62"/>
        <v>0</v>
      </c>
      <c r="AX143" s="61" t="str">
        <f t="shared" si="63"/>
        <v/>
      </c>
      <c r="AY143" s="60">
        <f t="shared" si="64"/>
        <v>0</v>
      </c>
      <c r="AZ143" s="61" t="str">
        <f t="shared" si="65"/>
        <v/>
      </c>
    </row>
    <row r="144" spans="1:52" s="3" customFormat="1" hidden="1" x14ac:dyDescent="0.35">
      <c r="A144" s="72">
        <f t="shared" si="66"/>
        <v>2021</v>
      </c>
      <c r="B144" s="72" t="str">
        <f t="shared" si="67"/>
        <v>Nov</v>
      </c>
      <c r="C144" s="73">
        <f t="shared" si="84"/>
        <v>14</v>
      </c>
      <c r="D144" s="74">
        <f t="shared" si="68"/>
        <v>16</v>
      </c>
      <c r="E144" s="75">
        <f t="shared" si="69"/>
        <v>20</v>
      </c>
      <c r="F144" s="79"/>
      <c r="G144" s="82"/>
      <c r="H144" s="68" t="str">
        <f t="shared" si="85"/>
        <v>Hyprev7_20211114_16_00</v>
      </c>
      <c r="I144" s="69">
        <f t="shared" si="86"/>
        <v>1</v>
      </c>
      <c r="J144" s="76" t="str">
        <f t="shared" si="86"/>
        <v>Hypericum</v>
      </c>
      <c r="K144" s="76" t="str">
        <f t="shared" si="86"/>
        <v>revolutum</v>
      </c>
      <c r="L144" s="77">
        <f t="shared" si="86"/>
        <v>7</v>
      </c>
      <c r="M144" s="77">
        <f t="shared" si="86"/>
        <v>2</v>
      </c>
      <c r="N144" s="71">
        <f t="shared" si="86"/>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87"/>
        <v/>
      </c>
      <c r="AE144" s="54"/>
      <c r="AF144" s="54"/>
      <c r="AG144" s="55" t="str">
        <f t="shared" si="77"/>
        <v/>
      </c>
      <c r="AH144" s="56" t="str">
        <f t="shared" si="78"/>
        <v/>
      </c>
      <c r="AI144" s="55"/>
      <c r="AJ144" s="56" t="str">
        <f t="shared" si="79"/>
        <v/>
      </c>
      <c r="AK144" s="55"/>
      <c r="AL144" s="56" t="str">
        <f t="shared" si="80"/>
        <v/>
      </c>
      <c r="AM144" s="55"/>
      <c r="AN144" s="56" t="str">
        <f t="shared" si="81"/>
        <v/>
      </c>
      <c r="AO144" s="55"/>
      <c r="AP144" s="56" t="str">
        <f t="shared" si="82"/>
        <v/>
      </c>
      <c r="AQ144" s="55"/>
      <c r="AR144" s="56" t="str">
        <f t="shared" si="83"/>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v>
      </c>
      <c r="C145" s="73">
        <f t="shared" si="84"/>
        <v>14</v>
      </c>
      <c r="D145" s="74">
        <f t="shared" si="68"/>
        <v>16</v>
      </c>
      <c r="E145" s="75">
        <f t="shared" si="69"/>
        <v>21</v>
      </c>
      <c r="F145" s="79"/>
      <c r="G145" s="82"/>
      <c r="H145" s="68" t="str">
        <f t="shared" si="85"/>
        <v>Hyprev7_20211114_16_00</v>
      </c>
      <c r="I145" s="69">
        <f t="shared" si="86"/>
        <v>1</v>
      </c>
      <c r="J145" s="76" t="str">
        <f t="shared" si="86"/>
        <v>Hypericum</v>
      </c>
      <c r="K145" s="76" t="str">
        <f t="shared" si="86"/>
        <v>revolutum</v>
      </c>
      <c r="L145" s="77">
        <f t="shared" si="86"/>
        <v>7</v>
      </c>
      <c r="M145" s="77">
        <f t="shared" si="86"/>
        <v>2</v>
      </c>
      <c r="N145" s="71">
        <f t="shared" si="86"/>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87"/>
        <v/>
      </c>
      <c r="AE145" s="54"/>
      <c r="AF145" s="54"/>
      <c r="AG145" s="55" t="str">
        <f t="shared" si="77"/>
        <v/>
      </c>
      <c r="AH145" s="56" t="str">
        <f t="shared" si="78"/>
        <v/>
      </c>
      <c r="AI145" s="55"/>
      <c r="AJ145" s="56" t="str">
        <f t="shared" si="79"/>
        <v/>
      </c>
      <c r="AK145" s="55"/>
      <c r="AL145" s="56" t="str">
        <f t="shared" si="80"/>
        <v/>
      </c>
      <c r="AM145" s="55"/>
      <c r="AN145" s="56" t="str">
        <f t="shared" si="81"/>
        <v/>
      </c>
      <c r="AO145" s="55"/>
      <c r="AP145" s="56" t="str">
        <f t="shared" si="82"/>
        <v/>
      </c>
      <c r="AQ145" s="55"/>
      <c r="AR145" s="56" t="str">
        <f t="shared" si="83"/>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2021</v>
      </c>
      <c r="B146" s="72" t="str">
        <f t="shared" si="67"/>
        <v>Nov</v>
      </c>
      <c r="C146" s="73">
        <f t="shared" si="84"/>
        <v>14</v>
      </c>
      <c r="D146" s="74">
        <f t="shared" si="68"/>
        <v>16</v>
      </c>
      <c r="E146" s="75">
        <f t="shared" si="69"/>
        <v>22</v>
      </c>
      <c r="F146" s="79"/>
      <c r="G146" s="82"/>
      <c r="H146" s="68" t="str">
        <f t="shared" si="85"/>
        <v>Hyprev7_20211114_16_00</v>
      </c>
      <c r="I146" s="69">
        <f t="shared" si="86"/>
        <v>1</v>
      </c>
      <c r="J146" s="76" t="str">
        <f t="shared" si="86"/>
        <v>Hypericum</v>
      </c>
      <c r="K146" s="76" t="str">
        <f t="shared" si="86"/>
        <v>revolutum</v>
      </c>
      <c r="L146" s="77">
        <f t="shared" si="86"/>
        <v>7</v>
      </c>
      <c r="M146" s="77">
        <f t="shared" si="86"/>
        <v>2</v>
      </c>
      <c r="N146" s="71">
        <f t="shared" si="86"/>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87"/>
        <v/>
      </c>
      <c r="AE146" s="54"/>
      <c r="AF146" s="54"/>
      <c r="AG146" s="55" t="str">
        <f t="shared" si="77"/>
        <v/>
      </c>
      <c r="AH146" s="56" t="str">
        <f t="shared" si="78"/>
        <v/>
      </c>
      <c r="AI146" s="55"/>
      <c r="AJ146" s="56" t="str">
        <f t="shared" si="79"/>
        <v/>
      </c>
      <c r="AK146" s="55"/>
      <c r="AL146" s="56" t="str">
        <f t="shared" si="80"/>
        <v/>
      </c>
      <c r="AM146" s="55"/>
      <c r="AN146" s="56" t="str">
        <f t="shared" si="81"/>
        <v/>
      </c>
      <c r="AO146" s="55"/>
      <c r="AP146" s="56" t="str">
        <f t="shared" si="82"/>
        <v/>
      </c>
      <c r="AQ146" s="55"/>
      <c r="AR146" s="56" t="str">
        <f t="shared" si="83"/>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2021</v>
      </c>
      <c r="B147" s="72" t="str">
        <f t="shared" si="67"/>
        <v>Nov</v>
      </c>
      <c r="C147" s="73">
        <f t="shared" si="84"/>
        <v>14</v>
      </c>
      <c r="D147" s="74">
        <f t="shared" si="68"/>
        <v>16</v>
      </c>
      <c r="E147" s="75">
        <f t="shared" si="69"/>
        <v>23</v>
      </c>
      <c r="F147" s="79"/>
      <c r="G147" s="82"/>
      <c r="H147" s="68" t="str">
        <f t="shared" si="85"/>
        <v>Hyprev7_20211114_16_00</v>
      </c>
      <c r="I147" s="69">
        <f t="shared" si="86"/>
        <v>1</v>
      </c>
      <c r="J147" s="76" t="str">
        <f t="shared" si="86"/>
        <v>Hypericum</v>
      </c>
      <c r="K147" s="76" t="str">
        <f t="shared" si="86"/>
        <v>revolutum</v>
      </c>
      <c r="L147" s="77">
        <f t="shared" si="86"/>
        <v>7</v>
      </c>
      <c r="M147" s="77">
        <f t="shared" si="86"/>
        <v>2</v>
      </c>
      <c r="N147" s="71">
        <f t="shared" si="86"/>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87"/>
        <v/>
      </c>
      <c r="AE147" s="54"/>
      <c r="AF147" s="54"/>
      <c r="AG147" s="55" t="str">
        <f t="shared" si="77"/>
        <v/>
      </c>
      <c r="AH147" s="56" t="str">
        <f t="shared" si="78"/>
        <v/>
      </c>
      <c r="AI147" s="55"/>
      <c r="AJ147" s="56" t="str">
        <f t="shared" si="79"/>
        <v/>
      </c>
      <c r="AK147" s="55"/>
      <c r="AL147" s="56" t="str">
        <f t="shared" si="80"/>
        <v/>
      </c>
      <c r="AM147" s="55"/>
      <c r="AN147" s="56" t="str">
        <f t="shared" si="81"/>
        <v/>
      </c>
      <c r="AO147" s="55"/>
      <c r="AP147" s="56" t="str">
        <f t="shared" si="82"/>
        <v/>
      </c>
      <c r="AQ147" s="55"/>
      <c r="AR147" s="56" t="str">
        <f t="shared" si="83"/>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v>
      </c>
      <c r="C148" s="73">
        <f t="shared" si="84"/>
        <v>14</v>
      </c>
      <c r="D148" s="74">
        <f t="shared" si="68"/>
        <v>16</v>
      </c>
      <c r="E148" s="75">
        <f t="shared" si="69"/>
        <v>24</v>
      </c>
      <c r="F148" s="79"/>
      <c r="G148" s="82"/>
      <c r="H148" s="68" t="str">
        <f t="shared" si="85"/>
        <v>Hyprev7_20211114_16_00</v>
      </c>
      <c r="I148" s="69">
        <f t="shared" si="86"/>
        <v>1</v>
      </c>
      <c r="J148" s="76" t="str">
        <f t="shared" si="86"/>
        <v>Hypericum</v>
      </c>
      <c r="K148" s="76" t="str">
        <f t="shared" si="86"/>
        <v>revolutum</v>
      </c>
      <c r="L148" s="77">
        <f t="shared" si="86"/>
        <v>7</v>
      </c>
      <c r="M148" s="77">
        <f t="shared" si="86"/>
        <v>2</v>
      </c>
      <c r="N148" s="71">
        <f t="shared" si="86"/>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87"/>
        <v/>
      </c>
      <c r="AE148" s="54"/>
      <c r="AF148" s="54"/>
      <c r="AG148" s="55" t="str">
        <f t="shared" si="77"/>
        <v/>
      </c>
      <c r="AH148" s="56" t="str">
        <f t="shared" si="78"/>
        <v/>
      </c>
      <c r="AI148" s="55"/>
      <c r="AJ148" s="56" t="str">
        <f t="shared" si="79"/>
        <v/>
      </c>
      <c r="AK148" s="55"/>
      <c r="AL148" s="56" t="str">
        <f t="shared" si="80"/>
        <v/>
      </c>
      <c r="AM148" s="55"/>
      <c r="AN148" s="56" t="str">
        <f t="shared" si="81"/>
        <v/>
      </c>
      <c r="AO148" s="55"/>
      <c r="AP148" s="56" t="str">
        <f t="shared" si="82"/>
        <v/>
      </c>
      <c r="AQ148" s="55"/>
      <c r="AR148" s="56" t="str">
        <f t="shared" si="83"/>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2021</v>
      </c>
      <c r="B149" s="72" t="str">
        <f t="shared" si="67"/>
        <v>Nov</v>
      </c>
      <c r="C149" s="73">
        <f t="shared" si="84"/>
        <v>14</v>
      </c>
      <c r="D149" s="74">
        <f t="shared" si="68"/>
        <v>16</v>
      </c>
      <c r="E149" s="75">
        <f t="shared" si="69"/>
        <v>25</v>
      </c>
      <c r="F149" s="79"/>
      <c r="G149" s="82"/>
      <c r="H149" s="68" t="str">
        <f t="shared" si="85"/>
        <v>Hyprev7_20211114_16_00</v>
      </c>
      <c r="I149" s="69">
        <f t="shared" ref="I149:N164" si="88">I148</f>
        <v>1</v>
      </c>
      <c r="J149" s="76" t="str">
        <f t="shared" si="88"/>
        <v>Hypericum</v>
      </c>
      <c r="K149" s="76" t="str">
        <f t="shared" si="88"/>
        <v>revolutum</v>
      </c>
      <c r="L149" s="77">
        <f t="shared" si="88"/>
        <v>7</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87"/>
        <v/>
      </c>
      <c r="AE149" s="54"/>
      <c r="AF149" s="54"/>
      <c r="AG149" s="55" t="str">
        <f t="shared" si="77"/>
        <v/>
      </c>
      <c r="AH149" s="56" t="str">
        <f t="shared" si="78"/>
        <v/>
      </c>
      <c r="AI149" s="55"/>
      <c r="AJ149" s="56" t="str">
        <f t="shared" si="79"/>
        <v/>
      </c>
      <c r="AK149" s="55"/>
      <c r="AL149" s="56" t="str">
        <f t="shared" si="80"/>
        <v/>
      </c>
      <c r="AM149" s="55"/>
      <c r="AN149" s="56" t="str">
        <f t="shared" si="81"/>
        <v/>
      </c>
      <c r="AO149" s="55"/>
      <c r="AP149" s="56" t="str">
        <f t="shared" si="82"/>
        <v/>
      </c>
      <c r="AQ149" s="55"/>
      <c r="AR149" s="56" t="str">
        <f t="shared" si="83"/>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2021</v>
      </c>
      <c r="B150" s="72" t="str">
        <f t="shared" si="67"/>
        <v>Nov</v>
      </c>
      <c r="C150" s="73">
        <f t="shared" si="84"/>
        <v>14</v>
      </c>
      <c r="D150" s="74">
        <f t="shared" si="68"/>
        <v>16</v>
      </c>
      <c r="E150" s="75">
        <f t="shared" si="69"/>
        <v>26</v>
      </c>
      <c r="F150" s="79"/>
      <c r="G150" s="82"/>
      <c r="H150" s="68" t="str">
        <f t="shared" si="85"/>
        <v>Hyprev7_20211114_16_00</v>
      </c>
      <c r="I150" s="69">
        <f t="shared" si="88"/>
        <v>1</v>
      </c>
      <c r="J150" s="76" t="str">
        <f t="shared" si="88"/>
        <v>Hypericum</v>
      </c>
      <c r="K150" s="76" t="str">
        <f t="shared" si="88"/>
        <v>revolutum</v>
      </c>
      <c r="L150" s="77">
        <f t="shared" si="88"/>
        <v>7</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87"/>
        <v/>
      </c>
      <c r="AE150" s="54"/>
      <c r="AF150" s="54"/>
      <c r="AG150" s="55" t="str">
        <f t="shared" si="77"/>
        <v/>
      </c>
      <c r="AH150" s="56" t="str">
        <f t="shared" si="78"/>
        <v/>
      </c>
      <c r="AI150" s="55"/>
      <c r="AJ150" s="56" t="str">
        <f t="shared" si="79"/>
        <v/>
      </c>
      <c r="AK150" s="55"/>
      <c r="AL150" s="56" t="str">
        <f t="shared" si="80"/>
        <v/>
      </c>
      <c r="AM150" s="55"/>
      <c r="AN150" s="56" t="str">
        <f t="shared" si="81"/>
        <v/>
      </c>
      <c r="AO150" s="55"/>
      <c r="AP150" s="56" t="str">
        <f t="shared" si="82"/>
        <v/>
      </c>
      <c r="AQ150" s="55"/>
      <c r="AR150" s="56" t="str">
        <f t="shared" si="83"/>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v>
      </c>
      <c r="C151" s="73">
        <f t="shared" si="84"/>
        <v>14</v>
      </c>
      <c r="D151" s="74">
        <f t="shared" si="68"/>
        <v>16</v>
      </c>
      <c r="E151" s="75">
        <f t="shared" si="69"/>
        <v>27</v>
      </c>
      <c r="F151" s="79"/>
      <c r="G151" s="82"/>
      <c r="H151" s="68" t="str">
        <f t="shared" si="85"/>
        <v>Hyprev7_20211114_16_00</v>
      </c>
      <c r="I151" s="69">
        <f t="shared" si="88"/>
        <v>1</v>
      </c>
      <c r="J151" s="76" t="str">
        <f t="shared" si="88"/>
        <v>Hypericum</v>
      </c>
      <c r="K151" s="76" t="str">
        <f t="shared" si="88"/>
        <v>revolutum</v>
      </c>
      <c r="L151" s="77">
        <f t="shared" si="88"/>
        <v>7</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87"/>
        <v/>
      </c>
      <c r="AE151" s="54"/>
      <c r="AF151" s="54"/>
      <c r="AG151" s="55" t="str">
        <f t="shared" si="77"/>
        <v/>
      </c>
      <c r="AH151" s="56" t="str">
        <f t="shared" si="78"/>
        <v/>
      </c>
      <c r="AI151" s="55"/>
      <c r="AJ151" s="56" t="str">
        <f t="shared" si="79"/>
        <v/>
      </c>
      <c r="AK151" s="55"/>
      <c r="AL151" s="56" t="str">
        <f t="shared" si="80"/>
        <v/>
      </c>
      <c r="AM151" s="55"/>
      <c r="AN151" s="56" t="str">
        <f t="shared" si="81"/>
        <v/>
      </c>
      <c r="AO151" s="55"/>
      <c r="AP151" s="56" t="str">
        <f t="shared" si="82"/>
        <v/>
      </c>
      <c r="AQ151" s="55"/>
      <c r="AR151" s="56" t="str">
        <f t="shared" si="83"/>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v>
      </c>
      <c r="C152" s="73">
        <f t="shared" si="84"/>
        <v>14</v>
      </c>
      <c r="D152" s="74">
        <f t="shared" si="68"/>
        <v>16</v>
      </c>
      <c r="E152" s="75">
        <f t="shared" si="69"/>
        <v>28</v>
      </c>
      <c r="F152" s="79"/>
      <c r="G152" s="82"/>
      <c r="H152" s="68" t="str">
        <f t="shared" si="85"/>
        <v>Hyprev7_20211114_16_00</v>
      </c>
      <c r="I152" s="69">
        <f t="shared" si="88"/>
        <v>1</v>
      </c>
      <c r="J152" s="76" t="str">
        <f t="shared" si="88"/>
        <v>Hypericum</v>
      </c>
      <c r="K152" s="76" t="str">
        <f t="shared" si="88"/>
        <v>revolutum</v>
      </c>
      <c r="L152" s="77">
        <f t="shared" si="88"/>
        <v>7</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87"/>
        <v/>
      </c>
      <c r="AE152" s="54"/>
      <c r="AF152" s="54"/>
      <c r="AG152" s="55" t="str">
        <f t="shared" si="77"/>
        <v/>
      </c>
      <c r="AH152" s="56" t="str">
        <f t="shared" si="78"/>
        <v/>
      </c>
      <c r="AI152" s="55"/>
      <c r="AJ152" s="56" t="str">
        <f t="shared" si="79"/>
        <v/>
      </c>
      <c r="AK152" s="55"/>
      <c r="AL152" s="56" t="str">
        <f t="shared" si="80"/>
        <v/>
      </c>
      <c r="AM152" s="55"/>
      <c r="AN152" s="56" t="str">
        <f t="shared" si="81"/>
        <v/>
      </c>
      <c r="AO152" s="55"/>
      <c r="AP152" s="56" t="str">
        <f t="shared" si="82"/>
        <v/>
      </c>
      <c r="AQ152" s="55"/>
      <c r="AR152" s="56" t="str">
        <f t="shared" si="83"/>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2021</v>
      </c>
      <c r="B153" s="72" t="str">
        <f t="shared" si="67"/>
        <v>Nov</v>
      </c>
      <c r="C153" s="73">
        <f t="shared" si="84"/>
        <v>14</v>
      </c>
      <c r="D153" s="74">
        <f t="shared" si="68"/>
        <v>16</v>
      </c>
      <c r="E153" s="75">
        <f t="shared" si="69"/>
        <v>29</v>
      </c>
      <c r="F153" s="79">
        <v>48</v>
      </c>
      <c r="G153" s="82"/>
      <c r="H153" s="68" t="str">
        <f t="shared" si="85"/>
        <v>Hyprev7_20211114_16_00</v>
      </c>
      <c r="I153" s="69">
        <f t="shared" si="88"/>
        <v>1</v>
      </c>
      <c r="J153" s="76" t="str">
        <f t="shared" si="88"/>
        <v>Hypericum</v>
      </c>
      <c r="K153" s="76" t="str">
        <f t="shared" si="88"/>
        <v>revolutum</v>
      </c>
      <c r="L153" s="77">
        <f t="shared" si="88"/>
        <v>7</v>
      </c>
      <c r="M153" s="77">
        <f t="shared" si="88"/>
        <v>2</v>
      </c>
      <c r="N153" s="71">
        <f t="shared" si="88"/>
        <v>0</v>
      </c>
      <c r="O153" s="44"/>
      <c r="P153" s="45">
        <f t="shared" si="70"/>
        <v>1</v>
      </c>
      <c r="Q153" s="46" t="str">
        <f t="shared" si="71"/>
        <v>16:29:48</v>
      </c>
      <c r="R153" s="47" t="str">
        <f t="shared" si="72"/>
        <v>29:48</v>
      </c>
      <c r="S153" s="48">
        <f t="shared" si="61"/>
        <v>22</v>
      </c>
      <c r="T153" s="47" t="str">
        <f t="shared" si="73"/>
        <v>16</v>
      </c>
      <c r="U153" s="49">
        <v>30</v>
      </c>
      <c r="V153" s="50">
        <v>10</v>
      </c>
      <c r="W153" s="51" t="str">
        <f t="shared" si="74"/>
        <v>30:10</v>
      </c>
      <c r="X153" s="52" t="s">
        <v>61</v>
      </c>
      <c r="Y153" s="124" t="s">
        <v>237</v>
      </c>
      <c r="Z153" s="124" t="s">
        <v>252</v>
      </c>
      <c r="AA153" s="47" t="s">
        <v>254</v>
      </c>
      <c r="AB153" s="47" t="str">
        <f t="shared" si="75"/>
        <v>NA</v>
      </c>
      <c r="AC153" s="53" t="str">
        <f t="shared" si="76"/>
        <v/>
      </c>
      <c r="AD153" s="54">
        <f t="shared" si="87"/>
        <v>1</v>
      </c>
      <c r="AE153" s="54"/>
      <c r="AF153" s="54"/>
      <c r="AG153" s="55" t="str">
        <f t="shared" si="77"/>
        <v/>
      </c>
      <c r="AH153" s="56" t="str">
        <f t="shared" si="78"/>
        <v/>
      </c>
      <c r="AI153" s="55"/>
      <c r="AJ153" s="56" t="str">
        <f t="shared" si="79"/>
        <v/>
      </c>
      <c r="AK153" s="55"/>
      <c r="AL153" s="56" t="str">
        <f t="shared" si="80"/>
        <v/>
      </c>
      <c r="AM153" s="55"/>
      <c r="AN153" s="56" t="str">
        <f t="shared" si="81"/>
        <v/>
      </c>
      <c r="AO153" s="55"/>
      <c r="AP153" s="56" t="str">
        <f t="shared" si="82"/>
        <v/>
      </c>
      <c r="AQ153" s="55"/>
      <c r="AR153" s="56" t="str">
        <f t="shared" si="83"/>
        <v/>
      </c>
      <c r="AS153" s="57" t="s">
        <v>112</v>
      </c>
      <c r="AT153" s="58"/>
      <c r="AU153" s="58"/>
      <c r="AV153" s="59"/>
      <c r="AW153" s="60">
        <f t="shared" si="62"/>
        <v>0</v>
      </c>
      <c r="AX153" s="61" t="str">
        <f t="shared" si="63"/>
        <v/>
      </c>
      <c r="AY153" s="60">
        <f t="shared" si="64"/>
        <v>0</v>
      </c>
      <c r="AZ153" s="61" t="str">
        <f t="shared" si="65"/>
        <v/>
      </c>
    </row>
    <row r="154" spans="1:52" s="3" customFormat="1" hidden="1" x14ac:dyDescent="0.35">
      <c r="A154" s="72">
        <f t="shared" si="66"/>
        <v>2021</v>
      </c>
      <c r="B154" s="72" t="str">
        <f t="shared" si="67"/>
        <v>Nov</v>
      </c>
      <c r="C154" s="73">
        <f t="shared" si="84"/>
        <v>14</v>
      </c>
      <c r="D154" s="74">
        <f t="shared" si="68"/>
        <v>16</v>
      </c>
      <c r="E154" s="75">
        <f t="shared" si="69"/>
        <v>30</v>
      </c>
      <c r="F154" s="79"/>
      <c r="G154" s="82"/>
      <c r="H154" s="68" t="str">
        <f t="shared" si="85"/>
        <v>Hyprev7_20211114_16_00</v>
      </c>
      <c r="I154" s="69">
        <f t="shared" si="88"/>
        <v>1</v>
      </c>
      <c r="J154" s="76" t="str">
        <f t="shared" si="88"/>
        <v>Hypericum</v>
      </c>
      <c r="K154" s="76" t="str">
        <f t="shared" si="88"/>
        <v>revolutum</v>
      </c>
      <c r="L154" s="77">
        <f t="shared" si="88"/>
        <v>7</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87"/>
        <v/>
      </c>
      <c r="AE154" s="54"/>
      <c r="AF154" s="54"/>
      <c r="AG154" s="55" t="str">
        <f t="shared" si="77"/>
        <v/>
      </c>
      <c r="AH154" s="56" t="str">
        <f t="shared" si="78"/>
        <v/>
      </c>
      <c r="AI154" s="55"/>
      <c r="AJ154" s="56" t="str">
        <f t="shared" si="79"/>
        <v/>
      </c>
      <c r="AK154" s="55"/>
      <c r="AL154" s="56" t="str">
        <f t="shared" si="80"/>
        <v/>
      </c>
      <c r="AM154" s="55"/>
      <c r="AN154" s="56" t="str">
        <f t="shared" si="81"/>
        <v/>
      </c>
      <c r="AO154" s="55"/>
      <c r="AP154" s="56" t="str">
        <f t="shared" si="82"/>
        <v/>
      </c>
      <c r="AQ154" s="55"/>
      <c r="AR154" s="56" t="str">
        <f t="shared" si="83"/>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2021</v>
      </c>
      <c r="B155" s="72" t="str">
        <f t="shared" si="67"/>
        <v>Nov</v>
      </c>
      <c r="C155" s="73">
        <f t="shared" si="84"/>
        <v>14</v>
      </c>
      <c r="D155" s="74">
        <f t="shared" si="68"/>
        <v>16</v>
      </c>
      <c r="E155" s="75">
        <f t="shared" si="69"/>
        <v>31</v>
      </c>
      <c r="F155" s="79"/>
      <c r="G155" s="82"/>
      <c r="H155" s="68" t="str">
        <f t="shared" si="85"/>
        <v>Hyprev7_20211114_16_00</v>
      </c>
      <c r="I155" s="69">
        <f t="shared" si="88"/>
        <v>1</v>
      </c>
      <c r="J155" s="76" t="str">
        <f t="shared" si="88"/>
        <v>Hypericum</v>
      </c>
      <c r="K155" s="76" t="str">
        <f t="shared" si="88"/>
        <v>revolutum</v>
      </c>
      <c r="L155" s="77">
        <f t="shared" si="88"/>
        <v>7</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87"/>
        <v/>
      </c>
      <c r="AE155" s="54"/>
      <c r="AF155" s="54"/>
      <c r="AG155" s="55" t="str">
        <f t="shared" si="77"/>
        <v/>
      </c>
      <c r="AH155" s="56" t="str">
        <f t="shared" si="78"/>
        <v/>
      </c>
      <c r="AI155" s="55"/>
      <c r="AJ155" s="56" t="str">
        <f t="shared" si="79"/>
        <v/>
      </c>
      <c r="AK155" s="55"/>
      <c r="AL155" s="56" t="str">
        <f t="shared" si="80"/>
        <v/>
      </c>
      <c r="AM155" s="55"/>
      <c r="AN155" s="56" t="str">
        <f t="shared" si="81"/>
        <v/>
      </c>
      <c r="AO155" s="55"/>
      <c r="AP155" s="56" t="str">
        <f t="shared" si="82"/>
        <v/>
      </c>
      <c r="AQ155" s="55"/>
      <c r="AR155" s="56" t="str">
        <f t="shared" si="83"/>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v>
      </c>
      <c r="C156" s="73">
        <f t="shared" si="84"/>
        <v>14</v>
      </c>
      <c r="D156" s="74">
        <f t="shared" si="68"/>
        <v>16</v>
      </c>
      <c r="E156" s="75">
        <f t="shared" si="69"/>
        <v>32</v>
      </c>
      <c r="F156" s="79"/>
      <c r="G156" s="82"/>
      <c r="H156" s="68" t="str">
        <f t="shared" si="85"/>
        <v>Hyprev7_20211114_16_00</v>
      </c>
      <c r="I156" s="69">
        <f t="shared" si="88"/>
        <v>1</v>
      </c>
      <c r="J156" s="76" t="str">
        <f t="shared" si="88"/>
        <v>Hypericum</v>
      </c>
      <c r="K156" s="76" t="str">
        <f t="shared" si="88"/>
        <v>revolutum</v>
      </c>
      <c r="L156" s="77">
        <f t="shared" si="88"/>
        <v>7</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87"/>
        <v/>
      </c>
      <c r="AE156" s="54"/>
      <c r="AF156" s="54"/>
      <c r="AG156" s="55" t="str">
        <f t="shared" si="77"/>
        <v/>
      </c>
      <c r="AH156" s="56" t="str">
        <f t="shared" si="78"/>
        <v/>
      </c>
      <c r="AI156" s="55"/>
      <c r="AJ156" s="56" t="str">
        <f t="shared" si="79"/>
        <v/>
      </c>
      <c r="AK156" s="55"/>
      <c r="AL156" s="56" t="str">
        <f t="shared" si="80"/>
        <v/>
      </c>
      <c r="AM156" s="55"/>
      <c r="AN156" s="56" t="str">
        <f t="shared" si="81"/>
        <v/>
      </c>
      <c r="AO156" s="55"/>
      <c r="AP156" s="56" t="str">
        <f t="shared" si="82"/>
        <v/>
      </c>
      <c r="AQ156" s="55"/>
      <c r="AR156" s="56" t="str">
        <f t="shared" si="83"/>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v>
      </c>
      <c r="C157" s="73">
        <f t="shared" si="84"/>
        <v>14</v>
      </c>
      <c r="D157" s="74">
        <f t="shared" si="68"/>
        <v>16</v>
      </c>
      <c r="E157" s="75">
        <f t="shared" si="69"/>
        <v>33</v>
      </c>
      <c r="F157" s="79"/>
      <c r="G157" s="82"/>
      <c r="H157" s="68" t="str">
        <f t="shared" si="85"/>
        <v>Hyprev7_20211114_16_00</v>
      </c>
      <c r="I157" s="69">
        <f t="shared" si="88"/>
        <v>1</v>
      </c>
      <c r="J157" s="76" t="str">
        <f t="shared" si="88"/>
        <v>Hypericum</v>
      </c>
      <c r="K157" s="76" t="str">
        <f t="shared" si="88"/>
        <v>revolutum</v>
      </c>
      <c r="L157" s="77">
        <f t="shared" si="88"/>
        <v>7</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87"/>
        <v/>
      </c>
      <c r="AE157" s="54"/>
      <c r="AF157" s="54"/>
      <c r="AG157" s="55" t="str">
        <f t="shared" si="77"/>
        <v/>
      </c>
      <c r="AH157" s="56" t="str">
        <f t="shared" si="78"/>
        <v/>
      </c>
      <c r="AI157" s="55"/>
      <c r="AJ157" s="56" t="str">
        <f t="shared" si="79"/>
        <v/>
      </c>
      <c r="AK157" s="55"/>
      <c r="AL157" s="56" t="str">
        <f t="shared" si="80"/>
        <v/>
      </c>
      <c r="AM157" s="55"/>
      <c r="AN157" s="56" t="str">
        <f t="shared" si="81"/>
        <v/>
      </c>
      <c r="AO157" s="55"/>
      <c r="AP157" s="56" t="str">
        <f t="shared" si="82"/>
        <v/>
      </c>
      <c r="AQ157" s="55"/>
      <c r="AR157" s="56" t="str">
        <f t="shared" si="83"/>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v>
      </c>
      <c r="C158" s="73">
        <f t="shared" si="84"/>
        <v>14</v>
      </c>
      <c r="D158" s="74">
        <f t="shared" si="68"/>
        <v>16</v>
      </c>
      <c r="E158" s="75">
        <f t="shared" si="69"/>
        <v>34</v>
      </c>
      <c r="F158" s="79"/>
      <c r="G158" s="82"/>
      <c r="H158" s="68" t="str">
        <f t="shared" si="85"/>
        <v>Hyprev7_20211114_16_00</v>
      </c>
      <c r="I158" s="69">
        <f t="shared" si="88"/>
        <v>1</v>
      </c>
      <c r="J158" s="76" t="str">
        <f t="shared" si="88"/>
        <v>Hypericum</v>
      </c>
      <c r="K158" s="76" t="str">
        <f t="shared" si="88"/>
        <v>revolutum</v>
      </c>
      <c r="L158" s="77">
        <f t="shared" si="88"/>
        <v>7</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87"/>
        <v/>
      </c>
      <c r="AE158" s="54"/>
      <c r="AF158" s="54"/>
      <c r="AG158" s="55" t="str">
        <f t="shared" si="77"/>
        <v/>
      </c>
      <c r="AH158" s="56" t="str">
        <f t="shared" si="78"/>
        <v/>
      </c>
      <c r="AI158" s="55"/>
      <c r="AJ158" s="56" t="str">
        <f t="shared" si="79"/>
        <v/>
      </c>
      <c r="AK158" s="55"/>
      <c r="AL158" s="56" t="str">
        <f t="shared" si="80"/>
        <v/>
      </c>
      <c r="AM158" s="55"/>
      <c r="AN158" s="56" t="str">
        <f t="shared" si="81"/>
        <v/>
      </c>
      <c r="AO158" s="55"/>
      <c r="AP158" s="56" t="str">
        <f t="shared" si="82"/>
        <v/>
      </c>
      <c r="AQ158" s="55"/>
      <c r="AR158" s="56" t="str">
        <f t="shared" si="83"/>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2021</v>
      </c>
      <c r="B159" s="72" t="str">
        <f t="shared" si="67"/>
        <v>Nov</v>
      </c>
      <c r="C159" s="73">
        <f t="shared" si="84"/>
        <v>14</v>
      </c>
      <c r="D159" s="74">
        <f t="shared" si="68"/>
        <v>16</v>
      </c>
      <c r="E159" s="75">
        <f t="shared" si="69"/>
        <v>35</v>
      </c>
      <c r="F159" s="79"/>
      <c r="G159" s="82"/>
      <c r="H159" s="68" t="str">
        <f t="shared" si="85"/>
        <v>Hyprev7_20211114_16_00</v>
      </c>
      <c r="I159" s="69">
        <f t="shared" si="88"/>
        <v>1</v>
      </c>
      <c r="J159" s="76" t="str">
        <f t="shared" si="88"/>
        <v>Hypericum</v>
      </c>
      <c r="K159" s="76" t="str">
        <f t="shared" si="88"/>
        <v>revolutum</v>
      </c>
      <c r="L159" s="77">
        <f t="shared" si="88"/>
        <v>7</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87"/>
        <v/>
      </c>
      <c r="AE159" s="54"/>
      <c r="AF159" s="54"/>
      <c r="AG159" s="55" t="str">
        <f t="shared" si="77"/>
        <v/>
      </c>
      <c r="AH159" s="56" t="str">
        <f t="shared" si="78"/>
        <v/>
      </c>
      <c r="AI159" s="55"/>
      <c r="AJ159" s="56" t="str">
        <f t="shared" si="79"/>
        <v/>
      </c>
      <c r="AK159" s="55"/>
      <c r="AL159" s="56" t="str">
        <f t="shared" si="80"/>
        <v/>
      </c>
      <c r="AM159" s="55"/>
      <c r="AN159" s="56" t="str">
        <f t="shared" si="81"/>
        <v/>
      </c>
      <c r="AO159" s="55"/>
      <c r="AP159" s="56" t="str">
        <f t="shared" si="82"/>
        <v/>
      </c>
      <c r="AQ159" s="55"/>
      <c r="AR159" s="56" t="str">
        <f t="shared" si="83"/>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2021</v>
      </c>
      <c r="B160" s="72" t="str">
        <f t="shared" si="67"/>
        <v>Nov</v>
      </c>
      <c r="C160" s="73">
        <f t="shared" si="84"/>
        <v>14</v>
      </c>
      <c r="D160" s="74">
        <f t="shared" si="68"/>
        <v>16</v>
      </c>
      <c r="E160" s="75">
        <f t="shared" si="69"/>
        <v>36</v>
      </c>
      <c r="F160" s="79"/>
      <c r="G160" s="82"/>
      <c r="H160" s="68" t="str">
        <f t="shared" si="85"/>
        <v>Hyprev7_20211114_16_00</v>
      </c>
      <c r="I160" s="69">
        <f t="shared" si="88"/>
        <v>1</v>
      </c>
      <c r="J160" s="76" t="str">
        <f t="shared" si="88"/>
        <v>Hypericum</v>
      </c>
      <c r="K160" s="76" t="str">
        <f t="shared" si="88"/>
        <v>revolutum</v>
      </c>
      <c r="L160" s="77">
        <f t="shared" si="88"/>
        <v>7</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87"/>
        <v/>
      </c>
      <c r="AE160" s="54"/>
      <c r="AF160" s="54"/>
      <c r="AG160" s="55" t="str">
        <f t="shared" si="77"/>
        <v/>
      </c>
      <c r="AH160" s="56" t="str">
        <f t="shared" si="78"/>
        <v/>
      </c>
      <c r="AI160" s="55"/>
      <c r="AJ160" s="56" t="str">
        <f t="shared" si="79"/>
        <v/>
      </c>
      <c r="AK160" s="55"/>
      <c r="AL160" s="56" t="str">
        <f t="shared" si="80"/>
        <v/>
      </c>
      <c r="AM160" s="55"/>
      <c r="AN160" s="56" t="str">
        <f t="shared" si="81"/>
        <v/>
      </c>
      <c r="AO160" s="55"/>
      <c r="AP160" s="56" t="str">
        <f t="shared" si="82"/>
        <v/>
      </c>
      <c r="AQ160" s="55"/>
      <c r="AR160" s="56" t="str">
        <f t="shared" si="83"/>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v>
      </c>
      <c r="C161" s="73">
        <f t="shared" si="84"/>
        <v>14</v>
      </c>
      <c r="D161" s="74">
        <f t="shared" si="68"/>
        <v>16</v>
      </c>
      <c r="E161" s="75">
        <f t="shared" si="69"/>
        <v>37</v>
      </c>
      <c r="F161" s="79"/>
      <c r="G161" s="82"/>
      <c r="H161" s="68" t="str">
        <f t="shared" si="85"/>
        <v>Hyprev7_20211114_16_00</v>
      </c>
      <c r="I161" s="69">
        <f t="shared" si="88"/>
        <v>1</v>
      </c>
      <c r="J161" s="76" t="str">
        <f t="shared" si="88"/>
        <v>Hypericum</v>
      </c>
      <c r="K161" s="76" t="str">
        <f t="shared" si="88"/>
        <v>revolutum</v>
      </c>
      <c r="L161" s="77">
        <f t="shared" si="88"/>
        <v>7</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87"/>
        <v/>
      </c>
      <c r="AE161" s="54"/>
      <c r="AF161" s="54"/>
      <c r="AG161" s="55" t="str">
        <f t="shared" si="77"/>
        <v/>
      </c>
      <c r="AH161" s="56" t="str">
        <f t="shared" si="78"/>
        <v/>
      </c>
      <c r="AI161" s="55"/>
      <c r="AJ161" s="56" t="str">
        <f t="shared" si="79"/>
        <v/>
      </c>
      <c r="AK161" s="55"/>
      <c r="AL161" s="56" t="str">
        <f t="shared" si="80"/>
        <v/>
      </c>
      <c r="AM161" s="55"/>
      <c r="AN161" s="56" t="str">
        <f t="shared" si="81"/>
        <v/>
      </c>
      <c r="AO161" s="55"/>
      <c r="AP161" s="56" t="str">
        <f t="shared" si="82"/>
        <v/>
      </c>
      <c r="AQ161" s="55"/>
      <c r="AR161" s="56" t="str">
        <f t="shared" si="83"/>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2021</v>
      </c>
      <c r="B162" s="72" t="str">
        <f t="shared" si="67"/>
        <v>Nov</v>
      </c>
      <c r="C162" s="73">
        <f t="shared" si="84"/>
        <v>14</v>
      </c>
      <c r="D162" s="74">
        <f t="shared" si="68"/>
        <v>16</v>
      </c>
      <c r="E162" s="75">
        <f t="shared" si="69"/>
        <v>38</v>
      </c>
      <c r="F162" s="79"/>
      <c r="G162" s="82"/>
      <c r="H162" s="68" t="str">
        <f t="shared" si="85"/>
        <v>Hyprev7_20211114_16_00</v>
      </c>
      <c r="I162" s="69">
        <f t="shared" si="88"/>
        <v>1</v>
      </c>
      <c r="J162" s="76" t="str">
        <f t="shared" si="88"/>
        <v>Hypericum</v>
      </c>
      <c r="K162" s="76" t="str">
        <f t="shared" si="88"/>
        <v>revolutum</v>
      </c>
      <c r="L162" s="77">
        <f t="shared" si="88"/>
        <v>7</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87"/>
        <v/>
      </c>
      <c r="AE162" s="54"/>
      <c r="AF162" s="54"/>
      <c r="AG162" s="55" t="str">
        <f t="shared" si="77"/>
        <v/>
      </c>
      <c r="AH162" s="56" t="str">
        <f t="shared" si="78"/>
        <v/>
      </c>
      <c r="AI162" s="55"/>
      <c r="AJ162" s="56" t="str">
        <f t="shared" si="79"/>
        <v/>
      </c>
      <c r="AK162" s="55"/>
      <c r="AL162" s="56" t="str">
        <f t="shared" si="80"/>
        <v/>
      </c>
      <c r="AM162" s="55"/>
      <c r="AN162" s="56" t="str">
        <f t="shared" si="81"/>
        <v/>
      </c>
      <c r="AO162" s="55"/>
      <c r="AP162" s="56" t="str">
        <f t="shared" si="82"/>
        <v/>
      </c>
      <c r="AQ162" s="55"/>
      <c r="AR162" s="56" t="str">
        <f t="shared" si="83"/>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2021</v>
      </c>
      <c r="B163" s="72" t="str">
        <f t="shared" si="67"/>
        <v>Nov</v>
      </c>
      <c r="C163" s="73">
        <f t="shared" si="84"/>
        <v>14</v>
      </c>
      <c r="D163" s="74">
        <f t="shared" si="68"/>
        <v>16</v>
      </c>
      <c r="E163" s="75">
        <f t="shared" si="69"/>
        <v>39</v>
      </c>
      <c r="F163" s="79"/>
      <c r="G163" s="82"/>
      <c r="H163" s="68" t="str">
        <f t="shared" si="85"/>
        <v>Hyprev7_20211114_16_00</v>
      </c>
      <c r="I163" s="69">
        <f t="shared" si="88"/>
        <v>1</v>
      </c>
      <c r="J163" s="76" t="str">
        <f t="shared" si="88"/>
        <v>Hypericum</v>
      </c>
      <c r="K163" s="76" t="str">
        <f t="shared" si="88"/>
        <v>revolutum</v>
      </c>
      <c r="L163" s="77">
        <f t="shared" si="88"/>
        <v>7</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87"/>
        <v/>
      </c>
      <c r="AE163" s="54"/>
      <c r="AF163" s="54"/>
      <c r="AG163" s="55" t="str">
        <f t="shared" si="77"/>
        <v/>
      </c>
      <c r="AH163" s="56" t="str">
        <f t="shared" si="78"/>
        <v/>
      </c>
      <c r="AI163" s="55"/>
      <c r="AJ163" s="56" t="str">
        <f t="shared" si="79"/>
        <v/>
      </c>
      <c r="AK163" s="55"/>
      <c r="AL163" s="56" t="str">
        <f t="shared" si="80"/>
        <v/>
      </c>
      <c r="AM163" s="55"/>
      <c r="AN163" s="56" t="str">
        <f t="shared" si="81"/>
        <v/>
      </c>
      <c r="AO163" s="55"/>
      <c r="AP163" s="56" t="str">
        <f t="shared" si="82"/>
        <v/>
      </c>
      <c r="AQ163" s="55"/>
      <c r="AR163" s="56" t="str">
        <f t="shared" si="83"/>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v>
      </c>
      <c r="C164" s="73">
        <f t="shared" si="84"/>
        <v>14</v>
      </c>
      <c r="D164" s="74">
        <f t="shared" si="68"/>
        <v>16</v>
      </c>
      <c r="E164" s="75">
        <f t="shared" si="69"/>
        <v>40</v>
      </c>
      <c r="F164" s="79"/>
      <c r="G164" s="82"/>
      <c r="H164" s="68" t="str">
        <f t="shared" si="85"/>
        <v>Hyprev7_20211114_16_00</v>
      </c>
      <c r="I164" s="69">
        <f t="shared" si="88"/>
        <v>1</v>
      </c>
      <c r="J164" s="76" t="str">
        <f t="shared" si="88"/>
        <v>Hypericum</v>
      </c>
      <c r="K164" s="76" t="str">
        <f t="shared" si="88"/>
        <v>revolutum</v>
      </c>
      <c r="L164" s="77">
        <f t="shared" si="88"/>
        <v>7</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87"/>
        <v/>
      </c>
      <c r="AE164" s="54"/>
      <c r="AF164" s="54"/>
      <c r="AG164" s="55" t="str">
        <f t="shared" si="77"/>
        <v/>
      </c>
      <c r="AH164" s="56" t="str">
        <f t="shared" si="78"/>
        <v/>
      </c>
      <c r="AI164" s="55"/>
      <c r="AJ164" s="56" t="str">
        <f t="shared" si="79"/>
        <v/>
      </c>
      <c r="AK164" s="55"/>
      <c r="AL164" s="56" t="str">
        <f t="shared" si="80"/>
        <v/>
      </c>
      <c r="AM164" s="55"/>
      <c r="AN164" s="56" t="str">
        <f t="shared" si="81"/>
        <v/>
      </c>
      <c r="AO164" s="55"/>
      <c r="AP164" s="56" t="str">
        <f t="shared" si="82"/>
        <v/>
      </c>
      <c r="AQ164" s="55"/>
      <c r="AR164" s="56" t="str">
        <f t="shared" si="83"/>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v>
      </c>
      <c r="C165" s="73">
        <f t="shared" si="84"/>
        <v>14</v>
      </c>
      <c r="D165" s="74">
        <f t="shared" si="68"/>
        <v>16</v>
      </c>
      <c r="E165" s="75">
        <f t="shared" si="69"/>
        <v>41</v>
      </c>
      <c r="F165" s="79"/>
      <c r="G165" s="82"/>
      <c r="H165" s="68" t="str">
        <f t="shared" si="85"/>
        <v>Hyprev7_20211114_16_00</v>
      </c>
      <c r="I165" s="69">
        <f t="shared" ref="I165:N180" si="89">I164</f>
        <v>1</v>
      </c>
      <c r="J165" s="76" t="str">
        <f t="shared" si="89"/>
        <v>Hypericum</v>
      </c>
      <c r="K165" s="76" t="str">
        <f t="shared" si="89"/>
        <v>revolutum</v>
      </c>
      <c r="L165" s="77">
        <f t="shared" si="89"/>
        <v>7</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87"/>
        <v/>
      </c>
      <c r="AE165" s="54"/>
      <c r="AF165" s="54"/>
      <c r="AG165" s="55" t="str">
        <f t="shared" si="77"/>
        <v/>
      </c>
      <c r="AH165" s="56" t="str">
        <f t="shared" si="78"/>
        <v/>
      </c>
      <c r="AI165" s="55"/>
      <c r="AJ165" s="56" t="str">
        <f t="shared" si="79"/>
        <v/>
      </c>
      <c r="AK165" s="55"/>
      <c r="AL165" s="56" t="str">
        <f t="shared" si="80"/>
        <v/>
      </c>
      <c r="AM165" s="55"/>
      <c r="AN165" s="56" t="str">
        <f t="shared" si="81"/>
        <v/>
      </c>
      <c r="AO165" s="55"/>
      <c r="AP165" s="56" t="str">
        <f t="shared" si="82"/>
        <v/>
      </c>
      <c r="AQ165" s="55"/>
      <c r="AR165" s="56" t="str">
        <f t="shared" si="83"/>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2021</v>
      </c>
      <c r="B166" s="72" t="str">
        <f t="shared" si="67"/>
        <v>Nov</v>
      </c>
      <c r="C166" s="73">
        <f t="shared" si="84"/>
        <v>14</v>
      </c>
      <c r="D166" s="74">
        <f t="shared" si="68"/>
        <v>16</v>
      </c>
      <c r="E166" s="75">
        <f t="shared" si="69"/>
        <v>42</v>
      </c>
      <c r="F166" s="79"/>
      <c r="G166" s="82"/>
      <c r="H166" s="68" t="str">
        <f t="shared" si="85"/>
        <v>Hyprev7_20211114_16_00</v>
      </c>
      <c r="I166" s="69">
        <f t="shared" si="89"/>
        <v>1</v>
      </c>
      <c r="J166" s="76" t="str">
        <f t="shared" si="89"/>
        <v>Hypericum</v>
      </c>
      <c r="K166" s="76" t="str">
        <f t="shared" si="89"/>
        <v>revolutum</v>
      </c>
      <c r="L166" s="77">
        <f t="shared" si="89"/>
        <v>7</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87"/>
        <v/>
      </c>
      <c r="AE166" s="54"/>
      <c r="AF166" s="54"/>
      <c r="AG166" s="55" t="str">
        <f t="shared" si="77"/>
        <v/>
      </c>
      <c r="AH166" s="56" t="str">
        <f t="shared" si="78"/>
        <v/>
      </c>
      <c r="AI166" s="55"/>
      <c r="AJ166" s="56" t="str">
        <f t="shared" si="79"/>
        <v/>
      </c>
      <c r="AK166" s="55"/>
      <c r="AL166" s="56" t="str">
        <f t="shared" si="80"/>
        <v/>
      </c>
      <c r="AM166" s="55"/>
      <c r="AN166" s="56" t="str">
        <f t="shared" si="81"/>
        <v/>
      </c>
      <c r="AO166" s="55"/>
      <c r="AP166" s="56" t="str">
        <f t="shared" si="82"/>
        <v/>
      </c>
      <c r="AQ166" s="55"/>
      <c r="AR166" s="56" t="str">
        <f t="shared" si="83"/>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2021</v>
      </c>
      <c r="B167" s="72" t="str">
        <f t="shared" si="67"/>
        <v>Nov</v>
      </c>
      <c r="C167" s="73">
        <f t="shared" si="84"/>
        <v>14</v>
      </c>
      <c r="D167" s="74">
        <f t="shared" si="68"/>
        <v>16</v>
      </c>
      <c r="E167" s="75">
        <f t="shared" si="69"/>
        <v>43</v>
      </c>
      <c r="F167" s="79"/>
      <c r="G167" s="82"/>
      <c r="H167" s="68" t="str">
        <f t="shared" si="85"/>
        <v>Hyprev7_20211114_16_00</v>
      </c>
      <c r="I167" s="69">
        <f t="shared" si="89"/>
        <v>1</v>
      </c>
      <c r="J167" s="76" t="str">
        <f t="shared" si="89"/>
        <v>Hypericum</v>
      </c>
      <c r="K167" s="76" t="str">
        <f t="shared" si="89"/>
        <v>revolutum</v>
      </c>
      <c r="L167" s="77">
        <f t="shared" si="89"/>
        <v>7</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87"/>
        <v/>
      </c>
      <c r="AE167" s="54"/>
      <c r="AF167" s="54"/>
      <c r="AG167" s="55" t="str">
        <f t="shared" si="77"/>
        <v/>
      </c>
      <c r="AH167" s="56" t="str">
        <f t="shared" si="78"/>
        <v/>
      </c>
      <c r="AI167" s="55"/>
      <c r="AJ167" s="56" t="str">
        <f t="shared" si="79"/>
        <v/>
      </c>
      <c r="AK167" s="55"/>
      <c r="AL167" s="56" t="str">
        <f t="shared" si="80"/>
        <v/>
      </c>
      <c r="AM167" s="55"/>
      <c r="AN167" s="56" t="str">
        <f t="shared" si="81"/>
        <v/>
      </c>
      <c r="AO167" s="55"/>
      <c r="AP167" s="56" t="str">
        <f t="shared" si="82"/>
        <v/>
      </c>
      <c r="AQ167" s="55"/>
      <c r="AR167" s="56" t="str">
        <f t="shared" si="83"/>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2021</v>
      </c>
      <c r="B168" s="72" t="str">
        <f t="shared" si="67"/>
        <v>Nov</v>
      </c>
      <c r="C168" s="73">
        <f t="shared" si="84"/>
        <v>14</v>
      </c>
      <c r="D168" s="74">
        <f t="shared" si="68"/>
        <v>16</v>
      </c>
      <c r="E168" s="75">
        <f t="shared" si="69"/>
        <v>44</v>
      </c>
      <c r="F168" s="79"/>
      <c r="G168" s="82"/>
      <c r="H168" s="68" t="str">
        <f t="shared" si="85"/>
        <v>Hyprev7_20211114_16_00</v>
      </c>
      <c r="I168" s="69">
        <f t="shared" si="89"/>
        <v>1</v>
      </c>
      <c r="J168" s="76" t="str">
        <f t="shared" si="89"/>
        <v>Hypericum</v>
      </c>
      <c r="K168" s="76" t="str">
        <f t="shared" si="89"/>
        <v>revolutum</v>
      </c>
      <c r="L168" s="77">
        <f t="shared" si="89"/>
        <v>7</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87"/>
        <v/>
      </c>
      <c r="AE168" s="54"/>
      <c r="AF168" s="54"/>
      <c r="AG168" s="55" t="str">
        <f t="shared" si="77"/>
        <v/>
      </c>
      <c r="AH168" s="56" t="str">
        <f t="shared" si="78"/>
        <v/>
      </c>
      <c r="AI168" s="55"/>
      <c r="AJ168" s="56" t="str">
        <f t="shared" si="79"/>
        <v/>
      </c>
      <c r="AK168" s="55"/>
      <c r="AL168" s="56" t="str">
        <f t="shared" si="80"/>
        <v/>
      </c>
      <c r="AM168" s="55"/>
      <c r="AN168" s="56" t="str">
        <f t="shared" si="81"/>
        <v/>
      </c>
      <c r="AO168" s="55"/>
      <c r="AP168" s="56" t="str">
        <f t="shared" si="82"/>
        <v/>
      </c>
      <c r="AQ168" s="55"/>
      <c r="AR168" s="56" t="str">
        <f t="shared" si="83"/>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2021</v>
      </c>
      <c r="B169" s="72" t="str">
        <f t="shared" si="67"/>
        <v>Nov</v>
      </c>
      <c r="C169" s="73">
        <f t="shared" si="84"/>
        <v>14</v>
      </c>
      <c r="D169" s="74">
        <f t="shared" si="68"/>
        <v>16</v>
      </c>
      <c r="E169" s="75">
        <f t="shared" si="69"/>
        <v>45</v>
      </c>
      <c r="F169" s="79"/>
      <c r="G169" s="82"/>
      <c r="H169" s="68" t="str">
        <f t="shared" si="85"/>
        <v>Hyprev7_20211114_16_00</v>
      </c>
      <c r="I169" s="69">
        <f t="shared" si="89"/>
        <v>1</v>
      </c>
      <c r="J169" s="76" t="str">
        <f t="shared" si="89"/>
        <v>Hypericum</v>
      </c>
      <c r="K169" s="76" t="str">
        <f t="shared" si="89"/>
        <v>revolutum</v>
      </c>
      <c r="L169" s="77">
        <f t="shared" si="89"/>
        <v>7</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87"/>
        <v/>
      </c>
      <c r="AE169" s="54"/>
      <c r="AF169" s="54"/>
      <c r="AG169" s="55" t="str">
        <f t="shared" si="77"/>
        <v/>
      </c>
      <c r="AH169" s="56" t="str">
        <f t="shared" si="78"/>
        <v/>
      </c>
      <c r="AI169" s="55"/>
      <c r="AJ169" s="56" t="str">
        <f t="shared" si="79"/>
        <v/>
      </c>
      <c r="AK169" s="55"/>
      <c r="AL169" s="56" t="str">
        <f t="shared" si="80"/>
        <v/>
      </c>
      <c r="AM169" s="55"/>
      <c r="AN169" s="56" t="str">
        <f t="shared" si="81"/>
        <v/>
      </c>
      <c r="AO169" s="55"/>
      <c r="AP169" s="56" t="str">
        <f t="shared" si="82"/>
        <v/>
      </c>
      <c r="AQ169" s="55"/>
      <c r="AR169" s="56" t="str">
        <f t="shared" si="83"/>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v>
      </c>
      <c r="C170" s="73">
        <f t="shared" si="84"/>
        <v>14</v>
      </c>
      <c r="D170" s="74">
        <f t="shared" si="68"/>
        <v>16</v>
      </c>
      <c r="E170" s="75">
        <f t="shared" si="69"/>
        <v>46</v>
      </c>
      <c r="F170" s="79"/>
      <c r="G170" s="82"/>
      <c r="H170" s="68" t="str">
        <f t="shared" si="85"/>
        <v>Hyprev7_20211114_16_00</v>
      </c>
      <c r="I170" s="69">
        <f t="shared" si="89"/>
        <v>1</v>
      </c>
      <c r="J170" s="76" t="str">
        <f t="shared" si="89"/>
        <v>Hypericum</v>
      </c>
      <c r="K170" s="76" t="str">
        <f t="shared" si="89"/>
        <v>revolutum</v>
      </c>
      <c r="L170" s="77">
        <f t="shared" si="89"/>
        <v>7</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87"/>
        <v/>
      </c>
      <c r="AE170" s="54"/>
      <c r="AF170" s="54"/>
      <c r="AG170" s="55" t="str">
        <f t="shared" si="77"/>
        <v/>
      </c>
      <c r="AH170" s="56" t="str">
        <f t="shared" si="78"/>
        <v/>
      </c>
      <c r="AI170" s="55"/>
      <c r="AJ170" s="56" t="str">
        <f t="shared" si="79"/>
        <v/>
      </c>
      <c r="AK170" s="55"/>
      <c r="AL170" s="56" t="str">
        <f t="shared" si="80"/>
        <v/>
      </c>
      <c r="AM170" s="55"/>
      <c r="AN170" s="56" t="str">
        <f t="shared" si="81"/>
        <v/>
      </c>
      <c r="AO170" s="55"/>
      <c r="AP170" s="56" t="str">
        <f t="shared" si="82"/>
        <v/>
      </c>
      <c r="AQ170" s="55"/>
      <c r="AR170" s="56" t="str">
        <f t="shared" si="83"/>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v>
      </c>
      <c r="C171" s="73">
        <f t="shared" si="84"/>
        <v>14</v>
      </c>
      <c r="D171" s="74">
        <f t="shared" si="68"/>
        <v>16</v>
      </c>
      <c r="E171" s="75">
        <f t="shared" si="69"/>
        <v>47</v>
      </c>
      <c r="F171" s="79"/>
      <c r="G171" s="82"/>
      <c r="H171" s="68" t="str">
        <f t="shared" si="85"/>
        <v>Hyprev7_20211114_16_00</v>
      </c>
      <c r="I171" s="69">
        <f t="shared" si="89"/>
        <v>1</v>
      </c>
      <c r="J171" s="76" t="str">
        <f t="shared" si="89"/>
        <v>Hypericum</v>
      </c>
      <c r="K171" s="76" t="str">
        <f t="shared" si="89"/>
        <v>revolutum</v>
      </c>
      <c r="L171" s="77">
        <f t="shared" si="89"/>
        <v>7</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87"/>
        <v/>
      </c>
      <c r="AE171" s="54"/>
      <c r="AF171" s="54"/>
      <c r="AG171" s="55" t="str">
        <f t="shared" si="77"/>
        <v/>
      </c>
      <c r="AH171" s="56" t="str">
        <f t="shared" si="78"/>
        <v/>
      </c>
      <c r="AI171" s="55"/>
      <c r="AJ171" s="56" t="str">
        <f t="shared" si="79"/>
        <v/>
      </c>
      <c r="AK171" s="55"/>
      <c r="AL171" s="56" t="str">
        <f t="shared" si="80"/>
        <v/>
      </c>
      <c r="AM171" s="55"/>
      <c r="AN171" s="56" t="str">
        <f t="shared" si="81"/>
        <v/>
      </c>
      <c r="AO171" s="55"/>
      <c r="AP171" s="56" t="str">
        <f t="shared" si="82"/>
        <v/>
      </c>
      <c r="AQ171" s="55"/>
      <c r="AR171" s="56" t="str">
        <f t="shared" si="83"/>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v>
      </c>
      <c r="C172" s="73">
        <f t="shared" si="84"/>
        <v>14</v>
      </c>
      <c r="D172" s="74">
        <f t="shared" si="68"/>
        <v>16</v>
      </c>
      <c r="E172" s="75">
        <f t="shared" si="69"/>
        <v>48</v>
      </c>
      <c r="F172" s="79"/>
      <c r="G172" s="82"/>
      <c r="H172" s="68" t="str">
        <f t="shared" si="85"/>
        <v>Hyprev7_20211114_16_00</v>
      </c>
      <c r="I172" s="69">
        <f t="shared" si="89"/>
        <v>1</v>
      </c>
      <c r="J172" s="76" t="str">
        <f t="shared" si="89"/>
        <v>Hypericum</v>
      </c>
      <c r="K172" s="76" t="str">
        <f t="shared" si="89"/>
        <v>revolutum</v>
      </c>
      <c r="L172" s="77">
        <f t="shared" si="89"/>
        <v>7</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87"/>
        <v/>
      </c>
      <c r="AE172" s="54"/>
      <c r="AF172" s="54"/>
      <c r="AG172" s="55" t="str">
        <f t="shared" si="77"/>
        <v/>
      </c>
      <c r="AH172" s="56" t="str">
        <f t="shared" si="78"/>
        <v/>
      </c>
      <c r="AI172" s="55"/>
      <c r="AJ172" s="56" t="str">
        <f t="shared" si="79"/>
        <v/>
      </c>
      <c r="AK172" s="55"/>
      <c r="AL172" s="56" t="str">
        <f t="shared" si="80"/>
        <v/>
      </c>
      <c r="AM172" s="55"/>
      <c r="AN172" s="56" t="str">
        <f t="shared" si="81"/>
        <v/>
      </c>
      <c r="AO172" s="55"/>
      <c r="AP172" s="56" t="str">
        <f t="shared" si="82"/>
        <v/>
      </c>
      <c r="AQ172" s="55"/>
      <c r="AR172" s="56" t="str">
        <f t="shared" si="83"/>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v>
      </c>
      <c r="C173" s="73">
        <f t="shared" si="84"/>
        <v>14</v>
      </c>
      <c r="D173" s="74">
        <f t="shared" si="68"/>
        <v>16</v>
      </c>
      <c r="E173" s="75">
        <f t="shared" si="69"/>
        <v>49</v>
      </c>
      <c r="F173" s="79">
        <v>44</v>
      </c>
      <c r="G173" s="82"/>
      <c r="H173" s="68" t="str">
        <f t="shared" si="85"/>
        <v>Hyprev7_20211114_16_00</v>
      </c>
      <c r="I173" s="69">
        <f t="shared" si="89"/>
        <v>1</v>
      </c>
      <c r="J173" s="76" t="str">
        <f t="shared" si="89"/>
        <v>Hypericum</v>
      </c>
      <c r="K173" s="76" t="str">
        <f t="shared" si="89"/>
        <v>revolutum</v>
      </c>
      <c r="L173" s="77">
        <f t="shared" si="89"/>
        <v>7</v>
      </c>
      <c r="M173" s="77">
        <f t="shared" si="89"/>
        <v>2</v>
      </c>
      <c r="N173" s="71">
        <f t="shared" si="89"/>
        <v>0</v>
      </c>
      <c r="O173" s="44"/>
      <c r="P173" s="45">
        <f t="shared" si="70"/>
        <v>1</v>
      </c>
      <c r="Q173" s="46" t="str">
        <f t="shared" si="71"/>
        <v>16:49:44</v>
      </c>
      <c r="R173" s="47" t="str">
        <f t="shared" si="72"/>
        <v>49:44</v>
      </c>
      <c r="S173" s="48">
        <f t="shared" si="61"/>
        <v>48</v>
      </c>
      <c r="T173" s="47" t="str">
        <f t="shared" si="73"/>
        <v>16</v>
      </c>
      <c r="U173" s="49">
        <v>50</v>
      </c>
      <c r="V173" s="50">
        <v>32</v>
      </c>
      <c r="W173" s="51" t="str">
        <f t="shared" si="74"/>
        <v>50:32</v>
      </c>
      <c r="X173" s="52" t="s">
        <v>74</v>
      </c>
      <c r="Y173" s="124" t="s">
        <v>242</v>
      </c>
      <c r="Z173" s="124"/>
      <c r="AA173" s="47" t="s">
        <v>264</v>
      </c>
      <c r="AB173" s="47" t="str">
        <f t="shared" si="75"/>
        <v>NA</v>
      </c>
      <c r="AC173" s="53" t="str">
        <f t="shared" si="76"/>
        <v/>
      </c>
      <c r="AD173" s="54">
        <f t="shared" si="87"/>
        <v>1</v>
      </c>
      <c r="AE173" s="54"/>
      <c r="AF173" s="54"/>
      <c r="AG173" s="55" t="str">
        <f t="shared" si="77"/>
        <v/>
      </c>
      <c r="AH173" s="56" t="str">
        <f t="shared" si="78"/>
        <v/>
      </c>
      <c r="AI173" s="55"/>
      <c r="AJ173" s="56" t="str">
        <f t="shared" si="79"/>
        <v/>
      </c>
      <c r="AK173" s="55"/>
      <c r="AL173" s="56" t="str">
        <f t="shared" si="80"/>
        <v/>
      </c>
      <c r="AM173" s="55"/>
      <c r="AN173" s="56" t="str">
        <f t="shared" si="81"/>
        <v/>
      </c>
      <c r="AO173" s="55"/>
      <c r="AP173" s="56" t="str">
        <f t="shared" si="82"/>
        <v/>
      </c>
      <c r="AQ173" s="55"/>
      <c r="AR173" s="56" t="str">
        <f t="shared" si="83"/>
        <v/>
      </c>
      <c r="AS173" s="57" t="s">
        <v>75</v>
      </c>
      <c r="AT173" s="58"/>
      <c r="AU173" s="58"/>
      <c r="AV173" s="59"/>
      <c r="AW173" s="60">
        <f t="shared" si="62"/>
        <v>0</v>
      </c>
      <c r="AX173" s="61" t="str">
        <f t="shared" si="63"/>
        <v/>
      </c>
      <c r="AY173" s="60">
        <f t="shared" si="64"/>
        <v>0</v>
      </c>
      <c r="AZ173" s="61" t="str">
        <f t="shared" si="65"/>
        <v/>
      </c>
    </row>
    <row r="174" spans="1:52" s="3" customFormat="1" hidden="1" x14ac:dyDescent="0.35">
      <c r="A174" s="72">
        <f t="shared" si="66"/>
        <v>2021</v>
      </c>
      <c r="B174" s="72" t="str">
        <f t="shared" si="67"/>
        <v>Nov</v>
      </c>
      <c r="C174" s="73">
        <f t="shared" si="84"/>
        <v>14</v>
      </c>
      <c r="D174" s="74">
        <f t="shared" si="68"/>
        <v>16</v>
      </c>
      <c r="E174" s="75">
        <f t="shared" si="69"/>
        <v>50</v>
      </c>
      <c r="F174" s="79"/>
      <c r="G174" s="82"/>
      <c r="H174" s="68" t="str">
        <f t="shared" si="85"/>
        <v>Hyprev7_20211114_16_00</v>
      </c>
      <c r="I174" s="69">
        <f t="shared" si="89"/>
        <v>1</v>
      </c>
      <c r="J174" s="76" t="str">
        <f t="shared" si="89"/>
        <v>Hypericum</v>
      </c>
      <c r="K174" s="76" t="str">
        <f t="shared" si="89"/>
        <v>revolutum</v>
      </c>
      <c r="L174" s="77">
        <f t="shared" si="89"/>
        <v>7</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87"/>
        <v/>
      </c>
      <c r="AE174" s="54"/>
      <c r="AF174" s="54"/>
      <c r="AG174" s="55" t="str">
        <f t="shared" si="77"/>
        <v/>
      </c>
      <c r="AH174" s="56" t="str">
        <f t="shared" si="78"/>
        <v/>
      </c>
      <c r="AI174" s="55"/>
      <c r="AJ174" s="56" t="str">
        <f t="shared" si="79"/>
        <v/>
      </c>
      <c r="AK174" s="55"/>
      <c r="AL174" s="56" t="str">
        <f t="shared" si="80"/>
        <v/>
      </c>
      <c r="AM174" s="55"/>
      <c r="AN174" s="56" t="str">
        <f t="shared" si="81"/>
        <v/>
      </c>
      <c r="AO174" s="55"/>
      <c r="AP174" s="56" t="str">
        <f t="shared" si="82"/>
        <v/>
      </c>
      <c r="AQ174" s="55"/>
      <c r="AR174" s="56" t="str">
        <f t="shared" si="83"/>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v>
      </c>
      <c r="C175" s="73">
        <f t="shared" si="84"/>
        <v>14</v>
      </c>
      <c r="D175" s="74">
        <f t="shared" si="68"/>
        <v>16</v>
      </c>
      <c r="E175" s="75">
        <f t="shared" si="69"/>
        <v>51</v>
      </c>
      <c r="F175" s="79">
        <v>35</v>
      </c>
      <c r="G175" s="82"/>
      <c r="H175" s="68" t="str">
        <f t="shared" si="85"/>
        <v>Hyprev7_20211114_16_00</v>
      </c>
      <c r="I175" s="69">
        <f t="shared" si="89"/>
        <v>1</v>
      </c>
      <c r="J175" s="76" t="str">
        <f t="shared" si="89"/>
        <v>Hypericum</v>
      </c>
      <c r="K175" s="76" t="str">
        <f t="shared" si="89"/>
        <v>revolutum</v>
      </c>
      <c r="L175" s="77">
        <f t="shared" si="89"/>
        <v>7</v>
      </c>
      <c r="M175" s="77">
        <f t="shared" si="89"/>
        <v>2</v>
      </c>
      <c r="N175" s="71">
        <f t="shared" si="89"/>
        <v>0</v>
      </c>
      <c r="O175" s="44"/>
      <c r="P175" s="45">
        <f t="shared" si="70"/>
        <v>1</v>
      </c>
      <c r="Q175" s="46" t="str">
        <f t="shared" si="71"/>
        <v>16:51:35</v>
      </c>
      <c r="R175" s="47" t="str">
        <f t="shared" si="72"/>
        <v>51:35</v>
      </c>
      <c r="S175" s="48">
        <f t="shared" si="61"/>
        <v>15</v>
      </c>
      <c r="T175" s="47" t="str">
        <f t="shared" si="73"/>
        <v>16</v>
      </c>
      <c r="U175" s="49">
        <v>51</v>
      </c>
      <c r="V175" s="50">
        <v>50</v>
      </c>
      <c r="W175" s="51" t="str">
        <f t="shared" si="74"/>
        <v>51:50</v>
      </c>
      <c r="X175" s="52" t="s">
        <v>69</v>
      </c>
      <c r="Y175" s="124" t="s">
        <v>241</v>
      </c>
      <c r="Z175" s="124" t="s">
        <v>252</v>
      </c>
      <c r="AA175" s="47" t="s">
        <v>253</v>
      </c>
      <c r="AB175" s="47" t="str">
        <f t="shared" si="75"/>
        <v>NA</v>
      </c>
      <c r="AC175" s="53" t="str">
        <f t="shared" si="76"/>
        <v/>
      </c>
      <c r="AD175" s="54">
        <f t="shared" si="87"/>
        <v>1</v>
      </c>
      <c r="AE175" s="54"/>
      <c r="AF175" s="54"/>
      <c r="AG175" s="55" t="str">
        <f t="shared" si="77"/>
        <v/>
      </c>
      <c r="AH175" s="56" t="str">
        <f t="shared" si="78"/>
        <v/>
      </c>
      <c r="AI175" s="55"/>
      <c r="AJ175" s="56" t="str">
        <f t="shared" si="79"/>
        <v/>
      </c>
      <c r="AK175" s="55"/>
      <c r="AL175" s="56" t="str">
        <f t="shared" si="80"/>
        <v/>
      </c>
      <c r="AM175" s="55"/>
      <c r="AN175" s="56" t="str">
        <f t="shared" si="81"/>
        <v/>
      </c>
      <c r="AO175" s="55"/>
      <c r="AP175" s="56" t="str">
        <f t="shared" si="82"/>
        <v/>
      </c>
      <c r="AQ175" s="55"/>
      <c r="AR175" s="56" t="str">
        <f t="shared" si="83"/>
        <v/>
      </c>
      <c r="AS175" s="57" t="s">
        <v>113</v>
      </c>
      <c r="AT175" s="58"/>
      <c r="AU175" s="58"/>
      <c r="AV175" s="59"/>
      <c r="AW175" s="60">
        <f t="shared" si="62"/>
        <v>0</v>
      </c>
      <c r="AX175" s="61" t="str">
        <f t="shared" si="63"/>
        <v/>
      </c>
      <c r="AY175" s="60">
        <f t="shared" si="64"/>
        <v>0</v>
      </c>
      <c r="AZ175" s="61" t="str">
        <f t="shared" si="65"/>
        <v/>
      </c>
    </row>
    <row r="176" spans="1:52" s="3" customFormat="1" hidden="1" x14ac:dyDescent="0.35">
      <c r="A176" s="72">
        <f t="shared" si="66"/>
        <v>2021</v>
      </c>
      <c r="B176" s="72" t="str">
        <f t="shared" si="67"/>
        <v>Nov</v>
      </c>
      <c r="C176" s="73">
        <f t="shared" si="84"/>
        <v>14</v>
      </c>
      <c r="D176" s="74">
        <f t="shared" si="68"/>
        <v>16</v>
      </c>
      <c r="E176" s="75">
        <f t="shared" si="69"/>
        <v>52</v>
      </c>
      <c r="F176" s="79"/>
      <c r="G176" s="82"/>
      <c r="H176" s="68" t="str">
        <f t="shared" si="85"/>
        <v>Hyprev7_20211114_16_00</v>
      </c>
      <c r="I176" s="69">
        <f t="shared" si="89"/>
        <v>1</v>
      </c>
      <c r="J176" s="76" t="str">
        <f t="shared" si="89"/>
        <v>Hypericum</v>
      </c>
      <c r="K176" s="76" t="str">
        <f t="shared" si="89"/>
        <v>revolutum</v>
      </c>
      <c r="L176" s="77">
        <f t="shared" si="89"/>
        <v>7</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87"/>
        <v/>
      </c>
      <c r="AE176" s="54"/>
      <c r="AF176" s="54"/>
      <c r="AG176" s="55" t="str">
        <f t="shared" si="77"/>
        <v/>
      </c>
      <c r="AH176" s="56" t="str">
        <f t="shared" si="78"/>
        <v/>
      </c>
      <c r="AI176" s="55"/>
      <c r="AJ176" s="56" t="str">
        <f t="shared" si="79"/>
        <v/>
      </c>
      <c r="AK176" s="55"/>
      <c r="AL176" s="56" t="str">
        <f t="shared" si="80"/>
        <v/>
      </c>
      <c r="AM176" s="55"/>
      <c r="AN176" s="56" t="str">
        <f t="shared" si="81"/>
        <v/>
      </c>
      <c r="AO176" s="55"/>
      <c r="AP176" s="56" t="str">
        <f t="shared" si="82"/>
        <v/>
      </c>
      <c r="AQ176" s="55"/>
      <c r="AR176" s="56" t="str">
        <f t="shared" si="83"/>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v>
      </c>
      <c r="C177" s="73">
        <f t="shared" si="84"/>
        <v>14</v>
      </c>
      <c r="D177" s="74">
        <f t="shared" si="68"/>
        <v>16</v>
      </c>
      <c r="E177" s="75">
        <f t="shared" si="69"/>
        <v>53</v>
      </c>
      <c r="F177" s="79"/>
      <c r="G177" s="82"/>
      <c r="H177" s="68" t="str">
        <f t="shared" si="85"/>
        <v>Hyprev7_20211114_16_00</v>
      </c>
      <c r="I177" s="69">
        <f t="shared" si="89"/>
        <v>1</v>
      </c>
      <c r="J177" s="76" t="str">
        <f t="shared" si="89"/>
        <v>Hypericum</v>
      </c>
      <c r="K177" s="76" t="str">
        <f t="shared" si="89"/>
        <v>revolutum</v>
      </c>
      <c r="L177" s="77">
        <f t="shared" si="89"/>
        <v>7</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87"/>
        <v/>
      </c>
      <c r="AE177" s="54"/>
      <c r="AF177" s="54"/>
      <c r="AG177" s="55" t="str">
        <f t="shared" si="77"/>
        <v/>
      </c>
      <c r="AH177" s="56" t="str">
        <f t="shared" si="78"/>
        <v/>
      </c>
      <c r="AI177" s="55"/>
      <c r="AJ177" s="56" t="str">
        <f t="shared" si="79"/>
        <v/>
      </c>
      <c r="AK177" s="55"/>
      <c r="AL177" s="56" t="str">
        <f t="shared" si="80"/>
        <v/>
      </c>
      <c r="AM177" s="55"/>
      <c r="AN177" s="56" t="str">
        <f t="shared" si="81"/>
        <v/>
      </c>
      <c r="AO177" s="55"/>
      <c r="AP177" s="56" t="str">
        <f t="shared" si="82"/>
        <v/>
      </c>
      <c r="AQ177" s="55"/>
      <c r="AR177" s="56" t="str">
        <f t="shared" si="83"/>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v>
      </c>
      <c r="C178" s="73">
        <f t="shared" si="84"/>
        <v>14</v>
      </c>
      <c r="D178" s="74">
        <f t="shared" si="68"/>
        <v>16</v>
      </c>
      <c r="E178" s="75">
        <f t="shared" si="69"/>
        <v>54</v>
      </c>
      <c r="F178" s="79"/>
      <c r="G178" s="82"/>
      <c r="H178" s="68" t="str">
        <f t="shared" si="85"/>
        <v>Hyprev7_20211114_16_00</v>
      </c>
      <c r="I178" s="69">
        <f t="shared" si="89"/>
        <v>1</v>
      </c>
      <c r="J178" s="76" t="str">
        <f t="shared" si="89"/>
        <v>Hypericum</v>
      </c>
      <c r="K178" s="76" t="str">
        <f t="shared" si="89"/>
        <v>revolutum</v>
      </c>
      <c r="L178" s="77">
        <f t="shared" si="89"/>
        <v>7</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87"/>
        <v/>
      </c>
      <c r="AE178" s="54"/>
      <c r="AF178" s="54"/>
      <c r="AG178" s="55" t="str">
        <f t="shared" si="77"/>
        <v/>
      </c>
      <c r="AH178" s="56" t="str">
        <f t="shared" si="78"/>
        <v/>
      </c>
      <c r="AI178" s="55"/>
      <c r="AJ178" s="56" t="str">
        <f t="shared" si="79"/>
        <v/>
      </c>
      <c r="AK178" s="55"/>
      <c r="AL178" s="56" t="str">
        <f t="shared" si="80"/>
        <v/>
      </c>
      <c r="AM178" s="55"/>
      <c r="AN178" s="56" t="str">
        <f t="shared" si="81"/>
        <v/>
      </c>
      <c r="AO178" s="55"/>
      <c r="AP178" s="56" t="str">
        <f t="shared" si="82"/>
        <v/>
      </c>
      <c r="AQ178" s="55"/>
      <c r="AR178" s="56" t="str">
        <f t="shared" si="83"/>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2021</v>
      </c>
      <c r="B179" s="72" t="str">
        <f t="shared" si="67"/>
        <v>Nov</v>
      </c>
      <c r="C179" s="73">
        <f t="shared" si="84"/>
        <v>14</v>
      </c>
      <c r="D179" s="74">
        <f t="shared" si="68"/>
        <v>16</v>
      </c>
      <c r="E179" s="75">
        <f t="shared" si="69"/>
        <v>55</v>
      </c>
      <c r="F179" s="79"/>
      <c r="G179" s="82"/>
      <c r="H179" s="68" t="str">
        <f t="shared" si="85"/>
        <v>Hyprev7_20211114_16_00</v>
      </c>
      <c r="I179" s="69">
        <f t="shared" si="89"/>
        <v>1</v>
      </c>
      <c r="J179" s="76" t="str">
        <f t="shared" si="89"/>
        <v>Hypericum</v>
      </c>
      <c r="K179" s="76" t="str">
        <f t="shared" si="89"/>
        <v>revolutum</v>
      </c>
      <c r="L179" s="77">
        <f t="shared" si="89"/>
        <v>7</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87"/>
        <v/>
      </c>
      <c r="AE179" s="54"/>
      <c r="AF179" s="54"/>
      <c r="AG179" s="55" t="str">
        <f t="shared" si="77"/>
        <v/>
      </c>
      <c r="AH179" s="56" t="str">
        <f t="shared" si="78"/>
        <v/>
      </c>
      <c r="AI179" s="55"/>
      <c r="AJ179" s="56" t="str">
        <f t="shared" si="79"/>
        <v/>
      </c>
      <c r="AK179" s="55"/>
      <c r="AL179" s="56" t="str">
        <f t="shared" si="80"/>
        <v/>
      </c>
      <c r="AM179" s="55"/>
      <c r="AN179" s="56" t="str">
        <f t="shared" si="81"/>
        <v/>
      </c>
      <c r="AO179" s="55"/>
      <c r="AP179" s="56" t="str">
        <f t="shared" si="82"/>
        <v/>
      </c>
      <c r="AQ179" s="55"/>
      <c r="AR179" s="56" t="str">
        <f t="shared" si="83"/>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2021</v>
      </c>
      <c r="B180" s="72" t="str">
        <f t="shared" si="67"/>
        <v>Nov</v>
      </c>
      <c r="C180" s="73">
        <f t="shared" si="84"/>
        <v>14</v>
      </c>
      <c r="D180" s="74">
        <f t="shared" si="68"/>
        <v>16</v>
      </c>
      <c r="E180" s="75">
        <f t="shared" si="69"/>
        <v>56</v>
      </c>
      <c r="F180" s="79"/>
      <c r="G180" s="82"/>
      <c r="H180" s="68" t="str">
        <f t="shared" si="85"/>
        <v>Hyprev7_20211114_16_00</v>
      </c>
      <c r="I180" s="69">
        <f t="shared" si="89"/>
        <v>1</v>
      </c>
      <c r="J180" s="76" t="str">
        <f t="shared" si="89"/>
        <v>Hypericum</v>
      </c>
      <c r="K180" s="76" t="str">
        <f t="shared" si="89"/>
        <v>revolutum</v>
      </c>
      <c r="L180" s="77">
        <f t="shared" si="89"/>
        <v>7</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87"/>
        <v/>
      </c>
      <c r="AE180" s="54"/>
      <c r="AF180" s="54"/>
      <c r="AG180" s="55" t="str">
        <f t="shared" si="77"/>
        <v/>
      </c>
      <c r="AH180" s="56" t="str">
        <f t="shared" si="78"/>
        <v/>
      </c>
      <c r="AI180" s="55"/>
      <c r="AJ180" s="56" t="str">
        <f t="shared" si="79"/>
        <v/>
      </c>
      <c r="AK180" s="55"/>
      <c r="AL180" s="56" t="str">
        <f t="shared" si="80"/>
        <v/>
      </c>
      <c r="AM180" s="55"/>
      <c r="AN180" s="56" t="str">
        <f t="shared" si="81"/>
        <v/>
      </c>
      <c r="AO180" s="55"/>
      <c r="AP180" s="56" t="str">
        <f t="shared" si="82"/>
        <v/>
      </c>
      <c r="AQ180" s="55"/>
      <c r="AR180" s="56" t="str">
        <f t="shared" si="83"/>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v>
      </c>
      <c r="C181" s="73">
        <f t="shared" si="84"/>
        <v>14</v>
      </c>
      <c r="D181" s="74">
        <f t="shared" si="68"/>
        <v>16</v>
      </c>
      <c r="E181" s="75">
        <f t="shared" si="69"/>
        <v>57</v>
      </c>
      <c r="F181" s="79"/>
      <c r="G181" s="82"/>
      <c r="H181" s="68" t="str">
        <f t="shared" si="85"/>
        <v>Hyprev7_20211114_16_00</v>
      </c>
      <c r="I181" s="69">
        <f t="shared" ref="I181:N196" si="90">I180</f>
        <v>1</v>
      </c>
      <c r="J181" s="76" t="str">
        <f t="shared" si="90"/>
        <v>Hypericum</v>
      </c>
      <c r="K181" s="76" t="str">
        <f t="shared" si="90"/>
        <v>revolutum</v>
      </c>
      <c r="L181" s="77">
        <f t="shared" si="90"/>
        <v>7</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87"/>
        <v/>
      </c>
      <c r="AE181" s="54"/>
      <c r="AF181" s="54"/>
      <c r="AG181" s="55" t="str">
        <f t="shared" si="77"/>
        <v/>
      </c>
      <c r="AH181" s="56" t="str">
        <f t="shared" si="78"/>
        <v/>
      </c>
      <c r="AI181" s="55"/>
      <c r="AJ181" s="56" t="str">
        <f t="shared" si="79"/>
        <v/>
      </c>
      <c r="AK181" s="55"/>
      <c r="AL181" s="56" t="str">
        <f t="shared" si="80"/>
        <v/>
      </c>
      <c r="AM181" s="55"/>
      <c r="AN181" s="56" t="str">
        <f t="shared" si="81"/>
        <v/>
      </c>
      <c r="AO181" s="55"/>
      <c r="AP181" s="56" t="str">
        <f t="shared" si="82"/>
        <v/>
      </c>
      <c r="AQ181" s="55"/>
      <c r="AR181" s="56" t="str">
        <f t="shared" si="83"/>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2021</v>
      </c>
      <c r="B182" s="72" t="str">
        <f t="shared" si="67"/>
        <v>Nov</v>
      </c>
      <c r="C182" s="73">
        <f t="shared" si="84"/>
        <v>14</v>
      </c>
      <c r="D182" s="74">
        <f t="shared" si="68"/>
        <v>16</v>
      </c>
      <c r="E182" s="75">
        <f t="shared" si="69"/>
        <v>58</v>
      </c>
      <c r="F182" s="79"/>
      <c r="G182" s="82"/>
      <c r="H182" s="68" t="str">
        <f t="shared" si="85"/>
        <v>Hyprev7_20211114_16_00</v>
      </c>
      <c r="I182" s="69">
        <f t="shared" si="90"/>
        <v>1</v>
      </c>
      <c r="J182" s="76" t="str">
        <f t="shared" si="90"/>
        <v>Hypericum</v>
      </c>
      <c r="K182" s="76" t="str">
        <f t="shared" si="90"/>
        <v>revolutum</v>
      </c>
      <c r="L182" s="77">
        <f t="shared" si="90"/>
        <v>7</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87"/>
        <v/>
      </c>
      <c r="AE182" s="54"/>
      <c r="AF182" s="54"/>
      <c r="AG182" s="55" t="str">
        <f t="shared" si="77"/>
        <v/>
      </c>
      <c r="AH182" s="56" t="str">
        <f t="shared" si="78"/>
        <v/>
      </c>
      <c r="AI182" s="55"/>
      <c r="AJ182" s="56" t="str">
        <f t="shared" si="79"/>
        <v/>
      </c>
      <c r="AK182" s="55"/>
      <c r="AL182" s="56" t="str">
        <f t="shared" si="80"/>
        <v/>
      </c>
      <c r="AM182" s="55"/>
      <c r="AN182" s="56" t="str">
        <f t="shared" si="81"/>
        <v/>
      </c>
      <c r="AO182" s="55"/>
      <c r="AP182" s="56" t="str">
        <f t="shared" si="82"/>
        <v/>
      </c>
      <c r="AQ182" s="55"/>
      <c r="AR182" s="56" t="str">
        <f t="shared" si="83"/>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2021</v>
      </c>
      <c r="B183" s="72" t="str">
        <f t="shared" si="67"/>
        <v>Nov</v>
      </c>
      <c r="C183" s="73">
        <f t="shared" si="84"/>
        <v>14</v>
      </c>
      <c r="D183" s="74">
        <f t="shared" si="68"/>
        <v>16</v>
      </c>
      <c r="E183" s="75">
        <f t="shared" si="69"/>
        <v>59</v>
      </c>
      <c r="F183" s="79">
        <v>11</v>
      </c>
      <c r="G183" s="82"/>
      <c r="H183" s="68" t="str">
        <f t="shared" si="85"/>
        <v>Hyprev7_20211114_16_00</v>
      </c>
      <c r="I183" s="69">
        <f t="shared" si="90"/>
        <v>1</v>
      </c>
      <c r="J183" s="76" t="str">
        <f t="shared" si="90"/>
        <v>Hypericum</v>
      </c>
      <c r="K183" s="76" t="str">
        <f t="shared" si="90"/>
        <v>revolutum</v>
      </c>
      <c r="L183" s="77">
        <f t="shared" si="90"/>
        <v>7</v>
      </c>
      <c r="M183" s="77">
        <f t="shared" si="90"/>
        <v>2</v>
      </c>
      <c r="N183" s="71">
        <f t="shared" si="90"/>
        <v>0</v>
      </c>
      <c r="O183" s="44"/>
      <c r="P183" s="45">
        <f t="shared" si="70"/>
        <v>1</v>
      </c>
      <c r="Q183" s="46" t="str">
        <f t="shared" si="71"/>
        <v>16:59:11</v>
      </c>
      <c r="R183" s="47" t="str">
        <f t="shared" si="72"/>
        <v>59:11</v>
      </c>
      <c r="S183" s="48">
        <f t="shared" si="61"/>
        <v>81</v>
      </c>
      <c r="T183" s="47">
        <v>17</v>
      </c>
      <c r="U183" s="49">
        <v>0</v>
      </c>
      <c r="V183" s="50">
        <v>32</v>
      </c>
      <c r="W183" s="51" t="str">
        <f t="shared" si="74"/>
        <v>00:32</v>
      </c>
      <c r="X183" s="52" t="s">
        <v>69</v>
      </c>
      <c r="Y183" s="124" t="s">
        <v>241</v>
      </c>
      <c r="Z183" s="124" t="s">
        <v>252</v>
      </c>
      <c r="AA183" s="47" t="s">
        <v>253</v>
      </c>
      <c r="AB183" s="47" t="str">
        <f t="shared" si="75"/>
        <v>NA</v>
      </c>
      <c r="AC183" s="53" t="str">
        <f t="shared" si="76"/>
        <v/>
      </c>
      <c r="AD183" s="54">
        <v>2</v>
      </c>
      <c r="AE183" s="54"/>
      <c r="AF183" s="54"/>
      <c r="AG183" s="55" t="str">
        <f t="shared" si="77"/>
        <v/>
      </c>
      <c r="AH183" s="56" t="str">
        <f t="shared" si="78"/>
        <v/>
      </c>
      <c r="AI183" s="55"/>
      <c r="AJ183" s="56" t="str">
        <f t="shared" si="79"/>
        <v/>
      </c>
      <c r="AK183" s="55"/>
      <c r="AL183" s="56" t="str">
        <f t="shared" si="80"/>
        <v/>
      </c>
      <c r="AM183" s="55"/>
      <c r="AN183" s="56" t="str">
        <f t="shared" si="81"/>
        <v/>
      </c>
      <c r="AO183" s="55"/>
      <c r="AP183" s="56" t="str">
        <f t="shared" si="82"/>
        <v/>
      </c>
      <c r="AQ183" s="55"/>
      <c r="AR183" s="56" t="str">
        <f t="shared" si="83"/>
        <v/>
      </c>
      <c r="AS183" s="57" t="s">
        <v>93</v>
      </c>
      <c r="AT183" s="58"/>
      <c r="AU183" s="58"/>
      <c r="AV183" s="59"/>
      <c r="AW183" s="60">
        <f t="shared" si="62"/>
        <v>0</v>
      </c>
      <c r="AX183" s="61" t="str">
        <f t="shared" si="63"/>
        <v/>
      </c>
      <c r="AY183" s="60">
        <f t="shared" si="64"/>
        <v>0</v>
      </c>
      <c r="AZ183" s="61" t="str">
        <f t="shared" si="65"/>
        <v/>
      </c>
    </row>
    <row r="184" spans="1:52" s="3" customFormat="1" hidden="1" x14ac:dyDescent="0.35">
      <c r="A184" s="72">
        <f t="shared" si="66"/>
        <v>2021</v>
      </c>
      <c r="B184" s="72" t="str">
        <f t="shared" si="67"/>
        <v>Nov</v>
      </c>
      <c r="C184" s="73">
        <f t="shared" si="84"/>
        <v>14</v>
      </c>
      <c r="D184" s="74">
        <f t="shared" si="68"/>
        <v>17</v>
      </c>
      <c r="E184" s="75">
        <f t="shared" si="69"/>
        <v>0</v>
      </c>
      <c r="F184" s="79"/>
      <c r="G184" s="82"/>
      <c r="H184" s="68" t="str">
        <f t="shared" si="85"/>
        <v>Hyprev7_20211114_17_00</v>
      </c>
      <c r="I184" s="69">
        <f t="shared" si="90"/>
        <v>1</v>
      </c>
      <c r="J184" s="76" t="str">
        <f t="shared" si="90"/>
        <v>Hypericum</v>
      </c>
      <c r="K184" s="76" t="str">
        <f t="shared" si="90"/>
        <v>revolutum</v>
      </c>
      <c r="L184" s="77">
        <f t="shared" si="90"/>
        <v>7</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87"/>
        <v/>
      </c>
      <c r="AE184" s="54"/>
      <c r="AF184" s="54"/>
      <c r="AG184" s="55" t="str">
        <f t="shared" si="77"/>
        <v/>
      </c>
      <c r="AH184" s="56" t="str">
        <f t="shared" si="78"/>
        <v/>
      </c>
      <c r="AI184" s="55"/>
      <c r="AJ184" s="56" t="str">
        <f t="shared" si="79"/>
        <v/>
      </c>
      <c r="AK184" s="55"/>
      <c r="AL184" s="56" t="str">
        <f t="shared" si="80"/>
        <v/>
      </c>
      <c r="AM184" s="55"/>
      <c r="AN184" s="56" t="str">
        <f t="shared" si="81"/>
        <v/>
      </c>
      <c r="AO184" s="55"/>
      <c r="AP184" s="56" t="str">
        <f t="shared" si="82"/>
        <v/>
      </c>
      <c r="AQ184" s="55"/>
      <c r="AR184" s="56" t="str">
        <f t="shared" si="83"/>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2021</v>
      </c>
      <c r="B185" s="72" t="str">
        <f t="shared" si="67"/>
        <v>Nov</v>
      </c>
      <c r="C185" s="73">
        <f t="shared" si="84"/>
        <v>14</v>
      </c>
      <c r="D185" s="74">
        <f t="shared" si="68"/>
        <v>17</v>
      </c>
      <c r="E185" s="75">
        <f t="shared" si="69"/>
        <v>1</v>
      </c>
      <c r="F185" s="79"/>
      <c r="G185" s="82"/>
      <c r="H185" s="68" t="str">
        <f t="shared" si="85"/>
        <v>Hyprev7_20211114_17_00</v>
      </c>
      <c r="I185" s="69">
        <f t="shared" si="90"/>
        <v>1</v>
      </c>
      <c r="J185" s="76" t="str">
        <f t="shared" si="90"/>
        <v>Hypericum</v>
      </c>
      <c r="K185" s="76" t="str">
        <f t="shared" si="90"/>
        <v>revolutum</v>
      </c>
      <c r="L185" s="77">
        <f t="shared" si="90"/>
        <v>7</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87"/>
        <v/>
      </c>
      <c r="AE185" s="54"/>
      <c r="AF185" s="54"/>
      <c r="AG185" s="55" t="str">
        <f t="shared" si="77"/>
        <v/>
      </c>
      <c r="AH185" s="56" t="str">
        <f t="shared" si="78"/>
        <v/>
      </c>
      <c r="AI185" s="55"/>
      <c r="AJ185" s="56" t="str">
        <f t="shared" si="79"/>
        <v/>
      </c>
      <c r="AK185" s="55"/>
      <c r="AL185" s="56" t="str">
        <f t="shared" si="80"/>
        <v/>
      </c>
      <c r="AM185" s="55"/>
      <c r="AN185" s="56" t="str">
        <f t="shared" si="81"/>
        <v/>
      </c>
      <c r="AO185" s="55"/>
      <c r="AP185" s="56" t="str">
        <f t="shared" si="82"/>
        <v/>
      </c>
      <c r="AQ185" s="55"/>
      <c r="AR185" s="56" t="str">
        <f t="shared" si="83"/>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2021</v>
      </c>
      <c r="B186" s="72" t="str">
        <f t="shared" si="67"/>
        <v>Nov</v>
      </c>
      <c r="C186" s="73">
        <f t="shared" si="84"/>
        <v>14</v>
      </c>
      <c r="D186" s="74">
        <f t="shared" si="68"/>
        <v>17</v>
      </c>
      <c r="E186" s="75">
        <f t="shared" si="69"/>
        <v>2</v>
      </c>
      <c r="F186" s="79"/>
      <c r="G186" s="82"/>
      <c r="H186" s="68" t="str">
        <f t="shared" si="85"/>
        <v>Hyprev7_20211114_17_00</v>
      </c>
      <c r="I186" s="69">
        <f t="shared" si="90"/>
        <v>1</v>
      </c>
      <c r="J186" s="76" t="str">
        <f t="shared" si="90"/>
        <v>Hypericum</v>
      </c>
      <c r="K186" s="76" t="str">
        <f t="shared" si="90"/>
        <v>revolutum</v>
      </c>
      <c r="L186" s="77">
        <f t="shared" si="90"/>
        <v>7</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87"/>
        <v/>
      </c>
      <c r="AE186" s="54"/>
      <c r="AF186" s="54"/>
      <c r="AG186" s="55" t="str">
        <f t="shared" si="77"/>
        <v/>
      </c>
      <c r="AH186" s="56" t="str">
        <f t="shared" si="78"/>
        <v/>
      </c>
      <c r="AI186" s="55"/>
      <c r="AJ186" s="56" t="str">
        <f t="shared" si="79"/>
        <v/>
      </c>
      <c r="AK186" s="55"/>
      <c r="AL186" s="56" t="str">
        <f t="shared" si="80"/>
        <v/>
      </c>
      <c r="AM186" s="55"/>
      <c r="AN186" s="56" t="str">
        <f t="shared" si="81"/>
        <v/>
      </c>
      <c r="AO186" s="55"/>
      <c r="AP186" s="56" t="str">
        <f t="shared" si="82"/>
        <v/>
      </c>
      <c r="AQ186" s="55"/>
      <c r="AR186" s="56" t="str">
        <f t="shared" si="83"/>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v>
      </c>
      <c r="C187" s="73">
        <f t="shared" si="84"/>
        <v>14</v>
      </c>
      <c r="D187" s="74">
        <f t="shared" si="68"/>
        <v>17</v>
      </c>
      <c r="E187" s="75">
        <f t="shared" si="69"/>
        <v>3</v>
      </c>
      <c r="F187" s="79"/>
      <c r="G187" s="82"/>
      <c r="H187" s="68" t="str">
        <f t="shared" si="85"/>
        <v>Hyprev7_20211114_17_00</v>
      </c>
      <c r="I187" s="69">
        <f t="shared" si="90"/>
        <v>1</v>
      </c>
      <c r="J187" s="76" t="str">
        <f t="shared" si="90"/>
        <v>Hypericum</v>
      </c>
      <c r="K187" s="76" t="str">
        <f t="shared" si="90"/>
        <v>revolutum</v>
      </c>
      <c r="L187" s="77">
        <f t="shared" si="90"/>
        <v>7</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87"/>
        <v/>
      </c>
      <c r="AE187" s="54"/>
      <c r="AF187" s="54"/>
      <c r="AG187" s="55" t="str">
        <f t="shared" si="77"/>
        <v/>
      </c>
      <c r="AH187" s="56" t="str">
        <f t="shared" si="78"/>
        <v/>
      </c>
      <c r="AI187" s="55"/>
      <c r="AJ187" s="56" t="str">
        <f t="shared" si="79"/>
        <v/>
      </c>
      <c r="AK187" s="55"/>
      <c r="AL187" s="56" t="str">
        <f t="shared" si="80"/>
        <v/>
      </c>
      <c r="AM187" s="55"/>
      <c r="AN187" s="56" t="str">
        <f t="shared" si="81"/>
        <v/>
      </c>
      <c r="AO187" s="55"/>
      <c r="AP187" s="56" t="str">
        <f t="shared" si="82"/>
        <v/>
      </c>
      <c r="AQ187" s="55"/>
      <c r="AR187" s="56" t="str">
        <f t="shared" si="83"/>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v>
      </c>
      <c r="C188" s="73">
        <f t="shared" si="84"/>
        <v>14</v>
      </c>
      <c r="D188" s="74">
        <f t="shared" si="68"/>
        <v>17</v>
      </c>
      <c r="E188" s="75">
        <f t="shared" si="69"/>
        <v>4</v>
      </c>
      <c r="F188" s="79"/>
      <c r="G188" s="82"/>
      <c r="H188" s="68" t="str">
        <f t="shared" si="85"/>
        <v>Hyprev7_20211114_17_00</v>
      </c>
      <c r="I188" s="69">
        <f t="shared" si="90"/>
        <v>1</v>
      </c>
      <c r="J188" s="76" t="str">
        <f t="shared" si="90"/>
        <v>Hypericum</v>
      </c>
      <c r="K188" s="76" t="str">
        <f t="shared" si="90"/>
        <v>revolutum</v>
      </c>
      <c r="L188" s="77">
        <f t="shared" si="90"/>
        <v>7</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87"/>
        <v/>
      </c>
      <c r="AE188" s="54"/>
      <c r="AF188" s="54"/>
      <c r="AG188" s="55" t="str">
        <f t="shared" si="77"/>
        <v/>
      </c>
      <c r="AH188" s="56" t="str">
        <f t="shared" si="78"/>
        <v/>
      </c>
      <c r="AI188" s="55"/>
      <c r="AJ188" s="56" t="str">
        <f t="shared" si="79"/>
        <v/>
      </c>
      <c r="AK188" s="55"/>
      <c r="AL188" s="56" t="str">
        <f t="shared" si="80"/>
        <v/>
      </c>
      <c r="AM188" s="55"/>
      <c r="AN188" s="56" t="str">
        <f t="shared" si="81"/>
        <v/>
      </c>
      <c r="AO188" s="55"/>
      <c r="AP188" s="56" t="str">
        <f t="shared" si="82"/>
        <v/>
      </c>
      <c r="AQ188" s="55"/>
      <c r="AR188" s="56" t="str">
        <f t="shared" si="83"/>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v>
      </c>
      <c r="C189" s="73">
        <f t="shared" si="84"/>
        <v>14</v>
      </c>
      <c r="D189" s="74">
        <f t="shared" si="68"/>
        <v>17</v>
      </c>
      <c r="E189" s="75">
        <f t="shared" si="69"/>
        <v>5</v>
      </c>
      <c r="F189" s="79"/>
      <c r="G189" s="82"/>
      <c r="H189" s="68" t="str">
        <f t="shared" si="85"/>
        <v>Hyprev7_20211114_17_00</v>
      </c>
      <c r="I189" s="69">
        <f t="shared" si="90"/>
        <v>1</v>
      </c>
      <c r="J189" s="76" t="str">
        <f t="shared" si="90"/>
        <v>Hypericum</v>
      </c>
      <c r="K189" s="76" t="str">
        <f t="shared" si="90"/>
        <v>revolutum</v>
      </c>
      <c r="L189" s="77">
        <f t="shared" si="90"/>
        <v>7</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87"/>
        <v/>
      </c>
      <c r="AE189" s="54"/>
      <c r="AF189" s="54"/>
      <c r="AG189" s="55" t="str">
        <f t="shared" si="77"/>
        <v/>
      </c>
      <c r="AH189" s="56" t="str">
        <f t="shared" si="78"/>
        <v/>
      </c>
      <c r="AI189" s="55"/>
      <c r="AJ189" s="56" t="str">
        <f t="shared" si="79"/>
        <v/>
      </c>
      <c r="AK189" s="55"/>
      <c r="AL189" s="56" t="str">
        <f t="shared" si="80"/>
        <v/>
      </c>
      <c r="AM189" s="55"/>
      <c r="AN189" s="56" t="str">
        <f t="shared" si="81"/>
        <v/>
      </c>
      <c r="AO189" s="55"/>
      <c r="AP189" s="56" t="str">
        <f t="shared" si="82"/>
        <v/>
      </c>
      <c r="AQ189" s="55"/>
      <c r="AR189" s="56" t="str">
        <f t="shared" si="83"/>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v>
      </c>
      <c r="C190" s="73">
        <f t="shared" si="84"/>
        <v>14</v>
      </c>
      <c r="D190" s="74">
        <f t="shared" si="68"/>
        <v>17</v>
      </c>
      <c r="E190" s="75">
        <f t="shared" si="69"/>
        <v>6</v>
      </c>
      <c r="F190" s="79"/>
      <c r="G190" s="82"/>
      <c r="H190" s="68" t="str">
        <f t="shared" si="85"/>
        <v>Hyprev7_20211114_17_00</v>
      </c>
      <c r="I190" s="69">
        <f t="shared" si="90"/>
        <v>1</v>
      </c>
      <c r="J190" s="76" t="str">
        <f t="shared" si="90"/>
        <v>Hypericum</v>
      </c>
      <c r="K190" s="76" t="str">
        <f t="shared" si="90"/>
        <v>revolutum</v>
      </c>
      <c r="L190" s="77">
        <f t="shared" si="90"/>
        <v>7</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87"/>
        <v/>
      </c>
      <c r="AE190" s="54"/>
      <c r="AF190" s="54"/>
      <c r="AG190" s="55" t="str">
        <f t="shared" si="77"/>
        <v/>
      </c>
      <c r="AH190" s="56" t="str">
        <f t="shared" si="78"/>
        <v/>
      </c>
      <c r="AI190" s="55"/>
      <c r="AJ190" s="56" t="str">
        <f t="shared" si="79"/>
        <v/>
      </c>
      <c r="AK190" s="55"/>
      <c r="AL190" s="56" t="str">
        <f t="shared" si="80"/>
        <v/>
      </c>
      <c r="AM190" s="55"/>
      <c r="AN190" s="56" t="str">
        <f t="shared" si="81"/>
        <v/>
      </c>
      <c r="AO190" s="55"/>
      <c r="AP190" s="56" t="str">
        <f t="shared" si="82"/>
        <v/>
      </c>
      <c r="AQ190" s="55"/>
      <c r="AR190" s="56" t="str">
        <f t="shared" si="83"/>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v>
      </c>
      <c r="C191" s="73">
        <f t="shared" si="84"/>
        <v>14</v>
      </c>
      <c r="D191" s="74">
        <f t="shared" si="68"/>
        <v>17</v>
      </c>
      <c r="E191" s="75">
        <f t="shared" si="69"/>
        <v>7</v>
      </c>
      <c r="F191" s="79"/>
      <c r="G191" s="82"/>
      <c r="H191" s="68" t="str">
        <f t="shared" si="85"/>
        <v>Hyprev7_20211114_17_00</v>
      </c>
      <c r="I191" s="69">
        <f t="shared" si="90"/>
        <v>1</v>
      </c>
      <c r="J191" s="76" t="str">
        <f t="shared" si="90"/>
        <v>Hypericum</v>
      </c>
      <c r="K191" s="76" t="str">
        <f t="shared" si="90"/>
        <v>revolutum</v>
      </c>
      <c r="L191" s="77">
        <f t="shared" si="90"/>
        <v>7</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87"/>
        <v/>
      </c>
      <c r="AE191" s="54"/>
      <c r="AF191" s="54"/>
      <c r="AG191" s="55" t="str">
        <f t="shared" si="77"/>
        <v/>
      </c>
      <c r="AH191" s="56" t="str">
        <f t="shared" si="78"/>
        <v/>
      </c>
      <c r="AI191" s="55"/>
      <c r="AJ191" s="56" t="str">
        <f t="shared" si="79"/>
        <v/>
      </c>
      <c r="AK191" s="55"/>
      <c r="AL191" s="56" t="str">
        <f t="shared" si="80"/>
        <v/>
      </c>
      <c r="AM191" s="55"/>
      <c r="AN191" s="56" t="str">
        <f t="shared" si="81"/>
        <v/>
      </c>
      <c r="AO191" s="55"/>
      <c r="AP191" s="56" t="str">
        <f t="shared" si="82"/>
        <v/>
      </c>
      <c r="AQ191" s="55"/>
      <c r="AR191" s="56" t="str">
        <f t="shared" si="83"/>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v>
      </c>
      <c r="C192" s="73">
        <f t="shared" si="84"/>
        <v>14</v>
      </c>
      <c r="D192" s="74">
        <f t="shared" si="68"/>
        <v>17</v>
      </c>
      <c r="E192" s="75">
        <f t="shared" si="69"/>
        <v>8</v>
      </c>
      <c r="F192" s="79"/>
      <c r="G192" s="82"/>
      <c r="H192" s="68" t="str">
        <f t="shared" si="85"/>
        <v>Hyprev7_20211114_17_00</v>
      </c>
      <c r="I192" s="69">
        <f t="shared" si="90"/>
        <v>1</v>
      </c>
      <c r="J192" s="76" t="str">
        <f t="shared" si="90"/>
        <v>Hypericum</v>
      </c>
      <c r="K192" s="76" t="str">
        <f t="shared" si="90"/>
        <v>revolutum</v>
      </c>
      <c r="L192" s="77">
        <f t="shared" si="90"/>
        <v>7</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87"/>
        <v/>
      </c>
      <c r="AE192" s="54"/>
      <c r="AF192" s="54"/>
      <c r="AG192" s="55" t="str">
        <f t="shared" si="77"/>
        <v/>
      </c>
      <c r="AH192" s="56" t="str">
        <f t="shared" si="78"/>
        <v/>
      </c>
      <c r="AI192" s="55"/>
      <c r="AJ192" s="56" t="str">
        <f t="shared" si="79"/>
        <v/>
      </c>
      <c r="AK192" s="55"/>
      <c r="AL192" s="56" t="str">
        <f t="shared" si="80"/>
        <v/>
      </c>
      <c r="AM192" s="55"/>
      <c r="AN192" s="56" t="str">
        <f t="shared" si="81"/>
        <v/>
      </c>
      <c r="AO192" s="55"/>
      <c r="AP192" s="56" t="str">
        <f t="shared" si="82"/>
        <v/>
      </c>
      <c r="AQ192" s="55"/>
      <c r="AR192" s="56" t="str">
        <f t="shared" si="83"/>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v>
      </c>
      <c r="C193" s="73">
        <f t="shared" si="84"/>
        <v>14</v>
      </c>
      <c r="D193" s="74">
        <f t="shared" si="68"/>
        <v>17</v>
      </c>
      <c r="E193" s="75">
        <f t="shared" si="69"/>
        <v>9</v>
      </c>
      <c r="F193" s="79"/>
      <c r="G193" s="82"/>
      <c r="H193" s="68" t="str">
        <f t="shared" si="85"/>
        <v>Hyprev7_20211114_17_00</v>
      </c>
      <c r="I193" s="69">
        <f t="shared" si="90"/>
        <v>1</v>
      </c>
      <c r="J193" s="76" t="str">
        <f t="shared" si="90"/>
        <v>Hypericum</v>
      </c>
      <c r="K193" s="76" t="str">
        <f t="shared" si="90"/>
        <v>revolutum</v>
      </c>
      <c r="L193" s="77">
        <f t="shared" si="90"/>
        <v>7</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87"/>
        <v/>
      </c>
      <c r="AE193" s="54"/>
      <c r="AF193" s="54"/>
      <c r="AG193" s="55" t="str">
        <f t="shared" si="77"/>
        <v/>
      </c>
      <c r="AH193" s="56" t="str">
        <f t="shared" si="78"/>
        <v/>
      </c>
      <c r="AI193" s="55"/>
      <c r="AJ193" s="56" t="str">
        <f t="shared" si="79"/>
        <v/>
      </c>
      <c r="AK193" s="55"/>
      <c r="AL193" s="56" t="str">
        <f t="shared" si="80"/>
        <v/>
      </c>
      <c r="AM193" s="55"/>
      <c r="AN193" s="56" t="str">
        <f t="shared" si="81"/>
        <v/>
      </c>
      <c r="AO193" s="55"/>
      <c r="AP193" s="56" t="str">
        <f t="shared" si="82"/>
        <v/>
      </c>
      <c r="AQ193" s="55"/>
      <c r="AR193" s="56" t="str">
        <f t="shared" si="83"/>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v>
      </c>
      <c r="C194" s="73">
        <f t="shared" si="84"/>
        <v>14</v>
      </c>
      <c r="D194" s="74">
        <f t="shared" si="68"/>
        <v>17</v>
      </c>
      <c r="E194" s="75">
        <f t="shared" si="69"/>
        <v>10</v>
      </c>
      <c r="F194" s="79"/>
      <c r="G194" s="82"/>
      <c r="H194" s="68" t="str">
        <f t="shared" si="85"/>
        <v>Hyprev7_20211114_17_00</v>
      </c>
      <c r="I194" s="69">
        <f t="shared" si="90"/>
        <v>1</v>
      </c>
      <c r="J194" s="76" t="str">
        <f t="shared" si="90"/>
        <v>Hypericum</v>
      </c>
      <c r="K194" s="76" t="str">
        <f t="shared" si="90"/>
        <v>revolutum</v>
      </c>
      <c r="L194" s="77">
        <f t="shared" si="90"/>
        <v>7</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87"/>
        <v/>
      </c>
      <c r="AE194" s="54"/>
      <c r="AF194" s="54"/>
      <c r="AG194" s="55" t="str">
        <f t="shared" si="77"/>
        <v/>
      </c>
      <c r="AH194" s="56" t="str">
        <f t="shared" si="78"/>
        <v/>
      </c>
      <c r="AI194" s="55"/>
      <c r="AJ194" s="56" t="str">
        <f t="shared" si="79"/>
        <v/>
      </c>
      <c r="AK194" s="55"/>
      <c r="AL194" s="56" t="str">
        <f t="shared" si="80"/>
        <v/>
      </c>
      <c r="AM194" s="55"/>
      <c r="AN194" s="56" t="str">
        <f t="shared" si="81"/>
        <v/>
      </c>
      <c r="AO194" s="55"/>
      <c r="AP194" s="56" t="str">
        <f t="shared" si="82"/>
        <v/>
      </c>
      <c r="AQ194" s="55"/>
      <c r="AR194" s="56" t="str">
        <f t="shared" si="83"/>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v>
      </c>
      <c r="C195" s="73">
        <f t="shared" si="84"/>
        <v>14</v>
      </c>
      <c r="D195" s="74">
        <f t="shared" si="68"/>
        <v>17</v>
      </c>
      <c r="E195" s="75">
        <f t="shared" si="69"/>
        <v>11</v>
      </c>
      <c r="F195" s="79"/>
      <c r="G195" s="82"/>
      <c r="H195" s="68" t="str">
        <f t="shared" si="85"/>
        <v>Hyprev7_20211114_17_00</v>
      </c>
      <c r="I195" s="69">
        <f t="shared" si="90"/>
        <v>1</v>
      </c>
      <c r="J195" s="76" t="str">
        <f t="shared" si="90"/>
        <v>Hypericum</v>
      </c>
      <c r="K195" s="76" t="str">
        <f t="shared" si="90"/>
        <v>revolutum</v>
      </c>
      <c r="L195" s="77">
        <f t="shared" si="90"/>
        <v>7</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87"/>
        <v/>
      </c>
      <c r="AE195" s="54"/>
      <c r="AF195" s="54"/>
      <c r="AG195" s="55" t="str">
        <f t="shared" si="77"/>
        <v/>
      </c>
      <c r="AH195" s="56" t="str">
        <f t="shared" si="78"/>
        <v/>
      </c>
      <c r="AI195" s="55"/>
      <c r="AJ195" s="56" t="str">
        <f t="shared" si="79"/>
        <v/>
      </c>
      <c r="AK195" s="55"/>
      <c r="AL195" s="56" t="str">
        <f t="shared" si="80"/>
        <v/>
      </c>
      <c r="AM195" s="55"/>
      <c r="AN195" s="56" t="str">
        <f t="shared" si="81"/>
        <v/>
      </c>
      <c r="AO195" s="55"/>
      <c r="AP195" s="56" t="str">
        <f t="shared" si="82"/>
        <v/>
      </c>
      <c r="AQ195" s="55"/>
      <c r="AR195" s="56" t="str">
        <f t="shared" si="83"/>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v>
      </c>
      <c r="C196" s="73">
        <f t="shared" si="84"/>
        <v>14</v>
      </c>
      <c r="D196" s="74">
        <f t="shared" ref="D196:D259" si="98">IF(IF(E195=59,D195+1,D195)=24,0,IF(E195=59,D195+1,D195))</f>
        <v>17</v>
      </c>
      <c r="E196" s="75">
        <f t="shared" ref="E196:E259" si="99">IF(E195&lt;59,E195+1,0)</f>
        <v>12</v>
      </c>
      <c r="F196" s="79"/>
      <c r="G196" s="82"/>
      <c r="H196" s="68" t="str">
        <f t="shared" si="85"/>
        <v>Hyprev7_20211114_17_00</v>
      </c>
      <c r="I196" s="69">
        <f t="shared" si="90"/>
        <v>1</v>
      </c>
      <c r="J196" s="76" t="str">
        <f t="shared" si="90"/>
        <v>Hypericum</v>
      </c>
      <c r="K196" s="76" t="str">
        <f t="shared" si="90"/>
        <v>revolutum</v>
      </c>
      <c r="L196" s="77">
        <f t="shared" si="90"/>
        <v>7</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v>
      </c>
      <c r="C197" s="73">
        <f t="shared" ref="C197:C260" si="115">IF(AND(D197=0, E197=0), IF(TEXT(C196,"dd")=TEXT(EOMONTH(DATE(A196,MONTH(DATEVALUE(B196&amp;"1")),C196),0), "dd"), 1, C196+1), C196)</f>
        <v>14</v>
      </c>
      <c r="D197" s="74">
        <f t="shared" si="98"/>
        <v>17</v>
      </c>
      <c r="E197" s="75">
        <f t="shared" si="99"/>
        <v>13</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Hyprev7_20211114_17_00</v>
      </c>
      <c r="I197" s="69">
        <f t="shared" ref="I197:N212" si="117">I196</f>
        <v>1</v>
      </c>
      <c r="J197" s="76" t="str">
        <f t="shared" si="117"/>
        <v>Hypericum</v>
      </c>
      <c r="K197" s="76" t="str">
        <f t="shared" si="117"/>
        <v>revolutum</v>
      </c>
      <c r="L197" s="77">
        <f t="shared" si="117"/>
        <v>7</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2021</v>
      </c>
      <c r="B198" s="72" t="str">
        <f t="shared" si="97"/>
        <v>Nov</v>
      </c>
      <c r="C198" s="73">
        <f t="shared" si="115"/>
        <v>14</v>
      </c>
      <c r="D198" s="74">
        <f t="shared" si="98"/>
        <v>17</v>
      </c>
      <c r="E198" s="75">
        <f t="shared" si="99"/>
        <v>14</v>
      </c>
      <c r="F198" s="79"/>
      <c r="G198" s="82"/>
      <c r="H198" s="68" t="str">
        <f t="shared" si="116"/>
        <v>Hyprev7_20211114_17_00</v>
      </c>
      <c r="I198" s="69">
        <f t="shared" si="117"/>
        <v>1</v>
      </c>
      <c r="J198" s="76" t="str">
        <f t="shared" si="117"/>
        <v>Hypericum</v>
      </c>
      <c r="K198" s="76" t="str">
        <f t="shared" si="117"/>
        <v>revolutum</v>
      </c>
      <c r="L198" s="77">
        <f t="shared" si="117"/>
        <v>7</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2021</v>
      </c>
      <c r="B199" s="72" t="str">
        <f t="shared" si="97"/>
        <v>Nov</v>
      </c>
      <c r="C199" s="73">
        <f t="shared" si="115"/>
        <v>14</v>
      </c>
      <c r="D199" s="74">
        <f t="shared" si="98"/>
        <v>17</v>
      </c>
      <c r="E199" s="75">
        <f t="shared" si="99"/>
        <v>15</v>
      </c>
      <c r="F199" s="79"/>
      <c r="G199" s="82"/>
      <c r="H199" s="68" t="str">
        <f t="shared" si="116"/>
        <v>Hyprev7_20211114_17_00</v>
      </c>
      <c r="I199" s="69">
        <f t="shared" si="117"/>
        <v>1</v>
      </c>
      <c r="J199" s="76" t="str">
        <f t="shared" si="117"/>
        <v>Hypericum</v>
      </c>
      <c r="K199" s="76" t="str">
        <f t="shared" si="117"/>
        <v>revolutum</v>
      </c>
      <c r="L199" s="77">
        <f t="shared" si="117"/>
        <v>7</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v>
      </c>
      <c r="C200" s="73">
        <f t="shared" si="115"/>
        <v>14</v>
      </c>
      <c r="D200" s="74">
        <f t="shared" si="98"/>
        <v>17</v>
      </c>
      <c r="E200" s="75">
        <f t="shared" si="99"/>
        <v>16</v>
      </c>
      <c r="F200" s="79"/>
      <c r="G200" s="82"/>
      <c r="H200" s="68" t="str">
        <f t="shared" si="116"/>
        <v>Hyprev7_20211114_17_00</v>
      </c>
      <c r="I200" s="69">
        <f t="shared" si="117"/>
        <v>1</v>
      </c>
      <c r="J200" s="76" t="str">
        <f t="shared" si="117"/>
        <v>Hypericum</v>
      </c>
      <c r="K200" s="76" t="str">
        <f t="shared" si="117"/>
        <v>revolutum</v>
      </c>
      <c r="L200" s="77">
        <f t="shared" si="117"/>
        <v>7</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v>
      </c>
      <c r="C201" s="73">
        <f t="shared" si="115"/>
        <v>14</v>
      </c>
      <c r="D201" s="74">
        <f t="shared" si="98"/>
        <v>17</v>
      </c>
      <c r="E201" s="75">
        <f t="shared" si="99"/>
        <v>17</v>
      </c>
      <c r="F201" s="79"/>
      <c r="G201" s="82"/>
      <c r="H201" s="68" t="str">
        <f t="shared" si="116"/>
        <v>Hyprev7_20211114_17_00</v>
      </c>
      <c r="I201" s="69">
        <f t="shared" si="117"/>
        <v>1</v>
      </c>
      <c r="J201" s="76" t="str">
        <f t="shared" si="117"/>
        <v>Hypericum</v>
      </c>
      <c r="K201" s="76" t="str">
        <f t="shared" si="117"/>
        <v>revolutum</v>
      </c>
      <c r="L201" s="77">
        <f t="shared" si="117"/>
        <v>7</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2021</v>
      </c>
      <c r="B202" s="72" t="str">
        <f t="shared" si="97"/>
        <v>Nov</v>
      </c>
      <c r="C202" s="73">
        <f t="shared" si="115"/>
        <v>14</v>
      </c>
      <c r="D202" s="74">
        <f t="shared" si="98"/>
        <v>17</v>
      </c>
      <c r="E202" s="75">
        <f t="shared" si="99"/>
        <v>18</v>
      </c>
      <c r="F202" s="79"/>
      <c r="G202" s="82"/>
      <c r="H202" s="68" t="str">
        <f t="shared" si="116"/>
        <v>Hyprev7_20211114_17_00</v>
      </c>
      <c r="I202" s="69">
        <f t="shared" si="117"/>
        <v>1</v>
      </c>
      <c r="J202" s="76" t="str">
        <f t="shared" si="117"/>
        <v>Hypericum</v>
      </c>
      <c r="K202" s="76" t="str">
        <f t="shared" si="117"/>
        <v>revolutum</v>
      </c>
      <c r="L202" s="77">
        <f t="shared" si="117"/>
        <v>7</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2021</v>
      </c>
      <c r="B203" s="72" t="str">
        <f t="shared" si="97"/>
        <v>Nov</v>
      </c>
      <c r="C203" s="73">
        <f t="shared" si="115"/>
        <v>14</v>
      </c>
      <c r="D203" s="74">
        <f t="shared" si="98"/>
        <v>17</v>
      </c>
      <c r="E203" s="75">
        <f t="shared" si="99"/>
        <v>19</v>
      </c>
      <c r="F203" s="79"/>
      <c r="G203" s="82"/>
      <c r="H203" s="68" t="str">
        <f t="shared" si="116"/>
        <v>Hyprev7_20211114_17_00</v>
      </c>
      <c r="I203" s="69">
        <f t="shared" si="117"/>
        <v>1</v>
      </c>
      <c r="J203" s="76" t="str">
        <f t="shared" si="117"/>
        <v>Hypericum</v>
      </c>
      <c r="K203" s="76" t="str">
        <f t="shared" si="117"/>
        <v>revolutum</v>
      </c>
      <c r="L203" s="77">
        <f t="shared" si="117"/>
        <v>7</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v>
      </c>
      <c r="C204" s="73">
        <f t="shared" si="115"/>
        <v>14</v>
      </c>
      <c r="D204" s="74">
        <f t="shared" si="98"/>
        <v>17</v>
      </c>
      <c r="E204" s="75">
        <f t="shared" si="99"/>
        <v>20</v>
      </c>
      <c r="F204" s="79"/>
      <c r="G204" s="82"/>
      <c r="H204" s="68" t="str">
        <f t="shared" si="116"/>
        <v>Hyprev7_20211114_17_00</v>
      </c>
      <c r="I204" s="69">
        <f t="shared" si="117"/>
        <v>1</v>
      </c>
      <c r="J204" s="76" t="str">
        <f t="shared" si="117"/>
        <v>Hypericum</v>
      </c>
      <c r="K204" s="76" t="str">
        <f t="shared" si="117"/>
        <v>revolutum</v>
      </c>
      <c r="L204" s="77">
        <f t="shared" si="117"/>
        <v>7</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v>
      </c>
      <c r="C205" s="73">
        <f t="shared" si="115"/>
        <v>14</v>
      </c>
      <c r="D205" s="74">
        <f t="shared" si="98"/>
        <v>17</v>
      </c>
      <c r="E205" s="75">
        <f t="shared" si="99"/>
        <v>21</v>
      </c>
      <c r="F205" s="79"/>
      <c r="G205" s="82"/>
      <c r="H205" s="68" t="str">
        <f t="shared" si="116"/>
        <v>Hyprev7_20211114_17_00</v>
      </c>
      <c r="I205" s="69">
        <f t="shared" si="117"/>
        <v>1</v>
      </c>
      <c r="J205" s="76" t="str">
        <f t="shared" si="117"/>
        <v>Hypericum</v>
      </c>
      <c r="K205" s="76" t="str">
        <f t="shared" si="117"/>
        <v>revolutum</v>
      </c>
      <c r="L205" s="77">
        <f t="shared" si="117"/>
        <v>7</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v>
      </c>
      <c r="C206" s="73">
        <f t="shared" si="115"/>
        <v>14</v>
      </c>
      <c r="D206" s="74">
        <f t="shared" si="98"/>
        <v>17</v>
      </c>
      <c r="E206" s="75">
        <f t="shared" si="99"/>
        <v>22</v>
      </c>
      <c r="F206" s="79"/>
      <c r="G206" s="82"/>
      <c r="H206" s="68" t="str">
        <f t="shared" si="116"/>
        <v>Hyprev7_20211114_17_00</v>
      </c>
      <c r="I206" s="69">
        <f t="shared" si="117"/>
        <v>1</v>
      </c>
      <c r="J206" s="76" t="str">
        <f t="shared" si="117"/>
        <v>Hypericum</v>
      </c>
      <c r="K206" s="76" t="str">
        <f t="shared" si="117"/>
        <v>revolutum</v>
      </c>
      <c r="L206" s="77">
        <f t="shared" si="117"/>
        <v>7</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v>
      </c>
      <c r="C207" s="73">
        <f t="shared" si="115"/>
        <v>14</v>
      </c>
      <c r="D207" s="74">
        <f t="shared" si="98"/>
        <v>17</v>
      </c>
      <c r="E207" s="75">
        <f t="shared" si="99"/>
        <v>23</v>
      </c>
      <c r="F207" s="79"/>
      <c r="G207" s="82"/>
      <c r="H207" s="68" t="str">
        <f t="shared" si="116"/>
        <v>Hyprev7_20211114_17_00</v>
      </c>
      <c r="I207" s="69">
        <f t="shared" si="117"/>
        <v>1</v>
      </c>
      <c r="J207" s="76" t="str">
        <f t="shared" si="117"/>
        <v>Hypericum</v>
      </c>
      <c r="K207" s="76" t="str">
        <f t="shared" si="117"/>
        <v>revolutum</v>
      </c>
      <c r="L207" s="77">
        <f t="shared" si="117"/>
        <v>7</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v>
      </c>
      <c r="C208" s="73">
        <f t="shared" si="115"/>
        <v>14</v>
      </c>
      <c r="D208" s="74">
        <f t="shared" si="98"/>
        <v>17</v>
      </c>
      <c r="E208" s="75">
        <f t="shared" si="99"/>
        <v>24</v>
      </c>
      <c r="F208" s="79"/>
      <c r="G208" s="82"/>
      <c r="H208" s="68" t="str">
        <f t="shared" si="116"/>
        <v>Hyprev7_20211114_17_00</v>
      </c>
      <c r="I208" s="69">
        <f t="shared" si="117"/>
        <v>1</v>
      </c>
      <c r="J208" s="76" t="str">
        <f t="shared" si="117"/>
        <v>Hypericum</v>
      </c>
      <c r="K208" s="76" t="str">
        <f t="shared" si="117"/>
        <v>revolutum</v>
      </c>
      <c r="L208" s="77">
        <f t="shared" si="117"/>
        <v>7</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v>
      </c>
      <c r="C209" s="73">
        <f t="shared" si="115"/>
        <v>14</v>
      </c>
      <c r="D209" s="74">
        <f t="shared" si="98"/>
        <v>17</v>
      </c>
      <c r="E209" s="75">
        <f t="shared" si="99"/>
        <v>25</v>
      </c>
      <c r="F209" s="79"/>
      <c r="G209" s="82"/>
      <c r="H209" s="68" t="str">
        <f t="shared" si="116"/>
        <v>Hyprev7_20211114_17_00</v>
      </c>
      <c r="I209" s="69">
        <f t="shared" si="117"/>
        <v>1</v>
      </c>
      <c r="J209" s="76" t="str">
        <f t="shared" si="117"/>
        <v>Hypericum</v>
      </c>
      <c r="K209" s="76" t="str">
        <f t="shared" si="117"/>
        <v>revolutum</v>
      </c>
      <c r="L209" s="77">
        <f t="shared" si="117"/>
        <v>7</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v>
      </c>
      <c r="C210" s="73">
        <f t="shared" si="115"/>
        <v>14</v>
      </c>
      <c r="D210" s="74">
        <f t="shared" si="98"/>
        <v>17</v>
      </c>
      <c r="E210" s="75">
        <f t="shared" si="99"/>
        <v>26</v>
      </c>
      <c r="F210" s="79"/>
      <c r="G210" s="82"/>
      <c r="H210" s="68" t="str">
        <f t="shared" si="116"/>
        <v>Hyprev7_20211114_17_00</v>
      </c>
      <c r="I210" s="69">
        <f t="shared" si="117"/>
        <v>1</v>
      </c>
      <c r="J210" s="76" t="str">
        <f t="shared" si="117"/>
        <v>Hypericum</v>
      </c>
      <c r="K210" s="76" t="str">
        <f t="shared" si="117"/>
        <v>revolutum</v>
      </c>
      <c r="L210" s="77">
        <f t="shared" si="117"/>
        <v>7</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v>
      </c>
      <c r="C211" s="73">
        <f t="shared" si="115"/>
        <v>14</v>
      </c>
      <c r="D211" s="74">
        <f t="shared" si="98"/>
        <v>17</v>
      </c>
      <c r="E211" s="75">
        <f t="shared" si="99"/>
        <v>27</v>
      </c>
      <c r="F211" s="79"/>
      <c r="G211" s="82"/>
      <c r="H211" s="68" t="str">
        <f t="shared" si="116"/>
        <v>Hyprev7_20211114_17_00</v>
      </c>
      <c r="I211" s="69">
        <f t="shared" si="117"/>
        <v>1</v>
      </c>
      <c r="J211" s="76" t="str">
        <f t="shared" si="117"/>
        <v>Hypericum</v>
      </c>
      <c r="K211" s="76" t="str">
        <f t="shared" si="117"/>
        <v>revolutum</v>
      </c>
      <c r="L211" s="77">
        <f t="shared" si="117"/>
        <v>7</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v>
      </c>
      <c r="C212" s="73">
        <f t="shared" si="115"/>
        <v>14</v>
      </c>
      <c r="D212" s="74">
        <f t="shared" si="98"/>
        <v>17</v>
      </c>
      <c r="E212" s="75">
        <f t="shared" si="99"/>
        <v>28</v>
      </c>
      <c r="F212" s="79"/>
      <c r="G212" s="82"/>
      <c r="H212" s="68" t="str">
        <f t="shared" si="116"/>
        <v>Hyprev7_20211114_17_00</v>
      </c>
      <c r="I212" s="69">
        <f t="shared" si="117"/>
        <v>1</v>
      </c>
      <c r="J212" s="76" t="str">
        <f t="shared" si="117"/>
        <v>Hypericum</v>
      </c>
      <c r="K212" s="76" t="str">
        <f t="shared" si="117"/>
        <v>revolutum</v>
      </c>
      <c r="L212" s="77">
        <f t="shared" si="117"/>
        <v>7</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v>
      </c>
      <c r="C213" s="73">
        <f t="shared" si="115"/>
        <v>14</v>
      </c>
      <c r="D213" s="74">
        <f t="shared" si="98"/>
        <v>17</v>
      </c>
      <c r="E213" s="75">
        <f t="shared" si="99"/>
        <v>29</v>
      </c>
      <c r="F213" s="79"/>
      <c r="G213" s="82"/>
      <c r="H213" s="68" t="str">
        <f t="shared" si="116"/>
        <v>Hyprev7_20211114_17_00</v>
      </c>
      <c r="I213" s="69">
        <f t="shared" ref="I213:N228" si="118">I212</f>
        <v>1</v>
      </c>
      <c r="J213" s="76" t="str">
        <f t="shared" si="118"/>
        <v>Hypericum</v>
      </c>
      <c r="K213" s="76" t="str">
        <f t="shared" si="118"/>
        <v>revolutum</v>
      </c>
      <c r="L213" s="77">
        <f t="shared" si="118"/>
        <v>7</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2021</v>
      </c>
      <c r="B214" s="72" t="str">
        <f t="shared" si="97"/>
        <v>Nov</v>
      </c>
      <c r="C214" s="73">
        <f t="shared" si="115"/>
        <v>14</v>
      </c>
      <c r="D214" s="74">
        <f t="shared" si="98"/>
        <v>17</v>
      </c>
      <c r="E214" s="75">
        <f t="shared" si="99"/>
        <v>30</v>
      </c>
      <c r="F214" s="79"/>
      <c r="G214" s="82"/>
      <c r="H214" s="68" t="str">
        <f t="shared" si="116"/>
        <v>Hyprev7_20211114_17_00</v>
      </c>
      <c r="I214" s="69">
        <f t="shared" si="118"/>
        <v>1</v>
      </c>
      <c r="J214" s="76" t="str">
        <f t="shared" si="118"/>
        <v>Hypericum</v>
      </c>
      <c r="K214" s="76" t="str">
        <f t="shared" si="118"/>
        <v>revolutum</v>
      </c>
      <c r="L214" s="77">
        <f t="shared" si="118"/>
        <v>7</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2021</v>
      </c>
      <c r="B215" s="72" t="str">
        <f t="shared" si="97"/>
        <v>Nov</v>
      </c>
      <c r="C215" s="73">
        <f t="shared" si="115"/>
        <v>14</v>
      </c>
      <c r="D215" s="74">
        <f t="shared" si="98"/>
        <v>17</v>
      </c>
      <c r="E215" s="75">
        <f t="shared" si="99"/>
        <v>31</v>
      </c>
      <c r="F215" s="79"/>
      <c r="G215" s="82"/>
      <c r="H215" s="68" t="str">
        <f t="shared" si="116"/>
        <v>Hyprev7_20211114_17_00</v>
      </c>
      <c r="I215" s="69">
        <f t="shared" si="118"/>
        <v>1</v>
      </c>
      <c r="J215" s="76" t="str">
        <f t="shared" si="118"/>
        <v>Hypericum</v>
      </c>
      <c r="K215" s="76" t="str">
        <f t="shared" si="118"/>
        <v>revolutum</v>
      </c>
      <c r="L215" s="77">
        <f t="shared" si="118"/>
        <v>7</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v>
      </c>
      <c r="C216" s="73">
        <f t="shared" si="115"/>
        <v>14</v>
      </c>
      <c r="D216" s="74">
        <f t="shared" si="98"/>
        <v>17</v>
      </c>
      <c r="E216" s="75">
        <f t="shared" si="99"/>
        <v>32</v>
      </c>
      <c r="F216" s="79"/>
      <c r="G216" s="82"/>
      <c r="H216" s="68" t="str">
        <f t="shared" si="116"/>
        <v>Hyprev7_20211114_17_00</v>
      </c>
      <c r="I216" s="69">
        <f t="shared" si="118"/>
        <v>1</v>
      </c>
      <c r="J216" s="76" t="str">
        <f t="shared" si="118"/>
        <v>Hypericum</v>
      </c>
      <c r="K216" s="76" t="str">
        <f t="shared" si="118"/>
        <v>revolutum</v>
      </c>
      <c r="L216" s="77">
        <f t="shared" si="118"/>
        <v>7</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v>
      </c>
      <c r="C217" s="73">
        <f t="shared" si="115"/>
        <v>14</v>
      </c>
      <c r="D217" s="74">
        <f t="shared" si="98"/>
        <v>17</v>
      </c>
      <c r="E217" s="75">
        <f t="shared" si="99"/>
        <v>33</v>
      </c>
      <c r="F217" s="79"/>
      <c r="G217" s="82"/>
      <c r="H217" s="68" t="str">
        <f t="shared" si="116"/>
        <v>Hyprev7_20211114_17_00</v>
      </c>
      <c r="I217" s="69">
        <f t="shared" si="118"/>
        <v>1</v>
      </c>
      <c r="J217" s="76" t="str">
        <f t="shared" si="118"/>
        <v>Hypericum</v>
      </c>
      <c r="K217" s="76" t="str">
        <f t="shared" si="118"/>
        <v>revolutum</v>
      </c>
      <c r="L217" s="77">
        <f t="shared" si="118"/>
        <v>7</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v>
      </c>
      <c r="C218" s="73">
        <f t="shared" si="115"/>
        <v>14</v>
      </c>
      <c r="D218" s="74">
        <f t="shared" si="98"/>
        <v>17</v>
      </c>
      <c r="E218" s="75">
        <f t="shared" si="99"/>
        <v>34</v>
      </c>
      <c r="F218" s="79"/>
      <c r="G218" s="82"/>
      <c r="H218" s="68" t="str">
        <f t="shared" si="116"/>
        <v>Hyprev7_20211114_17_00</v>
      </c>
      <c r="I218" s="69">
        <f t="shared" si="118"/>
        <v>1</v>
      </c>
      <c r="J218" s="76" t="str">
        <f t="shared" si="118"/>
        <v>Hypericum</v>
      </c>
      <c r="K218" s="76" t="str">
        <f t="shared" si="118"/>
        <v>revolutum</v>
      </c>
      <c r="L218" s="77">
        <f t="shared" si="118"/>
        <v>7</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v>
      </c>
      <c r="C219" s="73">
        <f t="shared" si="115"/>
        <v>14</v>
      </c>
      <c r="D219" s="74">
        <f t="shared" si="98"/>
        <v>17</v>
      </c>
      <c r="E219" s="75">
        <f t="shared" si="99"/>
        <v>35</v>
      </c>
      <c r="F219" s="79"/>
      <c r="G219" s="82"/>
      <c r="H219" s="68" t="str">
        <f t="shared" si="116"/>
        <v>Hyprev7_20211114_17_00</v>
      </c>
      <c r="I219" s="69">
        <f t="shared" si="118"/>
        <v>1</v>
      </c>
      <c r="J219" s="76" t="str">
        <f t="shared" si="118"/>
        <v>Hypericum</v>
      </c>
      <c r="K219" s="76" t="str">
        <f t="shared" si="118"/>
        <v>revolutum</v>
      </c>
      <c r="L219" s="77">
        <f t="shared" si="118"/>
        <v>7</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v>
      </c>
      <c r="C220" s="73">
        <f t="shared" si="115"/>
        <v>14</v>
      </c>
      <c r="D220" s="74">
        <f t="shared" si="98"/>
        <v>17</v>
      </c>
      <c r="E220" s="75">
        <f t="shared" si="99"/>
        <v>36</v>
      </c>
      <c r="F220" s="79">
        <v>31</v>
      </c>
      <c r="G220" s="82"/>
      <c r="H220" s="68" t="str">
        <f t="shared" si="116"/>
        <v>Hyprev7_20211114_17_00</v>
      </c>
      <c r="I220" s="69">
        <f t="shared" si="118"/>
        <v>1</v>
      </c>
      <c r="J220" s="76" t="str">
        <f t="shared" si="118"/>
        <v>Hypericum</v>
      </c>
      <c r="K220" s="76" t="str">
        <f t="shared" si="118"/>
        <v>revolutum</v>
      </c>
      <c r="L220" s="77">
        <f t="shared" si="118"/>
        <v>7</v>
      </c>
      <c r="M220" s="77">
        <f t="shared" si="118"/>
        <v>2</v>
      </c>
      <c r="N220" s="71">
        <f t="shared" si="118"/>
        <v>0</v>
      </c>
      <c r="O220" s="44"/>
      <c r="P220" s="45">
        <f t="shared" si="100"/>
        <v>1</v>
      </c>
      <c r="Q220" s="46" t="str">
        <f t="shared" si="101"/>
        <v>17:36:31</v>
      </c>
      <c r="R220" s="47" t="str">
        <f t="shared" si="102"/>
        <v>36:31</v>
      </c>
      <c r="S220" s="48">
        <f t="shared" si="91"/>
        <v>247</v>
      </c>
      <c r="T220" s="47" t="str">
        <f t="shared" si="103"/>
        <v>17</v>
      </c>
      <c r="U220" s="49">
        <v>40</v>
      </c>
      <c r="V220" s="50">
        <v>38</v>
      </c>
      <c r="W220" s="51" t="str">
        <f t="shared" si="104"/>
        <v>40:38</v>
      </c>
      <c r="X220" s="52" t="s">
        <v>59</v>
      </c>
      <c r="Y220" s="124" t="s">
        <v>242</v>
      </c>
      <c r="Z220" s="124"/>
      <c r="AA220" s="47" t="s">
        <v>264</v>
      </c>
      <c r="AB220" s="47" t="str">
        <f t="shared" si="105"/>
        <v>NA</v>
      </c>
      <c r="AC220" s="53" t="str">
        <f t="shared" si="106"/>
        <v/>
      </c>
      <c r="AD220" s="54">
        <f t="shared" si="107"/>
        <v>1</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t="s">
        <v>114</v>
      </c>
      <c r="AT220" s="58"/>
      <c r="AU220" s="58"/>
      <c r="AV220" s="59"/>
      <c r="AW220" s="60">
        <f t="shared" si="92"/>
        <v>0</v>
      </c>
      <c r="AX220" s="61" t="str">
        <f t="shared" si="93"/>
        <v/>
      </c>
      <c r="AY220" s="60">
        <f t="shared" si="94"/>
        <v>0</v>
      </c>
      <c r="AZ220" s="61" t="str">
        <f t="shared" si="95"/>
        <v/>
      </c>
    </row>
    <row r="221" spans="1:52" s="3" customFormat="1" hidden="1" x14ac:dyDescent="0.35">
      <c r="A221" s="72">
        <f t="shared" si="96"/>
        <v>2021</v>
      </c>
      <c r="B221" s="72" t="str">
        <f t="shared" si="97"/>
        <v>Nov</v>
      </c>
      <c r="C221" s="73">
        <f t="shared" si="115"/>
        <v>14</v>
      </c>
      <c r="D221" s="74">
        <f t="shared" si="98"/>
        <v>17</v>
      </c>
      <c r="E221" s="75">
        <v>36</v>
      </c>
      <c r="F221" s="79">
        <v>41</v>
      </c>
      <c r="G221" s="82"/>
      <c r="H221" s="68" t="str">
        <f t="shared" si="116"/>
        <v>Hyprev7_20211114_17_00</v>
      </c>
      <c r="I221" s="69">
        <f t="shared" si="118"/>
        <v>1</v>
      </c>
      <c r="J221" s="76" t="str">
        <f t="shared" si="118"/>
        <v>Hypericum</v>
      </c>
      <c r="K221" s="76" t="str">
        <f t="shared" si="118"/>
        <v>revolutum</v>
      </c>
      <c r="L221" s="77">
        <f t="shared" si="118"/>
        <v>7</v>
      </c>
      <c r="M221" s="77">
        <f t="shared" si="118"/>
        <v>2</v>
      </c>
      <c r="N221" s="71">
        <f t="shared" si="118"/>
        <v>0</v>
      </c>
      <c r="O221" s="44"/>
      <c r="P221" s="45">
        <f t="shared" si="100"/>
        <v>1</v>
      </c>
      <c r="Q221" s="46" t="str">
        <f t="shared" si="101"/>
        <v>17:36:41</v>
      </c>
      <c r="R221" s="47" t="str">
        <f t="shared" si="102"/>
        <v>36:41</v>
      </c>
      <c r="S221" s="48">
        <f t="shared" si="91"/>
        <v>19</v>
      </c>
      <c r="T221" s="47" t="str">
        <f t="shared" si="103"/>
        <v>17</v>
      </c>
      <c r="U221" s="49">
        <v>37</v>
      </c>
      <c r="V221" s="50">
        <v>0</v>
      </c>
      <c r="W221" s="51" t="str">
        <f t="shared" si="104"/>
        <v>37:00</v>
      </c>
      <c r="X221" s="52" t="s">
        <v>59</v>
      </c>
      <c r="Y221" s="124" t="s">
        <v>236</v>
      </c>
      <c r="Z221" s="124"/>
      <c r="AA221" s="47" t="s">
        <v>254</v>
      </c>
      <c r="AB221" s="47" t="str">
        <f t="shared" si="105"/>
        <v>NA</v>
      </c>
      <c r="AC221" s="53" t="str">
        <f t="shared" si="106"/>
        <v/>
      </c>
      <c r="AD221" s="54">
        <f t="shared" si="107"/>
        <v>1</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t="s">
        <v>75</v>
      </c>
      <c r="AT221" s="58"/>
      <c r="AU221" s="58"/>
      <c r="AV221" s="59"/>
      <c r="AW221" s="60">
        <f t="shared" si="92"/>
        <v>0</v>
      </c>
      <c r="AX221" s="61" t="str">
        <f t="shared" si="93"/>
        <v/>
      </c>
      <c r="AY221" s="60">
        <f t="shared" si="94"/>
        <v>0</v>
      </c>
      <c r="AZ221" s="61" t="str">
        <f t="shared" si="95"/>
        <v/>
      </c>
    </row>
    <row r="222" spans="1:52" s="3" customFormat="1" hidden="1" x14ac:dyDescent="0.35">
      <c r="A222" s="72">
        <f t="shared" si="96"/>
        <v>2021</v>
      </c>
      <c r="B222" s="72" t="str">
        <f t="shared" si="97"/>
        <v>Nov</v>
      </c>
      <c r="C222" s="73">
        <f t="shared" si="115"/>
        <v>14</v>
      </c>
      <c r="D222" s="74">
        <f t="shared" si="98"/>
        <v>17</v>
      </c>
      <c r="E222" s="75">
        <f t="shared" si="99"/>
        <v>37</v>
      </c>
      <c r="F222" s="79"/>
      <c r="G222" s="82"/>
      <c r="H222" s="68" t="str">
        <f t="shared" si="116"/>
        <v>Hyprev7_20211114_17_00</v>
      </c>
      <c r="I222" s="69">
        <f t="shared" si="118"/>
        <v>1</v>
      </c>
      <c r="J222" s="76" t="str">
        <f t="shared" si="118"/>
        <v>Hypericum</v>
      </c>
      <c r="K222" s="76" t="str">
        <f t="shared" si="118"/>
        <v>revolutum</v>
      </c>
      <c r="L222" s="77">
        <f t="shared" si="118"/>
        <v>7</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2021</v>
      </c>
      <c r="B223" s="72" t="str">
        <f t="shared" si="97"/>
        <v>Nov</v>
      </c>
      <c r="C223" s="73">
        <f t="shared" si="115"/>
        <v>14</v>
      </c>
      <c r="D223" s="74">
        <f t="shared" si="98"/>
        <v>17</v>
      </c>
      <c r="E223" s="75">
        <f t="shared" si="99"/>
        <v>38</v>
      </c>
      <c r="F223" s="79"/>
      <c r="G223" s="82"/>
      <c r="H223" s="68" t="str">
        <f t="shared" si="116"/>
        <v>Hyprev7_20211114_17_00</v>
      </c>
      <c r="I223" s="69">
        <f t="shared" si="118"/>
        <v>1</v>
      </c>
      <c r="J223" s="76" t="str">
        <f t="shared" si="118"/>
        <v>Hypericum</v>
      </c>
      <c r="K223" s="76" t="str">
        <f t="shared" si="118"/>
        <v>revolutum</v>
      </c>
      <c r="L223" s="77">
        <f t="shared" si="118"/>
        <v>7</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v>
      </c>
      <c r="C224" s="73">
        <f t="shared" si="115"/>
        <v>14</v>
      </c>
      <c r="D224" s="74">
        <f t="shared" si="98"/>
        <v>17</v>
      </c>
      <c r="E224" s="75">
        <f t="shared" si="99"/>
        <v>39</v>
      </c>
      <c r="F224" s="79"/>
      <c r="G224" s="82"/>
      <c r="H224" s="68" t="str">
        <f t="shared" si="116"/>
        <v>Hyprev7_20211114_17_00</v>
      </c>
      <c r="I224" s="69">
        <f t="shared" si="118"/>
        <v>1</v>
      </c>
      <c r="J224" s="76" t="str">
        <f t="shared" si="118"/>
        <v>Hypericum</v>
      </c>
      <c r="K224" s="76" t="str">
        <f t="shared" si="118"/>
        <v>revolutum</v>
      </c>
      <c r="L224" s="77">
        <f t="shared" si="118"/>
        <v>7</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v>
      </c>
      <c r="C225" s="73">
        <f t="shared" si="115"/>
        <v>14</v>
      </c>
      <c r="D225" s="74">
        <f t="shared" si="98"/>
        <v>17</v>
      </c>
      <c r="E225" s="75">
        <f t="shared" si="99"/>
        <v>40</v>
      </c>
      <c r="F225" s="79">
        <v>31</v>
      </c>
      <c r="G225" s="82"/>
      <c r="H225" s="68" t="str">
        <f t="shared" si="116"/>
        <v>Hyprev7_20211114_17_00</v>
      </c>
      <c r="I225" s="69">
        <f t="shared" si="118"/>
        <v>1</v>
      </c>
      <c r="J225" s="76" t="str">
        <f t="shared" si="118"/>
        <v>Hypericum</v>
      </c>
      <c r="K225" s="76" t="str">
        <f t="shared" si="118"/>
        <v>revolutum</v>
      </c>
      <c r="L225" s="77">
        <f t="shared" si="118"/>
        <v>7</v>
      </c>
      <c r="M225" s="77">
        <f t="shared" si="118"/>
        <v>2</v>
      </c>
      <c r="N225" s="71">
        <f t="shared" si="118"/>
        <v>0</v>
      </c>
      <c r="O225" s="44"/>
      <c r="P225" s="45">
        <f t="shared" si="100"/>
        <v>1</v>
      </c>
      <c r="Q225" s="46" t="str">
        <f t="shared" si="101"/>
        <v>17:40:31</v>
      </c>
      <c r="R225" s="47" t="str">
        <f t="shared" si="102"/>
        <v>40:31</v>
      </c>
      <c r="S225" s="48">
        <f t="shared" si="91"/>
        <v>219</v>
      </c>
      <c r="T225" s="47" t="str">
        <f t="shared" si="103"/>
        <v>17</v>
      </c>
      <c r="U225" s="49">
        <v>44</v>
      </c>
      <c r="V225" s="50">
        <v>10</v>
      </c>
      <c r="W225" s="51" t="str">
        <f t="shared" si="104"/>
        <v>44:10</v>
      </c>
      <c r="X225" s="52" t="s">
        <v>59</v>
      </c>
      <c r="Y225" s="124" t="s">
        <v>242</v>
      </c>
      <c r="Z225" s="124"/>
      <c r="AA225" s="47" t="s">
        <v>264</v>
      </c>
      <c r="AB225" s="47" t="str">
        <f t="shared" si="105"/>
        <v>NA</v>
      </c>
      <c r="AC225" s="53" t="str">
        <f t="shared" si="106"/>
        <v/>
      </c>
      <c r="AD225" s="54">
        <f t="shared" si="107"/>
        <v>1</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t="s">
        <v>108</v>
      </c>
      <c r="AT225" s="58"/>
      <c r="AU225" s="58"/>
      <c r="AV225" s="59"/>
      <c r="AW225" s="60">
        <f t="shared" si="92"/>
        <v>0</v>
      </c>
      <c r="AX225" s="61" t="str">
        <f t="shared" si="93"/>
        <v/>
      </c>
      <c r="AY225" s="60">
        <f t="shared" si="94"/>
        <v>0</v>
      </c>
      <c r="AZ225" s="61" t="str">
        <f t="shared" si="95"/>
        <v/>
      </c>
    </row>
    <row r="226" spans="1:52" s="3" customFormat="1" hidden="1" x14ac:dyDescent="0.35">
      <c r="A226" s="72">
        <f t="shared" si="96"/>
        <v>2021</v>
      </c>
      <c r="B226" s="72" t="str">
        <f t="shared" si="97"/>
        <v>Nov</v>
      </c>
      <c r="C226" s="73">
        <f t="shared" si="115"/>
        <v>14</v>
      </c>
      <c r="D226" s="74">
        <f t="shared" si="98"/>
        <v>17</v>
      </c>
      <c r="E226" s="75">
        <f t="shared" si="99"/>
        <v>41</v>
      </c>
      <c r="F226" s="79"/>
      <c r="G226" s="82"/>
      <c r="H226" s="68" t="str">
        <f t="shared" si="116"/>
        <v>Hyprev7_20211114_17_00</v>
      </c>
      <c r="I226" s="69">
        <f t="shared" si="118"/>
        <v>1</v>
      </c>
      <c r="J226" s="76" t="str">
        <f t="shared" si="118"/>
        <v>Hypericum</v>
      </c>
      <c r="K226" s="76" t="str">
        <f t="shared" si="118"/>
        <v>revolutum</v>
      </c>
      <c r="L226" s="77">
        <f t="shared" si="118"/>
        <v>7</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v>
      </c>
      <c r="C227" s="73">
        <f t="shared" si="115"/>
        <v>14</v>
      </c>
      <c r="D227" s="74">
        <f t="shared" si="98"/>
        <v>17</v>
      </c>
      <c r="E227" s="75">
        <f t="shared" si="99"/>
        <v>42</v>
      </c>
      <c r="F227" s="79"/>
      <c r="G227" s="82"/>
      <c r="H227" s="68" t="str">
        <f t="shared" si="116"/>
        <v>Hyprev7_20211114_17_00</v>
      </c>
      <c r="I227" s="69">
        <f t="shared" si="118"/>
        <v>1</v>
      </c>
      <c r="J227" s="76" t="str">
        <f t="shared" si="118"/>
        <v>Hypericum</v>
      </c>
      <c r="K227" s="76" t="str">
        <f t="shared" si="118"/>
        <v>revolutum</v>
      </c>
      <c r="L227" s="77">
        <f t="shared" si="118"/>
        <v>7</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v>
      </c>
      <c r="C228" s="73">
        <f t="shared" si="115"/>
        <v>14</v>
      </c>
      <c r="D228" s="74">
        <f t="shared" si="98"/>
        <v>17</v>
      </c>
      <c r="E228" s="75">
        <f t="shared" si="99"/>
        <v>43</v>
      </c>
      <c r="F228" s="79"/>
      <c r="G228" s="82"/>
      <c r="H228" s="68" t="str">
        <f t="shared" si="116"/>
        <v>Hyprev7_20211114_17_00</v>
      </c>
      <c r="I228" s="69">
        <f t="shared" si="118"/>
        <v>1</v>
      </c>
      <c r="J228" s="76" t="str">
        <f t="shared" si="118"/>
        <v>Hypericum</v>
      </c>
      <c r="K228" s="76" t="str">
        <f t="shared" si="118"/>
        <v>revolutum</v>
      </c>
      <c r="L228" s="77">
        <f t="shared" si="118"/>
        <v>7</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v>
      </c>
      <c r="C229" s="73">
        <f t="shared" si="115"/>
        <v>14</v>
      </c>
      <c r="D229" s="74">
        <f t="shared" si="98"/>
        <v>17</v>
      </c>
      <c r="E229" s="75">
        <f t="shared" si="99"/>
        <v>44</v>
      </c>
      <c r="F229" s="79">
        <v>10</v>
      </c>
      <c r="G229" s="82"/>
      <c r="H229" s="68" t="str">
        <f t="shared" si="116"/>
        <v>Hyprev7_20211114_17_00</v>
      </c>
      <c r="I229" s="69">
        <f t="shared" ref="I229:N244" si="119">I228</f>
        <v>1</v>
      </c>
      <c r="J229" s="76" t="str">
        <f t="shared" si="119"/>
        <v>Hypericum</v>
      </c>
      <c r="K229" s="76" t="str">
        <f t="shared" si="119"/>
        <v>revolutum</v>
      </c>
      <c r="L229" s="77">
        <f t="shared" si="119"/>
        <v>7</v>
      </c>
      <c r="M229" s="77">
        <f t="shared" si="119"/>
        <v>2</v>
      </c>
      <c r="N229" s="71">
        <f t="shared" si="119"/>
        <v>0</v>
      </c>
      <c r="O229" s="44"/>
      <c r="P229" s="45">
        <f t="shared" si="100"/>
        <v>1</v>
      </c>
      <c r="Q229" s="46" t="str">
        <f t="shared" si="101"/>
        <v>17:44:10</v>
      </c>
      <c r="R229" s="47" t="str">
        <f t="shared" si="102"/>
        <v>44:10</v>
      </c>
      <c r="S229" s="48">
        <f t="shared" si="91"/>
        <v>69</v>
      </c>
      <c r="T229" s="47" t="str">
        <f t="shared" si="103"/>
        <v>17</v>
      </c>
      <c r="U229" s="49">
        <v>45</v>
      </c>
      <c r="V229" s="50">
        <v>19</v>
      </c>
      <c r="W229" s="51" t="str">
        <f t="shared" si="104"/>
        <v>45:19</v>
      </c>
      <c r="X229" s="52" t="s">
        <v>69</v>
      </c>
      <c r="Y229" s="124" t="s">
        <v>241</v>
      </c>
      <c r="Z229" s="124" t="s">
        <v>252</v>
      </c>
      <c r="AA229" s="47" t="s">
        <v>253</v>
      </c>
      <c r="AB229" s="47" t="str">
        <f t="shared" si="105"/>
        <v>NA</v>
      </c>
      <c r="AC229" s="53" t="str">
        <f t="shared" si="106"/>
        <v/>
      </c>
      <c r="AD229" s="54">
        <f t="shared" si="107"/>
        <v>1</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t="s">
        <v>108</v>
      </c>
      <c r="AT229" s="58"/>
      <c r="AU229" s="58"/>
      <c r="AV229" s="59"/>
      <c r="AW229" s="60">
        <f t="shared" si="92"/>
        <v>0</v>
      </c>
      <c r="AX229" s="61" t="str">
        <f t="shared" si="93"/>
        <v/>
      </c>
      <c r="AY229" s="60">
        <f t="shared" si="94"/>
        <v>0</v>
      </c>
      <c r="AZ229" s="61" t="str">
        <f t="shared" si="95"/>
        <v/>
      </c>
    </row>
    <row r="230" spans="1:52" s="3" customFormat="1" hidden="1" x14ac:dyDescent="0.35">
      <c r="A230" s="72">
        <f t="shared" si="96"/>
        <v>2021</v>
      </c>
      <c r="B230" s="72" t="str">
        <f t="shared" si="97"/>
        <v>Nov</v>
      </c>
      <c r="C230" s="73">
        <f t="shared" si="115"/>
        <v>14</v>
      </c>
      <c r="D230" s="74">
        <f t="shared" si="98"/>
        <v>17</v>
      </c>
      <c r="E230" s="75">
        <f t="shared" si="99"/>
        <v>45</v>
      </c>
      <c r="F230" s="79"/>
      <c r="G230" s="82"/>
      <c r="H230" s="68" t="str">
        <f t="shared" si="116"/>
        <v>Hyprev7_20211114_17_00</v>
      </c>
      <c r="I230" s="69">
        <f t="shared" si="119"/>
        <v>1</v>
      </c>
      <c r="J230" s="76" t="str">
        <f t="shared" si="119"/>
        <v>Hypericum</v>
      </c>
      <c r="K230" s="76" t="str">
        <f t="shared" si="119"/>
        <v>revolutum</v>
      </c>
      <c r="L230" s="77">
        <f t="shared" si="119"/>
        <v>7</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v>
      </c>
      <c r="C231" s="73">
        <f t="shared" si="115"/>
        <v>14</v>
      </c>
      <c r="D231" s="74">
        <f t="shared" si="98"/>
        <v>17</v>
      </c>
      <c r="E231" s="75">
        <f t="shared" si="99"/>
        <v>46</v>
      </c>
      <c r="F231" s="79"/>
      <c r="G231" s="82"/>
      <c r="H231" s="68" t="str">
        <f t="shared" si="116"/>
        <v>Hyprev7_20211114_17_00</v>
      </c>
      <c r="I231" s="69">
        <f t="shared" si="119"/>
        <v>1</v>
      </c>
      <c r="J231" s="76" t="str">
        <f t="shared" si="119"/>
        <v>Hypericum</v>
      </c>
      <c r="K231" s="76" t="str">
        <f t="shared" si="119"/>
        <v>revolutum</v>
      </c>
      <c r="L231" s="77">
        <f t="shared" si="119"/>
        <v>7</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2021</v>
      </c>
      <c r="B232" s="72" t="str">
        <f t="shared" si="97"/>
        <v>Nov</v>
      </c>
      <c r="C232" s="73">
        <f t="shared" si="115"/>
        <v>14</v>
      </c>
      <c r="D232" s="74">
        <f t="shared" si="98"/>
        <v>17</v>
      </c>
      <c r="E232" s="75">
        <f t="shared" si="99"/>
        <v>47</v>
      </c>
      <c r="F232" s="79"/>
      <c r="G232" s="82"/>
      <c r="H232" s="68" t="str">
        <f t="shared" si="116"/>
        <v>Hyprev7_20211114_17_00</v>
      </c>
      <c r="I232" s="69">
        <f t="shared" si="119"/>
        <v>1</v>
      </c>
      <c r="J232" s="76" t="str">
        <f t="shared" si="119"/>
        <v>Hypericum</v>
      </c>
      <c r="K232" s="76" t="str">
        <f t="shared" si="119"/>
        <v>revolutum</v>
      </c>
      <c r="L232" s="77">
        <f t="shared" si="119"/>
        <v>7</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2021</v>
      </c>
      <c r="B233" s="72" t="str">
        <f t="shared" si="97"/>
        <v>Nov</v>
      </c>
      <c r="C233" s="73">
        <f t="shared" si="115"/>
        <v>14</v>
      </c>
      <c r="D233" s="74">
        <f t="shared" si="98"/>
        <v>17</v>
      </c>
      <c r="E233" s="75">
        <f t="shared" si="99"/>
        <v>48</v>
      </c>
      <c r="F233" s="79"/>
      <c r="G233" s="82"/>
      <c r="H233" s="68" t="str">
        <f t="shared" si="116"/>
        <v>Hyprev7_20211114_17_00</v>
      </c>
      <c r="I233" s="69">
        <f t="shared" si="119"/>
        <v>1</v>
      </c>
      <c r="J233" s="76" t="str">
        <f t="shared" si="119"/>
        <v>Hypericum</v>
      </c>
      <c r="K233" s="76" t="str">
        <f t="shared" si="119"/>
        <v>revolutum</v>
      </c>
      <c r="L233" s="77">
        <f t="shared" si="119"/>
        <v>7</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2021</v>
      </c>
      <c r="B234" s="72" t="str">
        <f t="shared" si="97"/>
        <v>Nov</v>
      </c>
      <c r="C234" s="73">
        <f t="shared" si="115"/>
        <v>14</v>
      </c>
      <c r="D234" s="74">
        <f t="shared" si="98"/>
        <v>17</v>
      </c>
      <c r="E234" s="75">
        <f t="shared" si="99"/>
        <v>49</v>
      </c>
      <c r="F234" s="79"/>
      <c r="G234" s="82"/>
      <c r="H234" s="68" t="str">
        <f t="shared" si="116"/>
        <v>Hyprev7_20211114_17_00</v>
      </c>
      <c r="I234" s="69">
        <f t="shared" si="119"/>
        <v>1</v>
      </c>
      <c r="J234" s="76" t="str">
        <f t="shared" si="119"/>
        <v>Hypericum</v>
      </c>
      <c r="K234" s="76" t="str">
        <f t="shared" si="119"/>
        <v>revolutum</v>
      </c>
      <c r="L234" s="77">
        <f t="shared" si="119"/>
        <v>7</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2021</v>
      </c>
      <c r="B235" s="72" t="str">
        <f t="shared" si="97"/>
        <v>Nov</v>
      </c>
      <c r="C235" s="73">
        <f t="shared" si="115"/>
        <v>14</v>
      </c>
      <c r="D235" s="74">
        <f t="shared" si="98"/>
        <v>17</v>
      </c>
      <c r="E235" s="75">
        <f t="shared" si="99"/>
        <v>50</v>
      </c>
      <c r="F235" s="79"/>
      <c r="G235" s="82"/>
      <c r="H235" s="68" t="str">
        <f t="shared" si="116"/>
        <v>Hyprev7_20211114_17_00</v>
      </c>
      <c r="I235" s="69">
        <f t="shared" si="119"/>
        <v>1</v>
      </c>
      <c r="J235" s="76" t="str">
        <f t="shared" si="119"/>
        <v>Hypericum</v>
      </c>
      <c r="K235" s="76" t="str">
        <f t="shared" si="119"/>
        <v>revolutum</v>
      </c>
      <c r="L235" s="77">
        <f t="shared" si="119"/>
        <v>7</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v>
      </c>
      <c r="C236" s="73">
        <f t="shared" si="115"/>
        <v>14</v>
      </c>
      <c r="D236" s="74">
        <f t="shared" si="98"/>
        <v>17</v>
      </c>
      <c r="E236" s="75">
        <f t="shared" si="99"/>
        <v>51</v>
      </c>
      <c r="F236" s="79"/>
      <c r="G236" s="82"/>
      <c r="H236" s="68" t="str">
        <f t="shared" si="116"/>
        <v>Hyprev7_20211114_17_00</v>
      </c>
      <c r="I236" s="69">
        <f t="shared" si="119"/>
        <v>1</v>
      </c>
      <c r="J236" s="76" t="str">
        <f t="shared" si="119"/>
        <v>Hypericum</v>
      </c>
      <c r="K236" s="76" t="str">
        <f t="shared" si="119"/>
        <v>revolutum</v>
      </c>
      <c r="L236" s="77">
        <f t="shared" si="119"/>
        <v>7</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2021</v>
      </c>
      <c r="B237" s="72" t="str">
        <f t="shared" si="97"/>
        <v>Nov</v>
      </c>
      <c r="C237" s="73">
        <f t="shared" si="115"/>
        <v>14</v>
      </c>
      <c r="D237" s="74">
        <f t="shared" si="98"/>
        <v>17</v>
      </c>
      <c r="E237" s="75">
        <f t="shared" si="99"/>
        <v>52</v>
      </c>
      <c r="F237" s="79"/>
      <c r="G237" s="82"/>
      <c r="H237" s="68" t="str">
        <f t="shared" si="116"/>
        <v>Hyprev7_20211114_17_00</v>
      </c>
      <c r="I237" s="69">
        <f t="shared" si="119"/>
        <v>1</v>
      </c>
      <c r="J237" s="76" t="str">
        <f t="shared" si="119"/>
        <v>Hypericum</v>
      </c>
      <c r="K237" s="76" t="str">
        <f t="shared" si="119"/>
        <v>revolutum</v>
      </c>
      <c r="L237" s="77">
        <f t="shared" si="119"/>
        <v>7</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2021</v>
      </c>
      <c r="B238" s="72" t="str">
        <f t="shared" si="97"/>
        <v>Nov</v>
      </c>
      <c r="C238" s="73">
        <f t="shared" si="115"/>
        <v>14</v>
      </c>
      <c r="D238" s="74">
        <f t="shared" si="98"/>
        <v>17</v>
      </c>
      <c r="E238" s="75">
        <f t="shared" si="99"/>
        <v>53</v>
      </c>
      <c r="F238" s="79"/>
      <c r="G238" s="82"/>
      <c r="H238" s="68" t="str">
        <f t="shared" si="116"/>
        <v>Hyprev7_20211114_17_00</v>
      </c>
      <c r="I238" s="69">
        <f t="shared" si="119"/>
        <v>1</v>
      </c>
      <c r="J238" s="76" t="str">
        <f t="shared" si="119"/>
        <v>Hypericum</v>
      </c>
      <c r="K238" s="76" t="str">
        <f t="shared" si="119"/>
        <v>revolutum</v>
      </c>
      <c r="L238" s="77">
        <f t="shared" si="119"/>
        <v>7</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2021</v>
      </c>
      <c r="B239" s="72" t="str">
        <f t="shared" si="97"/>
        <v>Nov</v>
      </c>
      <c r="C239" s="73">
        <f t="shared" si="115"/>
        <v>14</v>
      </c>
      <c r="D239" s="74">
        <f t="shared" si="98"/>
        <v>17</v>
      </c>
      <c r="E239" s="75">
        <f t="shared" si="99"/>
        <v>54</v>
      </c>
      <c r="F239" s="79"/>
      <c r="G239" s="82"/>
      <c r="H239" s="68" t="str">
        <f t="shared" si="116"/>
        <v>Hyprev7_20211114_17_00</v>
      </c>
      <c r="I239" s="69">
        <f t="shared" si="119"/>
        <v>1</v>
      </c>
      <c r="J239" s="76" t="str">
        <f t="shared" si="119"/>
        <v>Hypericum</v>
      </c>
      <c r="K239" s="76" t="str">
        <f t="shared" si="119"/>
        <v>revolutum</v>
      </c>
      <c r="L239" s="77">
        <f t="shared" si="119"/>
        <v>7</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v>
      </c>
      <c r="C240" s="73">
        <f t="shared" si="115"/>
        <v>14</v>
      </c>
      <c r="D240" s="74">
        <f t="shared" si="98"/>
        <v>17</v>
      </c>
      <c r="E240" s="75">
        <f t="shared" si="99"/>
        <v>55</v>
      </c>
      <c r="F240" s="79"/>
      <c r="G240" s="82"/>
      <c r="H240" s="68" t="str">
        <f t="shared" si="116"/>
        <v>Hyprev7_20211114_17_00</v>
      </c>
      <c r="I240" s="69">
        <f t="shared" si="119"/>
        <v>1</v>
      </c>
      <c r="J240" s="76" t="str">
        <f t="shared" si="119"/>
        <v>Hypericum</v>
      </c>
      <c r="K240" s="76" t="str">
        <f t="shared" si="119"/>
        <v>revolutum</v>
      </c>
      <c r="L240" s="77">
        <f t="shared" si="119"/>
        <v>7</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v>
      </c>
      <c r="C241" s="73">
        <f t="shared" si="115"/>
        <v>14</v>
      </c>
      <c r="D241" s="74">
        <f t="shared" si="98"/>
        <v>17</v>
      </c>
      <c r="E241" s="75">
        <f t="shared" si="99"/>
        <v>56</v>
      </c>
      <c r="F241" s="79"/>
      <c r="G241" s="82"/>
      <c r="H241" s="68" t="str">
        <f t="shared" si="116"/>
        <v>Hyprev7_20211114_17_00</v>
      </c>
      <c r="I241" s="69">
        <f t="shared" si="119"/>
        <v>1</v>
      </c>
      <c r="J241" s="76" t="str">
        <f t="shared" si="119"/>
        <v>Hypericum</v>
      </c>
      <c r="K241" s="76" t="str">
        <f t="shared" si="119"/>
        <v>revolutum</v>
      </c>
      <c r="L241" s="77">
        <f t="shared" si="119"/>
        <v>7</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v>
      </c>
      <c r="C242" s="73">
        <f t="shared" si="115"/>
        <v>14</v>
      </c>
      <c r="D242" s="74">
        <f t="shared" si="98"/>
        <v>17</v>
      </c>
      <c r="E242" s="75">
        <f t="shared" si="99"/>
        <v>57</v>
      </c>
      <c r="F242" s="79"/>
      <c r="G242" s="82"/>
      <c r="H242" s="68" t="str">
        <f t="shared" si="116"/>
        <v>Hyprev7_20211114_17_00</v>
      </c>
      <c r="I242" s="69">
        <f t="shared" si="119"/>
        <v>1</v>
      </c>
      <c r="J242" s="76" t="str">
        <f t="shared" si="119"/>
        <v>Hypericum</v>
      </c>
      <c r="K242" s="76" t="str">
        <f t="shared" si="119"/>
        <v>revolutum</v>
      </c>
      <c r="L242" s="77">
        <f t="shared" si="119"/>
        <v>7</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v>
      </c>
      <c r="C243" s="73">
        <f t="shared" si="115"/>
        <v>14</v>
      </c>
      <c r="D243" s="74">
        <f t="shared" si="98"/>
        <v>17</v>
      </c>
      <c r="E243" s="75">
        <f t="shared" si="99"/>
        <v>58</v>
      </c>
      <c r="F243" s="79"/>
      <c r="G243" s="82"/>
      <c r="H243" s="68" t="str">
        <f t="shared" si="116"/>
        <v>Hyprev7_20211114_17_00</v>
      </c>
      <c r="I243" s="69">
        <f t="shared" si="119"/>
        <v>1</v>
      </c>
      <c r="J243" s="76" t="str">
        <f t="shared" si="119"/>
        <v>Hypericum</v>
      </c>
      <c r="K243" s="76" t="str">
        <f t="shared" si="119"/>
        <v>revolutum</v>
      </c>
      <c r="L243" s="77">
        <f t="shared" si="119"/>
        <v>7</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v>
      </c>
      <c r="C244" s="73">
        <f t="shared" si="115"/>
        <v>14</v>
      </c>
      <c r="D244" s="74">
        <f t="shared" si="98"/>
        <v>17</v>
      </c>
      <c r="E244" s="75">
        <f t="shared" si="99"/>
        <v>59</v>
      </c>
      <c r="F244" s="79"/>
      <c r="G244" s="82"/>
      <c r="H244" s="68" t="str">
        <f t="shared" si="116"/>
        <v>Hyprev7_20211114_17_00</v>
      </c>
      <c r="I244" s="69">
        <f t="shared" si="119"/>
        <v>1</v>
      </c>
      <c r="J244" s="76" t="str">
        <f t="shared" si="119"/>
        <v>Hypericum</v>
      </c>
      <c r="K244" s="76" t="str">
        <f t="shared" si="119"/>
        <v>revolutum</v>
      </c>
      <c r="L244" s="77">
        <f t="shared" si="119"/>
        <v>7</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v>
      </c>
      <c r="C245" s="73">
        <f t="shared" si="115"/>
        <v>14</v>
      </c>
      <c r="D245" s="74">
        <f t="shared" si="98"/>
        <v>18</v>
      </c>
      <c r="E245" s="75">
        <f t="shared" si="99"/>
        <v>0</v>
      </c>
      <c r="F245" s="79"/>
      <c r="G245" s="82"/>
      <c r="H245" s="68" t="str">
        <f t="shared" si="116"/>
        <v>Hyprev7_20211114_18_00</v>
      </c>
      <c r="I245" s="69">
        <f t="shared" ref="I245:N260" si="120">I244</f>
        <v>1</v>
      </c>
      <c r="J245" s="76" t="str">
        <f t="shared" si="120"/>
        <v>Hypericum</v>
      </c>
      <c r="K245" s="76" t="str">
        <f t="shared" si="120"/>
        <v>revolutum</v>
      </c>
      <c r="L245" s="77">
        <f t="shared" si="120"/>
        <v>7</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2021</v>
      </c>
      <c r="B246" s="72" t="str">
        <f t="shared" si="97"/>
        <v>Nov</v>
      </c>
      <c r="C246" s="73">
        <f t="shared" si="115"/>
        <v>14</v>
      </c>
      <c r="D246" s="74">
        <f t="shared" si="98"/>
        <v>18</v>
      </c>
      <c r="E246" s="75">
        <f t="shared" si="99"/>
        <v>1</v>
      </c>
      <c r="F246" s="79"/>
      <c r="G246" s="82"/>
      <c r="H246" s="68" t="str">
        <f t="shared" si="116"/>
        <v>Hyprev7_20211114_18_00</v>
      </c>
      <c r="I246" s="69">
        <f t="shared" si="120"/>
        <v>1</v>
      </c>
      <c r="J246" s="76" t="str">
        <f t="shared" si="120"/>
        <v>Hypericum</v>
      </c>
      <c r="K246" s="76" t="str">
        <f t="shared" si="120"/>
        <v>revolutum</v>
      </c>
      <c r="L246" s="77">
        <f t="shared" si="120"/>
        <v>7</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2021</v>
      </c>
      <c r="B247" s="72" t="str">
        <f t="shared" si="97"/>
        <v>Nov</v>
      </c>
      <c r="C247" s="73">
        <f t="shared" si="115"/>
        <v>14</v>
      </c>
      <c r="D247" s="74">
        <f t="shared" si="98"/>
        <v>18</v>
      </c>
      <c r="E247" s="75">
        <f t="shared" si="99"/>
        <v>2</v>
      </c>
      <c r="F247" s="79"/>
      <c r="G247" s="82"/>
      <c r="H247" s="68" t="str">
        <f t="shared" si="116"/>
        <v>Hyprev7_20211114_18_00</v>
      </c>
      <c r="I247" s="69">
        <f t="shared" si="120"/>
        <v>1</v>
      </c>
      <c r="J247" s="76" t="str">
        <f t="shared" si="120"/>
        <v>Hypericum</v>
      </c>
      <c r="K247" s="76" t="str">
        <f t="shared" si="120"/>
        <v>revolutum</v>
      </c>
      <c r="L247" s="77">
        <f t="shared" si="120"/>
        <v>7</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v>
      </c>
      <c r="C248" s="73">
        <f t="shared" si="115"/>
        <v>14</v>
      </c>
      <c r="D248" s="74">
        <f t="shared" si="98"/>
        <v>18</v>
      </c>
      <c r="E248" s="75">
        <f t="shared" si="99"/>
        <v>3</v>
      </c>
      <c r="F248" s="79"/>
      <c r="G248" s="82"/>
      <c r="H248" s="68" t="str">
        <f t="shared" si="116"/>
        <v>Hyprev7_20211114_18_00</v>
      </c>
      <c r="I248" s="69">
        <f t="shared" si="120"/>
        <v>1</v>
      </c>
      <c r="J248" s="76" t="str">
        <f t="shared" si="120"/>
        <v>Hypericum</v>
      </c>
      <c r="K248" s="76" t="str">
        <f t="shared" si="120"/>
        <v>revolutum</v>
      </c>
      <c r="L248" s="77">
        <f t="shared" si="120"/>
        <v>7</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v>
      </c>
      <c r="C249" s="73">
        <f t="shared" si="115"/>
        <v>14</v>
      </c>
      <c r="D249" s="74">
        <f t="shared" si="98"/>
        <v>18</v>
      </c>
      <c r="E249" s="75">
        <f t="shared" si="99"/>
        <v>4</v>
      </c>
      <c r="F249" s="79"/>
      <c r="G249" s="82"/>
      <c r="H249" s="68" t="str">
        <f t="shared" si="116"/>
        <v>Hyprev7_20211114_18_00</v>
      </c>
      <c r="I249" s="69">
        <f t="shared" si="120"/>
        <v>1</v>
      </c>
      <c r="J249" s="76" t="str">
        <f t="shared" si="120"/>
        <v>Hypericum</v>
      </c>
      <c r="K249" s="76" t="str">
        <f t="shared" si="120"/>
        <v>revolutum</v>
      </c>
      <c r="L249" s="77">
        <f t="shared" si="120"/>
        <v>7</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v>
      </c>
      <c r="C250" s="73">
        <f t="shared" si="115"/>
        <v>14</v>
      </c>
      <c r="D250" s="74">
        <f t="shared" si="98"/>
        <v>18</v>
      </c>
      <c r="E250" s="75">
        <f t="shared" si="99"/>
        <v>5</v>
      </c>
      <c r="F250" s="79"/>
      <c r="G250" s="82"/>
      <c r="H250" s="68" t="str">
        <f t="shared" si="116"/>
        <v>Hyprev7_20211114_18_00</v>
      </c>
      <c r="I250" s="69">
        <f t="shared" si="120"/>
        <v>1</v>
      </c>
      <c r="J250" s="76" t="str">
        <f t="shared" si="120"/>
        <v>Hypericum</v>
      </c>
      <c r="K250" s="76" t="str">
        <f t="shared" si="120"/>
        <v>revolutum</v>
      </c>
      <c r="L250" s="77">
        <f t="shared" si="120"/>
        <v>7</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v>
      </c>
      <c r="C251" s="73">
        <f t="shared" si="115"/>
        <v>14</v>
      </c>
      <c r="D251" s="74">
        <f t="shared" si="98"/>
        <v>18</v>
      </c>
      <c r="E251" s="75">
        <f t="shared" si="99"/>
        <v>6</v>
      </c>
      <c r="F251" s="79"/>
      <c r="G251" s="82"/>
      <c r="H251" s="68" t="str">
        <f t="shared" si="116"/>
        <v>Hyprev7_20211114_18_00</v>
      </c>
      <c r="I251" s="69">
        <f t="shared" si="120"/>
        <v>1</v>
      </c>
      <c r="J251" s="76" t="str">
        <f t="shared" si="120"/>
        <v>Hypericum</v>
      </c>
      <c r="K251" s="76" t="str">
        <f t="shared" si="120"/>
        <v>revolutum</v>
      </c>
      <c r="L251" s="77">
        <f t="shared" si="120"/>
        <v>7</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v>
      </c>
      <c r="C252" s="73">
        <f t="shared" si="115"/>
        <v>14</v>
      </c>
      <c r="D252" s="74">
        <f t="shared" si="98"/>
        <v>18</v>
      </c>
      <c r="E252" s="75">
        <f t="shared" si="99"/>
        <v>7</v>
      </c>
      <c r="F252" s="79"/>
      <c r="G252" s="82"/>
      <c r="H252" s="68" t="str">
        <f t="shared" si="116"/>
        <v>Hyprev7_20211114_18_00</v>
      </c>
      <c r="I252" s="69">
        <f t="shared" si="120"/>
        <v>1</v>
      </c>
      <c r="J252" s="76" t="str">
        <f t="shared" si="120"/>
        <v>Hypericum</v>
      </c>
      <c r="K252" s="76" t="str">
        <f t="shared" si="120"/>
        <v>revolutum</v>
      </c>
      <c r="L252" s="77">
        <f t="shared" si="120"/>
        <v>7</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2021</v>
      </c>
      <c r="B253" s="72" t="str">
        <f t="shared" si="97"/>
        <v>Nov</v>
      </c>
      <c r="C253" s="73">
        <f t="shared" si="115"/>
        <v>14</v>
      </c>
      <c r="D253" s="74">
        <f t="shared" si="98"/>
        <v>18</v>
      </c>
      <c r="E253" s="75">
        <f t="shared" si="99"/>
        <v>8</v>
      </c>
      <c r="F253" s="79"/>
      <c r="G253" s="82"/>
      <c r="H253" s="68" t="str">
        <f t="shared" si="116"/>
        <v>Hyprev7_20211114_18_00</v>
      </c>
      <c r="I253" s="69">
        <f t="shared" si="120"/>
        <v>1</v>
      </c>
      <c r="J253" s="76" t="str">
        <f t="shared" si="120"/>
        <v>Hypericum</v>
      </c>
      <c r="K253" s="76" t="str">
        <f t="shared" si="120"/>
        <v>revolutum</v>
      </c>
      <c r="L253" s="77">
        <f t="shared" si="120"/>
        <v>7</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2021</v>
      </c>
      <c r="B254" s="72" t="str">
        <f t="shared" si="97"/>
        <v>Nov</v>
      </c>
      <c r="C254" s="73">
        <f t="shared" si="115"/>
        <v>14</v>
      </c>
      <c r="D254" s="74">
        <f t="shared" si="98"/>
        <v>18</v>
      </c>
      <c r="E254" s="75">
        <f t="shared" si="99"/>
        <v>9</v>
      </c>
      <c r="F254" s="79"/>
      <c r="G254" s="82"/>
      <c r="H254" s="68" t="str">
        <f t="shared" si="116"/>
        <v>Hyprev7_20211114_18_00</v>
      </c>
      <c r="I254" s="69">
        <f t="shared" si="120"/>
        <v>1</v>
      </c>
      <c r="J254" s="76" t="str">
        <f t="shared" si="120"/>
        <v>Hypericum</v>
      </c>
      <c r="K254" s="76" t="str">
        <f t="shared" si="120"/>
        <v>revolutum</v>
      </c>
      <c r="L254" s="77">
        <f t="shared" si="120"/>
        <v>7</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v>
      </c>
      <c r="C255" s="73">
        <f t="shared" si="115"/>
        <v>14</v>
      </c>
      <c r="D255" s="74">
        <f t="shared" si="98"/>
        <v>18</v>
      </c>
      <c r="E255" s="75">
        <f t="shared" si="99"/>
        <v>10</v>
      </c>
      <c r="F255" s="79"/>
      <c r="G255" s="82"/>
      <c r="H255" s="68" t="str">
        <f t="shared" si="116"/>
        <v>Hyprev7_20211114_18_00</v>
      </c>
      <c r="I255" s="69">
        <f t="shared" si="120"/>
        <v>1</v>
      </c>
      <c r="J255" s="76" t="str">
        <f t="shared" si="120"/>
        <v>Hypericum</v>
      </c>
      <c r="K255" s="76" t="str">
        <f t="shared" si="120"/>
        <v>revolutum</v>
      </c>
      <c r="L255" s="77">
        <f t="shared" si="120"/>
        <v>7</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v>
      </c>
      <c r="C256" s="73">
        <f t="shared" si="115"/>
        <v>14</v>
      </c>
      <c r="D256" s="74">
        <f t="shared" si="98"/>
        <v>18</v>
      </c>
      <c r="E256" s="75">
        <f t="shared" si="99"/>
        <v>11</v>
      </c>
      <c r="F256" s="79"/>
      <c r="G256" s="82"/>
      <c r="H256" s="68" t="str">
        <f t="shared" si="116"/>
        <v>Hyprev7_20211114_18_00</v>
      </c>
      <c r="I256" s="69">
        <f t="shared" si="120"/>
        <v>1</v>
      </c>
      <c r="J256" s="76" t="str">
        <f t="shared" si="120"/>
        <v>Hypericum</v>
      </c>
      <c r="K256" s="76" t="str">
        <f t="shared" si="120"/>
        <v>revolutum</v>
      </c>
      <c r="L256" s="77">
        <f t="shared" si="120"/>
        <v>7</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v>
      </c>
      <c r="C257" s="73">
        <f t="shared" si="115"/>
        <v>14</v>
      </c>
      <c r="D257" s="74">
        <f t="shared" si="98"/>
        <v>18</v>
      </c>
      <c r="E257" s="75">
        <f t="shared" si="99"/>
        <v>12</v>
      </c>
      <c r="F257" s="79"/>
      <c r="G257" s="82"/>
      <c r="H257" s="68" t="str">
        <f t="shared" si="116"/>
        <v>Hyprev7_20211114_18_00</v>
      </c>
      <c r="I257" s="69">
        <f t="shared" si="120"/>
        <v>1</v>
      </c>
      <c r="J257" s="76" t="str">
        <f t="shared" si="120"/>
        <v>Hypericum</v>
      </c>
      <c r="K257" s="76" t="str">
        <f t="shared" si="120"/>
        <v>revolutum</v>
      </c>
      <c r="L257" s="77">
        <f t="shared" si="120"/>
        <v>7</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v>
      </c>
      <c r="C258" s="73">
        <f t="shared" si="115"/>
        <v>14</v>
      </c>
      <c r="D258" s="74">
        <f t="shared" si="98"/>
        <v>18</v>
      </c>
      <c r="E258" s="75">
        <f t="shared" si="99"/>
        <v>13</v>
      </c>
      <c r="F258" s="79"/>
      <c r="G258" s="82"/>
      <c r="H258" s="68" t="str">
        <f t="shared" si="116"/>
        <v>Hyprev7_20211114_18_00</v>
      </c>
      <c r="I258" s="69">
        <f t="shared" si="120"/>
        <v>1</v>
      </c>
      <c r="J258" s="76" t="str">
        <f t="shared" si="120"/>
        <v>Hypericum</v>
      </c>
      <c r="K258" s="76" t="str">
        <f t="shared" si="120"/>
        <v>revolutum</v>
      </c>
      <c r="L258" s="77">
        <f t="shared" si="120"/>
        <v>7</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v>
      </c>
      <c r="C259" s="73">
        <f t="shared" si="115"/>
        <v>14</v>
      </c>
      <c r="D259" s="74">
        <f t="shared" si="98"/>
        <v>18</v>
      </c>
      <c r="E259" s="75">
        <f t="shared" si="99"/>
        <v>14</v>
      </c>
      <c r="F259" s="79"/>
      <c r="G259" s="82"/>
      <c r="H259" s="68" t="str">
        <f t="shared" si="116"/>
        <v>Hyprev7_20211114_18_00</v>
      </c>
      <c r="I259" s="69">
        <f t="shared" si="120"/>
        <v>1</v>
      </c>
      <c r="J259" s="76" t="str">
        <f t="shared" si="120"/>
        <v>Hypericum</v>
      </c>
      <c r="K259" s="76" t="str">
        <f t="shared" si="120"/>
        <v>revolutum</v>
      </c>
      <c r="L259" s="77">
        <f t="shared" si="120"/>
        <v>7</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v>
      </c>
      <c r="C260" s="73">
        <f t="shared" si="115"/>
        <v>14</v>
      </c>
      <c r="D260" s="74">
        <f t="shared" ref="D260:D323" si="128">IF(IF(E259=59,D259+1,D259)=24,0,IF(E259=59,D259+1,D259))</f>
        <v>18</v>
      </c>
      <c r="E260" s="75">
        <f t="shared" ref="E260:E323" si="129">IF(E259&lt;59,E259+1,0)</f>
        <v>15</v>
      </c>
      <c r="F260" s="79"/>
      <c r="G260" s="82"/>
      <c r="H260" s="68" t="str">
        <f t="shared" si="116"/>
        <v>Hyprev7_20211114_18_00</v>
      </c>
      <c r="I260" s="69">
        <f t="shared" si="120"/>
        <v>1</v>
      </c>
      <c r="J260" s="76" t="str">
        <f t="shared" si="120"/>
        <v>Hypericum</v>
      </c>
      <c r="K260" s="76" t="str">
        <f t="shared" si="120"/>
        <v>revolutum</v>
      </c>
      <c r="L260" s="77">
        <f t="shared" si="120"/>
        <v>7</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v>
      </c>
      <c r="C261" s="73">
        <f t="shared" ref="C261:C324" si="145">IF(AND(D261=0, E261=0), IF(TEXT(C260,"dd")=TEXT(EOMONTH(DATE(A260,MONTH(DATEVALUE(B260&amp;"1")),C260),0), "dd"), 1, C260+1), C260)</f>
        <v>14</v>
      </c>
      <c r="D261" s="74">
        <f t="shared" si="128"/>
        <v>18</v>
      </c>
      <c r="E261" s="75">
        <f t="shared" si="129"/>
        <v>16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Hyprev7_20211114_18_00</v>
      </c>
      <c r="I261" s="69">
        <f t="shared" ref="I261:N276" si="147">I260</f>
        <v>1</v>
      </c>
      <c r="J261" s="76" t="str">
        <f t="shared" si="147"/>
        <v>Hypericum</v>
      </c>
      <c r="K261" s="76" t="str">
        <f t="shared" si="147"/>
        <v>revolutum</v>
      </c>
      <c r="L261" s="77">
        <f t="shared" si="147"/>
        <v>7</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v>
      </c>
      <c r="C262" s="73">
        <f t="shared" si="145"/>
        <v>14</v>
      </c>
      <c r="D262" s="74">
        <f t="shared" si="128"/>
        <v>18</v>
      </c>
      <c r="E262" s="75">
        <f t="shared" si="129"/>
        <v>17</v>
      </c>
      <c r="F262" s="79"/>
      <c r="G262" s="82"/>
      <c r="H262" s="68" t="str">
        <f t="shared" si="146"/>
        <v>Hyprev7_20211114_18_00</v>
      </c>
      <c r="I262" s="69">
        <f t="shared" si="147"/>
        <v>1</v>
      </c>
      <c r="J262" s="76" t="str">
        <f t="shared" si="147"/>
        <v>Hypericum</v>
      </c>
      <c r="K262" s="76" t="str">
        <f t="shared" si="147"/>
        <v>revolutum</v>
      </c>
      <c r="L262" s="77">
        <f t="shared" si="147"/>
        <v>7</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v>
      </c>
      <c r="C263" s="73">
        <f t="shared" si="145"/>
        <v>14</v>
      </c>
      <c r="D263" s="74">
        <f t="shared" si="128"/>
        <v>18</v>
      </c>
      <c r="E263" s="75">
        <f t="shared" si="129"/>
        <v>18</v>
      </c>
      <c r="F263" s="79"/>
      <c r="G263" s="82"/>
      <c r="H263" s="68" t="str">
        <f t="shared" si="146"/>
        <v>Hyprev7_20211114_18_00</v>
      </c>
      <c r="I263" s="69">
        <f t="shared" si="147"/>
        <v>1</v>
      </c>
      <c r="J263" s="76" t="str">
        <f t="shared" si="147"/>
        <v>Hypericum</v>
      </c>
      <c r="K263" s="76" t="str">
        <f t="shared" si="147"/>
        <v>revolutum</v>
      </c>
      <c r="L263" s="77">
        <f t="shared" si="147"/>
        <v>7</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v>
      </c>
      <c r="C264" s="73">
        <f t="shared" si="145"/>
        <v>14</v>
      </c>
      <c r="D264" s="74">
        <f t="shared" si="128"/>
        <v>18</v>
      </c>
      <c r="E264" s="75">
        <f t="shared" si="129"/>
        <v>19</v>
      </c>
      <c r="F264" s="79"/>
      <c r="G264" s="82"/>
      <c r="H264" s="68" t="str">
        <f t="shared" si="146"/>
        <v>Hyprev7_20211114_18_00</v>
      </c>
      <c r="I264" s="69">
        <f t="shared" si="147"/>
        <v>1</v>
      </c>
      <c r="J264" s="76" t="str">
        <f t="shared" si="147"/>
        <v>Hypericum</v>
      </c>
      <c r="K264" s="76" t="str">
        <f t="shared" si="147"/>
        <v>revolutum</v>
      </c>
      <c r="L264" s="77">
        <f t="shared" si="147"/>
        <v>7</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v>
      </c>
      <c r="C265" s="73">
        <f t="shared" si="145"/>
        <v>14</v>
      </c>
      <c r="D265" s="74">
        <f t="shared" si="128"/>
        <v>18</v>
      </c>
      <c r="E265" s="75">
        <f t="shared" si="129"/>
        <v>20</v>
      </c>
      <c r="F265" s="79"/>
      <c r="G265" s="82"/>
      <c r="H265" s="68" t="str">
        <f t="shared" si="146"/>
        <v>Hyprev7_20211114_18_00</v>
      </c>
      <c r="I265" s="69">
        <f t="shared" si="147"/>
        <v>1</v>
      </c>
      <c r="J265" s="76" t="str">
        <f t="shared" si="147"/>
        <v>Hypericum</v>
      </c>
      <c r="K265" s="76" t="str">
        <f t="shared" si="147"/>
        <v>revolutum</v>
      </c>
      <c r="L265" s="77">
        <f t="shared" si="147"/>
        <v>7</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2021</v>
      </c>
      <c r="B266" s="72" t="str">
        <f t="shared" si="127"/>
        <v>Nov</v>
      </c>
      <c r="C266" s="73">
        <f t="shared" si="145"/>
        <v>14</v>
      </c>
      <c r="D266" s="74">
        <f t="shared" si="128"/>
        <v>18</v>
      </c>
      <c r="E266" s="75">
        <f t="shared" si="129"/>
        <v>21</v>
      </c>
      <c r="F266" s="79"/>
      <c r="G266" s="82"/>
      <c r="H266" s="68" t="str">
        <f t="shared" si="146"/>
        <v>Hyprev7_20211114_18_00</v>
      </c>
      <c r="I266" s="69">
        <f t="shared" si="147"/>
        <v>1</v>
      </c>
      <c r="J266" s="76" t="str">
        <f t="shared" si="147"/>
        <v>Hypericum</v>
      </c>
      <c r="K266" s="76" t="str">
        <f t="shared" si="147"/>
        <v>revolutum</v>
      </c>
      <c r="L266" s="77">
        <f t="shared" si="147"/>
        <v>7</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2021</v>
      </c>
      <c r="B267" s="72" t="str">
        <f t="shared" si="127"/>
        <v>Nov</v>
      </c>
      <c r="C267" s="73">
        <f t="shared" si="145"/>
        <v>14</v>
      </c>
      <c r="D267" s="74">
        <f t="shared" si="128"/>
        <v>18</v>
      </c>
      <c r="E267" s="75">
        <f t="shared" si="129"/>
        <v>22</v>
      </c>
      <c r="F267" s="79"/>
      <c r="G267" s="82"/>
      <c r="H267" s="68" t="str">
        <f t="shared" si="146"/>
        <v>Hyprev7_20211114_18_00</v>
      </c>
      <c r="I267" s="69">
        <f t="shared" si="147"/>
        <v>1</v>
      </c>
      <c r="J267" s="76" t="str">
        <f t="shared" si="147"/>
        <v>Hypericum</v>
      </c>
      <c r="K267" s="76" t="str">
        <f t="shared" si="147"/>
        <v>revolutum</v>
      </c>
      <c r="L267" s="77">
        <f t="shared" si="147"/>
        <v>7</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2021</v>
      </c>
      <c r="B268" s="72" t="str">
        <f t="shared" si="127"/>
        <v>Nov</v>
      </c>
      <c r="C268" s="73">
        <f t="shared" si="145"/>
        <v>14</v>
      </c>
      <c r="D268" s="74">
        <f t="shared" si="128"/>
        <v>18</v>
      </c>
      <c r="E268" s="75">
        <f t="shared" si="129"/>
        <v>23</v>
      </c>
      <c r="F268" s="79"/>
      <c r="G268" s="82"/>
      <c r="H268" s="68" t="str">
        <f t="shared" si="146"/>
        <v>Hyprev7_20211114_18_00</v>
      </c>
      <c r="I268" s="69">
        <f t="shared" si="147"/>
        <v>1</v>
      </c>
      <c r="J268" s="76" t="str">
        <f t="shared" si="147"/>
        <v>Hypericum</v>
      </c>
      <c r="K268" s="76" t="str">
        <f t="shared" si="147"/>
        <v>revolutum</v>
      </c>
      <c r="L268" s="77">
        <f t="shared" si="147"/>
        <v>7</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2021</v>
      </c>
      <c r="B269" s="72" t="str">
        <f t="shared" si="127"/>
        <v>Nov</v>
      </c>
      <c r="C269" s="73">
        <f t="shared" si="145"/>
        <v>14</v>
      </c>
      <c r="D269" s="74">
        <f t="shared" si="128"/>
        <v>18</v>
      </c>
      <c r="E269" s="75">
        <f t="shared" si="129"/>
        <v>24</v>
      </c>
      <c r="F269" s="79"/>
      <c r="G269" s="82"/>
      <c r="H269" s="68" t="str">
        <f t="shared" si="146"/>
        <v>Hyprev7_20211114_18_00</v>
      </c>
      <c r="I269" s="69">
        <f t="shared" si="147"/>
        <v>1</v>
      </c>
      <c r="J269" s="76" t="str">
        <f t="shared" si="147"/>
        <v>Hypericum</v>
      </c>
      <c r="K269" s="76" t="str">
        <f t="shared" si="147"/>
        <v>revolutum</v>
      </c>
      <c r="L269" s="77">
        <f t="shared" si="147"/>
        <v>7</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v>
      </c>
      <c r="C270" s="73">
        <f t="shared" si="145"/>
        <v>14</v>
      </c>
      <c r="D270" s="74">
        <f t="shared" si="128"/>
        <v>18</v>
      </c>
      <c r="E270" s="75">
        <f t="shared" si="129"/>
        <v>25</v>
      </c>
      <c r="F270" s="79"/>
      <c r="G270" s="82"/>
      <c r="H270" s="68" t="str">
        <f t="shared" si="146"/>
        <v>Hyprev7_20211114_18_00</v>
      </c>
      <c r="I270" s="69">
        <f t="shared" si="147"/>
        <v>1</v>
      </c>
      <c r="J270" s="76" t="str">
        <f t="shared" si="147"/>
        <v>Hypericum</v>
      </c>
      <c r="K270" s="76" t="str">
        <f t="shared" si="147"/>
        <v>revolutum</v>
      </c>
      <c r="L270" s="77">
        <f t="shared" si="147"/>
        <v>7</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v>
      </c>
      <c r="C271" s="73">
        <f t="shared" si="145"/>
        <v>14</v>
      </c>
      <c r="D271" s="74">
        <f t="shared" si="128"/>
        <v>18</v>
      </c>
      <c r="E271" s="75">
        <f t="shared" si="129"/>
        <v>26</v>
      </c>
      <c r="F271" s="79"/>
      <c r="G271" s="82"/>
      <c r="H271" s="68" t="str">
        <f t="shared" si="146"/>
        <v>Hyprev7_20211114_18_00</v>
      </c>
      <c r="I271" s="69">
        <f t="shared" si="147"/>
        <v>1</v>
      </c>
      <c r="J271" s="76" t="str">
        <f t="shared" si="147"/>
        <v>Hypericum</v>
      </c>
      <c r="K271" s="76" t="str">
        <f t="shared" si="147"/>
        <v>revolutum</v>
      </c>
      <c r="L271" s="77">
        <f t="shared" si="147"/>
        <v>7</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v>
      </c>
      <c r="C272" s="73">
        <f t="shared" si="145"/>
        <v>14</v>
      </c>
      <c r="D272" s="74">
        <f t="shared" si="128"/>
        <v>18</v>
      </c>
      <c r="E272" s="75">
        <f t="shared" si="129"/>
        <v>27</v>
      </c>
      <c r="F272" s="79"/>
      <c r="G272" s="82"/>
      <c r="H272" s="68" t="str">
        <f t="shared" si="146"/>
        <v>Hyprev7_20211114_18_00</v>
      </c>
      <c r="I272" s="69">
        <f t="shared" si="147"/>
        <v>1</v>
      </c>
      <c r="J272" s="76" t="str">
        <f t="shared" si="147"/>
        <v>Hypericum</v>
      </c>
      <c r="K272" s="76" t="str">
        <f t="shared" si="147"/>
        <v>revolutum</v>
      </c>
      <c r="L272" s="77">
        <f t="shared" si="147"/>
        <v>7</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v>
      </c>
      <c r="C273" s="73">
        <f t="shared" si="145"/>
        <v>14</v>
      </c>
      <c r="D273" s="74">
        <f t="shared" si="128"/>
        <v>18</v>
      </c>
      <c r="E273" s="75">
        <f t="shared" si="129"/>
        <v>28</v>
      </c>
      <c r="F273" s="79"/>
      <c r="G273" s="82"/>
      <c r="H273" s="68" t="str">
        <f t="shared" si="146"/>
        <v>Hyprev7_20211114_18_00</v>
      </c>
      <c r="I273" s="69">
        <f t="shared" si="147"/>
        <v>1</v>
      </c>
      <c r="J273" s="76" t="str">
        <f t="shared" si="147"/>
        <v>Hypericum</v>
      </c>
      <c r="K273" s="76" t="str">
        <f t="shared" si="147"/>
        <v>revolutum</v>
      </c>
      <c r="L273" s="77">
        <f t="shared" si="147"/>
        <v>7</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v>
      </c>
      <c r="C274" s="73">
        <f t="shared" si="145"/>
        <v>14</v>
      </c>
      <c r="D274" s="74">
        <f t="shared" si="128"/>
        <v>18</v>
      </c>
      <c r="E274" s="75">
        <f t="shared" si="129"/>
        <v>29</v>
      </c>
      <c r="F274" s="79"/>
      <c r="G274" s="82"/>
      <c r="H274" s="68" t="str">
        <f t="shared" si="146"/>
        <v>Hyprev7_20211114_18_00</v>
      </c>
      <c r="I274" s="69">
        <f t="shared" si="147"/>
        <v>1</v>
      </c>
      <c r="J274" s="76" t="str">
        <f t="shared" si="147"/>
        <v>Hypericum</v>
      </c>
      <c r="K274" s="76" t="str">
        <f t="shared" si="147"/>
        <v>revolutum</v>
      </c>
      <c r="L274" s="77">
        <f t="shared" si="147"/>
        <v>7</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v>
      </c>
      <c r="C275" s="73">
        <f t="shared" si="145"/>
        <v>14</v>
      </c>
      <c r="D275" s="74">
        <f t="shared" si="128"/>
        <v>18</v>
      </c>
      <c r="E275" s="75">
        <f t="shared" si="129"/>
        <v>30</v>
      </c>
      <c r="F275" s="79"/>
      <c r="G275" s="82"/>
      <c r="H275" s="68" t="str">
        <f t="shared" si="146"/>
        <v>Hyprev7_20211114_18_00</v>
      </c>
      <c r="I275" s="69">
        <f t="shared" si="147"/>
        <v>1</v>
      </c>
      <c r="J275" s="76" t="str">
        <f t="shared" si="147"/>
        <v>Hypericum</v>
      </c>
      <c r="K275" s="76" t="str">
        <f t="shared" si="147"/>
        <v>revolutum</v>
      </c>
      <c r="L275" s="77">
        <f t="shared" si="147"/>
        <v>7</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v>
      </c>
      <c r="C276" s="73">
        <f t="shared" si="145"/>
        <v>14</v>
      </c>
      <c r="D276" s="74">
        <f t="shared" si="128"/>
        <v>18</v>
      </c>
      <c r="E276" s="75">
        <f t="shared" si="129"/>
        <v>31</v>
      </c>
      <c r="F276" s="79"/>
      <c r="G276" s="82"/>
      <c r="H276" s="68" t="str">
        <f t="shared" si="146"/>
        <v>Hyprev7_20211114_18_00</v>
      </c>
      <c r="I276" s="69">
        <f t="shared" si="147"/>
        <v>1</v>
      </c>
      <c r="J276" s="76" t="str">
        <f t="shared" si="147"/>
        <v>Hypericum</v>
      </c>
      <c r="K276" s="76" t="str">
        <f t="shared" si="147"/>
        <v>revolutum</v>
      </c>
      <c r="L276" s="77">
        <f t="shared" si="147"/>
        <v>7</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v>
      </c>
      <c r="C277" s="73">
        <f t="shared" si="145"/>
        <v>14</v>
      </c>
      <c r="D277" s="74">
        <f t="shared" si="128"/>
        <v>18</v>
      </c>
      <c r="E277" s="75">
        <f t="shared" si="129"/>
        <v>32</v>
      </c>
      <c r="F277" s="79"/>
      <c r="G277" s="82"/>
      <c r="H277" s="68" t="str">
        <f t="shared" si="146"/>
        <v>Hyprev7_20211114_18_00</v>
      </c>
      <c r="I277" s="69">
        <f t="shared" ref="I277:N292" si="148">I276</f>
        <v>1</v>
      </c>
      <c r="J277" s="76" t="str">
        <f t="shared" si="148"/>
        <v>Hypericum</v>
      </c>
      <c r="K277" s="76" t="str">
        <f t="shared" si="148"/>
        <v>revolutum</v>
      </c>
      <c r="L277" s="77">
        <f t="shared" si="148"/>
        <v>7</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v>
      </c>
      <c r="C278" s="73">
        <f t="shared" si="145"/>
        <v>14</v>
      </c>
      <c r="D278" s="74">
        <f t="shared" si="128"/>
        <v>18</v>
      </c>
      <c r="E278" s="75">
        <f t="shared" si="129"/>
        <v>33</v>
      </c>
      <c r="F278" s="79"/>
      <c r="G278" s="82"/>
      <c r="H278" s="68" t="str">
        <f t="shared" si="146"/>
        <v>Hyprev7_20211114_18_00</v>
      </c>
      <c r="I278" s="69">
        <f t="shared" si="148"/>
        <v>1</v>
      </c>
      <c r="J278" s="76" t="str">
        <f t="shared" si="148"/>
        <v>Hypericum</v>
      </c>
      <c r="K278" s="76" t="str">
        <f t="shared" si="148"/>
        <v>revolutum</v>
      </c>
      <c r="L278" s="77">
        <f t="shared" si="148"/>
        <v>7</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2021</v>
      </c>
      <c r="B279" s="72" t="str">
        <f t="shared" si="127"/>
        <v>Nov</v>
      </c>
      <c r="C279" s="73">
        <f t="shared" si="145"/>
        <v>14</v>
      </c>
      <c r="D279" s="74">
        <f t="shared" si="128"/>
        <v>18</v>
      </c>
      <c r="E279" s="75">
        <f t="shared" si="129"/>
        <v>34</v>
      </c>
      <c r="F279" s="79">
        <v>10</v>
      </c>
      <c r="G279" s="82"/>
      <c r="H279" s="68" t="str">
        <f t="shared" si="146"/>
        <v>Hyprev7_20211114_18_00</v>
      </c>
      <c r="I279" s="69">
        <f t="shared" si="148"/>
        <v>1</v>
      </c>
      <c r="J279" s="76" t="str">
        <f t="shared" si="148"/>
        <v>Hypericum</v>
      </c>
      <c r="K279" s="76" t="str">
        <f t="shared" si="148"/>
        <v>revolutum</v>
      </c>
      <c r="L279" s="77">
        <f t="shared" si="148"/>
        <v>7</v>
      </c>
      <c r="M279" s="77">
        <f t="shared" si="148"/>
        <v>2</v>
      </c>
      <c r="N279" s="71">
        <f t="shared" si="148"/>
        <v>0</v>
      </c>
      <c r="O279" s="44"/>
      <c r="P279" s="45">
        <f t="shared" si="130"/>
        <v>1</v>
      </c>
      <c r="Q279" s="46" t="str">
        <f t="shared" si="131"/>
        <v>18:34:10</v>
      </c>
      <c r="R279" s="47" t="str">
        <f t="shared" si="132"/>
        <v>34:10</v>
      </c>
      <c r="S279" s="48">
        <f t="shared" si="121"/>
        <v>1517</v>
      </c>
      <c r="T279" s="47" t="str">
        <f t="shared" si="133"/>
        <v>18</v>
      </c>
      <c r="U279" s="49">
        <v>59</v>
      </c>
      <c r="V279" s="50">
        <v>27</v>
      </c>
      <c r="W279" s="51" t="str">
        <f t="shared" si="134"/>
        <v>59:27</v>
      </c>
      <c r="X279" s="52" t="s">
        <v>59</v>
      </c>
      <c r="Y279" s="124" t="s">
        <v>242</v>
      </c>
      <c r="Z279" s="124"/>
      <c r="AA279" s="47" t="s">
        <v>264</v>
      </c>
      <c r="AB279" s="47" t="str">
        <f t="shared" si="135"/>
        <v>NA</v>
      </c>
      <c r="AC279" s="53" t="str">
        <f t="shared" si="136"/>
        <v/>
      </c>
      <c r="AD279" s="54">
        <f t="shared" si="137"/>
        <v>1</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t="s">
        <v>115</v>
      </c>
      <c r="AT279" s="58"/>
      <c r="AU279" s="58"/>
      <c r="AV279" s="59"/>
      <c r="AW279" s="60">
        <f t="shared" si="122"/>
        <v>0</v>
      </c>
      <c r="AX279" s="61" t="str">
        <f t="shared" si="123"/>
        <v/>
      </c>
      <c r="AY279" s="60">
        <f t="shared" si="124"/>
        <v>0</v>
      </c>
      <c r="AZ279" s="61" t="str">
        <f t="shared" si="125"/>
        <v/>
      </c>
    </row>
    <row r="280" spans="1:52" s="3" customFormat="1" hidden="1" x14ac:dyDescent="0.35">
      <c r="A280" s="72">
        <f t="shared" si="126"/>
        <v>2021</v>
      </c>
      <c r="B280" s="72" t="str">
        <f t="shared" si="127"/>
        <v>Nov</v>
      </c>
      <c r="C280" s="73">
        <f t="shared" si="145"/>
        <v>14</v>
      </c>
      <c r="D280" s="74">
        <f t="shared" si="128"/>
        <v>18</v>
      </c>
      <c r="E280" s="75">
        <f t="shared" si="129"/>
        <v>35</v>
      </c>
      <c r="F280" s="79"/>
      <c r="G280" s="82"/>
      <c r="H280" s="68" t="str">
        <f t="shared" si="146"/>
        <v>Hyprev7_20211114_18_00</v>
      </c>
      <c r="I280" s="69">
        <f t="shared" si="148"/>
        <v>1</v>
      </c>
      <c r="J280" s="76" t="str">
        <f t="shared" si="148"/>
        <v>Hypericum</v>
      </c>
      <c r="K280" s="76" t="str">
        <f t="shared" si="148"/>
        <v>revolutum</v>
      </c>
      <c r="L280" s="77">
        <f t="shared" si="148"/>
        <v>7</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v>
      </c>
      <c r="C281" s="73">
        <f t="shared" si="145"/>
        <v>14</v>
      </c>
      <c r="D281" s="74">
        <f t="shared" si="128"/>
        <v>18</v>
      </c>
      <c r="E281" s="75">
        <f t="shared" si="129"/>
        <v>36</v>
      </c>
      <c r="F281" s="79"/>
      <c r="G281" s="82"/>
      <c r="H281" s="68" t="str">
        <f t="shared" si="146"/>
        <v>Hyprev7_20211114_18_00</v>
      </c>
      <c r="I281" s="69">
        <f t="shared" si="148"/>
        <v>1</v>
      </c>
      <c r="J281" s="76" t="str">
        <f t="shared" si="148"/>
        <v>Hypericum</v>
      </c>
      <c r="K281" s="76" t="str">
        <f t="shared" si="148"/>
        <v>revolutum</v>
      </c>
      <c r="L281" s="77">
        <f t="shared" si="148"/>
        <v>7</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v>
      </c>
      <c r="C282" s="73">
        <f t="shared" si="145"/>
        <v>14</v>
      </c>
      <c r="D282" s="74">
        <f t="shared" si="128"/>
        <v>18</v>
      </c>
      <c r="E282" s="75">
        <f t="shared" si="129"/>
        <v>37</v>
      </c>
      <c r="F282" s="79"/>
      <c r="G282" s="82"/>
      <c r="H282" s="68" t="str">
        <f t="shared" si="146"/>
        <v>Hyprev7_20211114_18_00</v>
      </c>
      <c r="I282" s="69">
        <f t="shared" si="148"/>
        <v>1</v>
      </c>
      <c r="J282" s="76" t="str">
        <f t="shared" si="148"/>
        <v>Hypericum</v>
      </c>
      <c r="K282" s="76" t="str">
        <f t="shared" si="148"/>
        <v>revolutum</v>
      </c>
      <c r="L282" s="77">
        <f t="shared" si="148"/>
        <v>7</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2021</v>
      </c>
      <c r="B283" s="72" t="str">
        <f t="shared" si="127"/>
        <v>Nov</v>
      </c>
      <c r="C283" s="73">
        <f t="shared" si="145"/>
        <v>14</v>
      </c>
      <c r="D283" s="74">
        <f t="shared" si="128"/>
        <v>18</v>
      </c>
      <c r="E283" s="75">
        <f t="shared" si="129"/>
        <v>38</v>
      </c>
      <c r="F283" s="79"/>
      <c r="G283" s="82"/>
      <c r="H283" s="68" t="str">
        <f t="shared" si="146"/>
        <v>Hyprev7_20211114_18_00</v>
      </c>
      <c r="I283" s="69">
        <f t="shared" si="148"/>
        <v>1</v>
      </c>
      <c r="J283" s="76" t="str">
        <f t="shared" si="148"/>
        <v>Hypericum</v>
      </c>
      <c r="K283" s="76" t="str">
        <f t="shared" si="148"/>
        <v>revolutum</v>
      </c>
      <c r="L283" s="77">
        <f t="shared" si="148"/>
        <v>7</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2021</v>
      </c>
      <c r="B284" s="72" t="str">
        <f t="shared" si="127"/>
        <v>Nov</v>
      </c>
      <c r="C284" s="73">
        <f t="shared" si="145"/>
        <v>14</v>
      </c>
      <c r="D284" s="74">
        <f t="shared" si="128"/>
        <v>18</v>
      </c>
      <c r="E284" s="75">
        <f t="shared" si="129"/>
        <v>39</v>
      </c>
      <c r="F284" s="79"/>
      <c r="G284" s="82"/>
      <c r="H284" s="68" t="str">
        <f t="shared" si="146"/>
        <v>Hyprev7_20211114_18_00</v>
      </c>
      <c r="I284" s="69">
        <f t="shared" si="148"/>
        <v>1</v>
      </c>
      <c r="J284" s="76" t="str">
        <f t="shared" si="148"/>
        <v>Hypericum</v>
      </c>
      <c r="K284" s="76" t="str">
        <f t="shared" si="148"/>
        <v>revolutum</v>
      </c>
      <c r="L284" s="77">
        <f t="shared" si="148"/>
        <v>7</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v>
      </c>
      <c r="C285" s="73">
        <f t="shared" si="145"/>
        <v>14</v>
      </c>
      <c r="D285" s="74">
        <f t="shared" si="128"/>
        <v>18</v>
      </c>
      <c r="E285" s="75">
        <f t="shared" si="129"/>
        <v>40</v>
      </c>
      <c r="F285" s="79"/>
      <c r="G285" s="82"/>
      <c r="H285" s="68" t="str">
        <f t="shared" si="146"/>
        <v>Hyprev7_20211114_18_00</v>
      </c>
      <c r="I285" s="69">
        <f t="shared" si="148"/>
        <v>1</v>
      </c>
      <c r="J285" s="76" t="str">
        <f t="shared" si="148"/>
        <v>Hypericum</v>
      </c>
      <c r="K285" s="76" t="str">
        <f t="shared" si="148"/>
        <v>revolutum</v>
      </c>
      <c r="L285" s="77">
        <f t="shared" si="148"/>
        <v>7</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v>
      </c>
      <c r="C286" s="73">
        <f t="shared" si="145"/>
        <v>14</v>
      </c>
      <c r="D286" s="74">
        <f t="shared" si="128"/>
        <v>18</v>
      </c>
      <c r="E286" s="75">
        <f t="shared" si="129"/>
        <v>41</v>
      </c>
      <c r="F286" s="79"/>
      <c r="G286" s="82"/>
      <c r="H286" s="68" t="str">
        <f t="shared" si="146"/>
        <v>Hyprev7_20211114_18_00</v>
      </c>
      <c r="I286" s="69">
        <f t="shared" si="148"/>
        <v>1</v>
      </c>
      <c r="J286" s="76" t="str">
        <f t="shared" si="148"/>
        <v>Hypericum</v>
      </c>
      <c r="K286" s="76" t="str">
        <f t="shared" si="148"/>
        <v>revolutum</v>
      </c>
      <c r="L286" s="77">
        <f t="shared" si="148"/>
        <v>7</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2021</v>
      </c>
      <c r="B287" s="72" t="str">
        <f t="shared" si="127"/>
        <v>Nov</v>
      </c>
      <c r="C287" s="73">
        <f t="shared" si="145"/>
        <v>14</v>
      </c>
      <c r="D287" s="74">
        <f t="shared" si="128"/>
        <v>18</v>
      </c>
      <c r="E287" s="75">
        <f t="shared" si="129"/>
        <v>42</v>
      </c>
      <c r="F287" s="79"/>
      <c r="G287" s="82"/>
      <c r="H287" s="68" t="str">
        <f t="shared" si="146"/>
        <v>Hyprev7_20211114_18_00</v>
      </c>
      <c r="I287" s="69">
        <f t="shared" si="148"/>
        <v>1</v>
      </c>
      <c r="J287" s="76" t="str">
        <f t="shared" si="148"/>
        <v>Hypericum</v>
      </c>
      <c r="K287" s="76" t="str">
        <f t="shared" si="148"/>
        <v>revolutum</v>
      </c>
      <c r="L287" s="77">
        <f t="shared" si="148"/>
        <v>7</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2021</v>
      </c>
      <c r="B288" s="72" t="str">
        <f t="shared" si="127"/>
        <v>Nov</v>
      </c>
      <c r="C288" s="73">
        <f t="shared" si="145"/>
        <v>14</v>
      </c>
      <c r="D288" s="74">
        <f t="shared" si="128"/>
        <v>18</v>
      </c>
      <c r="E288" s="75">
        <f t="shared" si="129"/>
        <v>43</v>
      </c>
      <c r="F288" s="79"/>
      <c r="G288" s="82"/>
      <c r="H288" s="68" t="str">
        <f t="shared" si="146"/>
        <v>Hyprev7_20211114_18_00</v>
      </c>
      <c r="I288" s="69">
        <f t="shared" si="148"/>
        <v>1</v>
      </c>
      <c r="J288" s="76" t="str">
        <f t="shared" si="148"/>
        <v>Hypericum</v>
      </c>
      <c r="K288" s="76" t="str">
        <f t="shared" si="148"/>
        <v>revolutum</v>
      </c>
      <c r="L288" s="77">
        <f t="shared" si="148"/>
        <v>7</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2021</v>
      </c>
      <c r="B289" s="72" t="str">
        <f t="shared" si="127"/>
        <v>Nov</v>
      </c>
      <c r="C289" s="73">
        <f t="shared" si="145"/>
        <v>14</v>
      </c>
      <c r="D289" s="74">
        <f t="shared" si="128"/>
        <v>18</v>
      </c>
      <c r="E289" s="75">
        <f t="shared" si="129"/>
        <v>44</v>
      </c>
      <c r="F289" s="79">
        <v>22</v>
      </c>
      <c r="G289" s="82"/>
      <c r="H289" s="68" t="str">
        <f t="shared" si="146"/>
        <v>Hyprev7_20211114_18_00</v>
      </c>
      <c r="I289" s="69">
        <f t="shared" si="148"/>
        <v>1</v>
      </c>
      <c r="J289" s="76" t="str">
        <f t="shared" si="148"/>
        <v>Hypericum</v>
      </c>
      <c r="K289" s="76" t="str">
        <f t="shared" si="148"/>
        <v>revolutum</v>
      </c>
      <c r="L289" s="77">
        <f t="shared" si="148"/>
        <v>7</v>
      </c>
      <c r="M289" s="77">
        <f t="shared" si="148"/>
        <v>2</v>
      </c>
      <c r="N289" s="71">
        <f t="shared" si="148"/>
        <v>0</v>
      </c>
      <c r="O289" s="44"/>
      <c r="P289" s="45">
        <f t="shared" si="130"/>
        <v>1</v>
      </c>
      <c r="Q289" s="46" t="str">
        <f t="shared" si="131"/>
        <v>18:44:22</v>
      </c>
      <c r="R289" s="47" t="str">
        <f t="shared" si="132"/>
        <v>44:22</v>
      </c>
      <c r="S289" s="48">
        <f t="shared" si="121"/>
        <v>5</v>
      </c>
      <c r="T289" s="47" t="str">
        <f t="shared" si="133"/>
        <v>18</v>
      </c>
      <c r="U289" s="49">
        <v>44</v>
      </c>
      <c r="V289" s="50">
        <v>27</v>
      </c>
      <c r="W289" s="51" t="str">
        <f t="shared" si="134"/>
        <v>44:27</v>
      </c>
      <c r="X289" s="52" t="s">
        <v>116</v>
      </c>
      <c r="Y289" s="124" t="s">
        <v>259</v>
      </c>
      <c r="Z289" s="124"/>
      <c r="AA289" s="47" t="s">
        <v>255</v>
      </c>
      <c r="AB289" s="47" t="str">
        <f t="shared" si="135"/>
        <v>NA</v>
      </c>
      <c r="AC289" s="53" t="str">
        <f t="shared" si="136"/>
        <v/>
      </c>
      <c r="AD289" s="54">
        <f t="shared" si="137"/>
        <v>1</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t="s">
        <v>76</v>
      </c>
      <c r="AT289" s="58"/>
      <c r="AU289" s="58"/>
      <c r="AV289" s="59"/>
      <c r="AW289" s="60">
        <f t="shared" si="122"/>
        <v>0</v>
      </c>
      <c r="AX289" s="61" t="str">
        <f t="shared" si="123"/>
        <v/>
      </c>
      <c r="AY289" s="60">
        <f t="shared" si="124"/>
        <v>0</v>
      </c>
      <c r="AZ289" s="61" t="str">
        <f t="shared" si="125"/>
        <v/>
      </c>
    </row>
    <row r="290" spans="1:52" s="3" customFormat="1" hidden="1" x14ac:dyDescent="0.35">
      <c r="A290" s="72">
        <f t="shared" si="126"/>
        <v>2021</v>
      </c>
      <c r="B290" s="72" t="str">
        <f t="shared" si="127"/>
        <v>Nov</v>
      </c>
      <c r="C290" s="73">
        <f t="shared" si="145"/>
        <v>14</v>
      </c>
      <c r="D290" s="74">
        <f t="shared" si="128"/>
        <v>18</v>
      </c>
      <c r="E290" s="75">
        <v>44</v>
      </c>
      <c r="F290" s="79">
        <v>53</v>
      </c>
      <c r="G290" s="82"/>
      <c r="H290" s="68" t="str">
        <f t="shared" si="146"/>
        <v>Hyprev7_20211114_18_00</v>
      </c>
      <c r="I290" s="69">
        <f t="shared" si="148"/>
        <v>1</v>
      </c>
      <c r="J290" s="76" t="str">
        <f t="shared" si="148"/>
        <v>Hypericum</v>
      </c>
      <c r="K290" s="76" t="str">
        <f t="shared" si="148"/>
        <v>revolutum</v>
      </c>
      <c r="L290" s="77">
        <f t="shared" si="148"/>
        <v>7</v>
      </c>
      <c r="M290" s="77">
        <f t="shared" si="148"/>
        <v>2</v>
      </c>
      <c r="N290" s="71">
        <f t="shared" si="148"/>
        <v>0</v>
      </c>
      <c r="O290" s="44"/>
      <c r="P290" s="45">
        <f t="shared" si="130"/>
        <v>1</v>
      </c>
      <c r="Q290" s="46" t="str">
        <f t="shared" si="131"/>
        <v>18:44:53</v>
      </c>
      <c r="R290" s="47" t="str">
        <f t="shared" si="132"/>
        <v>44:53</v>
      </c>
      <c r="S290" s="48">
        <f t="shared" si="121"/>
        <v>235</v>
      </c>
      <c r="T290" s="47" t="str">
        <f t="shared" si="133"/>
        <v>18</v>
      </c>
      <c r="U290" s="49">
        <v>48</v>
      </c>
      <c r="V290" s="50">
        <v>48</v>
      </c>
      <c r="W290" s="51" t="str">
        <f t="shared" si="134"/>
        <v>48:48</v>
      </c>
      <c r="X290" s="52" t="s">
        <v>116</v>
      </c>
      <c r="Y290" s="124" t="s">
        <v>260</v>
      </c>
      <c r="Z290" s="124"/>
      <c r="AA290" s="47" t="s">
        <v>255</v>
      </c>
      <c r="AB290" s="47" t="str">
        <f t="shared" si="135"/>
        <v>NA</v>
      </c>
      <c r="AC290" s="53" t="str">
        <f t="shared" si="136"/>
        <v/>
      </c>
      <c r="AD290" s="54">
        <f t="shared" si="137"/>
        <v>1</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t="s">
        <v>117</v>
      </c>
      <c r="AT290" s="58"/>
      <c r="AU290" s="58"/>
      <c r="AV290" s="59"/>
      <c r="AW290" s="60">
        <f t="shared" si="122"/>
        <v>0</v>
      </c>
      <c r="AX290" s="61" t="str">
        <f t="shared" si="123"/>
        <v/>
      </c>
      <c r="AY290" s="60">
        <f t="shared" si="124"/>
        <v>0</v>
      </c>
      <c r="AZ290" s="61" t="str">
        <f t="shared" si="125"/>
        <v/>
      </c>
    </row>
    <row r="291" spans="1:52" s="3" customFormat="1" hidden="1" x14ac:dyDescent="0.35">
      <c r="A291" s="72">
        <f t="shared" si="126"/>
        <v>2021</v>
      </c>
      <c r="B291" s="72" t="str">
        <f t="shared" si="127"/>
        <v>Nov</v>
      </c>
      <c r="C291" s="73">
        <f t="shared" si="145"/>
        <v>14</v>
      </c>
      <c r="D291" s="74">
        <f t="shared" si="128"/>
        <v>18</v>
      </c>
      <c r="E291" s="75">
        <f t="shared" si="129"/>
        <v>45</v>
      </c>
      <c r="F291" s="79"/>
      <c r="G291" s="82"/>
      <c r="H291" s="68" t="str">
        <f t="shared" si="146"/>
        <v>Hyprev7_20211114_18_00</v>
      </c>
      <c r="I291" s="69">
        <f t="shared" si="148"/>
        <v>1</v>
      </c>
      <c r="J291" s="76" t="str">
        <f t="shared" si="148"/>
        <v>Hypericum</v>
      </c>
      <c r="K291" s="76" t="str">
        <f t="shared" si="148"/>
        <v>revolutum</v>
      </c>
      <c r="L291" s="77">
        <f t="shared" si="148"/>
        <v>7</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v>
      </c>
      <c r="C292" s="73">
        <f t="shared" si="145"/>
        <v>14</v>
      </c>
      <c r="D292" s="74">
        <f t="shared" si="128"/>
        <v>18</v>
      </c>
      <c r="E292" s="75">
        <f t="shared" si="129"/>
        <v>46</v>
      </c>
      <c r="F292" s="79"/>
      <c r="G292" s="82"/>
      <c r="H292" s="68" t="str">
        <f t="shared" si="146"/>
        <v>Hyprev7_20211114_18_00</v>
      </c>
      <c r="I292" s="69">
        <f t="shared" si="148"/>
        <v>1</v>
      </c>
      <c r="J292" s="76" t="str">
        <f t="shared" si="148"/>
        <v>Hypericum</v>
      </c>
      <c r="K292" s="76" t="str">
        <f t="shared" si="148"/>
        <v>revolutum</v>
      </c>
      <c r="L292" s="77">
        <f t="shared" si="148"/>
        <v>7</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v>
      </c>
      <c r="C293" s="73">
        <f t="shared" si="145"/>
        <v>14</v>
      </c>
      <c r="D293" s="74">
        <f t="shared" si="128"/>
        <v>18</v>
      </c>
      <c r="E293" s="75">
        <f t="shared" si="129"/>
        <v>47</v>
      </c>
      <c r="F293" s="79">
        <v>47</v>
      </c>
      <c r="G293" s="82"/>
      <c r="H293" s="68" t="str">
        <f t="shared" si="146"/>
        <v>Hyprev7_20211114_18_00</v>
      </c>
      <c r="I293" s="69">
        <f t="shared" ref="I293:N308" si="149">I292</f>
        <v>1</v>
      </c>
      <c r="J293" s="76" t="str">
        <f t="shared" si="149"/>
        <v>Hypericum</v>
      </c>
      <c r="K293" s="76" t="str">
        <f t="shared" si="149"/>
        <v>revolutum</v>
      </c>
      <c r="L293" s="77">
        <f t="shared" si="149"/>
        <v>7</v>
      </c>
      <c r="M293" s="77">
        <f t="shared" si="149"/>
        <v>2</v>
      </c>
      <c r="N293" s="71">
        <f t="shared" si="149"/>
        <v>0</v>
      </c>
      <c r="O293" s="44"/>
      <c r="P293" s="45">
        <f t="shared" si="130"/>
        <v>1</v>
      </c>
      <c r="Q293" s="46" t="str">
        <f t="shared" si="131"/>
        <v>18:47:47</v>
      </c>
      <c r="R293" s="47" t="str">
        <f t="shared" si="132"/>
        <v>47:47</v>
      </c>
      <c r="S293" s="48">
        <f t="shared" si="121"/>
        <v>179</v>
      </c>
      <c r="T293" s="47" t="str">
        <f t="shared" si="133"/>
        <v>18</v>
      </c>
      <c r="U293" s="49">
        <v>50</v>
      </c>
      <c r="V293" s="50">
        <v>46</v>
      </c>
      <c r="W293" s="51" t="str">
        <f t="shared" si="134"/>
        <v>50:46</v>
      </c>
      <c r="X293" s="52" t="s">
        <v>116</v>
      </c>
      <c r="Y293" s="124" t="s">
        <v>260</v>
      </c>
      <c r="Z293" s="124"/>
      <c r="AA293" s="47" t="s">
        <v>255</v>
      </c>
      <c r="AB293" s="47" t="str">
        <f t="shared" si="135"/>
        <v>NA</v>
      </c>
      <c r="AC293" s="53" t="str">
        <f t="shared" si="136"/>
        <v/>
      </c>
      <c r="AD293" s="54">
        <v>2</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t="s">
        <v>104</v>
      </c>
      <c r="AT293" s="58"/>
      <c r="AU293" s="58"/>
      <c r="AV293" s="59"/>
      <c r="AW293" s="60">
        <f t="shared" si="122"/>
        <v>0</v>
      </c>
      <c r="AX293" s="61" t="str">
        <f t="shared" si="123"/>
        <v/>
      </c>
      <c r="AY293" s="60">
        <f t="shared" si="124"/>
        <v>0</v>
      </c>
      <c r="AZ293" s="61" t="str">
        <f t="shared" si="125"/>
        <v/>
      </c>
    </row>
    <row r="294" spans="1:52" s="3" customFormat="1" hidden="1" x14ac:dyDescent="0.35">
      <c r="A294" s="72">
        <f t="shared" si="126"/>
        <v>2021</v>
      </c>
      <c r="B294" s="72" t="str">
        <f t="shared" si="127"/>
        <v>Nov</v>
      </c>
      <c r="C294" s="73">
        <f t="shared" si="145"/>
        <v>14</v>
      </c>
      <c r="D294" s="74">
        <f t="shared" si="128"/>
        <v>18</v>
      </c>
      <c r="E294" s="75">
        <f t="shared" si="129"/>
        <v>48</v>
      </c>
      <c r="F294" s="79"/>
      <c r="G294" s="82"/>
      <c r="H294" s="68" t="str">
        <f t="shared" si="146"/>
        <v>Hyprev7_20211114_18_00</v>
      </c>
      <c r="I294" s="69">
        <f t="shared" si="149"/>
        <v>1</v>
      </c>
      <c r="J294" s="76" t="str">
        <f t="shared" si="149"/>
        <v>Hypericum</v>
      </c>
      <c r="K294" s="76" t="str">
        <f t="shared" si="149"/>
        <v>revolutum</v>
      </c>
      <c r="L294" s="77">
        <f t="shared" si="149"/>
        <v>7</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2021</v>
      </c>
      <c r="B295" s="72" t="str">
        <f t="shared" si="127"/>
        <v>Nov</v>
      </c>
      <c r="C295" s="73">
        <f t="shared" si="145"/>
        <v>14</v>
      </c>
      <c r="D295" s="74">
        <f t="shared" si="128"/>
        <v>18</v>
      </c>
      <c r="E295" s="75">
        <f t="shared" si="129"/>
        <v>49</v>
      </c>
      <c r="F295" s="79"/>
      <c r="G295" s="82"/>
      <c r="H295" s="68" t="str">
        <f t="shared" si="146"/>
        <v>Hyprev7_20211114_18_00</v>
      </c>
      <c r="I295" s="69">
        <f t="shared" si="149"/>
        <v>1</v>
      </c>
      <c r="J295" s="76" t="str">
        <f t="shared" si="149"/>
        <v>Hypericum</v>
      </c>
      <c r="K295" s="76" t="str">
        <f t="shared" si="149"/>
        <v>revolutum</v>
      </c>
      <c r="L295" s="77">
        <f t="shared" si="149"/>
        <v>7</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v>
      </c>
      <c r="C296" s="73">
        <f t="shared" si="145"/>
        <v>14</v>
      </c>
      <c r="D296" s="74">
        <f t="shared" si="128"/>
        <v>18</v>
      </c>
      <c r="E296" s="75">
        <f t="shared" si="129"/>
        <v>50</v>
      </c>
      <c r="F296" s="79">
        <v>17</v>
      </c>
      <c r="G296" s="82"/>
      <c r="H296" s="68" t="str">
        <f t="shared" si="146"/>
        <v>Hyprev7_20211114_18_00</v>
      </c>
      <c r="I296" s="69">
        <f t="shared" si="149"/>
        <v>1</v>
      </c>
      <c r="J296" s="76" t="str">
        <f t="shared" si="149"/>
        <v>Hypericum</v>
      </c>
      <c r="K296" s="76" t="str">
        <f t="shared" si="149"/>
        <v>revolutum</v>
      </c>
      <c r="L296" s="77">
        <f t="shared" si="149"/>
        <v>7</v>
      </c>
      <c r="M296" s="77">
        <f t="shared" si="149"/>
        <v>2</v>
      </c>
      <c r="N296" s="71">
        <f t="shared" si="149"/>
        <v>0</v>
      </c>
      <c r="O296" s="44"/>
      <c r="P296" s="45">
        <f t="shared" si="130"/>
        <v>1</v>
      </c>
      <c r="Q296" s="46" t="str">
        <f t="shared" si="131"/>
        <v>18:50:17</v>
      </c>
      <c r="R296" s="47" t="str">
        <f t="shared" si="132"/>
        <v>50:17</v>
      </c>
      <c r="S296" s="48">
        <f t="shared" si="121"/>
        <v>35</v>
      </c>
      <c r="T296" s="47" t="str">
        <f t="shared" si="133"/>
        <v>18</v>
      </c>
      <c r="U296" s="49">
        <v>50</v>
      </c>
      <c r="V296" s="50">
        <v>52</v>
      </c>
      <c r="W296" s="51" t="str">
        <f t="shared" si="134"/>
        <v>50:52</v>
      </c>
      <c r="X296" s="52" t="s">
        <v>116</v>
      </c>
      <c r="Y296" s="124" t="s">
        <v>260</v>
      </c>
      <c r="Z296" s="124"/>
      <c r="AA296" s="47" t="s">
        <v>255</v>
      </c>
      <c r="AB296" s="47" t="str">
        <f t="shared" si="135"/>
        <v>NA</v>
      </c>
      <c r="AC296" s="53" t="str">
        <f t="shared" si="136"/>
        <v/>
      </c>
      <c r="AD296" s="54">
        <v>2</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t="s">
        <v>118</v>
      </c>
      <c r="AT296" s="58"/>
      <c r="AU296" s="58"/>
      <c r="AV296" s="59"/>
      <c r="AW296" s="60">
        <f t="shared" si="122"/>
        <v>0</v>
      </c>
      <c r="AX296" s="61" t="str">
        <f t="shared" si="123"/>
        <v/>
      </c>
      <c r="AY296" s="60">
        <f t="shared" si="124"/>
        <v>0</v>
      </c>
      <c r="AZ296" s="61" t="str">
        <f t="shared" si="125"/>
        <v/>
      </c>
    </row>
    <row r="297" spans="1:52" s="3" customFormat="1" hidden="1" x14ac:dyDescent="0.35">
      <c r="A297" s="72">
        <f t="shared" si="126"/>
        <v>2021</v>
      </c>
      <c r="B297" s="72" t="str">
        <f t="shared" si="127"/>
        <v>Nov</v>
      </c>
      <c r="C297" s="73">
        <f t="shared" si="145"/>
        <v>14</v>
      </c>
      <c r="D297" s="74">
        <f t="shared" si="128"/>
        <v>18</v>
      </c>
      <c r="E297" s="75">
        <v>50</v>
      </c>
      <c r="F297" s="79">
        <v>48</v>
      </c>
      <c r="G297" s="82"/>
      <c r="H297" s="68" t="str">
        <f t="shared" si="146"/>
        <v>Hyprev7_20211114_18_00</v>
      </c>
      <c r="I297" s="69">
        <f t="shared" si="149"/>
        <v>1</v>
      </c>
      <c r="J297" s="76" t="str">
        <f t="shared" si="149"/>
        <v>Hypericum</v>
      </c>
      <c r="K297" s="76" t="str">
        <f t="shared" si="149"/>
        <v>revolutum</v>
      </c>
      <c r="L297" s="77">
        <f t="shared" si="149"/>
        <v>7</v>
      </c>
      <c r="M297" s="77">
        <f t="shared" si="149"/>
        <v>2</v>
      </c>
      <c r="N297" s="71">
        <f t="shared" si="149"/>
        <v>0</v>
      </c>
      <c r="O297" s="44"/>
      <c r="P297" s="45">
        <f t="shared" si="130"/>
        <v>1</v>
      </c>
      <c r="Q297" s="46" t="str">
        <f t="shared" si="131"/>
        <v>18:50:48</v>
      </c>
      <c r="R297" s="47" t="str">
        <f t="shared" si="132"/>
        <v>50:48</v>
      </c>
      <c r="S297" s="48">
        <f t="shared" si="121"/>
        <v>2</v>
      </c>
      <c r="T297" s="47" t="str">
        <f t="shared" si="133"/>
        <v>18</v>
      </c>
      <c r="U297" s="49">
        <v>50</v>
      </c>
      <c r="V297" s="50">
        <v>50</v>
      </c>
      <c r="W297" s="51" t="str">
        <f t="shared" si="134"/>
        <v>50:50</v>
      </c>
      <c r="X297" s="52" t="s">
        <v>116</v>
      </c>
      <c r="Y297" s="124" t="s">
        <v>260</v>
      </c>
      <c r="Z297" s="124"/>
      <c r="AA297" s="47" t="s">
        <v>255</v>
      </c>
      <c r="AB297" s="47" t="str">
        <f t="shared" si="135"/>
        <v>NA</v>
      </c>
      <c r="AC297" s="53" t="str">
        <f t="shared" si="136"/>
        <v/>
      </c>
      <c r="AD297" s="54">
        <f t="shared" si="137"/>
        <v>1</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t="s">
        <v>119</v>
      </c>
      <c r="AT297" s="58"/>
      <c r="AU297" s="58"/>
      <c r="AV297" s="59"/>
      <c r="AW297" s="60">
        <f t="shared" si="122"/>
        <v>0</v>
      </c>
      <c r="AX297" s="61" t="str">
        <f t="shared" si="123"/>
        <v/>
      </c>
      <c r="AY297" s="60">
        <f t="shared" si="124"/>
        <v>0</v>
      </c>
      <c r="AZ297" s="61" t="str">
        <f t="shared" si="125"/>
        <v/>
      </c>
    </row>
    <row r="298" spans="1:52" s="3" customFormat="1" hidden="1" x14ac:dyDescent="0.35">
      <c r="A298" s="72">
        <f t="shared" si="126"/>
        <v>2021</v>
      </c>
      <c r="B298" s="72" t="str">
        <f t="shared" si="127"/>
        <v>Nov</v>
      </c>
      <c r="C298" s="73">
        <f t="shared" si="145"/>
        <v>14</v>
      </c>
      <c r="D298" s="74">
        <f t="shared" si="128"/>
        <v>18</v>
      </c>
      <c r="E298" s="75">
        <v>50</v>
      </c>
      <c r="F298" s="79">
        <v>55</v>
      </c>
      <c r="G298" s="82"/>
      <c r="H298" s="68" t="str">
        <f t="shared" si="146"/>
        <v>Hyprev7_20211114_18_00</v>
      </c>
      <c r="I298" s="69">
        <f t="shared" si="149"/>
        <v>1</v>
      </c>
      <c r="J298" s="76" t="str">
        <f t="shared" si="149"/>
        <v>Hypericum</v>
      </c>
      <c r="K298" s="76" t="str">
        <f t="shared" si="149"/>
        <v>revolutum</v>
      </c>
      <c r="L298" s="77">
        <f t="shared" si="149"/>
        <v>7</v>
      </c>
      <c r="M298" s="77">
        <f t="shared" si="149"/>
        <v>2</v>
      </c>
      <c r="N298" s="71">
        <f t="shared" si="149"/>
        <v>0</v>
      </c>
      <c r="O298" s="44"/>
      <c r="P298" s="45">
        <f t="shared" si="130"/>
        <v>1</v>
      </c>
      <c r="Q298" s="46" t="str">
        <f t="shared" si="131"/>
        <v>18:50:55</v>
      </c>
      <c r="R298" s="47" t="str">
        <f t="shared" si="132"/>
        <v>50:55</v>
      </c>
      <c r="S298" s="48">
        <f t="shared" si="121"/>
        <v>2</v>
      </c>
      <c r="T298" s="47" t="str">
        <f t="shared" si="133"/>
        <v>18</v>
      </c>
      <c r="U298" s="49">
        <v>50</v>
      </c>
      <c r="V298" s="50">
        <v>57</v>
      </c>
      <c r="W298" s="51" t="str">
        <f t="shared" si="134"/>
        <v>50:57</v>
      </c>
      <c r="X298" s="52" t="s">
        <v>116</v>
      </c>
      <c r="Y298" s="124" t="s">
        <v>260</v>
      </c>
      <c r="Z298" s="124"/>
      <c r="AA298" s="47" t="s">
        <v>255</v>
      </c>
      <c r="AB298" s="47" t="str">
        <f t="shared" si="135"/>
        <v>NA</v>
      </c>
      <c r="AC298" s="53" t="str">
        <f t="shared" si="136"/>
        <v/>
      </c>
      <c r="AD298" s="54">
        <f t="shared" si="137"/>
        <v>1</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t="s">
        <v>120</v>
      </c>
      <c r="AT298" s="58"/>
      <c r="AU298" s="58"/>
      <c r="AV298" s="59"/>
      <c r="AW298" s="60">
        <f t="shared" si="122"/>
        <v>0</v>
      </c>
      <c r="AX298" s="61" t="str">
        <f t="shared" si="123"/>
        <v/>
      </c>
      <c r="AY298" s="60">
        <f t="shared" si="124"/>
        <v>0</v>
      </c>
      <c r="AZ298" s="61" t="str">
        <f t="shared" si="125"/>
        <v/>
      </c>
    </row>
    <row r="299" spans="1:52" s="3" customFormat="1" hidden="1" x14ac:dyDescent="0.35">
      <c r="A299" s="72">
        <f t="shared" si="126"/>
        <v>2021</v>
      </c>
      <c r="B299" s="72" t="str">
        <f t="shared" si="127"/>
        <v>Nov</v>
      </c>
      <c r="C299" s="73">
        <f t="shared" si="145"/>
        <v>14</v>
      </c>
      <c r="D299" s="74">
        <f t="shared" si="128"/>
        <v>18</v>
      </c>
      <c r="E299" s="75">
        <v>50</v>
      </c>
      <c r="F299" s="79">
        <v>59</v>
      </c>
      <c r="G299" s="82"/>
      <c r="H299" s="68" t="str">
        <f t="shared" si="146"/>
        <v>Hyprev7_20211114_18_00</v>
      </c>
      <c r="I299" s="69">
        <f t="shared" si="149"/>
        <v>1</v>
      </c>
      <c r="J299" s="76" t="str">
        <f t="shared" si="149"/>
        <v>Hypericum</v>
      </c>
      <c r="K299" s="76" t="str">
        <f t="shared" si="149"/>
        <v>revolutum</v>
      </c>
      <c r="L299" s="77">
        <f t="shared" si="149"/>
        <v>7</v>
      </c>
      <c r="M299" s="77">
        <f t="shared" si="149"/>
        <v>2</v>
      </c>
      <c r="N299" s="71">
        <f t="shared" si="149"/>
        <v>0</v>
      </c>
      <c r="O299" s="44"/>
      <c r="P299" s="45">
        <f t="shared" si="130"/>
        <v>1</v>
      </c>
      <c r="Q299" s="46" t="str">
        <f t="shared" si="131"/>
        <v>18:50:59</v>
      </c>
      <c r="R299" s="47" t="str">
        <f t="shared" si="132"/>
        <v>50:59</v>
      </c>
      <c r="S299" s="48">
        <f t="shared" si="121"/>
        <v>6</v>
      </c>
      <c r="T299" s="47" t="str">
        <f t="shared" si="133"/>
        <v>18</v>
      </c>
      <c r="U299" s="49">
        <v>51</v>
      </c>
      <c r="V299" s="50">
        <v>5</v>
      </c>
      <c r="W299" s="51" t="str">
        <f t="shared" si="134"/>
        <v>51:05</v>
      </c>
      <c r="X299" s="52" t="s">
        <v>116</v>
      </c>
      <c r="Y299" s="124" t="s">
        <v>260</v>
      </c>
      <c r="Z299" s="124"/>
      <c r="AA299" s="47" t="s">
        <v>255</v>
      </c>
      <c r="AB299" s="47" t="str">
        <f t="shared" si="135"/>
        <v>NA</v>
      </c>
      <c r="AC299" s="53" t="str">
        <f t="shared" si="136"/>
        <v/>
      </c>
      <c r="AD299" s="54">
        <v>2</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t="s">
        <v>112</v>
      </c>
      <c r="AT299" s="58"/>
      <c r="AU299" s="58"/>
      <c r="AV299" s="59"/>
      <c r="AW299" s="60">
        <f t="shared" si="122"/>
        <v>0</v>
      </c>
      <c r="AX299" s="61" t="str">
        <f t="shared" si="123"/>
        <v/>
      </c>
      <c r="AY299" s="60">
        <f t="shared" si="124"/>
        <v>0</v>
      </c>
      <c r="AZ299" s="61" t="str">
        <f t="shared" si="125"/>
        <v/>
      </c>
    </row>
    <row r="300" spans="1:52" s="3" customFormat="1" hidden="1" x14ac:dyDescent="0.35">
      <c r="A300" s="72">
        <f t="shared" si="126"/>
        <v>2021</v>
      </c>
      <c r="B300" s="72" t="str">
        <f t="shared" si="127"/>
        <v>Nov</v>
      </c>
      <c r="C300" s="73">
        <f t="shared" si="145"/>
        <v>14</v>
      </c>
      <c r="D300" s="74">
        <f t="shared" si="128"/>
        <v>18</v>
      </c>
      <c r="E300" s="75">
        <f t="shared" si="129"/>
        <v>51</v>
      </c>
      <c r="F300" s="79"/>
      <c r="G300" s="82"/>
      <c r="H300" s="68" t="str">
        <f t="shared" si="146"/>
        <v>Hyprev7_20211114_18_00</v>
      </c>
      <c r="I300" s="69">
        <f t="shared" si="149"/>
        <v>1</v>
      </c>
      <c r="J300" s="76" t="str">
        <f t="shared" si="149"/>
        <v>Hypericum</v>
      </c>
      <c r="K300" s="76" t="str">
        <f t="shared" si="149"/>
        <v>revolutum</v>
      </c>
      <c r="L300" s="77">
        <f t="shared" si="149"/>
        <v>7</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v>
      </c>
      <c r="C301" s="73">
        <f t="shared" si="145"/>
        <v>14</v>
      </c>
      <c r="D301" s="74">
        <f t="shared" si="128"/>
        <v>18</v>
      </c>
      <c r="E301" s="75">
        <f t="shared" si="129"/>
        <v>52</v>
      </c>
      <c r="F301" s="79">
        <v>10</v>
      </c>
      <c r="G301" s="82"/>
      <c r="H301" s="68" t="str">
        <f t="shared" si="146"/>
        <v>Hyprev7_20211114_18_00</v>
      </c>
      <c r="I301" s="69">
        <f t="shared" si="149"/>
        <v>1</v>
      </c>
      <c r="J301" s="76" t="str">
        <f t="shared" si="149"/>
        <v>Hypericum</v>
      </c>
      <c r="K301" s="76" t="str">
        <f t="shared" si="149"/>
        <v>revolutum</v>
      </c>
      <c r="L301" s="77">
        <f t="shared" si="149"/>
        <v>7</v>
      </c>
      <c r="M301" s="77">
        <f t="shared" si="149"/>
        <v>2</v>
      </c>
      <c r="N301" s="71">
        <f t="shared" si="149"/>
        <v>0</v>
      </c>
      <c r="O301" s="44"/>
      <c r="P301" s="45">
        <f t="shared" si="130"/>
        <v>1</v>
      </c>
      <c r="Q301" s="46" t="str">
        <f t="shared" si="131"/>
        <v>18:52:10</v>
      </c>
      <c r="R301" s="47" t="str">
        <f t="shared" si="132"/>
        <v>52:10</v>
      </c>
      <c r="S301" s="48">
        <f t="shared" si="121"/>
        <v>9</v>
      </c>
      <c r="T301" s="47" t="str">
        <f t="shared" si="133"/>
        <v>18</v>
      </c>
      <c r="U301" s="49">
        <v>52</v>
      </c>
      <c r="V301" s="50">
        <v>19</v>
      </c>
      <c r="W301" s="51" t="str">
        <f t="shared" si="134"/>
        <v>52:19</v>
      </c>
      <c r="X301" s="52" t="s">
        <v>116</v>
      </c>
      <c r="Y301" s="124" t="s">
        <v>260</v>
      </c>
      <c r="Z301" s="124"/>
      <c r="AA301" s="47" t="s">
        <v>255</v>
      </c>
      <c r="AB301" s="47" t="str">
        <f t="shared" si="135"/>
        <v>NA</v>
      </c>
      <c r="AC301" s="53" t="str">
        <f t="shared" si="136"/>
        <v/>
      </c>
      <c r="AD301" s="54">
        <f t="shared" si="137"/>
        <v>1</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t="s">
        <v>121</v>
      </c>
      <c r="AT301" s="58"/>
      <c r="AU301" s="58"/>
      <c r="AV301" s="59"/>
      <c r="AW301" s="60">
        <f t="shared" si="122"/>
        <v>0</v>
      </c>
      <c r="AX301" s="61" t="str">
        <f t="shared" si="123"/>
        <v/>
      </c>
      <c r="AY301" s="60">
        <f t="shared" si="124"/>
        <v>0</v>
      </c>
      <c r="AZ301" s="61" t="str">
        <f t="shared" si="125"/>
        <v/>
      </c>
    </row>
    <row r="302" spans="1:52" s="3" customFormat="1" hidden="1" x14ac:dyDescent="0.35">
      <c r="A302" s="72">
        <f t="shared" si="126"/>
        <v>2021</v>
      </c>
      <c r="B302" s="72" t="str">
        <f t="shared" si="127"/>
        <v>Nov</v>
      </c>
      <c r="C302" s="73">
        <f t="shared" si="145"/>
        <v>14</v>
      </c>
      <c r="D302" s="74">
        <f t="shared" si="128"/>
        <v>18</v>
      </c>
      <c r="E302" s="75">
        <v>52</v>
      </c>
      <c r="F302" s="79">
        <v>22</v>
      </c>
      <c r="G302" s="82"/>
      <c r="H302" s="68" t="str">
        <f t="shared" si="146"/>
        <v>Hyprev7_20211114_18_00</v>
      </c>
      <c r="I302" s="69">
        <f t="shared" si="149"/>
        <v>1</v>
      </c>
      <c r="J302" s="76" t="str">
        <f t="shared" si="149"/>
        <v>Hypericum</v>
      </c>
      <c r="K302" s="76" t="str">
        <f t="shared" si="149"/>
        <v>revolutum</v>
      </c>
      <c r="L302" s="77">
        <f t="shared" si="149"/>
        <v>7</v>
      </c>
      <c r="M302" s="77">
        <f t="shared" si="149"/>
        <v>2</v>
      </c>
      <c r="N302" s="71">
        <f t="shared" si="149"/>
        <v>0</v>
      </c>
      <c r="O302" s="44"/>
      <c r="P302" s="45">
        <f t="shared" si="130"/>
        <v>1</v>
      </c>
      <c r="Q302" s="46" t="str">
        <f t="shared" si="131"/>
        <v>18:52:22</v>
      </c>
      <c r="R302" s="47" t="str">
        <f t="shared" si="132"/>
        <v>52:22</v>
      </c>
      <c r="S302" s="48">
        <f t="shared" si="121"/>
        <v>11</v>
      </c>
      <c r="T302" s="47" t="str">
        <f t="shared" si="133"/>
        <v>18</v>
      </c>
      <c r="U302" s="49">
        <v>52</v>
      </c>
      <c r="V302" s="50">
        <v>33</v>
      </c>
      <c r="W302" s="51" t="str">
        <f t="shared" si="134"/>
        <v>52:33</v>
      </c>
      <c r="X302" s="52" t="s">
        <v>116</v>
      </c>
      <c r="Y302" s="124" t="s">
        <v>260</v>
      </c>
      <c r="Z302" s="124"/>
      <c r="AA302" s="47" t="s">
        <v>255</v>
      </c>
      <c r="AB302" s="47" t="str">
        <f t="shared" si="135"/>
        <v>NA</v>
      </c>
      <c r="AC302" s="53" t="str">
        <f t="shared" si="136"/>
        <v/>
      </c>
      <c r="AD302" s="54">
        <f t="shared" si="137"/>
        <v>1</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t="s">
        <v>122</v>
      </c>
      <c r="AT302" s="58"/>
      <c r="AU302" s="58"/>
      <c r="AV302" s="59"/>
      <c r="AW302" s="60">
        <f t="shared" si="122"/>
        <v>0</v>
      </c>
      <c r="AX302" s="61" t="str">
        <f t="shared" si="123"/>
        <v/>
      </c>
      <c r="AY302" s="60">
        <f t="shared" si="124"/>
        <v>0</v>
      </c>
      <c r="AZ302" s="61" t="str">
        <f t="shared" si="125"/>
        <v/>
      </c>
    </row>
    <row r="303" spans="1:52" s="3" customFormat="1" hidden="1" x14ac:dyDescent="0.35">
      <c r="A303" s="72">
        <f t="shared" si="126"/>
        <v>2021</v>
      </c>
      <c r="B303" s="72" t="str">
        <f t="shared" si="127"/>
        <v>Nov</v>
      </c>
      <c r="C303" s="73">
        <f t="shared" si="145"/>
        <v>14</v>
      </c>
      <c r="D303" s="74">
        <f t="shared" si="128"/>
        <v>18</v>
      </c>
      <c r="E303" s="75">
        <v>52</v>
      </c>
      <c r="F303" s="79">
        <v>35</v>
      </c>
      <c r="G303" s="82"/>
      <c r="H303" s="68" t="str">
        <f t="shared" si="146"/>
        <v>Hyprev7_20211114_18_00</v>
      </c>
      <c r="I303" s="69">
        <f t="shared" si="149"/>
        <v>1</v>
      </c>
      <c r="J303" s="76" t="str">
        <f t="shared" si="149"/>
        <v>Hypericum</v>
      </c>
      <c r="K303" s="76" t="str">
        <f t="shared" si="149"/>
        <v>revolutum</v>
      </c>
      <c r="L303" s="77">
        <f t="shared" si="149"/>
        <v>7</v>
      </c>
      <c r="M303" s="77">
        <f t="shared" si="149"/>
        <v>2</v>
      </c>
      <c r="N303" s="71">
        <f t="shared" si="149"/>
        <v>0</v>
      </c>
      <c r="O303" s="44"/>
      <c r="P303" s="45">
        <f t="shared" si="130"/>
        <v>1</v>
      </c>
      <c r="Q303" s="46" t="str">
        <f t="shared" si="131"/>
        <v>18:52:35</v>
      </c>
      <c r="R303" s="47" t="str">
        <f t="shared" si="132"/>
        <v>52:35</v>
      </c>
      <c r="S303" s="48">
        <f t="shared" si="121"/>
        <v>21</v>
      </c>
      <c r="T303" s="47" t="str">
        <f t="shared" si="133"/>
        <v>18</v>
      </c>
      <c r="U303" s="49">
        <v>52</v>
      </c>
      <c r="V303" s="50">
        <v>56</v>
      </c>
      <c r="W303" s="51" t="str">
        <f t="shared" si="134"/>
        <v>52:56</v>
      </c>
      <c r="X303" s="84" t="s">
        <v>116</v>
      </c>
      <c r="Y303" s="124" t="s">
        <v>260</v>
      </c>
      <c r="Z303" s="127"/>
      <c r="AA303" s="47" t="s">
        <v>255</v>
      </c>
      <c r="AB303" s="47" t="str">
        <f t="shared" si="135"/>
        <v>NA</v>
      </c>
      <c r="AC303" s="53" t="str">
        <f t="shared" si="136"/>
        <v/>
      </c>
      <c r="AD303" s="54">
        <f t="shared" si="137"/>
        <v>1</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t="s">
        <v>123</v>
      </c>
      <c r="AT303" s="58"/>
      <c r="AU303" s="58"/>
      <c r="AV303" s="59"/>
      <c r="AW303" s="60">
        <f t="shared" si="122"/>
        <v>0</v>
      </c>
      <c r="AX303" s="61" t="str">
        <f t="shared" si="123"/>
        <v/>
      </c>
      <c r="AY303" s="60">
        <f t="shared" si="124"/>
        <v>0</v>
      </c>
      <c r="AZ303" s="61" t="str">
        <f t="shared" si="125"/>
        <v/>
      </c>
    </row>
    <row r="304" spans="1:52" s="3" customFormat="1" hidden="1" x14ac:dyDescent="0.35">
      <c r="A304" s="72">
        <f t="shared" si="126"/>
        <v>2021</v>
      </c>
      <c r="B304" s="72" t="str">
        <f t="shared" si="127"/>
        <v>Nov</v>
      </c>
      <c r="C304" s="73">
        <f t="shared" si="145"/>
        <v>14</v>
      </c>
      <c r="D304" s="74">
        <f t="shared" si="128"/>
        <v>18</v>
      </c>
      <c r="E304" s="75">
        <v>52</v>
      </c>
      <c r="F304" s="79">
        <v>59</v>
      </c>
      <c r="G304" s="82"/>
      <c r="H304" s="68" t="str">
        <f t="shared" si="146"/>
        <v>Hyprev7_20211114_18_00</v>
      </c>
      <c r="I304" s="69">
        <f t="shared" si="149"/>
        <v>1</v>
      </c>
      <c r="J304" s="76" t="str">
        <f t="shared" si="149"/>
        <v>Hypericum</v>
      </c>
      <c r="K304" s="76" t="str">
        <f t="shared" si="149"/>
        <v>revolutum</v>
      </c>
      <c r="L304" s="77">
        <f t="shared" si="149"/>
        <v>7</v>
      </c>
      <c r="M304" s="77">
        <f t="shared" si="149"/>
        <v>2</v>
      </c>
      <c r="N304" s="71">
        <f t="shared" si="149"/>
        <v>0</v>
      </c>
      <c r="O304" s="44"/>
      <c r="P304" s="45">
        <f t="shared" si="130"/>
        <v>1</v>
      </c>
      <c r="Q304" s="46" t="str">
        <f t="shared" si="131"/>
        <v>18:52:59</v>
      </c>
      <c r="R304" s="47" t="str">
        <f t="shared" si="132"/>
        <v>52:59</v>
      </c>
      <c r="S304" s="48">
        <f t="shared" si="121"/>
        <v>0</v>
      </c>
      <c r="T304" s="47" t="str">
        <f t="shared" si="133"/>
        <v>18</v>
      </c>
      <c r="U304" s="49">
        <v>52</v>
      </c>
      <c r="V304" s="50">
        <v>59</v>
      </c>
      <c r="W304" s="51" t="str">
        <f t="shared" si="134"/>
        <v>52:59</v>
      </c>
      <c r="X304" s="52" t="s">
        <v>116</v>
      </c>
      <c r="Y304" s="124" t="s">
        <v>260</v>
      </c>
      <c r="Z304" s="124"/>
      <c r="AA304" s="47" t="s">
        <v>255</v>
      </c>
      <c r="AB304" s="47" t="str">
        <f t="shared" si="135"/>
        <v>NA</v>
      </c>
      <c r="AC304" s="53">
        <f t="shared" si="136"/>
        <v>0</v>
      </c>
      <c r="AD304" s="54">
        <f t="shared" si="137"/>
        <v>1</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t="s">
        <v>124</v>
      </c>
      <c r="AT304" s="58"/>
      <c r="AU304" s="58"/>
      <c r="AV304" s="59"/>
      <c r="AW304" s="60">
        <f t="shared" si="122"/>
        <v>0</v>
      </c>
      <c r="AX304" s="61" t="str">
        <f t="shared" si="123"/>
        <v/>
      </c>
      <c r="AY304" s="60">
        <f t="shared" si="124"/>
        <v>0</v>
      </c>
      <c r="AZ304" s="61" t="str">
        <f t="shared" si="125"/>
        <v/>
      </c>
    </row>
    <row r="305" spans="1:52" s="3" customFormat="1" hidden="1" x14ac:dyDescent="0.35">
      <c r="A305" s="72">
        <f t="shared" si="126"/>
        <v>2021</v>
      </c>
      <c r="B305" s="72" t="str">
        <f t="shared" si="127"/>
        <v>Nov</v>
      </c>
      <c r="C305" s="73">
        <f t="shared" si="145"/>
        <v>14</v>
      </c>
      <c r="D305" s="74">
        <f t="shared" si="128"/>
        <v>18</v>
      </c>
      <c r="E305" s="75">
        <f t="shared" si="129"/>
        <v>53</v>
      </c>
      <c r="F305" s="79">
        <v>4</v>
      </c>
      <c r="G305" s="82"/>
      <c r="H305" s="68" t="str">
        <f t="shared" si="146"/>
        <v>Hyprev7_20211114_18_00</v>
      </c>
      <c r="I305" s="69">
        <f t="shared" si="149"/>
        <v>1</v>
      </c>
      <c r="J305" s="76" t="str">
        <f t="shared" si="149"/>
        <v>Hypericum</v>
      </c>
      <c r="K305" s="76" t="str">
        <f t="shared" si="149"/>
        <v>revolutum</v>
      </c>
      <c r="L305" s="77">
        <f t="shared" si="149"/>
        <v>7</v>
      </c>
      <c r="M305" s="77">
        <f t="shared" si="149"/>
        <v>2</v>
      </c>
      <c r="N305" s="71">
        <f t="shared" si="149"/>
        <v>0</v>
      </c>
      <c r="O305" s="44"/>
      <c r="P305" s="45">
        <f t="shared" si="130"/>
        <v>1</v>
      </c>
      <c r="Q305" s="46" t="str">
        <f t="shared" si="131"/>
        <v>18:53:04</v>
      </c>
      <c r="R305" s="47" t="str">
        <f t="shared" si="132"/>
        <v>53:04</v>
      </c>
      <c r="S305" s="48">
        <f t="shared" si="121"/>
        <v>6</v>
      </c>
      <c r="T305" s="47" t="str">
        <f t="shared" si="133"/>
        <v>18</v>
      </c>
      <c r="U305" s="49">
        <v>53</v>
      </c>
      <c r="V305" s="50">
        <v>10</v>
      </c>
      <c r="W305" s="51" t="str">
        <f t="shared" si="134"/>
        <v>53:10</v>
      </c>
      <c r="X305" s="52" t="s">
        <v>116</v>
      </c>
      <c r="Y305" s="124" t="s">
        <v>260</v>
      </c>
      <c r="Z305" s="124"/>
      <c r="AA305" s="47" t="s">
        <v>255</v>
      </c>
      <c r="AB305" s="47" t="str">
        <f t="shared" si="135"/>
        <v>NA</v>
      </c>
      <c r="AC305" s="53" t="str">
        <f t="shared" si="136"/>
        <v/>
      </c>
      <c r="AD305" s="54">
        <f t="shared" si="137"/>
        <v>1</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t="s">
        <v>121</v>
      </c>
      <c r="AT305" s="58"/>
      <c r="AU305" s="58"/>
      <c r="AV305" s="59"/>
      <c r="AW305" s="60">
        <f t="shared" si="122"/>
        <v>0</v>
      </c>
      <c r="AX305" s="61" t="str">
        <f t="shared" si="123"/>
        <v/>
      </c>
      <c r="AY305" s="60">
        <f t="shared" si="124"/>
        <v>0</v>
      </c>
      <c r="AZ305" s="61" t="str">
        <f t="shared" si="125"/>
        <v/>
      </c>
    </row>
    <row r="306" spans="1:52" s="3" customFormat="1" hidden="1" x14ac:dyDescent="0.35">
      <c r="A306" s="72">
        <f t="shared" si="126"/>
        <v>2021</v>
      </c>
      <c r="B306" s="72" t="str">
        <f t="shared" si="127"/>
        <v>Nov</v>
      </c>
      <c r="C306" s="73">
        <f t="shared" si="145"/>
        <v>14</v>
      </c>
      <c r="D306" s="74">
        <f t="shared" si="128"/>
        <v>18</v>
      </c>
      <c r="E306" s="75">
        <v>53</v>
      </c>
      <c r="F306" s="79">
        <v>24</v>
      </c>
      <c r="G306" s="82"/>
      <c r="H306" s="68" t="str">
        <f t="shared" si="146"/>
        <v>Hyprev7_20211114_18_00</v>
      </c>
      <c r="I306" s="69">
        <f t="shared" si="149"/>
        <v>1</v>
      </c>
      <c r="J306" s="76" t="str">
        <f t="shared" si="149"/>
        <v>Hypericum</v>
      </c>
      <c r="K306" s="76" t="str">
        <f t="shared" si="149"/>
        <v>revolutum</v>
      </c>
      <c r="L306" s="77">
        <f t="shared" si="149"/>
        <v>7</v>
      </c>
      <c r="M306" s="77">
        <f t="shared" si="149"/>
        <v>2</v>
      </c>
      <c r="N306" s="71">
        <f t="shared" si="149"/>
        <v>0</v>
      </c>
      <c r="O306" s="44"/>
      <c r="P306" s="45">
        <f t="shared" si="130"/>
        <v>1</v>
      </c>
      <c r="Q306" s="46" t="str">
        <f t="shared" si="131"/>
        <v>18:53:24</v>
      </c>
      <c r="R306" s="47" t="str">
        <f t="shared" si="132"/>
        <v>53:24</v>
      </c>
      <c r="S306" s="48">
        <f t="shared" si="121"/>
        <v>0</v>
      </c>
      <c r="T306" s="47" t="str">
        <f t="shared" si="133"/>
        <v>18</v>
      </c>
      <c r="U306" s="49">
        <v>53</v>
      </c>
      <c r="V306" s="50">
        <v>24</v>
      </c>
      <c r="W306" s="51" t="str">
        <f t="shared" si="134"/>
        <v>53:24</v>
      </c>
      <c r="X306" s="52" t="s">
        <v>116</v>
      </c>
      <c r="Y306" s="124" t="s">
        <v>260</v>
      </c>
      <c r="Z306" s="124"/>
      <c r="AA306" s="47" t="s">
        <v>255</v>
      </c>
      <c r="AB306" s="47" t="str">
        <f t="shared" si="135"/>
        <v>NA</v>
      </c>
      <c r="AC306" s="53">
        <f t="shared" si="136"/>
        <v>0</v>
      </c>
      <c r="AD306" s="54">
        <f t="shared" si="137"/>
        <v>1</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t="s">
        <v>125</v>
      </c>
      <c r="AT306" s="58"/>
      <c r="AU306" s="58"/>
      <c r="AV306" s="59"/>
      <c r="AW306" s="60">
        <f t="shared" si="122"/>
        <v>0</v>
      </c>
      <c r="AX306" s="61" t="str">
        <f t="shared" si="123"/>
        <v/>
      </c>
      <c r="AY306" s="60">
        <f t="shared" si="124"/>
        <v>0</v>
      </c>
      <c r="AZ306" s="61" t="str">
        <f t="shared" si="125"/>
        <v/>
      </c>
    </row>
    <row r="307" spans="1:52" s="3" customFormat="1" hidden="1" x14ac:dyDescent="0.35">
      <c r="A307" s="72">
        <f t="shared" si="126"/>
        <v>2021</v>
      </c>
      <c r="B307" s="72" t="str">
        <f t="shared" si="127"/>
        <v>Nov</v>
      </c>
      <c r="C307" s="73">
        <f t="shared" si="145"/>
        <v>14</v>
      </c>
      <c r="D307" s="74">
        <f t="shared" si="128"/>
        <v>18</v>
      </c>
      <c r="E307" s="75">
        <f t="shared" si="129"/>
        <v>54</v>
      </c>
      <c r="F307" s="79"/>
      <c r="G307" s="82"/>
      <c r="H307" s="68" t="str">
        <f t="shared" si="146"/>
        <v>Hyprev7_20211114_18_00</v>
      </c>
      <c r="I307" s="69">
        <f t="shared" si="149"/>
        <v>1</v>
      </c>
      <c r="J307" s="76" t="str">
        <f t="shared" si="149"/>
        <v>Hypericum</v>
      </c>
      <c r="K307" s="76" t="str">
        <f t="shared" si="149"/>
        <v>revolutum</v>
      </c>
      <c r="L307" s="77">
        <f t="shared" si="149"/>
        <v>7</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v>
      </c>
      <c r="C308" s="73">
        <f t="shared" si="145"/>
        <v>14</v>
      </c>
      <c r="D308" s="74">
        <f t="shared" si="128"/>
        <v>18</v>
      </c>
      <c r="E308" s="75">
        <f t="shared" si="129"/>
        <v>55</v>
      </c>
      <c r="F308" s="79"/>
      <c r="G308" s="82"/>
      <c r="H308" s="68" t="str">
        <f t="shared" si="146"/>
        <v>Hyprev7_20211114_18_00</v>
      </c>
      <c r="I308" s="69">
        <f t="shared" si="149"/>
        <v>1</v>
      </c>
      <c r="J308" s="76" t="str">
        <f t="shared" si="149"/>
        <v>Hypericum</v>
      </c>
      <c r="K308" s="76" t="str">
        <f t="shared" si="149"/>
        <v>revolutum</v>
      </c>
      <c r="L308" s="77">
        <f t="shared" si="149"/>
        <v>7</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v>
      </c>
      <c r="C309" s="73">
        <f t="shared" si="145"/>
        <v>14</v>
      </c>
      <c r="D309" s="74">
        <f t="shared" si="128"/>
        <v>18</v>
      </c>
      <c r="E309" s="75">
        <f t="shared" si="129"/>
        <v>56</v>
      </c>
      <c r="F309" s="79">
        <v>46</v>
      </c>
      <c r="G309" s="82"/>
      <c r="H309" s="68" t="str">
        <f t="shared" si="146"/>
        <v>Hyprev7_20211114_18_00</v>
      </c>
      <c r="I309" s="69">
        <f t="shared" ref="I309:N324" si="150">I308</f>
        <v>1</v>
      </c>
      <c r="J309" s="76" t="str">
        <f t="shared" si="150"/>
        <v>Hypericum</v>
      </c>
      <c r="K309" s="76" t="str">
        <f t="shared" si="150"/>
        <v>revolutum</v>
      </c>
      <c r="L309" s="77">
        <f t="shared" si="150"/>
        <v>7</v>
      </c>
      <c r="M309" s="77">
        <f t="shared" si="150"/>
        <v>2</v>
      </c>
      <c r="N309" s="71">
        <f t="shared" si="150"/>
        <v>0</v>
      </c>
      <c r="O309" s="44"/>
      <c r="P309" s="45">
        <f t="shared" si="130"/>
        <v>1</v>
      </c>
      <c r="Q309" s="46" t="str">
        <f t="shared" si="131"/>
        <v>18:56:46</v>
      </c>
      <c r="R309" s="47" t="str">
        <f t="shared" si="132"/>
        <v>56:46</v>
      </c>
      <c r="S309" s="48">
        <f t="shared" si="121"/>
        <v>30</v>
      </c>
      <c r="T309" s="47" t="str">
        <f t="shared" si="133"/>
        <v>18</v>
      </c>
      <c r="U309" s="49">
        <v>57</v>
      </c>
      <c r="V309" s="50">
        <v>16</v>
      </c>
      <c r="W309" s="51" t="str">
        <f t="shared" si="134"/>
        <v>57:16</v>
      </c>
      <c r="X309" s="52" t="s">
        <v>116</v>
      </c>
      <c r="Y309" s="124" t="s">
        <v>260</v>
      </c>
      <c r="Z309" s="124"/>
      <c r="AA309" s="47" t="s">
        <v>255</v>
      </c>
      <c r="AB309" s="47" t="str">
        <f t="shared" si="135"/>
        <v>NA</v>
      </c>
      <c r="AC309" s="53" t="str">
        <f t="shared" si="136"/>
        <v/>
      </c>
      <c r="AD309" s="54">
        <f t="shared" si="137"/>
        <v>1</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t="s">
        <v>126</v>
      </c>
      <c r="AT309" s="58"/>
      <c r="AU309" s="58"/>
      <c r="AV309" s="59"/>
      <c r="AW309" s="60">
        <f t="shared" si="122"/>
        <v>0</v>
      </c>
      <c r="AX309" s="61" t="str">
        <f t="shared" si="123"/>
        <v/>
      </c>
      <c r="AY309" s="60">
        <f t="shared" si="124"/>
        <v>0</v>
      </c>
      <c r="AZ309" s="61" t="str">
        <f t="shared" si="125"/>
        <v/>
      </c>
    </row>
    <row r="310" spans="1:52" s="3" customFormat="1" hidden="1" x14ac:dyDescent="0.35">
      <c r="A310" s="72">
        <f t="shared" si="126"/>
        <v>2021</v>
      </c>
      <c r="B310" s="72" t="str">
        <f t="shared" si="127"/>
        <v>Nov</v>
      </c>
      <c r="C310" s="73">
        <f t="shared" si="145"/>
        <v>14</v>
      </c>
      <c r="D310" s="74">
        <f t="shared" si="128"/>
        <v>18</v>
      </c>
      <c r="E310" s="75">
        <f t="shared" si="129"/>
        <v>57</v>
      </c>
      <c r="F310" s="79"/>
      <c r="G310" s="82"/>
      <c r="H310" s="68" t="str">
        <f t="shared" si="146"/>
        <v>Hyprev7_20211114_18_00</v>
      </c>
      <c r="I310" s="69">
        <f t="shared" si="150"/>
        <v>1</v>
      </c>
      <c r="J310" s="76" t="str">
        <f t="shared" si="150"/>
        <v>Hypericum</v>
      </c>
      <c r="K310" s="76" t="str">
        <f t="shared" si="150"/>
        <v>revolutum</v>
      </c>
      <c r="L310" s="77">
        <f t="shared" si="150"/>
        <v>7</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v>
      </c>
      <c r="C311" s="73">
        <f t="shared" si="145"/>
        <v>14</v>
      </c>
      <c r="D311" s="74">
        <f t="shared" si="128"/>
        <v>18</v>
      </c>
      <c r="E311" s="75">
        <f t="shared" si="129"/>
        <v>58</v>
      </c>
      <c r="F311" s="79">
        <v>19</v>
      </c>
      <c r="G311" s="82"/>
      <c r="H311" s="68" t="str">
        <f t="shared" si="146"/>
        <v>Hyprev7_20211114_18_00</v>
      </c>
      <c r="I311" s="69">
        <f t="shared" si="150"/>
        <v>1</v>
      </c>
      <c r="J311" s="76" t="str">
        <f t="shared" si="150"/>
        <v>Hypericum</v>
      </c>
      <c r="K311" s="76" t="str">
        <f t="shared" si="150"/>
        <v>revolutum</v>
      </c>
      <c r="L311" s="77">
        <f t="shared" si="150"/>
        <v>7</v>
      </c>
      <c r="M311" s="77">
        <f t="shared" si="150"/>
        <v>2</v>
      </c>
      <c r="N311" s="71">
        <f t="shared" si="150"/>
        <v>0</v>
      </c>
      <c r="O311" s="44"/>
      <c r="P311" s="45">
        <f t="shared" si="130"/>
        <v>1</v>
      </c>
      <c r="Q311" s="46" t="str">
        <f t="shared" si="131"/>
        <v>18:58:19</v>
      </c>
      <c r="R311" s="47" t="str">
        <f t="shared" si="132"/>
        <v>58:19</v>
      </c>
      <c r="S311" s="48">
        <f t="shared" si="121"/>
        <v>4</v>
      </c>
      <c r="T311" s="47" t="str">
        <f t="shared" si="133"/>
        <v>18</v>
      </c>
      <c r="U311" s="49">
        <v>58</v>
      </c>
      <c r="V311" s="50">
        <v>23</v>
      </c>
      <c r="W311" s="51" t="str">
        <f t="shared" si="134"/>
        <v>58:23</v>
      </c>
      <c r="X311" s="52" t="s">
        <v>116</v>
      </c>
      <c r="Y311" s="124" t="s">
        <v>260</v>
      </c>
      <c r="Z311" s="124"/>
      <c r="AA311" s="47" t="s">
        <v>255</v>
      </c>
      <c r="AB311" s="47" t="str">
        <f t="shared" si="135"/>
        <v>NA</v>
      </c>
      <c r="AC311" s="53" t="str">
        <f t="shared" si="136"/>
        <v/>
      </c>
      <c r="AD311" s="54">
        <f t="shared" si="137"/>
        <v>1</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t="s">
        <v>127</v>
      </c>
      <c r="AT311" s="58"/>
      <c r="AU311" s="58"/>
      <c r="AV311" s="59"/>
      <c r="AW311" s="60">
        <f t="shared" si="122"/>
        <v>0</v>
      </c>
      <c r="AX311" s="61" t="str">
        <f t="shared" si="123"/>
        <v/>
      </c>
      <c r="AY311" s="60">
        <f t="shared" si="124"/>
        <v>0</v>
      </c>
      <c r="AZ311" s="61" t="str">
        <f t="shared" si="125"/>
        <v/>
      </c>
    </row>
    <row r="312" spans="1:52" s="3" customFormat="1" hidden="1" x14ac:dyDescent="0.35">
      <c r="A312" s="72">
        <f t="shared" si="126"/>
        <v>2021</v>
      </c>
      <c r="B312" s="72" t="str">
        <f t="shared" si="127"/>
        <v>Nov</v>
      </c>
      <c r="C312" s="73">
        <f t="shared" si="145"/>
        <v>14</v>
      </c>
      <c r="D312" s="74">
        <f t="shared" si="128"/>
        <v>18</v>
      </c>
      <c r="E312" s="75">
        <f t="shared" si="129"/>
        <v>59</v>
      </c>
      <c r="F312" s="79"/>
      <c r="G312" s="82"/>
      <c r="H312" s="68" t="str">
        <f t="shared" si="146"/>
        <v>Hyprev7_20211114_18_00</v>
      </c>
      <c r="I312" s="69">
        <f t="shared" si="150"/>
        <v>1</v>
      </c>
      <c r="J312" s="76" t="str">
        <f t="shared" si="150"/>
        <v>Hypericum</v>
      </c>
      <c r="K312" s="76" t="str">
        <f t="shared" si="150"/>
        <v>revolutum</v>
      </c>
      <c r="L312" s="77">
        <f t="shared" si="150"/>
        <v>7</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v>
      </c>
      <c r="C313" s="73">
        <f t="shared" si="145"/>
        <v>14</v>
      </c>
      <c r="D313" s="74">
        <f t="shared" si="128"/>
        <v>19</v>
      </c>
      <c r="E313" s="75">
        <f t="shared" si="129"/>
        <v>0</v>
      </c>
      <c r="F313" s="79"/>
      <c r="G313" s="82"/>
      <c r="H313" s="68" t="str">
        <f t="shared" si="146"/>
        <v>Hyprev7_20211114_19_00</v>
      </c>
      <c r="I313" s="69">
        <f t="shared" si="150"/>
        <v>1</v>
      </c>
      <c r="J313" s="76" t="str">
        <f t="shared" si="150"/>
        <v>Hypericum</v>
      </c>
      <c r="K313" s="76" t="str">
        <f t="shared" si="150"/>
        <v>revolutum</v>
      </c>
      <c r="L313" s="77">
        <f t="shared" si="150"/>
        <v>7</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v>
      </c>
      <c r="C314" s="73">
        <f t="shared" si="145"/>
        <v>14</v>
      </c>
      <c r="D314" s="74">
        <f t="shared" si="128"/>
        <v>19</v>
      </c>
      <c r="E314" s="75">
        <f t="shared" si="129"/>
        <v>1</v>
      </c>
      <c r="F314" s="79"/>
      <c r="G314" s="82"/>
      <c r="H314" s="68" t="str">
        <f t="shared" si="146"/>
        <v>Hyprev7_20211114_19_00</v>
      </c>
      <c r="I314" s="69">
        <f t="shared" si="150"/>
        <v>1</v>
      </c>
      <c r="J314" s="76" t="str">
        <f t="shared" si="150"/>
        <v>Hypericum</v>
      </c>
      <c r="K314" s="76" t="str">
        <f t="shared" si="150"/>
        <v>revolutum</v>
      </c>
      <c r="L314" s="77">
        <f t="shared" si="150"/>
        <v>7</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v>
      </c>
      <c r="C315" s="73">
        <f t="shared" si="145"/>
        <v>14</v>
      </c>
      <c r="D315" s="74">
        <f t="shared" si="128"/>
        <v>19</v>
      </c>
      <c r="E315" s="75">
        <f t="shared" si="129"/>
        <v>2</v>
      </c>
      <c r="F315" s="79"/>
      <c r="G315" s="82"/>
      <c r="H315" s="68" t="str">
        <f t="shared" si="146"/>
        <v>Hyprev7_20211114_19_00</v>
      </c>
      <c r="I315" s="69">
        <f t="shared" si="150"/>
        <v>1</v>
      </c>
      <c r="J315" s="76" t="str">
        <f t="shared" si="150"/>
        <v>Hypericum</v>
      </c>
      <c r="K315" s="76" t="str">
        <f t="shared" si="150"/>
        <v>revolutum</v>
      </c>
      <c r="L315" s="77">
        <f t="shared" si="150"/>
        <v>7</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v>
      </c>
      <c r="C316" s="73">
        <f t="shared" si="145"/>
        <v>14</v>
      </c>
      <c r="D316" s="74">
        <f t="shared" si="128"/>
        <v>19</v>
      </c>
      <c r="E316" s="75">
        <f t="shared" si="129"/>
        <v>3</v>
      </c>
      <c r="F316" s="79"/>
      <c r="G316" s="82"/>
      <c r="H316" s="68" t="str">
        <f t="shared" si="146"/>
        <v>Hyprev7_20211114_19_00</v>
      </c>
      <c r="I316" s="69">
        <f t="shared" si="150"/>
        <v>1</v>
      </c>
      <c r="J316" s="76" t="str">
        <f t="shared" si="150"/>
        <v>Hypericum</v>
      </c>
      <c r="K316" s="76" t="str">
        <f t="shared" si="150"/>
        <v>revolutum</v>
      </c>
      <c r="L316" s="77">
        <f t="shared" si="150"/>
        <v>7</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v>
      </c>
      <c r="C317" s="73">
        <f t="shared" si="145"/>
        <v>14</v>
      </c>
      <c r="D317" s="74">
        <f t="shared" si="128"/>
        <v>19</v>
      </c>
      <c r="E317" s="75">
        <f t="shared" si="129"/>
        <v>4</v>
      </c>
      <c r="F317" s="79"/>
      <c r="G317" s="82"/>
      <c r="H317" s="68" t="str">
        <f t="shared" si="146"/>
        <v>Hyprev7_20211114_19_00</v>
      </c>
      <c r="I317" s="69">
        <f t="shared" si="150"/>
        <v>1</v>
      </c>
      <c r="J317" s="76" t="str">
        <f t="shared" si="150"/>
        <v>Hypericum</v>
      </c>
      <c r="K317" s="76" t="str">
        <f t="shared" si="150"/>
        <v>revolutum</v>
      </c>
      <c r="L317" s="77">
        <f t="shared" si="150"/>
        <v>7</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v>
      </c>
      <c r="C318" s="73">
        <f t="shared" si="145"/>
        <v>14</v>
      </c>
      <c r="D318" s="74">
        <f t="shared" si="128"/>
        <v>19</v>
      </c>
      <c r="E318" s="75">
        <f t="shared" si="129"/>
        <v>5</v>
      </c>
      <c r="F318" s="79"/>
      <c r="G318" s="82"/>
      <c r="H318" s="68" t="str">
        <f t="shared" si="146"/>
        <v>Hyprev7_20211114_19_00</v>
      </c>
      <c r="I318" s="69">
        <f t="shared" si="150"/>
        <v>1</v>
      </c>
      <c r="J318" s="76" t="str">
        <f t="shared" si="150"/>
        <v>Hypericum</v>
      </c>
      <c r="K318" s="76" t="str">
        <f t="shared" si="150"/>
        <v>revolutum</v>
      </c>
      <c r="L318" s="77">
        <f t="shared" si="150"/>
        <v>7</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v>
      </c>
      <c r="C319" s="73">
        <f t="shared" si="145"/>
        <v>14</v>
      </c>
      <c r="D319" s="74">
        <f t="shared" si="128"/>
        <v>19</v>
      </c>
      <c r="E319" s="75">
        <f t="shared" si="129"/>
        <v>6</v>
      </c>
      <c r="F319" s="79"/>
      <c r="G319" s="82"/>
      <c r="H319" s="68" t="str">
        <f t="shared" si="146"/>
        <v>Hyprev7_20211114_19_00</v>
      </c>
      <c r="I319" s="69">
        <f t="shared" si="150"/>
        <v>1</v>
      </c>
      <c r="J319" s="76" t="str">
        <f t="shared" si="150"/>
        <v>Hypericum</v>
      </c>
      <c r="K319" s="76" t="str">
        <f t="shared" si="150"/>
        <v>revolutum</v>
      </c>
      <c r="L319" s="77">
        <f t="shared" si="150"/>
        <v>7</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v>
      </c>
      <c r="C320" s="73">
        <f t="shared" si="145"/>
        <v>14</v>
      </c>
      <c r="D320" s="74">
        <f t="shared" si="128"/>
        <v>19</v>
      </c>
      <c r="E320" s="75">
        <f t="shared" si="129"/>
        <v>7</v>
      </c>
      <c r="F320" s="79"/>
      <c r="G320" s="82"/>
      <c r="H320" s="68" t="str">
        <f t="shared" si="146"/>
        <v>Hyprev7_20211114_19_00</v>
      </c>
      <c r="I320" s="69">
        <f t="shared" si="150"/>
        <v>1</v>
      </c>
      <c r="J320" s="76" t="str">
        <f t="shared" si="150"/>
        <v>Hypericum</v>
      </c>
      <c r="K320" s="76" t="str">
        <f t="shared" si="150"/>
        <v>revolutum</v>
      </c>
      <c r="L320" s="77">
        <f t="shared" si="150"/>
        <v>7</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v>
      </c>
      <c r="C321" s="73">
        <f t="shared" si="145"/>
        <v>14</v>
      </c>
      <c r="D321" s="74">
        <f t="shared" si="128"/>
        <v>19</v>
      </c>
      <c r="E321" s="75">
        <f t="shared" si="129"/>
        <v>8</v>
      </c>
      <c r="F321" s="79"/>
      <c r="G321" s="82"/>
      <c r="H321" s="68" t="str">
        <f t="shared" si="146"/>
        <v>Hyprev7_20211114_19_00</v>
      </c>
      <c r="I321" s="69">
        <f t="shared" si="150"/>
        <v>1</v>
      </c>
      <c r="J321" s="76" t="str">
        <f t="shared" si="150"/>
        <v>Hypericum</v>
      </c>
      <c r="K321" s="76" t="str">
        <f t="shared" si="150"/>
        <v>revolutum</v>
      </c>
      <c r="L321" s="77">
        <f t="shared" si="150"/>
        <v>7</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v>
      </c>
      <c r="C322" s="73">
        <f t="shared" si="145"/>
        <v>14</v>
      </c>
      <c r="D322" s="74">
        <f t="shared" si="128"/>
        <v>19</v>
      </c>
      <c r="E322" s="75">
        <f t="shared" si="129"/>
        <v>9</v>
      </c>
      <c r="F322" s="79"/>
      <c r="G322" s="82"/>
      <c r="H322" s="68" t="str">
        <f t="shared" si="146"/>
        <v>Hyprev7_20211114_19_00</v>
      </c>
      <c r="I322" s="69">
        <f t="shared" si="150"/>
        <v>1</v>
      </c>
      <c r="J322" s="76" t="str">
        <f t="shared" si="150"/>
        <v>Hypericum</v>
      </c>
      <c r="K322" s="76" t="str">
        <f t="shared" si="150"/>
        <v>revolutum</v>
      </c>
      <c r="L322" s="77">
        <f t="shared" si="150"/>
        <v>7</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v>
      </c>
      <c r="C323" s="73">
        <f t="shared" si="145"/>
        <v>14</v>
      </c>
      <c r="D323" s="74">
        <f t="shared" si="128"/>
        <v>19</v>
      </c>
      <c r="E323" s="75">
        <f t="shared" si="129"/>
        <v>10</v>
      </c>
      <c r="F323" s="79"/>
      <c r="G323" s="82"/>
      <c r="H323" s="68" t="str">
        <f t="shared" si="146"/>
        <v>Hyprev7_20211114_19_00</v>
      </c>
      <c r="I323" s="69">
        <f t="shared" si="150"/>
        <v>1</v>
      </c>
      <c r="J323" s="76" t="str">
        <f t="shared" si="150"/>
        <v>Hypericum</v>
      </c>
      <c r="K323" s="76" t="str">
        <f t="shared" si="150"/>
        <v>revolutum</v>
      </c>
      <c r="L323" s="77">
        <f t="shared" si="150"/>
        <v>7</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2021</v>
      </c>
      <c r="B324" s="72" t="str">
        <f t="shared" ref="B324:B387" si="157">IF(C323-C324&gt;0, TEXT(DATE(2016,(MONTH(DATEVALUE(B323&amp;"1"))+1),1),"mmm"), B323)</f>
        <v>Nov</v>
      </c>
      <c r="C324" s="73">
        <f t="shared" si="145"/>
        <v>14</v>
      </c>
      <c r="D324" s="74">
        <f t="shared" ref="D324:D387" si="158">IF(IF(E323=59,D323+1,D323)=24,0,IF(E323=59,D323+1,D323))</f>
        <v>19</v>
      </c>
      <c r="E324" s="75">
        <f t="shared" ref="E324:E387" si="159">IF(E323&lt;59,E323+1,0)</f>
        <v>11</v>
      </c>
      <c r="F324" s="79"/>
      <c r="G324" s="82"/>
      <c r="H324" s="68" t="str">
        <f t="shared" si="146"/>
        <v>Hyprev7_20211114_19_00</v>
      </c>
      <c r="I324" s="69">
        <f t="shared" si="150"/>
        <v>1</v>
      </c>
      <c r="J324" s="76" t="str">
        <f t="shared" si="150"/>
        <v>Hypericum</v>
      </c>
      <c r="K324" s="76" t="str">
        <f t="shared" si="150"/>
        <v>revolutum</v>
      </c>
      <c r="L324" s="77">
        <f t="shared" si="150"/>
        <v>7</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2021</v>
      </c>
      <c r="B325" s="72" t="str">
        <f t="shared" si="157"/>
        <v>Nov</v>
      </c>
      <c r="C325" s="73">
        <f t="shared" ref="C325:C388" si="175">IF(AND(D325=0, E325=0), IF(TEXT(C324,"dd")=TEXT(EOMONTH(DATE(A324,MONTH(DATEVALUE(B324&amp;"1")),C324),0), "dd"), 1, C324+1), C324)</f>
        <v>14</v>
      </c>
      <c r="D325" s="74">
        <f t="shared" si="158"/>
        <v>19</v>
      </c>
      <c r="E325" s="75">
        <f t="shared" si="159"/>
        <v>12</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Hyprev7_20211114_19_00</v>
      </c>
      <c r="I325" s="69">
        <f t="shared" ref="I325:N340" si="177">I324</f>
        <v>1</v>
      </c>
      <c r="J325" s="76" t="str">
        <f t="shared" si="177"/>
        <v>Hypericum</v>
      </c>
      <c r="K325" s="76" t="str">
        <f t="shared" si="177"/>
        <v>revolutum</v>
      </c>
      <c r="L325" s="77">
        <f t="shared" si="177"/>
        <v>7</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v>
      </c>
      <c r="C326" s="73">
        <f t="shared" si="175"/>
        <v>14</v>
      </c>
      <c r="D326" s="74">
        <f t="shared" si="158"/>
        <v>19</v>
      </c>
      <c r="E326" s="75">
        <f t="shared" si="159"/>
        <v>13</v>
      </c>
      <c r="F326" s="79"/>
      <c r="G326" s="82"/>
      <c r="H326" s="68" t="str">
        <f t="shared" si="176"/>
        <v>Hyprev7_20211114_19_00</v>
      </c>
      <c r="I326" s="69">
        <f t="shared" si="177"/>
        <v>1</v>
      </c>
      <c r="J326" s="76" t="str">
        <f t="shared" si="177"/>
        <v>Hypericum</v>
      </c>
      <c r="K326" s="76" t="str">
        <f t="shared" si="177"/>
        <v>revolutum</v>
      </c>
      <c r="L326" s="77">
        <f t="shared" si="177"/>
        <v>7</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v>
      </c>
      <c r="C327" s="73">
        <f t="shared" si="175"/>
        <v>14</v>
      </c>
      <c r="D327" s="74">
        <f t="shared" si="158"/>
        <v>19</v>
      </c>
      <c r="E327" s="75">
        <f t="shared" si="159"/>
        <v>14</v>
      </c>
      <c r="F327" s="79"/>
      <c r="G327" s="82"/>
      <c r="H327" s="68" t="str">
        <f t="shared" si="176"/>
        <v>Hyprev7_20211114_19_00</v>
      </c>
      <c r="I327" s="69">
        <f t="shared" si="177"/>
        <v>1</v>
      </c>
      <c r="J327" s="76" t="str">
        <f t="shared" si="177"/>
        <v>Hypericum</v>
      </c>
      <c r="K327" s="76" t="str">
        <f t="shared" si="177"/>
        <v>revolutum</v>
      </c>
      <c r="L327" s="77">
        <f t="shared" si="177"/>
        <v>7</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v>
      </c>
      <c r="C328" s="73">
        <f t="shared" si="175"/>
        <v>14</v>
      </c>
      <c r="D328" s="74">
        <f t="shared" si="158"/>
        <v>19</v>
      </c>
      <c r="E328" s="75">
        <f t="shared" si="159"/>
        <v>15</v>
      </c>
      <c r="F328" s="79"/>
      <c r="G328" s="82"/>
      <c r="H328" s="68" t="str">
        <f t="shared" si="176"/>
        <v>Hyprev7_20211114_19_00</v>
      </c>
      <c r="I328" s="69">
        <f t="shared" si="177"/>
        <v>1</v>
      </c>
      <c r="J328" s="76" t="str">
        <f t="shared" si="177"/>
        <v>Hypericum</v>
      </c>
      <c r="K328" s="76" t="str">
        <f t="shared" si="177"/>
        <v>revolutum</v>
      </c>
      <c r="L328" s="77">
        <f t="shared" si="177"/>
        <v>7</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v>
      </c>
      <c r="C329" s="73">
        <f t="shared" si="175"/>
        <v>14</v>
      </c>
      <c r="D329" s="74">
        <f t="shared" si="158"/>
        <v>19</v>
      </c>
      <c r="E329" s="75">
        <f t="shared" si="159"/>
        <v>16</v>
      </c>
      <c r="F329" s="79"/>
      <c r="G329" s="82"/>
      <c r="H329" s="68" t="str">
        <f t="shared" si="176"/>
        <v>Hyprev7_20211114_19_00</v>
      </c>
      <c r="I329" s="69">
        <f t="shared" si="177"/>
        <v>1</v>
      </c>
      <c r="J329" s="76" t="str">
        <f t="shared" si="177"/>
        <v>Hypericum</v>
      </c>
      <c r="K329" s="76" t="str">
        <f t="shared" si="177"/>
        <v>revolutum</v>
      </c>
      <c r="L329" s="77">
        <f t="shared" si="177"/>
        <v>7</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v>
      </c>
      <c r="C330" s="73">
        <f t="shared" si="175"/>
        <v>14</v>
      </c>
      <c r="D330" s="74">
        <f t="shared" si="158"/>
        <v>19</v>
      </c>
      <c r="E330" s="75">
        <f t="shared" si="159"/>
        <v>17</v>
      </c>
      <c r="F330" s="79"/>
      <c r="G330" s="82"/>
      <c r="H330" s="68" t="str">
        <f t="shared" si="176"/>
        <v>Hyprev7_20211114_19_00</v>
      </c>
      <c r="I330" s="69">
        <f t="shared" si="177"/>
        <v>1</v>
      </c>
      <c r="J330" s="76" t="str">
        <f t="shared" si="177"/>
        <v>Hypericum</v>
      </c>
      <c r="K330" s="76" t="str">
        <f t="shared" si="177"/>
        <v>revolutum</v>
      </c>
      <c r="L330" s="77">
        <f t="shared" si="177"/>
        <v>7</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v>
      </c>
      <c r="C331" s="73">
        <f t="shared" si="175"/>
        <v>14</v>
      </c>
      <c r="D331" s="74">
        <f t="shared" si="158"/>
        <v>19</v>
      </c>
      <c r="E331" s="75">
        <f t="shared" si="159"/>
        <v>18</v>
      </c>
      <c r="F331" s="79"/>
      <c r="G331" s="82"/>
      <c r="H331" s="68" t="str">
        <f t="shared" si="176"/>
        <v>Hyprev7_20211114_19_00</v>
      </c>
      <c r="I331" s="69">
        <f t="shared" si="177"/>
        <v>1</v>
      </c>
      <c r="J331" s="76" t="str">
        <f t="shared" si="177"/>
        <v>Hypericum</v>
      </c>
      <c r="K331" s="76" t="str">
        <f t="shared" si="177"/>
        <v>revolutum</v>
      </c>
      <c r="L331" s="77">
        <f t="shared" si="177"/>
        <v>7</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v>
      </c>
      <c r="C332" s="73">
        <f t="shared" si="175"/>
        <v>14</v>
      </c>
      <c r="D332" s="74">
        <f t="shared" si="158"/>
        <v>19</v>
      </c>
      <c r="E332" s="75">
        <f t="shared" si="159"/>
        <v>19</v>
      </c>
      <c r="F332" s="79"/>
      <c r="G332" s="82"/>
      <c r="H332" s="68" t="str">
        <f t="shared" si="176"/>
        <v>Hyprev7_20211114_19_00</v>
      </c>
      <c r="I332" s="69">
        <f t="shared" si="177"/>
        <v>1</v>
      </c>
      <c r="J332" s="76" t="str">
        <f t="shared" si="177"/>
        <v>Hypericum</v>
      </c>
      <c r="K332" s="76" t="str">
        <f t="shared" si="177"/>
        <v>revolutum</v>
      </c>
      <c r="L332" s="77">
        <f t="shared" si="177"/>
        <v>7</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v>
      </c>
      <c r="C333" s="73">
        <f t="shared" si="175"/>
        <v>14</v>
      </c>
      <c r="D333" s="74">
        <f t="shared" si="158"/>
        <v>19</v>
      </c>
      <c r="E333" s="75">
        <f t="shared" si="159"/>
        <v>20</v>
      </c>
      <c r="F333" s="79"/>
      <c r="G333" s="82"/>
      <c r="H333" s="68" t="str">
        <f t="shared" si="176"/>
        <v>Hyprev7_20211114_19_00</v>
      </c>
      <c r="I333" s="69">
        <f t="shared" si="177"/>
        <v>1</v>
      </c>
      <c r="J333" s="76" t="str">
        <f t="shared" si="177"/>
        <v>Hypericum</v>
      </c>
      <c r="K333" s="76" t="str">
        <f t="shared" si="177"/>
        <v>revolutum</v>
      </c>
      <c r="L333" s="77">
        <f t="shared" si="177"/>
        <v>7</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v>
      </c>
      <c r="C334" s="73">
        <f t="shared" si="175"/>
        <v>14</v>
      </c>
      <c r="D334" s="74">
        <f t="shared" si="158"/>
        <v>19</v>
      </c>
      <c r="E334" s="75">
        <f t="shared" si="159"/>
        <v>21</v>
      </c>
      <c r="F334" s="79"/>
      <c r="G334" s="82"/>
      <c r="H334" s="68" t="str">
        <f t="shared" si="176"/>
        <v>Hyprev7_20211114_19_00</v>
      </c>
      <c r="I334" s="69">
        <f t="shared" si="177"/>
        <v>1</v>
      </c>
      <c r="J334" s="76" t="str">
        <f t="shared" si="177"/>
        <v>Hypericum</v>
      </c>
      <c r="K334" s="76" t="str">
        <f t="shared" si="177"/>
        <v>revolutum</v>
      </c>
      <c r="L334" s="77">
        <f t="shared" si="177"/>
        <v>7</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v>
      </c>
      <c r="C335" s="73">
        <f t="shared" si="175"/>
        <v>14</v>
      </c>
      <c r="D335" s="74">
        <f t="shared" si="158"/>
        <v>19</v>
      </c>
      <c r="E335" s="75">
        <f t="shared" si="159"/>
        <v>22</v>
      </c>
      <c r="F335" s="79"/>
      <c r="G335" s="82"/>
      <c r="H335" s="68" t="str">
        <f t="shared" si="176"/>
        <v>Hyprev7_20211114_19_00</v>
      </c>
      <c r="I335" s="69">
        <f t="shared" si="177"/>
        <v>1</v>
      </c>
      <c r="J335" s="76" t="str">
        <f t="shared" si="177"/>
        <v>Hypericum</v>
      </c>
      <c r="K335" s="76" t="str">
        <f t="shared" si="177"/>
        <v>revolutum</v>
      </c>
      <c r="L335" s="77">
        <f t="shared" si="177"/>
        <v>7</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v>
      </c>
      <c r="C336" s="73">
        <f t="shared" si="175"/>
        <v>14</v>
      </c>
      <c r="D336" s="74">
        <f t="shared" si="158"/>
        <v>19</v>
      </c>
      <c r="E336" s="75">
        <f t="shared" si="159"/>
        <v>23</v>
      </c>
      <c r="F336" s="79"/>
      <c r="G336" s="82"/>
      <c r="H336" s="68" t="str">
        <f t="shared" si="176"/>
        <v>Hyprev7_20211114_19_00</v>
      </c>
      <c r="I336" s="69">
        <f t="shared" si="177"/>
        <v>1</v>
      </c>
      <c r="J336" s="76" t="str">
        <f t="shared" si="177"/>
        <v>Hypericum</v>
      </c>
      <c r="K336" s="76" t="str">
        <f t="shared" si="177"/>
        <v>revolutum</v>
      </c>
      <c r="L336" s="77">
        <f t="shared" si="177"/>
        <v>7</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2021</v>
      </c>
      <c r="B337" s="72" t="str">
        <f t="shared" si="157"/>
        <v>Nov</v>
      </c>
      <c r="C337" s="73">
        <f t="shared" si="175"/>
        <v>14</v>
      </c>
      <c r="D337" s="74">
        <f t="shared" si="158"/>
        <v>19</v>
      </c>
      <c r="E337" s="75">
        <f t="shared" si="159"/>
        <v>24</v>
      </c>
      <c r="F337" s="79"/>
      <c r="G337" s="82"/>
      <c r="H337" s="68" t="str">
        <f t="shared" si="176"/>
        <v>Hyprev7_20211114_19_00</v>
      </c>
      <c r="I337" s="69">
        <f t="shared" si="177"/>
        <v>1</v>
      </c>
      <c r="J337" s="76" t="str">
        <f t="shared" si="177"/>
        <v>Hypericum</v>
      </c>
      <c r="K337" s="76" t="str">
        <f t="shared" si="177"/>
        <v>revolutum</v>
      </c>
      <c r="L337" s="77">
        <f t="shared" si="177"/>
        <v>7</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2021</v>
      </c>
      <c r="B338" s="72" t="str">
        <f t="shared" si="157"/>
        <v>Nov</v>
      </c>
      <c r="C338" s="73">
        <f t="shared" si="175"/>
        <v>14</v>
      </c>
      <c r="D338" s="74">
        <f t="shared" si="158"/>
        <v>19</v>
      </c>
      <c r="E338" s="75">
        <f t="shared" si="159"/>
        <v>25</v>
      </c>
      <c r="F338" s="79"/>
      <c r="G338" s="82"/>
      <c r="H338" s="68" t="str">
        <f t="shared" si="176"/>
        <v>Hyprev7_20211114_19_00</v>
      </c>
      <c r="I338" s="69">
        <f t="shared" si="177"/>
        <v>1</v>
      </c>
      <c r="J338" s="76" t="str">
        <f t="shared" si="177"/>
        <v>Hypericum</v>
      </c>
      <c r="K338" s="76" t="str">
        <f t="shared" si="177"/>
        <v>revolutum</v>
      </c>
      <c r="L338" s="77">
        <f t="shared" si="177"/>
        <v>7</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2021</v>
      </c>
      <c r="B339" s="72" t="str">
        <f t="shared" si="157"/>
        <v>Nov</v>
      </c>
      <c r="C339" s="73">
        <f t="shared" si="175"/>
        <v>14</v>
      </c>
      <c r="D339" s="74">
        <f t="shared" si="158"/>
        <v>19</v>
      </c>
      <c r="E339" s="75">
        <f t="shared" si="159"/>
        <v>26</v>
      </c>
      <c r="F339" s="79"/>
      <c r="G339" s="82"/>
      <c r="H339" s="68" t="str">
        <f t="shared" si="176"/>
        <v>Hyprev7_20211114_19_00</v>
      </c>
      <c r="I339" s="69">
        <f t="shared" si="177"/>
        <v>1</v>
      </c>
      <c r="J339" s="76" t="str">
        <f t="shared" si="177"/>
        <v>Hypericum</v>
      </c>
      <c r="K339" s="76" t="str">
        <f t="shared" si="177"/>
        <v>revolutum</v>
      </c>
      <c r="L339" s="77">
        <f t="shared" si="177"/>
        <v>7</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2021</v>
      </c>
      <c r="B340" s="72" t="str">
        <f t="shared" si="157"/>
        <v>Nov</v>
      </c>
      <c r="C340" s="73">
        <f t="shared" si="175"/>
        <v>14</v>
      </c>
      <c r="D340" s="74">
        <f t="shared" si="158"/>
        <v>19</v>
      </c>
      <c r="E340" s="75">
        <f t="shared" si="159"/>
        <v>27</v>
      </c>
      <c r="F340" s="79"/>
      <c r="G340" s="82"/>
      <c r="H340" s="68" t="str">
        <f t="shared" si="176"/>
        <v>Hyprev7_20211114_19_00</v>
      </c>
      <c r="I340" s="69">
        <f t="shared" si="177"/>
        <v>1</v>
      </c>
      <c r="J340" s="76" t="str">
        <f t="shared" si="177"/>
        <v>Hypericum</v>
      </c>
      <c r="K340" s="76" t="str">
        <f t="shared" si="177"/>
        <v>revolutum</v>
      </c>
      <c r="L340" s="77">
        <f t="shared" si="177"/>
        <v>7</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v>
      </c>
      <c r="C341" s="73">
        <f t="shared" si="175"/>
        <v>14</v>
      </c>
      <c r="D341" s="74">
        <f t="shared" si="158"/>
        <v>19</v>
      </c>
      <c r="E341" s="75">
        <f t="shared" si="159"/>
        <v>28</v>
      </c>
      <c r="F341" s="79"/>
      <c r="G341" s="82"/>
      <c r="H341" s="68" t="str">
        <f t="shared" si="176"/>
        <v>Hyprev7_20211114_19_00</v>
      </c>
      <c r="I341" s="69">
        <f t="shared" ref="I341:N356" si="178">I340</f>
        <v>1</v>
      </c>
      <c r="J341" s="76" t="str">
        <f t="shared" si="178"/>
        <v>Hypericum</v>
      </c>
      <c r="K341" s="76" t="str">
        <f t="shared" si="178"/>
        <v>revolutum</v>
      </c>
      <c r="L341" s="77">
        <f t="shared" si="178"/>
        <v>7</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v>
      </c>
      <c r="C342" s="73">
        <f t="shared" si="175"/>
        <v>14</v>
      </c>
      <c r="D342" s="74">
        <f t="shared" si="158"/>
        <v>19</v>
      </c>
      <c r="E342" s="75">
        <f t="shared" si="159"/>
        <v>29</v>
      </c>
      <c r="F342" s="79"/>
      <c r="G342" s="82"/>
      <c r="H342" s="68" t="str">
        <f t="shared" si="176"/>
        <v>Hyprev7_20211114_19_00</v>
      </c>
      <c r="I342" s="69">
        <f t="shared" si="178"/>
        <v>1</v>
      </c>
      <c r="J342" s="76" t="str">
        <f t="shared" si="178"/>
        <v>Hypericum</v>
      </c>
      <c r="K342" s="76" t="str">
        <f t="shared" si="178"/>
        <v>revolutum</v>
      </c>
      <c r="L342" s="77">
        <f t="shared" si="178"/>
        <v>7</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v>
      </c>
      <c r="C343" s="73">
        <f t="shared" si="175"/>
        <v>14</v>
      </c>
      <c r="D343" s="74">
        <f t="shared" si="158"/>
        <v>19</v>
      </c>
      <c r="E343" s="75">
        <f t="shared" si="159"/>
        <v>30</v>
      </c>
      <c r="F343" s="79"/>
      <c r="G343" s="82"/>
      <c r="H343" s="68" t="str">
        <f t="shared" si="176"/>
        <v>Hyprev7_20211114_19_00</v>
      </c>
      <c r="I343" s="69">
        <f t="shared" si="178"/>
        <v>1</v>
      </c>
      <c r="J343" s="76" t="str">
        <f t="shared" si="178"/>
        <v>Hypericum</v>
      </c>
      <c r="K343" s="76" t="str">
        <f t="shared" si="178"/>
        <v>revolutum</v>
      </c>
      <c r="L343" s="77">
        <f t="shared" si="178"/>
        <v>7</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2021</v>
      </c>
      <c r="B344" s="72" t="str">
        <f t="shared" si="157"/>
        <v>Nov</v>
      </c>
      <c r="C344" s="73">
        <f t="shared" si="175"/>
        <v>14</v>
      </c>
      <c r="D344" s="74">
        <f t="shared" si="158"/>
        <v>19</v>
      </c>
      <c r="E344" s="75">
        <f t="shared" si="159"/>
        <v>31</v>
      </c>
      <c r="F344" s="79"/>
      <c r="G344" s="82"/>
      <c r="H344" s="68" t="str">
        <f t="shared" si="176"/>
        <v>Hyprev7_20211114_19_00</v>
      </c>
      <c r="I344" s="69">
        <f t="shared" si="178"/>
        <v>1</v>
      </c>
      <c r="J344" s="76" t="str">
        <f t="shared" si="178"/>
        <v>Hypericum</v>
      </c>
      <c r="K344" s="76" t="str">
        <f t="shared" si="178"/>
        <v>revolutum</v>
      </c>
      <c r="L344" s="77">
        <f t="shared" si="178"/>
        <v>7</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v>
      </c>
      <c r="C345" s="73">
        <f t="shared" si="175"/>
        <v>14</v>
      </c>
      <c r="D345" s="74">
        <f t="shared" si="158"/>
        <v>19</v>
      </c>
      <c r="E345" s="75">
        <f t="shared" si="159"/>
        <v>32</v>
      </c>
      <c r="F345" s="79"/>
      <c r="G345" s="82"/>
      <c r="H345" s="68" t="str">
        <f t="shared" si="176"/>
        <v>Hyprev7_20211114_19_00</v>
      </c>
      <c r="I345" s="69">
        <f t="shared" si="178"/>
        <v>1</v>
      </c>
      <c r="J345" s="76" t="str">
        <f t="shared" si="178"/>
        <v>Hypericum</v>
      </c>
      <c r="K345" s="76" t="str">
        <f t="shared" si="178"/>
        <v>revolutum</v>
      </c>
      <c r="L345" s="77">
        <f t="shared" si="178"/>
        <v>7</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v>
      </c>
      <c r="C346" s="73">
        <f t="shared" si="175"/>
        <v>14</v>
      </c>
      <c r="D346" s="74">
        <f t="shared" si="158"/>
        <v>19</v>
      </c>
      <c r="E346" s="75">
        <f t="shared" si="159"/>
        <v>33</v>
      </c>
      <c r="F346" s="79"/>
      <c r="G346" s="82"/>
      <c r="H346" s="68" t="str">
        <f t="shared" si="176"/>
        <v>Hyprev7_20211114_19_00</v>
      </c>
      <c r="I346" s="69">
        <f t="shared" si="178"/>
        <v>1</v>
      </c>
      <c r="J346" s="76" t="str">
        <f t="shared" si="178"/>
        <v>Hypericum</v>
      </c>
      <c r="K346" s="76" t="str">
        <f t="shared" si="178"/>
        <v>revolutum</v>
      </c>
      <c r="L346" s="77">
        <f t="shared" si="178"/>
        <v>7</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v>
      </c>
      <c r="C347" s="73">
        <f t="shared" si="175"/>
        <v>14</v>
      </c>
      <c r="D347" s="74">
        <f t="shared" si="158"/>
        <v>19</v>
      </c>
      <c r="E347" s="75">
        <f t="shared" si="159"/>
        <v>34</v>
      </c>
      <c r="F347" s="79"/>
      <c r="G347" s="82"/>
      <c r="H347" s="68" t="str">
        <f t="shared" si="176"/>
        <v>Hyprev7_20211114_19_00</v>
      </c>
      <c r="I347" s="69">
        <f t="shared" si="178"/>
        <v>1</v>
      </c>
      <c r="J347" s="76" t="str">
        <f t="shared" si="178"/>
        <v>Hypericum</v>
      </c>
      <c r="K347" s="76" t="str">
        <f t="shared" si="178"/>
        <v>revolutum</v>
      </c>
      <c r="L347" s="77">
        <f t="shared" si="178"/>
        <v>7</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v>
      </c>
      <c r="C348" s="73">
        <f t="shared" si="175"/>
        <v>14</v>
      </c>
      <c r="D348" s="74">
        <f t="shared" si="158"/>
        <v>19</v>
      </c>
      <c r="E348" s="75">
        <f t="shared" si="159"/>
        <v>35</v>
      </c>
      <c r="F348" s="79"/>
      <c r="G348" s="82"/>
      <c r="H348" s="68" t="str">
        <f t="shared" si="176"/>
        <v>Hyprev7_20211114_19_00</v>
      </c>
      <c r="I348" s="69">
        <f t="shared" si="178"/>
        <v>1</v>
      </c>
      <c r="J348" s="76" t="str">
        <f t="shared" si="178"/>
        <v>Hypericum</v>
      </c>
      <c r="K348" s="76" t="str">
        <f t="shared" si="178"/>
        <v>revolutum</v>
      </c>
      <c r="L348" s="77">
        <f t="shared" si="178"/>
        <v>7</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v>
      </c>
      <c r="C349" s="73">
        <f t="shared" si="175"/>
        <v>14</v>
      </c>
      <c r="D349" s="74">
        <f t="shared" si="158"/>
        <v>19</v>
      </c>
      <c r="E349" s="75">
        <f t="shared" si="159"/>
        <v>36</v>
      </c>
      <c r="F349" s="79"/>
      <c r="G349" s="82"/>
      <c r="H349" s="68" t="str">
        <f t="shared" si="176"/>
        <v>Hyprev7_20211114_19_00</v>
      </c>
      <c r="I349" s="69">
        <f t="shared" si="178"/>
        <v>1</v>
      </c>
      <c r="J349" s="76" t="str">
        <f t="shared" si="178"/>
        <v>Hypericum</v>
      </c>
      <c r="K349" s="76" t="str">
        <f t="shared" si="178"/>
        <v>revolutum</v>
      </c>
      <c r="L349" s="77">
        <f t="shared" si="178"/>
        <v>7</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v>
      </c>
      <c r="C350" s="73">
        <f t="shared" si="175"/>
        <v>14</v>
      </c>
      <c r="D350" s="74">
        <f t="shared" si="158"/>
        <v>19</v>
      </c>
      <c r="E350" s="75">
        <f t="shared" si="159"/>
        <v>37</v>
      </c>
      <c r="F350" s="79"/>
      <c r="G350" s="82"/>
      <c r="H350" s="68" t="str">
        <f t="shared" si="176"/>
        <v>Hyprev7_20211114_19_00</v>
      </c>
      <c r="I350" s="69">
        <f t="shared" si="178"/>
        <v>1</v>
      </c>
      <c r="J350" s="76" t="str">
        <f t="shared" si="178"/>
        <v>Hypericum</v>
      </c>
      <c r="K350" s="76" t="str">
        <f t="shared" si="178"/>
        <v>revolutum</v>
      </c>
      <c r="L350" s="77">
        <f t="shared" si="178"/>
        <v>7</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v>
      </c>
      <c r="C351" s="73">
        <f t="shared" si="175"/>
        <v>14</v>
      </c>
      <c r="D351" s="74">
        <f t="shared" si="158"/>
        <v>19</v>
      </c>
      <c r="E351" s="75">
        <f t="shared" si="159"/>
        <v>38</v>
      </c>
      <c r="F351" s="79"/>
      <c r="G351" s="82"/>
      <c r="H351" s="68" t="str">
        <f t="shared" si="176"/>
        <v>Hyprev7_20211114_19_00</v>
      </c>
      <c r="I351" s="69">
        <f t="shared" si="178"/>
        <v>1</v>
      </c>
      <c r="J351" s="76" t="str">
        <f t="shared" si="178"/>
        <v>Hypericum</v>
      </c>
      <c r="K351" s="76" t="str">
        <f t="shared" si="178"/>
        <v>revolutum</v>
      </c>
      <c r="L351" s="77">
        <f t="shared" si="178"/>
        <v>7</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v>
      </c>
      <c r="C352" s="73">
        <f t="shared" si="175"/>
        <v>14</v>
      </c>
      <c r="D352" s="74">
        <f t="shared" si="158"/>
        <v>19</v>
      </c>
      <c r="E352" s="75">
        <f t="shared" si="159"/>
        <v>39</v>
      </c>
      <c r="F352" s="79"/>
      <c r="G352" s="82"/>
      <c r="H352" s="68" t="str">
        <f t="shared" si="176"/>
        <v>Hyprev7_20211114_19_00</v>
      </c>
      <c r="I352" s="69">
        <f t="shared" si="178"/>
        <v>1</v>
      </c>
      <c r="J352" s="76" t="str">
        <f t="shared" si="178"/>
        <v>Hypericum</v>
      </c>
      <c r="K352" s="76" t="str">
        <f t="shared" si="178"/>
        <v>revolutum</v>
      </c>
      <c r="L352" s="77">
        <f t="shared" si="178"/>
        <v>7</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v>
      </c>
      <c r="C353" s="73">
        <f t="shared" si="175"/>
        <v>14</v>
      </c>
      <c r="D353" s="74">
        <f t="shared" si="158"/>
        <v>19</v>
      </c>
      <c r="E353" s="75">
        <f t="shared" si="159"/>
        <v>40</v>
      </c>
      <c r="F353" s="79"/>
      <c r="G353" s="82"/>
      <c r="H353" s="68" t="str">
        <f t="shared" si="176"/>
        <v>Hyprev7_20211114_19_00</v>
      </c>
      <c r="I353" s="69">
        <f t="shared" si="178"/>
        <v>1</v>
      </c>
      <c r="J353" s="76" t="str">
        <f t="shared" si="178"/>
        <v>Hypericum</v>
      </c>
      <c r="K353" s="76" t="str">
        <f t="shared" si="178"/>
        <v>revolutum</v>
      </c>
      <c r="L353" s="77">
        <f t="shared" si="178"/>
        <v>7</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2021</v>
      </c>
      <c r="B354" s="72" t="str">
        <f t="shared" si="157"/>
        <v>Nov</v>
      </c>
      <c r="C354" s="73">
        <f t="shared" si="175"/>
        <v>14</v>
      </c>
      <c r="D354" s="74">
        <f t="shared" si="158"/>
        <v>19</v>
      </c>
      <c r="E354" s="75">
        <f t="shared" si="159"/>
        <v>41</v>
      </c>
      <c r="F354" s="79">
        <v>7</v>
      </c>
      <c r="G354" s="82"/>
      <c r="H354" s="68" t="str">
        <f t="shared" si="176"/>
        <v>Hyprev7_20211114_19_00</v>
      </c>
      <c r="I354" s="69">
        <f t="shared" si="178"/>
        <v>1</v>
      </c>
      <c r="J354" s="76" t="str">
        <f t="shared" si="178"/>
        <v>Hypericum</v>
      </c>
      <c r="K354" s="76" t="str">
        <f t="shared" si="178"/>
        <v>revolutum</v>
      </c>
      <c r="L354" s="77">
        <f t="shared" si="178"/>
        <v>7</v>
      </c>
      <c r="M354" s="77">
        <f t="shared" si="178"/>
        <v>2</v>
      </c>
      <c r="N354" s="71">
        <f t="shared" si="178"/>
        <v>0</v>
      </c>
      <c r="O354" s="44"/>
      <c r="P354" s="45">
        <f t="shared" si="160"/>
        <v>1</v>
      </c>
      <c r="Q354" s="46" t="str">
        <f t="shared" si="161"/>
        <v>19:41:07</v>
      </c>
      <c r="R354" s="47" t="str">
        <f t="shared" si="162"/>
        <v>41:07</v>
      </c>
      <c r="S354" s="48">
        <f t="shared" si="151"/>
        <v>7</v>
      </c>
      <c r="T354" s="47" t="str">
        <f t="shared" si="163"/>
        <v>19</v>
      </c>
      <c r="U354" s="49">
        <v>41</v>
      </c>
      <c r="V354" s="50">
        <v>14</v>
      </c>
      <c r="W354" s="51" t="str">
        <f t="shared" si="164"/>
        <v>41:14</v>
      </c>
      <c r="X354" s="52" t="s">
        <v>128</v>
      </c>
      <c r="Y354" s="124" t="s">
        <v>245</v>
      </c>
      <c r="Z354" s="124"/>
      <c r="AA354" s="47" t="s">
        <v>255</v>
      </c>
      <c r="AB354" s="47" t="str">
        <f t="shared" si="165"/>
        <v>NA</v>
      </c>
      <c r="AC354" s="53" t="str">
        <f t="shared" si="166"/>
        <v/>
      </c>
      <c r="AD354" s="54">
        <v>2</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t="s">
        <v>129</v>
      </c>
      <c r="AT354" s="58"/>
      <c r="AU354" s="58"/>
      <c r="AV354" s="59"/>
      <c r="AW354" s="60">
        <f t="shared" si="152"/>
        <v>0</v>
      </c>
      <c r="AX354" s="61" t="str">
        <f t="shared" si="153"/>
        <v/>
      </c>
      <c r="AY354" s="60">
        <f t="shared" si="154"/>
        <v>0</v>
      </c>
      <c r="AZ354" s="61" t="str">
        <f t="shared" si="155"/>
        <v/>
      </c>
    </row>
    <row r="355" spans="1:52" s="3" customFormat="1" hidden="1" x14ac:dyDescent="0.35">
      <c r="A355" s="72">
        <f t="shared" si="156"/>
        <v>2021</v>
      </c>
      <c r="B355" s="72" t="str">
        <f t="shared" si="157"/>
        <v>Nov</v>
      </c>
      <c r="C355" s="73">
        <f t="shared" si="175"/>
        <v>14</v>
      </c>
      <c r="D355" s="74">
        <f t="shared" si="158"/>
        <v>19</v>
      </c>
      <c r="E355" s="75">
        <v>41</v>
      </c>
      <c r="F355" s="79">
        <v>24</v>
      </c>
      <c r="G355" s="82"/>
      <c r="H355" s="68" t="str">
        <f t="shared" si="176"/>
        <v>Hyprev7_20211114_19_00</v>
      </c>
      <c r="I355" s="69">
        <f t="shared" si="178"/>
        <v>1</v>
      </c>
      <c r="J355" s="76" t="str">
        <f t="shared" si="178"/>
        <v>Hypericum</v>
      </c>
      <c r="K355" s="76" t="str">
        <f t="shared" si="178"/>
        <v>revolutum</v>
      </c>
      <c r="L355" s="77">
        <f t="shared" si="178"/>
        <v>7</v>
      </c>
      <c r="M355" s="77">
        <f t="shared" si="178"/>
        <v>2</v>
      </c>
      <c r="N355" s="71">
        <f t="shared" si="178"/>
        <v>0</v>
      </c>
      <c r="O355" s="44"/>
      <c r="P355" s="45">
        <f t="shared" si="160"/>
        <v>1</v>
      </c>
      <c r="Q355" s="46" t="str">
        <f t="shared" si="161"/>
        <v>19:41:24</v>
      </c>
      <c r="R355" s="47" t="str">
        <f t="shared" si="162"/>
        <v>41:24</v>
      </c>
      <c r="S355" s="48">
        <f t="shared" si="151"/>
        <v>9</v>
      </c>
      <c r="T355" s="47" t="str">
        <f t="shared" si="163"/>
        <v>19</v>
      </c>
      <c r="U355" s="49">
        <v>41</v>
      </c>
      <c r="V355" s="50">
        <v>33</v>
      </c>
      <c r="W355" s="51" t="str">
        <f t="shared" si="164"/>
        <v>41:33</v>
      </c>
      <c r="X355" s="52" t="s">
        <v>128</v>
      </c>
      <c r="Y355" s="124" t="s">
        <v>245</v>
      </c>
      <c r="Z355" s="124"/>
      <c r="AA355" s="47" t="s">
        <v>255</v>
      </c>
      <c r="AB355" s="47" t="str">
        <f t="shared" si="165"/>
        <v>NA</v>
      </c>
      <c r="AC355" s="53" t="str">
        <f t="shared" si="166"/>
        <v/>
      </c>
      <c r="AD355" s="54">
        <v>2</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t="s">
        <v>130</v>
      </c>
      <c r="AT355" s="58"/>
      <c r="AU355" s="58"/>
      <c r="AV355" s="59"/>
      <c r="AW355" s="60">
        <f t="shared" si="152"/>
        <v>0</v>
      </c>
      <c r="AX355" s="61" t="str">
        <f t="shared" si="153"/>
        <v/>
      </c>
      <c r="AY355" s="60">
        <f t="shared" si="154"/>
        <v>0</v>
      </c>
      <c r="AZ355" s="61" t="str">
        <f t="shared" si="155"/>
        <v/>
      </c>
    </row>
    <row r="356" spans="1:52" s="3" customFormat="1" hidden="1" x14ac:dyDescent="0.35">
      <c r="A356" s="72">
        <f t="shared" si="156"/>
        <v>2021</v>
      </c>
      <c r="B356" s="72" t="str">
        <f t="shared" si="157"/>
        <v>Nov</v>
      </c>
      <c r="C356" s="73">
        <f t="shared" si="175"/>
        <v>14</v>
      </c>
      <c r="D356" s="74">
        <f t="shared" si="158"/>
        <v>19</v>
      </c>
      <c r="E356" s="75">
        <v>41</v>
      </c>
      <c r="F356" s="79">
        <v>41</v>
      </c>
      <c r="G356" s="82"/>
      <c r="H356" s="68" t="str">
        <f t="shared" si="176"/>
        <v>Hyprev7_20211114_19_00</v>
      </c>
      <c r="I356" s="69">
        <f t="shared" si="178"/>
        <v>1</v>
      </c>
      <c r="J356" s="76" t="str">
        <f t="shared" si="178"/>
        <v>Hypericum</v>
      </c>
      <c r="K356" s="76" t="str">
        <f t="shared" si="178"/>
        <v>revolutum</v>
      </c>
      <c r="L356" s="77">
        <f t="shared" si="178"/>
        <v>7</v>
      </c>
      <c r="M356" s="77">
        <f t="shared" si="178"/>
        <v>2</v>
      </c>
      <c r="N356" s="71">
        <f t="shared" si="178"/>
        <v>0</v>
      </c>
      <c r="O356" s="44"/>
      <c r="P356" s="45">
        <f t="shared" si="160"/>
        <v>1</v>
      </c>
      <c r="Q356" s="46" t="str">
        <f t="shared" si="161"/>
        <v>19:41:41</v>
      </c>
      <c r="R356" s="47" t="str">
        <f t="shared" si="162"/>
        <v>41:41</v>
      </c>
      <c r="S356" s="48">
        <f t="shared" si="151"/>
        <v>2</v>
      </c>
      <c r="T356" s="47" t="str">
        <f t="shared" si="163"/>
        <v>19</v>
      </c>
      <c r="U356" s="49">
        <v>41</v>
      </c>
      <c r="V356" s="50">
        <v>43</v>
      </c>
      <c r="W356" s="51" t="str">
        <f t="shared" si="164"/>
        <v>41:43</v>
      </c>
      <c r="X356" s="52" t="s">
        <v>128</v>
      </c>
      <c r="Y356" s="124" t="s">
        <v>245</v>
      </c>
      <c r="Z356" s="124"/>
      <c r="AA356" s="47" t="s">
        <v>255</v>
      </c>
      <c r="AB356" s="47" t="str">
        <f t="shared" si="165"/>
        <v>NA</v>
      </c>
      <c r="AC356" s="53" t="str">
        <f t="shared" si="166"/>
        <v/>
      </c>
      <c r="AD356" s="54">
        <f t="shared" si="167"/>
        <v>1</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t="s">
        <v>76</v>
      </c>
      <c r="AT356" s="58"/>
      <c r="AU356" s="58"/>
      <c r="AV356" s="59"/>
      <c r="AW356" s="60">
        <f t="shared" si="152"/>
        <v>0</v>
      </c>
      <c r="AX356" s="61" t="str">
        <f t="shared" si="153"/>
        <v/>
      </c>
      <c r="AY356" s="60">
        <f t="shared" si="154"/>
        <v>0</v>
      </c>
      <c r="AZ356" s="61" t="str">
        <f t="shared" si="155"/>
        <v/>
      </c>
    </row>
    <row r="357" spans="1:52" s="3" customFormat="1" hidden="1" x14ac:dyDescent="0.35">
      <c r="A357" s="72">
        <f t="shared" si="156"/>
        <v>2021</v>
      </c>
      <c r="B357" s="72" t="str">
        <f t="shared" si="157"/>
        <v>Nov</v>
      </c>
      <c r="C357" s="73">
        <f t="shared" si="175"/>
        <v>14</v>
      </c>
      <c r="D357" s="74">
        <f t="shared" si="158"/>
        <v>19</v>
      </c>
      <c r="E357" s="75">
        <v>41</v>
      </c>
      <c r="F357" s="79">
        <v>59</v>
      </c>
      <c r="G357" s="82"/>
      <c r="H357" s="68" t="str">
        <f t="shared" si="176"/>
        <v>Hyprev7_20211114_19_00</v>
      </c>
      <c r="I357" s="69">
        <f t="shared" ref="I357:N372" si="179">I356</f>
        <v>1</v>
      </c>
      <c r="J357" s="76" t="str">
        <f t="shared" si="179"/>
        <v>Hypericum</v>
      </c>
      <c r="K357" s="76" t="str">
        <f t="shared" si="179"/>
        <v>revolutum</v>
      </c>
      <c r="L357" s="77">
        <f t="shared" si="179"/>
        <v>7</v>
      </c>
      <c r="M357" s="77">
        <f t="shared" si="179"/>
        <v>2</v>
      </c>
      <c r="N357" s="71">
        <f t="shared" si="179"/>
        <v>0</v>
      </c>
      <c r="O357" s="44"/>
      <c r="P357" s="45">
        <f t="shared" si="160"/>
        <v>1</v>
      </c>
      <c r="Q357" s="46" t="str">
        <f t="shared" si="161"/>
        <v>19:41:59</v>
      </c>
      <c r="R357" s="47" t="str">
        <f t="shared" si="162"/>
        <v>41:59</v>
      </c>
      <c r="S357" s="48">
        <f t="shared" si="151"/>
        <v>1</v>
      </c>
      <c r="T357" s="47" t="str">
        <f t="shared" si="163"/>
        <v>19</v>
      </c>
      <c r="U357" s="49">
        <v>42</v>
      </c>
      <c r="V357" s="50">
        <v>0</v>
      </c>
      <c r="W357" s="51" t="str">
        <f t="shared" si="164"/>
        <v>42:00</v>
      </c>
      <c r="X357" s="52" t="s">
        <v>128</v>
      </c>
      <c r="Y357" s="124" t="s">
        <v>245</v>
      </c>
      <c r="Z357" s="124"/>
      <c r="AA357" s="47" t="s">
        <v>255</v>
      </c>
      <c r="AB357" s="47" t="str">
        <f t="shared" si="165"/>
        <v>NA</v>
      </c>
      <c r="AC357" s="53" t="str">
        <f t="shared" si="166"/>
        <v/>
      </c>
      <c r="AD357" s="54">
        <f t="shared" si="167"/>
        <v>1</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t="s">
        <v>127</v>
      </c>
      <c r="AT357" s="58"/>
      <c r="AU357" s="58"/>
      <c r="AV357" s="59"/>
      <c r="AW357" s="60">
        <f t="shared" si="152"/>
        <v>0</v>
      </c>
      <c r="AX357" s="61" t="str">
        <f t="shared" si="153"/>
        <v/>
      </c>
      <c r="AY357" s="60">
        <f t="shared" si="154"/>
        <v>0</v>
      </c>
      <c r="AZ357" s="61" t="str">
        <f t="shared" si="155"/>
        <v/>
      </c>
    </row>
    <row r="358" spans="1:52" s="3" customFormat="1" hidden="1" x14ac:dyDescent="0.35">
      <c r="A358" s="72">
        <f t="shared" si="156"/>
        <v>2021</v>
      </c>
      <c r="B358" s="72" t="str">
        <f t="shared" si="157"/>
        <v>Nov</v>
      </c>
      <c r="C358" s="73">
        <f t="shared" si="175"/>
        <v>14</v>
      </c>
      <c r="D358" s="74">
        <f t="shared" si="158"/>
        <v>19</v>
      </c>
      <c r="E358" s="75">
        <f t="shared" si="159"/>
        <v>42</v>
      </c>
      <c r="F358" s="79"/>
      <c r="G358" s="82"/>
      <c r="H358" s="68" t="str">
        <f t="shared" si="176"/>
        <v>Hyprev7_20211114_19_00</v>
      </c>
      <c r="I358" s="69">
        <f t="shared" si="179"/>
        <v>1</v>
      </c>
      <c r="J358" s="76" t="str">
        <f t="shared" si="179"/>
        <v>Hypericum</v>
      </c>
      <c r="K358" s="76" t="str">
        <f t="shared" si="179"/>
        <v>revolutum</v>
      </c>
      <c r="L358" s="77">
        <f t="shared" si="179"/>
        <v>7</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v>
      </c>
      <c r="C359" s="73">
        <f t="shared" si="175"/>
        <v>14</v>
      </c>
      <c r="D359" s="74">
        <f t="shared" si="158"/>
        <v>19</v>
      </c>
      <c r="E359" s="75">
        <f t="shared" si="159"/>
        <v>43</v>
      </c>
      <c r="F359" s="79"/>
      <c r="G359" s="82"/>
      <c r="H359" s="68" t="str">
        <f t="shared" si="176"/>
        <v>Hyprev7_20211114_19_00</v>
      </c>
      <c r="I359" s="69">
        <f t="shared" si="179"/>
        <v>1</v>
      </c>
      <c r="J359" s="76" t="str">
        <f t="shared" si="179"/>
        <v>Hypericum</v>
      </c>
      <c r="K359" s="76" t="str">
        <f t="shared" si="179"/>
        <v>revolutum</v>
      </c>
      <c r="L359" s="77">
        <f t="shared" si="179"/>
        <v>7</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v>
      </c>
      <c r="C360" s="73">
        <f t="shared" si="175"/>
        <v>14</v>
      </c>
      <c r="D360" s="74">
        <f t="shared" si="158"/>
        <v>19</v>
      </c>
      <c r="E360" s="75">
        <f t="shared" si="159"/>
        <v>44</v>
      </c>
      <c r="F360" s="79"/>
      <c r="G360" s="82"/>
      <c r="H360" s="68" t="str">
        <f t="shared" si="176"/>
        <v>Hyprev7_20211114_19_00</v>
      </c>
      <c r="I360" s="69">
        <f t="shared" si="179"/>
        <v>1</v>
      </c>
      <c r="J360" s="76" t="str">
        <f t="shared" si="179"/>
        <v>Hypericum</v>
      </c>
      <c r="K360" s="76" t="str">
        <f t="shared" si="179"/>
        <v>revolutum</v>
      </c>
      <c r="L360" s="77">
        <f t="shared" si="179"/>
        <v>7</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v>
      </c>
      <c r="C361" s="73">
        <f t="shared" si="175"/>
        <v>14</v>
      </c>
      <c r="D361" s="74">
        <f t="shared" si="158"/>
        <v>19</v>
      </c>
      <c r="E361" s="75">
        <f t="shared" si="159"/>
        <v>45</v>
      </c>
      <c r="F361" s="79"/>
      <c r="G361" s="82"/>
      <c r="H361" s="68" t="str">
        <f t="shared" si="176"/>
        <v>Hyprev7_20211114_19_00</v>
      </c>
      <c r="I361" s="69">
        <f t="shared" si="179"/>
        <v>1</v>
      </c>
      <c r="J361" s="76" t="str">
        <f t="shared" si="179"/>
        <v>Hypericum</v>
      </c>
      <c r="K361" s="76" t="str">
        <f t="shared" si="179"/>
        <v>revolutum</v>
      </c>
      <c r="L361" s="77">
        <f t="shared" si="179"/>
        <v>7</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v>
      </c>
      <c r="C362" s="73">
        <f t="shared" si="175"/>
        <v>14</v>
      </c>
      <c r="D362" s="74">
        <f t="shared" si="158"/>
        <v>19</v>
      </c>
      <c r="E362" s="75">
        <f t="shared" si="159"/>
        <v>46</v>
      </c>
      <c r="F362" s="79"/>
      <c r="G362" s="82"/>
      <c r="H362" s="68" t="str">
        <f t="shared" si="176"/>
        <v>Hyprev7_20211114_19_00</v>
      </c>
      <c r="I362" s="69">
        <f t="shared" si="179"/>
        <v>1</v>
      </c>
      <c r="J362" s="76" t="str">
        <f t="shared" si="179"/>
        <v>Hypericum</v>
      </c>
      <c r="K362" s="76" t="str">
        <f t="shared" si="179"/>
        <v>revolutum</v>
      </c>
      <c r="L362" s="77">
        <f t="shared" si="179"/>
        <v>7</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v>
      </c>
      <c r="C363" s="73">
        <f t="shared" si="175"/>
        <v>14</v>
      </c>
      <c r="D363" s="74">
        <f t="shared" si="158"/>
        <v>19</v>
      </c>
      <c r="E363" s="75">
        <f t="shared" si="159"/>
        <v>47</v>
      </c>
      <c r="F363" s="79"/>
      <c r="G363" s="82"/>
      <c r="H363" s="68" t="str">
        <f t="shared" si="176"/>
        <v>Hyprev7_20211114_19_00</v>
      </c>
      <c r="I363" s="69">
        <f t="shared" si="179"/>
        <v>1</v>
      </c>
      <c r="J363" s="76" t="str">
        <f t="shared" si="179"/>
        <v>Hypericum</v>
      </c>
      <c r="K363" s="76" t="str">
        <f t="shared" si="179"/>
        <v>revolutum</v>
      </c>
      <c r="L363" s="77">
        <f t="shared" si="179"/>
        <v>7</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v>
      </c>
      <c r="C364" s="73">
        <f t="shared" si="175"/>
        <v>14</v>
      </c>
      <c r="D364" s="74">
        <f t="shared" si="158"/>
        <v>19</v>
      </c>
      <c r="E364" s="75">
        <f t="shared" si="159"/>
        <v>48</v>
      </c>
      <c r="F364" s="79">
        <v>3</v>
      </c>
      <c r="G364" s="82"/>
      <c r="H364" s="68" t="str">
        <f t="shared" si="176"/>
        <v>Hyprev7_20211114_19_00</v>
      </c>
      <c r="I364" s="69">
        <f t="shared" si="179"/>
        <v>1</v>
      </c>
      <c r="J364" s="76" t="str">
        <f t="shared" si="179"/>
        <v>Hypericum</v>
      </c>
      <c r="K364" s="76" t="str">
        <f t="shared" si="179"/>
        <v>revolutum</v>
      </c>
      <c r="L364" s="77">
        <f t="shared" si="179"/>
        <v>7</v>
      </c>
      <c r="M364" s="77">
        <f t="shared" si="179"/>
        <v>2</v>
      </c>
      <c r="N364" s="71">
        <f t="shared" si="179"/>
        <v>0</v>
      </c>
      <c r="O364" s="44"/>
      <c r="P364" s="45">
        <f t="shared" si="160"/>
        <v>1</v>
      </c>
      <c r="Q364" s="46" t="str">
        <f t="shared" si="161"/>
        <v>19:48:03</v>
      </c>
      <c r="R364" s="47" t="str">
        <f t="shared" si="162"/>
        <v>48:03</v>
      </c>
      <c r="S364" s="48">
        <f t="shared" si="151"/>
        <v>5</v>
      </c>
      <c r="T364" s="47" t="str">
        <f t="shared" si="163"/>
        <v>19</v>
      </c>
      <c r="U364" s="49">
        <v>48</v>
      </c>
      <c r="V364" s="50">
        <v>8</v>
      </c>
      <c r="W364" s="51" t="str">
        <f t="shared" si="164"/>
        <v>48:08</v>
      </c>
      <c r="X364" s="52" t="s">
        <v>116</v>
      </c>
      <c r="Y364" s="124" t="s">
        <v>260</v>
      </c>
      <c r="Z364" s="124"/>
      <c r="AA364" s="47" t="s">
        <v>255</v>
      </c>
      <c r="AB364" s="47" t="str">
        <f t="shared" si="165"/>
        <v>NA</v>
      </c>
      <c r="AC364" s="53" t="str">
        <f t="shared" si="166"/>
        <v/>
      </c>
      <c r="AD364" s="54">
        <f t="shared" si="167"/>
        <v>1</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t="s">
        <v>131</v>
      </c>
      <c r="AT364" s="58"/>
      <c r="AU364" s="58"/>
      <c r="AV364" s="59"/>
      <c r="AW364" s="60">
        <f t="shared" si="152"/>
        <v>0</v>
      </c>
      <c r="AX364" s="61" t="str">
        <f t="shared" si="153"/>
        <v/>
      </c>
      <c r="AY364" s="60">
        <f t="shared" si="154"/>
        <v>0</v>
      </c>
      <c r="AZ364" s="61" t="str">
        <f t="shared" si="155"/>
        <v/>
      </c>
    </row>
    <row r="365" spans="1:52" s="3" customFormat="1" hidden="1" x14ac:dyDescent="0.35">
      <c r="A365" s="72">
        <f t="shared" si="156"/>
        <v>2021</v>
      </c>
      <c r="B365" s="72" t="str">
        <f t="shared" si="157"/>
        <v>Nov</v>
      </c>
      <c r="C365" s="73">
        <f t="shared" si="175"/>
        <v>14</v>
      </c>
      <c r="D365" s="74">
        <f t="shared" si="158"/>
        <v>19</v>
      </c>
      <c r="E365" s="75">
        <f t="shared" si="159"/>
        <v>49</v>
      </c>
      <c r="F365" s="79"/>
      <c r="G365" s="82"/>
      <c r="H365" s="68" t="str">
        <f t="shared" si="176"/>
        <v>Hyprev7_20211114_19_00</v>
      </c>
      <c r="I365" s="69">
        <f t="shared" si="179"/>
        <v>1</v>
      </c>
      <c r="J365" s="76" t="str">
        <f t="shared" si="179"/>
        <v>Hypericum</v>
      </c>
      <c r="K365" s="76" t="str">
        <f t="shared" si="179"/>
        <v>revolutum</v>
      </c>
      <c r="L365" s="77">
        <f t="shared" si="179"/>
        <v>7</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v>
      </c>
      <c r="C366" s="73">
        <f t="shared" si="175"/>
        <v>14</v>
      </c>
      <c r="D366" s="74">
        <f t="shared" si="158"/>
        <v>19</v>
      </c>
      <c r="E366" s="75">
        <f t="shared" si="159"/>
        <v>50</v>
      </c>
      <c r="F366" s="79">
        <v>41</v>
      </c>
      <c r="G366" s="82"/>
      <c r="H366" s="68" t="str">
        <f t="shared" si="176"/>
        <v>Hyprev7_20211114_19_00</v>
      </c>
      <c r="I366" s="69">
        <f t="shared" si="179"/>
        <v>1</v>
      </c>
      <c r="J366" s="76" t="str">
        <f t="shared" si="179"/>
        <v>Hypericum</v>
      </c>
      <c r="K366" s="76" t="str">
        <f t="shared" si="179"/>
        <v>revolutum</v>
      </c>
      <c r="L366" s="77">
        <f t="shared" si="179"/>
        <v>7</v>
      </c>
      <c r="M366" s="77">
        <f t="shared" si="179"/>
        <v>2</v>
      </c>
      <c r="N366" s="71">
        <f t="shared" si="179"/>
        <v>0</v>
      </c>
      <c r="O366" s="44"/>
      <c r="P366" s="45">
        <f t="shared" si="160"/>
        <v>1</v>
      </c>
      <c r="Q366" s="46" t="str">
        <f t="shared" si="161"/>
        <v>19:50:41</v>
      </c>
      <c r="R366" s="47" t="str">
        <f t="shared" si="162"/>
        <v>50:41</v>
      </c>
      <c r="S366" s="48">
        <f t="shared" si="151"/>
        <v>37</v>
      </c>
      <c r="T366" s="47" t="str">
        <f t="shared" si="163"/>
        <v>19</v>
      </c>
      <c r="U366" s="49">
        <v>51</v>
      </c>
      <c r="V366" s="50">
        <v>18</v>
      </c>
      <c r="W366" s="51" t="str">
        <f t="shared" si="164"/>
        <v>51:18</v>
      </c>
      <c r="X366" s="52" t="s">
        <v>116</v>
      </c>
      <c r="Y366" s="124" t="s">
        <v>260</v>
      </c>
      <c r="Z366" s="124"/>
      <c r="AA366" s="47" t="s">
        <v>255</v>
      </c>
      <c r="AB366" s="47" t="str">
        <f t="shared" si="165"/>
        <v>NA</v>
      </c>
      <c r="AC366" s="53" t="str">
        <f t="shared" si="166"/>
        <v/>
      </c>
      <c r="AD366" s="54">
        <f t="shared" si="167"/>
        <v>1</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t="s">
        <v>132</v>
      </c>
      <c r="AT366" s="58"/>
      <c r="AU366" s="58"/>
      <c r="AV366" s="59"/>
      <c r="AW366" s="60">
        <f t="shared" si="152"/>
        <v>0</v>
      </c>
      <c r="AX366" s="61" t="str">
        <f t="shared" si="153"/>
        <v/>
      </c>
      <c r="AY366" s="60">
        <f t="shared" si="154"/>
        <v>0</v>
      </c>
      <c r="AZ366" s="61" t="str">
        <f t="shared" si="155"/>
        <v/>
      </c>
    </row>
    <row r="367" spans="1:52" s="3" customFormat="1" hidden="1" x14ac:dyDescent="0.35">
      <c r="A367" s="72">
        <f t="shared" si="156"/>
        <v>2021</v>
      </c>
      <c r="B367" s="72" t="str">
        <f t="shared" si="157"/>
        <v>Nov</v>
      </c>
      <c r="C367" s="73">
        <f t="shared" si="175"/>
        <v>14</v>
      </c>
      <c r="D367" s="74">
        <f t="shared" si="158"/>
        <v>19</v>
      </c>
      <c r="E367" s="75">
        <f t="shared" si="159"/>
        <v>51</v>
      </c>
      <c r="F367" s="79"/>
      <c r="G367" s="82"/>
      <c r="H367" s="68" t="str">
        <f t="shared" si="176"/>
        <v>Hyprev7_20211114_19_00</v>
      </c>
      <c r="I367" s="69">
        <f t="shared" si="179"/>
        <v>1</v>
      </c>
      <c r="J367" s="76" t="str">
        <f t="shared" si="179"/>
        <v>Hypericum</v>
      </c>
      <c r="K367" s="76" t="str">
        <f t="shared" si="179"/>
        <v>revolutum</v>
      </c>
      <c r="L367" s="77">
        <f t="shared" si="179"/>
        <v>7</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v>
      </c>
      <c r="C368" s="73">
        <f t="shared" si="175"/>
        <v>14</v>
      </c>
      <c r="D368" s="74">
        <f t="shared" si="158"/>
        <v>19</v>
      </c>
      <c r="E368" s="75">
        <f t="shared" si="159"/>
        <v>52</v>
      </c>
      <c r="F368" s="79"/>
      <c r="G368" s="82"/>
      <c r="H368" s="68" t="str">
        <f t="shared" si="176"/>
        <v>Hyprev7_20211114_19_00</v>
      </c>
      <c r="I368" s="69">
        <f t="shared" si="179"/>
        <v>1</v>
      </c>
      <c r="J368" s="76" t="str">
        <f t="shared" si="179"/>
        <v>Hypericum</v>
      </c>
      <c r="K368" s="76" t="str">
        <f t="shared" si="179"/>
        <v>revolutum</v>
      </c>
      <c r="L368" s="77">
        <f t="shared" si="179"/>
        <v>7</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2021</v>
      </c>
      <c r="B369" s="72" t="str">
        <f t="shared" si="157"/>
        <v>Nov</v>
      </c>
      <c r="C369" s="73">
        <f t="shared" si="175"/>
        <v>14</v>
      </c>
      <c r="D369" s="74">
        <f t="shared" si="158"/>
        <v>19</v>
      </c>
      <c r="E369" s="75">
        <f t="shared" si="159"/>
        <v>53</v>
      </c>
      <c r="F369" s="79"/>
      <c r="G369" s="82"/>
      <c r="H369" s="68" t="str">
        <f t="shared" si="176"/>
        <v>Hyprev7_20211114_19_00</v>
      </c>
      <c r="I369" s="69">
        <f t="shared" si="179"/>
        <v>1</v>
      </c>
      <c r="J369" s="76" t="str">
        <f t="shared" si="179"/>
        <v>Hypericum</v>
      </c>
      <c r="K369" s="76" t="str">
        <f t="shared" si="179"/>
        <v>revolutum</v>
      </c>
      <c r="L369" s="77">
        <f t="shared" si="179"/>
        <v>7</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2021</v>
      </c>
      <c r="B370" s="72" t="str">
        <f t="shared" si="157"/>
        <v>Nov</v>
      </c>
      <c r="C370" s="73">
        <f t="shared" si="175"/>
        <v>14</v>
      </c>
      <c r="D370" s="74">
        <f t="shared" si="158"/>
        <v>19</v>
      </c>
      <c r="E370" s="75">
        <f t="shared" si="159"/>
        <v>54</v>
      </c>
      <c r="F370" s="79">
        <v>50</v>
      </c>
      <c r="G370" s="82"/>
      <c r="H370" s="68" t="str">
        <f t="shared" si="176"/>
        <v>Hyprev7_20211114_19_00</v>
      </c>
      <c r="I370" s="69">
        <f t="shared" si="179"/>
        <v>1</v>
      </c>
      <c r="J370" s="76" t="str">
        <f t="shared" si="179"/>
        <v>Hypericum</v>
      </c>
      <c r="K370" s="76" t="str">
        <f t="shared" si="179"/>
        <v>revolutum</v>
      </c>
      <c r="L370" s="77">
        <f t="shared" si="179"/>
        <v>7</v>
      </c>
      <c r="M370" s="77">
        <f t="shared" si="179"/>
        <v>2</v>
      </c>
      <c r="N370" s="71">
        <f t="shared" si="179"/>
        <v>0</v>
      </c>
      <c r="O370" s="44"/>
      <c r="P370" s="45">
        <f t="shared" si="160"/>
        <v>1</v>
      </c>
      <c r="Q370" s="46" t="str">
        <f t="shared" si="161"/>
        <v>19:54:50</v>
      </c>
      <c r="R370" s="47" t="str">
        <f t="shared" si="162"/>
        <v>54:50</v>
      </c>
      <c r="S370" s="48">
        <f t="shared" si="151"/>
        <v>17</v>
      </c>
      <c r="T370" s="47" t="str">
        <f t="shared" si="163"/>
        <v>19</v>
      </c>
      <c r="U370" s="49">
        <v>55</v>
      </c>
      <c r="V370" s="50">
        <v>7</v>
      </c>
      <c r="W370" s="51" t="str">
        <f t="shared" si="164"/>
        <v>55:07</v>
      </c>
      <c r="X370" s="52" t="s">
        <v>116</v>
      </c>
      <c r="Y370" s="124" t="s">
        <v>260</v>
      </c>
      <c r="Z370" s="124"/>
      <c r="AA370" s="47" t="s">
        <v>255</v>
      </c>
      <c r="AB370" s="47" t="str">
        <f t="shared" si="165"/>
        <v>NA</v>
      </c>
      <c r="AC370" s="53" t="str">
        <f t="shared" si="166"/>
        <v/>
      </c>
      <c r="AD370" s="54">
        <v>2</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t="s">
        <v>104</v>
      </c>
      <c r="AT370" s="58"/>
      <c r="AU370" s="58"/>
      <c r="AV370" s="59"/>
      <c r="AW370" s="60">
        <f t="shared" si="152"/>
        <v>0</v>
      </c>
      <c r="AX370" s="61" t="str">
        <f t="shared" si="153"/>
        <v/>
      </c>
      <c r="AY370" s="60">
        <f t="shared" si="154"/>
        <v>0</v>
      </c>
      <c r="AZ370" s="61" t="str">
        <f t="shared" si="155"/>
        <v/>
      </c>
    </row>
    <row r="371" spans="1:52" s="3" customFormat="1" hidden="1" x14ac:dyDescent="0.35">
      <c r="A371" s="72">
        <f t="shared" si="156"/>
        <v>2021</v>
      </c>
      <c r="B371" s="72" t="str">
        <f t="shared" si="157"/>
        <v>Nov</v>
      </c>
      <c r="C371" s="73">
        <f t="shared" si="175"/>
        <v>14</v>
      </c>
      <c r="D371" s="74">
        <f t="shared" si="158"/>
        <v>19</v>
      </c>
      <c r="E371" s="75">
        <f t="shared" si="159"/>
        <v>55</v>
      </c>
      <c r="F371" s="79">
        <v>10</v>
      </c>
      <c r="G371" s="82"/>
      <c r="H371" s="68" t="str">
        <f t="shared" si="176"/>
        <v>Hyprev7_20211114_19_00</v>
      </c>
      <c r="I371" s="69">
        <f t="shared" si="179"/>
        <v>1</v>
      </c>
      <c r="J371" s="76" t="str">
        <f t="shared" si="179"/>
        <v>Hypericum</v>
      </c>
      <c r="K371" s="76" t="str">
        <f t="shared" si="179"/>
        <v>revolutum</v>
      </c>
      <c r="L371" s="77">
        <f t="shared" si="179"/>
        <v>7</v>
      </c>
      <c r="M371" s="77">
        <f t="shared" si="179"/>
        <v>2</v>
      </c>
      <c r="N371" s="71">
        <f t="shared" si="179"/>
        <v>0</v>
      </c>
      <c r="O371" s="44"/>
      <c r="P371" s="45">
        <f t="shared" si="160"/>
        <v>1</v>
      </c>
      <c r="Q371" s="46" t="str">
        <f t="shared" si="161"/>
        <v>19:55:10</v>
      </c>
      <c r="R371" s="47" t="str">
        <f t="shared" si="162"/>
        <v>55:10</v>
      </c>
      <c r="S371" s="48">
        <f t="shared" si="151"/>
        <v>4</v>
      </c>
      <c r="T371" s="47" t="str">
        <f t="shared" si="163"/>
        <v>19</v>
      </c>
      <c r="U371" s="49">
        <v>55</v>
      </c>
      <c r="V371" s="50">
        <v>14</v>
      </c>
      <c r="W371" s="51" t="str">
        <f t="shared" si="164"/>
        <v>55:14</v>
      </c>
      <c r="X371" s="52" t="s">
        <v>116</v>
      </c>
      <c r="Y371" s="124" t="s">
        <v>260</v>
      </c>
      <c r="Z371" s="124"/>
      <c r="AA371" s="47" t="s">
        <v>255</v>
      </c>
      <c r="AB371" s="47" t="str">
        <f t="shared" si="165"/>
        <v>NA</v>
      </c>
      <c r="AC371" s="53" t="str">
        <f t="shared" si="166"/>
        <v/>
      </c>
      <c r="AD371" s="54">
        <f t="shared" si="167"/>
        <v>1</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t="s">
        <v>76</v>
      </c>
      <c r="AT371" s="58"/>
      <c r="AU371" s="58"/>
      <c r="AV371" s="59"/>
      <c r="AW371" s="60">
        <f t="shared" si="152"/>
        <v>0</v>
      </c>
      <c r="AX371" s="61" t="str">
        <f t="shared" si="153"/>
        <v/>
      </c>
      <c r="AY371" s="60">
        <f t="shared" si="154"/>
        <v>0</v>
      </c>
      <c r="AZ371" s="61" t="str">
        <f t="shared" si="155"/>
        <v/>
      </c>
    </row>
    <row r="372" spans="1:52" s="3" customFormat="1" hidden="1" x14ac:dyDescent="0.35">
      <c r="A372" s="72">
        <f t="shared" si="156"/>
        <v>2021</v>
      </c>
      <c r="B372" s="72" t="str">
        <f t="shared" si="157"/>
        <v>Nov</v>
      </c>
      <c r="C372" s="73">
        <f t="shared" si="175"/>
        <v>14</v>
      </c>
      <c r="D372" s="74">
        <f t="shared" si="158"/>
        <v>19</v>
      </c>
      <c r="E372" s="75">
        <v>55</v>
      </c>
      <c r="F372" s="79"/>
      <c r="G372" s="82"/>
      <c r="H372" s="68" t="str">
        <f t="shared" si="176"/>
        <v>Hyprev7_20211114_19_00</v>
      </c>
      <c r="I372" s="69">
        <f t="shared" si="179"/>
        <v>1</v>
      </c>
      <c r="J372" s="76" t="str">
        <f t="shared" si="179"/>
        <v>Hypericum</v>
      </c>
      <c r="K372" s="76" t="str">
        <f t="shared" si="179"/>
        <v>revolutum</v>
      </c>
      <c r="L372" s="77">
        <f t="shared" si="179"/>
        <v>7</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v>
      </c>
      <c r="C373" s="73">
        <f t="shared" si="175"/>
        <v>14</v>
      </c>
      <c r="D373" s="74">
        <f t="shared" si="158"/>
        <v>19</v>
      </c>
      <c r="E373" s="75">
        <f t="shared" si="159"/>
        <v>56</v>
      </c>
      <c r="F373" s="79"/>
      <c r="G373" s="82"/>
      <c r="H373" s="68" t="str">
        <f t="shared" si="176"/>
        <v>Hyprev7_20211114_19_00</v>
      </c>
      <c r="I373" s="69">
        <f t="shared" ref="I373:N388" si="180">I372</f>
        <v>1</v>
      </c>
      <c r="J373" s="76" t="str">
        <f t="shared" si="180"/>
        <v>Hypericum</v>
      </c>
      <c r="K373" s="76" t="str">
        <f t="shared" si="180"/>
        <v>revolutum</v>
      </c>
      <c r="L373" s="77">
        <f t="shared" si="180"/>
        <v>7</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v>
      </c>
      <c r="C374" s="73">
        <f t="shared" si="175"/>
        <v>14</v>
      </c>
      <c r="D374" s="74">
        <f t="shared" si="158"/>
        <v>19</v>
      </c>
      <c r="E374" s="75">
        <f t="shared" si="159"/>
        <v>57</v>
      </c>
      <c r="F374" s="79"/>
      <c r="G374" s="82"/>
      <c r="H374" s="68" t="str">
        <f t="shared" si="176"/>
        <v>Hyprev7_20211114_19_00</v>
      </c>
      <c r="I374" s="69">
        <f t="shared" si="180"/>
        <v>1</v>
      </c>
      <c r="J374" s="76" t="str">
        <f t="shared" si="180"/>
        <v>Hypericum</v>
      </c>
      <c r="K374" s="76" t="str">
        <f t="shared" si="180"/>
        <v>revolutum</v>
      </c>
      <c r="L374" s="77">
        <f t="shared" si="180"/>
        <v>7</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v>
      </c>
      <c r="C375" s="73">
        <f t="shared" si="175"/>
        <v>14</v>
      </c>
      <c r="D375" s="74">
        <f t="shared" si="158"/>
        <v>19</v>
      </c>
      <c r="E375" s="75">
        <f t="shared" si="159"/>
        <v>58</v>
      </c>
      <c r="F375" s="79"/>
      <c r="G375" s="82"/>
      <c r="H375" s="68" t="str">
        <f t="shared" si="176"/>
        <v>Hyprev7_20211114_19_00</v>
      </c>
      <c r="I375" s="69">
        <f t="shared" si="180"/>
        <v>1</v>
      </c>
      <c r="J375" s="76" t="str">
        <f t="shared" si="180"/>
        <v>Hypericum</v>
      </c>
      <c r="K375" s="76" t="str">
        <f t="shared" si="180"/>
        <v>revolutum</v>
      </c>
      <c r="L375" s="77">
        <f t="shared" si="180"/>
        <v>7</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v>
      </c>
      <c r="C376" s="73">
        <f t="shared" si="175"/>
        <v>14</v>
      </c>
      <c r="D376" s="74">
        <f t="shared" si="158"/>
        <v>19</v>
      </c>
      <c r="E376" s="75">
        <f t="shared" si="159"/>
        <v>59</v>
      </c>
      <c r="F376" s="79"/>
      <c r="G376" s="82"/>
      <c r="H376" s="68" t="str">
        <f t="shared" si="176"/>
        <v>Hyprev7_20211114_19_00</v>
      </c>
      <c r="I376" s="69">
        <f t="shared" si="180"/>
        <v>1</v>
      </c>
      <c r="J376" s="76" t="str">
        <f t="shared" si="180"/>
        <v>Hypericum</v>
      </c>
      <c r="K376" s="76" t="str">
        <f t="shared" si="180"/>
        <v>revolutum</v>
      </c>
      <c r="L376" s="77">
        <f t="shared" si="180"/>
        <v>7</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v>
      </c>
      <c r="C377" s="73">
        <f t="shared" si="175"/>
        <v>14</v>
      </c>
      <c r="D377" s="74">
        <f t="shared" si="158"/>
        <v>20</v>
      </c>
      <c r="E377" s="75">
        <f t="shared" si="159"/>
        <v>0</v>
      </c>
      <c r="F377" s="79"/>
      <c r="G377" s="82"/>
      <c r="H377" s="68" t="str">
        <f t="shared" si="176"/>
        <v>Hyprev7_20211114_20_00</v>
      </c>
      <c r="I377" s="69">
        <f t="shared" si="180"/>
        <v>1</v>
      </c>
      <c r="J377" s="76" t="str">
        <f t="shared" si="180"/>
        <v>Hypericum</v>
      </c>
      <c r="K377" s="76" t="str">
        <f t="shared" si="180"/>
        <v>revolutum</v>
      </c>
      <c r="L377" s="77">
        <f t="shared" si="180"/>
        <v>7</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v>
      </c>
      <c r="C378" s="73">
        <f t="shared" si="175"/>
        <v>14</v>
      </c>
      <c r="D378" s="74">
        <f t="shared" si="158"/>
        <v>20</v>
      </c>
      <c r="E378" s="75">
        <f t="shared" si="159"/>
        <v>1</v>
      </c>
      <c r="F378" s="79"/>
      <c r="G378" s="82"/>
      <c r="H378" s="68" t="str">
        <f t="shared" si="176"/>
        <v>Hyprev7_20211114_20_00</v>
      </c>
      <c r="I378" s="69">
        <f t="shared" si="180"/>
        <v>1</v>
      </c>
      <c r="J378" s="76" t="str">
        <f t="shared" si="180"/>
        <v>Hypericum</v>
      </c>
      <c r="K378" s="76" t="str">
        <f t="shared" si="180"/>
        <v>revolutum</v>
      </c>
      <c r="L378" s="77">
        <f t="shared" si="180"/>
        <v>7</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v>
      </c>
      <c r="C379" s="73">
        <f t="shared" si="175"/>
        <v>14</v>
      </c>
      <c r="D379" s="74">
        <f t="shared" si="158"/>
        <v>20</v>
      </c>
      <c r="E379" s="75">
        <f t="shared" si="159"/>
        <v>2</v>
      </c>
      <c r="F379" s="79"/>
      <c r="G379" s="82"/>
      <c r="H379" s="68" t="str">
        <f t="shared" si="176"/>
        <v>Hyprev7_20211114_20_00</v>
      </c>
      <c r="I379" s="69">
        <f t="shared" si="180"/>
        <v>1</v>
      </c>
      <c r="J379" s="76" t="str">
        <f t="shared" si="180"/>
        <v>Hypericum</v>
      </c>
      <c r="K379" s="76" t="str">
        <f t="shared" si="180"/>
        <v>revolutum</v>
      </c>
      <c r="L379" s="77">
        <f t="shared" si="180"/>
        <v>7</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v>
      </c>
      <c r="C380" s="73">
        <f t="shared" si="175"/>
        <v>14</v>
      </c>
      <c r="D380" s="74">
        <f t="shared" si="158"/>
        <v>20</v>
      </c>
      <c r="E380" s="75">
        <f t="shared" si="159"/>
        <v>3</v>
      </c>
      <c r="F380" s="79"/>
      <c r="G380" s="82"/>
      <c r="H380" s="68" t="str">
        <f t="shared" si="176"/>
        <v>Hyprev7_20211114_20_00</v>
      </c>
      <c r="I380" s="69">
        <f t="shared" si="180"/>
        <v>1</v>
      </c>
      <c r="J380" s="76" t="str">
        <f t="shared" si="180"/>
        <v>Hypericum</v>
      </c>
      <c r="K380" s="76" t="str">
        <f t="shared" si="180"/>
        <v>revolutum</v>
      </c>
      <c r="L380" s="77">
        <f t="shared" si="180"/>
        <v>7</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v>
      </c>
      <c r="C381" s="73">
        <f t="shared" si="175"/>
        <v>14</v>
      </c>
      <c r="D381" s="74">
        <f t="shared" si="158"/>
        <v>20</v>
      </c>
      <c r="E381" s="75">
        <f t="shared" si="159"/>
        <v>4</v>
      </c>
      <c r="F381" s="79"/>
      <c r="G381" s="82"/>
      <c r="H381" s="68" t="str">
        <f t="shared" si="176"/>
        <v>Hyprev7_20211114_20_00</v>
      </c>
      <c r="I381" s="69">
        <f t="shared" si="180"/>
        <v>1</v>
      </c>
      <c r="J381" s="76" t="str">
        <f t="shared" si="180"/>
        <v>Hypericum</v>
      </c>
      <c r="K381" s="76" t="str">
        <f t="shared" si="180"/>
        <v>revolutum</v>
      </c>
      <c r="L381" s="77">
        <f t="shared" si="180"/>
        <v>7</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2021</v>
      </c>
      <c r="B382" s="72" t="str">
        <f t="shared" si="157"/>
        <v>Nov</v>
      </c>
      <c r="C382" s="73">
        <f t="shared" si="175"/>
        <v>14</v>
      </c>
      <c r="D382" s="74">
        <f t="shared" si="158"/>
        <v>20</v>
      </c>
      <c r="E382" s="75">
        <f t="shared" si="159"/>
        <v>5</v>
      </c>
      <c r="F382" s="79"/>
      <c r="G382" s="82"/>
      <c r="H382" s="68" t="str">
        <f t="shared" si="176"/>
        <v>Hyprev7_20211114_20_00</v>
      </c>
      <c r="I382" s="69">
        <f t="shared" si="180"/>
        <v>1</v>
      </c>
      <c r="J382" s="76" t="str">
        <f t="shared" si="180"/>
        <v>Hypericum</v>
      </c>
      <c r="K382" s="76" t="str">
        <f t="shared" si="180"/>
        <v>revolutum</v>
      </c>
      <c r="L382" s="77">
        <f t="shared" si="180"/>
        <v>7</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2021</v>
      </c>
      <c r="B383" s="72" t="str">
        <f t="shared" si="157"/>
        <v>Nov</v>
      </c>
      <c r="C383" s="73">
        <f t="shared" si="175"/>
        <v>14</v>
      </c>
      <c r="D383" s="74">
        <f t="shared" si="158"/>
        <v>20</v>
      </c>
      <c r="E383" s="75">
        <f t="shared" si="159"/>
        <v>6</v>
      </c>
      <c r="F383" s="79"/>
      <c r="G383" s="82"/>
      <c r="H383" s="68" t="str">
        <f t="shared" si="176"/>
        <v>Hyprev7_20211114_20_00</v>
      </c>
      <c r="I383" s="69">
        <f t="shared" si="180"/>
        <v>1</v>
      </c>
      <c r="J383" s="76" t="str">
        <f t="shared" si="180"/>
        <v>Hypericum</v>
      </c>
      <c r="K383" s="76" t="str">
        <f t="shared" si="180"/>
        <v>revolutum</v>
      </c>
      <c r="L383" s="77">
        <f t="shared" si="180"/>
        <v>7</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v>
      </c>
      <c r="C384" s="73">
        <f t="shared" si="175"/>
        <v>14</v>
      </c>
      <c r="D384" s="74">
        <f t="shared" si="158"/>
        <v>20</v>
      </c>
      <c r="E384" s="75">
        <f t="shared" si="159"/>
        <v>7</v>
      </c>
      <c r="F384" s="79"/>
      <c r="G384" s="82"/>
      <c r="H384" s="68" t="str">
        <f t="shared" si="176"/>
        <v>Hyprev7_20211114_20_00</v>
      </c>
      <c r="I384" s="69">
        <f t="shared" si="180"/>
        <v>1</v>
      </c>
      <c r="J384" s="76" t="str">
        <f t="shared" si="180"/>
        <v>Hypericum</v>
      </c>
      <c r="K384" s="76" t="str">
        <f t="shared" si="180"/>
        <v>revolutum</v>
      </c>
      <c r="L384" s="77">
        <f t="shared" si="180"/>
        <v>7</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v>
      </c>
      <c r="C385" s="73">
        <f t="shared" si="175"/>
        <v>14</v>
      </c>
      <c r="D385" s="74">
        <f t="shared" si="158"/>
        <v>20</v>
      </c>
      <c r="E385" s="75">
        <f t="shared" si="159"/>
        <v>8</v>
      </c>
      <c r="F385" s="79"/>
      <c r="G385" s="82"/>
      <c r="H385" s="68" t="str">
        <f t="shared" si="176"/>
        <v>Hyprev7_20211114_20_00</v>
      </c>
      <c r="I385" s="69">
        <f t="shared" si="180"/>
        <v>1</v>
      </c>
      <c r="J385" s="76" t="str">
        <f t="shared" si="180"/>
        <v>Hypericum</v>
      </c>
      <c r="K385" s="76" t="str">
        <f t="shared" si="180"/>
        <v>revolutum</v>
      </c>
      <c r="L385" s="77">
        <f t="shared" si="180"/>
        <v>7</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v>
      </c>
      <c r="C386" s="73">
        <f t="shared" si="175"/>
        <v>14</v>
      </c>
      <c r="D386" s="74">
        <f t="shared" si="158"/>
        <v>20</v>
      </c>
      <c r="E386" s="75">
        <f t="shared" si="159"/>
        <v>9</v>
      </c>
      <c r="F386" s="79"/>
      <c r="G386" s="82"/>
      <c r="H386" s="68" t="str">
        <f t="shared" si="176"/>
        <v>Hyprev7_20211114_20_00</v>
      </c>
      <c r="I386" s="69">
        <f t="shared" si="180"/>
        <v>1</v>
      </c>
      <c r="J386" s="76" t="str">
        <f t="shared" si="180"/>
        <v>Hypericum</v>
      </c>
      <c r="K386" s="76" t="str">
        <f t="shared" si="180"/>
        <v>revolutum</v>
      </c>
      <c r="L386" s="77">
        <f t="shared" si="180"/>
        <v>7</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v>
      </c>
      <c r="C387" s="73">
        <f t="shared" si="175"/>
        <v>14</v>
      </c>
      <c r="D387" s="74">
        <f t="shared" si="158"/>
        <v>20</v>
      </c>
      <c r="E387" s="75">
        <f t="shared" si="159"/>
        <v>10</v>
      </c>
      <c r="F387" s="79"/>
      <c r="G387" s="82"/>
      <c r="H387" s="68" t="str">
        <f t="shared" si="176"/>
        <v>Hyprev7_20211114_20_00</v>
      </c>
      <c r="I387" s="69">
        <f t="shared" si="180"/>
        <v>1</v>
      </c>
      <c r="J387" s="76" t="str">
        <f t="shared" si="180"/>
        <v>Hypericum</v>
      </c>
      <c r="K387" s="76" t="str">
        <f t="shared" si="180"/>
        <v>revolutum</v>
      </c>
      <c r="L387" s="77">
        <f t="shared" si="180"/>
        <v>7</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v>
      </c>
      <c r="C388" s="73">
        <f t="shared" si="175"/>
        <v>14</v>
      </c>
      <c r="D388" s="74">
        <f t="shared" ref="D388:D451" si="188">IF(IF(E387=59,D387+1,D387)=24,0,IF(E387=59,D387+1,D387))</f>
        <v>20</v>
      </c>
      <c r="E388" s="75">
        <f t="shared" ref="E388:E451" si="189">IF(E387&lt;59,E387+1,0)</f>
        <v>11</v>
      </c>
      <c r="F388" s="79"/>
      <c r="G388" s="82"/>
      <c r="H388" s="68" t="str">
        <f t="shared" si="176"/>
        <v>Hyprev7_20211114_20_00</v>
      </c>
      <c r="I388" s="69">
        <f t="shared" si="180"/>
        <v>1</v>
      </c>
      <c r="J388" s="76" t="str">
        <f t="shared" si="180"/>
        <v>Hypericum</v>
      </c>
      <c r="K388" s="76" t="str">
        <f t="shared" si="180"/>
        <v>revolutum</v>
      </c>
      <c r="L388" s="77">
        <f t="shared" si="180"/>
        <v>7</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v>
      </c>
      <c r="C389" s="73">
        <f t="shared" ref="C389:C452" si="205">IF(AND(D389=0, E389=0), IF(TEXT(C388,"dd")=TEXT(EOMONTH(DATE(A388,MONTH(DATEVALUE(B388&amp;"1")),C388),0), "dd"), 1, C388+1), C388)</f>
        <v>14</v>
      </c>
      <c r="D389" s="74">
        <f t="shared" si="188"/>
        <v>20</v>
      </c>
      <c r="E389" s="75">
        <f t="shared" si="189"/>
        <v>12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Hyprev7_20211114_20_00</v>
      </c>
      <c r="I389" s="69">
        <f t="shared" ref="I389:N404" si="207">I388</f>
        <v>1</v>
      </c>
      <c r="J389" s="76" t="str">
        <f t="shared" si="207"/>
        <v>Hypericum</v>
      </c>
      <c r="K389" s="76" t="str">
        <f t="shared" si="207"/>
        <v>revolutum</v>
      </c>
      <c r="L389" s="77">
        <f t="shared" si="207"/>
        <v>7</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v>
      </c>
      <c r="C390" s="73">
        <f t="shared" si="205"/>
        <v>14</v>
      </c>
      <c r="D390" s="74">
        <f t="shared" si="188"/>
        <v>20</v>
      </c>
      <c r="E390" s="75">
        <f t="shared" si="189"/>
        <v>13</v>
      </c>
      <c r="F390" s="79"/>
      <c r="G390" s="82"/>
      <c r="H390" s="68" t="str">
        <f t="shared" si="206"/>
        <v>Hyprev7_20211114_20_00</v>
      </c>
      <c r="I390" s="69">
        <f t="shared" si="207"/>
        <v>1</v>
      </c>
      <c r="J390" s="76" t="str">
        <f t="shared" si="207"/>
        <v>Hypericum</v>
      </c>
      <c r="K390" s="76" t="str">
        <f t="shared" si="207"/>
        <v>revolutum</v>
      </c>
      <c r="L390" s="77">
        <f t="shared" si="207"/>
        <v>7</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v>
      </c>
      <c r="C391" s="73">
        <f t="shared" si="205"/>
        <v>14</v>
      </c>
      <c r="D391" s="74">
        <f t="shared" si="188"/>
        <v>20</v>
      </c>
      <c r="E391" s="75">
        <f t="shared" si="189"/>
        <v>14</v>
      </c>
      <c r="F391" s="79"/>
      <c r="G391" s="82"/>
      <c r="H391" s="68" t="str">
        <f t="shared" si="206"/>
        <v>Hyprev7_20211114_20_00</v>
      </c>
      <c r="I391" s="69">
        <f t="shared" si="207"/>
        <v>1</v>
      </c>
      <c r="J391" s="76" t="str">
        <f t="shared" si="207"/>
        <v>Hypericum</v>
      </c>
      <c r="K391" s="76" t="str">
        <f t="shared" si="207"/>
        <v>revolutum</v>
      </c>
      <c r="L391" s="77">
        <f t="shared" si="207"/>
        <v>7</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v>
      </c>
      <c r="C392" s="73">
        <f t="shared" si="205"/>
        <v>14</v>
      </c>
      <c r="D392" s="74">
        <f t="shared" si="188"/>
        <v>20</v>
      </c>
      <c r="E392" s="75">
        <f t="shared" si="189"/>
        <v>15</v>
      </c>
      <c r="F392" s="79"/>
      <c r="G392" s="82"/>
      <c r="H392" s="68" t="str">
        <f t="shared" si="206"/>
        <v>Hyprev7_20211114_20_00</v>
      </c>
      <c r="I392" s="69">
        <f t="shared" si="207"/>
        <v>1</v>
      </c>
      <c r="J392" s="76" t="str">
        <f t="shared" si="207"/>
        <v>Hypericum</v>
      </c>
      <c r="K392" s="76" t="str">
        <f t="shared" si="207"/>
        <v>revolutum</v>
      </c>
      <c r="L392" s="77">
        <f t="shared" si="207"/>
        <v>7</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v>
      </c>
      <c r="C393" s="73">
        <f t="shared" si="205"/>
        <v>14</v>
      </c>
      <c r="D393" s="74">
        <f t="shared" si="188"/>
        <v>20</v>
      </c>
      <c r="E393" s="75">
        <f t="shared" si="189"/>
        <v>16</v>
      </c>
      <c r="F393" s="79"/>
      <c r="G393" s="82"/>
      <c r="H393" s="68" t="str">
        <f t="shared" si="206"/>
        <v>Hyprev7_20211114_20_00</v>
      </c>
      <c r="I393" s="69">
        <f t="shared" si="207"/>
        <v>1</v>
      </c>
      <c r="J393" s="76" t="str">
        <f t="shared" si="207"/>
        <v>Hypericum</v>
      </c>
      <c r="K393" s="76" t="str">
        <f t="shared" si="207"/>
        <v>revolutum</v>
      </c>
      <c r="L393" s="77">
        <f t="shared" si="207"/>
        <v>7</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v>
      </c>
      <c r="C394" s="73">
        <f t="shared" si="205"/>
        <v>14</v>
      </c>
      <c r="D394" s="74">
        <f t="shared" si="188"/>
        <v>20</v>
      </c>
      <c r="E394" s="75">
        <f t="shared" si="189"/>
        <v>17</v>
      </c>
      <c r="F394" s="79"/>
      <c r="G394" s="82"/>
      <c r="H394" s="68" t="str">
        <f t="shared" si="206"/>
        <v>Hyprev7_20211114_20_00</v>
      </c>
      <c r="I394" s="69">
        <f t="shared" si="207"/>
        <v>1</v>
      </c>
      <c r="J394" s="76" t="str">
        <f t="shared" si="207"/>
        <v>Hypericum</v>
      </c>
      <c r="K394" s="76" t="str">
        <f t="shared" si="207"/>
        <v>revolutum</v>
      </c>
      <c r="L394" s="77">
        <f t="shared" si="207"/>
        <v>7</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v>
      </c>
      <c r="C395" s="73">
        <f t="shared" si="205"/>
        <v>14</v>
      </c>
      <c r="D395" s="74">
        <f t="shared" si="188"/>
        <v>20</v>
      </c>
      <c r="E395" s="75">
        <f t="shared" si="189"/>
        <v>18</v>
      </c>
      <c r="F395" s="79"/>
      <c r="G395" s="82"/>
      <c r="H395" s="68" t="str">
        <f t="shared" si="206"/>
        <v>Hyprev7_20211114_20_00</v>
      </c>
      <c r="I395" s="69">
        <f t="shared" si="207"/>
        <v>1</v>
      </c>
      <c r="J395" s="76" t="str">
        <f t="shared" si="207"/>
        <v>Hypericum</v>
      </c>
      <c r="K395" s="76" t="str">
        <f t="shared" si="207"/>
        <v>revolutum</v>
      </c>
      <c r="L395" s="77">
        <f t="shared" si="207"/>
        <v>7</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v>
      </c>
      <c r="C396" s="73">
        <f t="shared" si="205"/>
        <v>14</v>
      </c>
      <c r="D396" s="74">
        <f t="shared" si="188"/>
        <v>20</v>
      </c>
      <c r="E396" s="75">
        <f t="shared" si="189"/>
        <v>19</v>
      </c>
      <c r="F396" s="79"/>
      <c r="G396" s="82"/>
      <c r="H396" s="68" t="str">
        <f t="shared" si="206"/>
        <v>Hyprev7_20211114_20_00</v>
      </c>
      <c r="I396" s="69">
        <f t="shared" si="207"/>
        <v>1</v>
      </c>
      <c r="J396" s="76" t="str">
        <f t="shared" si="207"/>
        <v>Hypericum</v>
      </c>
      <c r="K396" s="76" t="str">
        <f t="shared" si="207"/>
        <v>revolutum</v>
      </c>
      <c r="L396" s="77">
        <f t="shared" si="207"/>
        <v>7</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v>
      </c>
      <c r="C397" s="73">
        <f t="shared" si="205"/>
        <v>14</v>
      </c>
      <c r="D397" s="74">
        <f t="shared" si="188"/>
        <v>20</v>
      </c>
      <c r="E397" s="75">
        <f t="shared" si="189"/>
        <v>20</v>
      </c>
      <c r="F397" s="79"/>
      <c r="G397" s="82"/>
      <c r="H397" s="68" t="str">
        <f t="shared" si="206"/>
        <v>Hyprev7_20211114_20_00</v>
      </c>
      <c r="I397" s="69">
        <f t="shared" si="207"/>
        <v>1</v>
      </c>
      <c r="J397" s="76" t="str">
        <f t="shared" si="207"/>
        <v>Hypericum</v>
      </c>
      <c r="K397" s="76" t="str">
        <f t="shared" si="207"/>
        <v>revolutum</v>
      </c>
      <c r="L397" s="77">
        <f t="shared" si="207"/>
        <v>7</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v>
      </c>
      <c r="C398" s="73">
        <f t="shared" si="205"/>
        <v>14</v>
      </c>
      <c r="D398" s="74">
        <f t="shared" si="188"/>
        <v>20</v>
      </c>
      <c r="E398" s="75">
        <f t="shared" si="189"/>
        <v>21</v>
      </c>
      <c r="F398" s="79"/>
      <c r="G398" s="82"/>
      <c r="H398" s="68" t="str">
        <f t="shared" si="206"/>
        <v>Hyprev7_20211114_20_00</v>
      </c>
      <c r="I398" s="69">
        <f t="shared" si="207"/>
        <v>1</v>
      </c>
      <c r="J398" s="76" t="str">
        <f t="shared" si="207"/>
        <v>Hypericum</v>
      </c>
      <c r="K398" s="76" t="str">
        <f t="shared" si="207"/>
        <v>revolutum</v>
      </c>
      <c r="L398" s="77">
        <f t="shared" si="207"/>
        <v>7</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2021</v>
      </c>
      <c r="B399" s="72" t="str">
        <f t="shared" si="187"/>
        <v>Nov</v>
      </c>
      <c r="C399" s="73">
        <f t="shared" si="205"/>
        <v>14</v>
      </c>
      <c r="D399" s="74">
        <f t="shared" si="188"/>
        <v>20</v>
      </c>
      <c r="E399" s="75">
        <f t="shared" si="189"/>
        <v>22</v>
      </c>
      <c r="F399" s="79"/>
      <c r="G399" s="82"/>
      <c r="H399" s="68" t="str">
        <f t="shared" si="206"/>
        <v>Hyprev7_20211114_20_00</v>
      </c>
      <c r="I399" s="69">
        <f t="shared" si="207"/>
        <v>1</v>
      </c>
      <c r="J399" s="76" t="str">
        <f t="shared" si="207"/>
        <v>Hypericum</v>
      </c>
      <c r="K399" s="76" t="str">
        <f t="shared" si="207"/>
        <v>revolutum</v>
      </c>
      <c r="L399" s="77">
        <f t="shared" si="207"/>
        <v>7</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2021</v>
      </c>
      <c r="B400" s="72" t="str">
        <f t="shared" si="187"/>
        <v>Nov</v>
      </c>
      <c r="C400" s="73">
        <f t="shared" si="205"/>
        <v>14</v>
      </c>
      <c r="D400" s="74">
        <f t="shared" si="188"/>
        <v>20</v>
      </c>
      <c r="E400" s="75">
        <f t="shared" si="189"/>
        <v>23</v>
      </c>
      <c r="F400" s="79"/>
      <c r="G400" s="82"/>
      <c r="H400" s="68" t="str">
        <f t="shared" si="206"/>
        <v>Hyprev7_20211114_20_00</v>
      </c>
      <c r="I400" s="69">
        <f t="shared" si="207"/>
        <v>1</v>
      </c>
      <c r="J400" s="76" t="str">
        <f t="shared" si="207"/>
        <v>Hypericum</v>
      </c>
      <c r="K400" s="76" t="str">
        <f t="shared" si="207"/>
        <v>revolutum</v>
      </c>
      <c r="L400" s="77">
        <f t="shared" si="207"/>
        <v>7</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v>
      </c>
      <c r="C401" s="73">
        <f t="shared" si="205"/>
        <v>14</v>
      </c>
      <c r="D401" s="74">
        <f t="shared" si="188"/>
        <v>20</v>
      </c>
      <c r="E401" s="75">
        <f t="shared" si="189"/>
        <v>24</v>
      </c>
      <c r="F401" s="79"/>
      <c r="G401" s="82"/>
      <c r="H401" s="68" t="str">
        <f t="shared" si="206"/>
        <v>Hyprev7_20211114_20_00</v>
      </c>
      <c r="I401" s="69">
        <f t="shared" si="207"/>
        <v>1</v>
      </c>
      <c r="J401" s="76" t="str">
        <f t="shared" si="207"/>
        <v>Hypericum</v>
      </c>
      <c r="K401" s="76" t="str">
        <f t="shared" si="207"/>
        <v>revolutum</v>
      </c>
      <c r="L401" s="77">
        <f t="shared" si="207"/>
        <v>7</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2021</v>
      </c>
      <c r="B402" s="72" t="str">
        <f t="shared" si="187"/>
        <v>Nov</v>
      </c>
      <c r="C402" s="73">
        <f t="shared" si="205"/>
        <v>14</v>
      </c>
      <c r="D402" s="74">
        <f t="shared" si="188"/>
        <v>20</v>
      </c>
      <c r="E402" s="75">
        <f t="shared" si="189"/>
        <v>25</v>
      </c>
      <c r="F402" s="79"/>
      <c r="G402" s="82"/>
      <c r="H402" s="68" t="str">
        <f t="shared" si="206"/>
        <v>Hyprev7_20211114_20_00</v>
      </c>
      <c r="I402" s="69">
        <f t="shared" si="207"/>
        <v>1</v>
      </c>
      <c r="J402" s="76" t="str">
        <f t="shared" si="207"/>
        <v>Hypericum</v>
      </c>
      <c r="K402" s="76" t="str">
        <f t="shared" si="207"/>
        <v>revolutum</v>
      </c>
      <c r="L402" s="77">
        <f t="shared" si="207"/>
        <v>7</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2021</v>
      </c>
      <c r="B403" s="72" t="str">
        <f t="shared" si="187"/>
        <v>Nov</v>
      </c>
      <c r="C403" s="73">
        <f t="shared" si="205"/>
        <v>14</v>
      </c>
      <c r="D403" s="74">
        <f t="shared" si="188"/>
        <v>20</v>
      </c>
      <c r="E403" s="75">
        <f t="shared" si="189"/>
        <v>26</v>
      </c>
      <c r="F403" s="79"/>
      <c r="G403" s="82"/>
      <c r="H403" s="68" t="str">
        <f t="shared" si="206"/>
        <v>Hyprev7_20211114_20_00</v>
      </c>
      <c r="I403" s="69">
        <f t="shared" si="207"/>
        <v>1</v>
      </c>
      <c r="J403" s="76" t="str">
        <f t="shared" si="207"/>
        <v>Hypericum</v>
      </c>
      <c r="K403" s="76" t="str">
        <f t="shared" si="207"/>
        <v>revolutum</v>
      </c>
      <c r="L403" s="77">
        <f t="shared" si="207"/>
        <v>7</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v>
      </c>
      <c r="C404" s="73">
        <f t="shared" si="205"/>
        <v>14</v>
      </c>
      <c r="D404" s="74">
        <f t="shared" si="188"/>
        <v>20</v>
      </c>
      <c r="E404" s="75">
        <f t="shared" si="189"/>
        <v>27</v>
      </c>
      <c r="F404" s="79"/>
      <c r="G404" s="82"/>
      <c r="H404" s="68" t="str">
        <f t="shared" si="206"/>
        <v>Hyprev7_20211114_20_00</v>
      </c>
      <c r="I404" s="69">
        <f t="shared" si="207"/>
        <v>1</v>
      </c>
      <c r="J404" s="76" t="str">
        <f t="shared" si="207"/>
        <v>Hypericum</v>
      </c>
      <c r="K404" s="76" t="str">
        <f t="shared" si="207"/>
        <v>revolutum</v>
      </c>
      <c r="L404" s="77">
        <f t="shared" si="207"/>
        <v>7</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v>
      </c>
      <c r="C405" s="73">
        <f t="shared" si="205"/>
        <v>14</v>
      </c>
      <c r="D405" s="74">
        <f t="shared" si="188"/>
        <v>20</v>
      </c>
      <c r="E405" s="75">
        <f t="shared" si="189"/>
        <v>28</v>
      </c>
      <c r="F405" s="79"/>
      <c r="G405" s="82"/>
      <c r="H405" s="68" t="str">
        <f t="shared" si="206"/>
        <v>Hyprev7_20211114_20_00</v>
      </c>
      <c r="I405" s="69">
        <f t="shared" ref="I405:N420" si="208">I404</f>
        <v>1</v>
      </c>
      <c r="J405" s="76" t="str">
        <f t="shared" si="208"/>
        <v>Hypericum</v>
      </c>
      <c r="K405" s="76" t="str">
        <f t="shared" si="208"/>
        <v>revolutum</v>
      </c>
      <c r="L405" s="77">
        <f t="shared" si="208"/>
        <v>7</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v>
      </c>
      <c r="C406" s="73">
        <f t="shared" si="205"/>
        <v>14</v>
      </c>
      <c r="D406" s="74">
        <f t="shared" si="188"/>
        <v>20</v>
      </c>
      <c r="E406" s="75">
        <f t="shared" si="189"/>
        <v>29</v>
      </c>
      <c r="F406" s="79"/>
      <c r="G406" s="82"/>
      <c r="H406" s="68" t="str">
        <f t="shared" si="206"/>
        <v>Hyprev7_20211114_20_00</v>
      </c>
      <c r="I406" s="69">
        <f t="shared" si="208"/>
        <v>1</v>
      </c>
      <c r="J406" s="76" t="str">
        <f t="shared" si="208"/>
        <v>Hypericum</v>
      </c>
      <c r="K406" s="76" t="str">
        <f t="shared" si="208"/>
        <v>revolutum</v>
      </c>
      <c r="L406" s="77">
        <f t="shared" si="208"/>
        <v>7</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v>
      </c>
      <c r="C407" s="73">
        <f t="shared" si="205"/>
        <v>14</v>
      </c>
      <c r="D407" s="74">
        <f t="shared" si="188"/>
        <v>20</v>
      </c>
      <c r="E407" s="75">
        <f t="shared" si="189"/>
        <v>30</v>
      </c>
      <c r="F407" s="79"/>
      <c r="G407" s="82"/>
      <c r="H407" s="68" t="str">
        <f t="shared" si="206"/>
        <v>Hyprev7_20211114_20_00</v>
      </c>
      <c r="I407" s="69">
        <f t="shared" si="208"/>
        <v>1</v>
      </c>
      <c r="J407" s="76" t="str">
        <f t="shared" si="208"/>
        <v>Hypericum</v>
      </c>
      <c r="K407" s="76" t="str">
        <f t="shared" si="208"/>
        <v>revolutum</v>
      </c>
      <c r="L407" s="77">
        <f t="shared" si="208"/>
        <v>7</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v>
      </c>
      <c r="C408" s="73">
        <f t="shared" si="205"/>
        <v>14</v>
      </c>
      <c r="D408" s="74">
        <f t="shared" si="188"/>
        <v>20</v>
      </c>
      <c r="E408" s="75">
        <f t="shared" si="189"/>
        <v>31</v>
      </c>
      <c r="F408" s="79"/>
      <c r="G408" s="82"/>
      <c r="H408" s="68" t="str">
        <f t="shared" si="206"/>
        <v>Hyprev7_20211114_20_00</v>
      </c>
      <c r="I408" s="69">
        <f t="shared" si="208"/>
        <v>1</v>
      </c>
      <c r="J408" s="76" t="str">
        <f t="shared" si="208"/>
        <v>Hypericum</v>
      </c>
      <c r="K408" s="76" t="str">
        <f t="shared" si="208"/>
        <v>revolutum</v>
      </c>
      <c r="L408" s="77">
        <f t="shared" si="208"/>
        <v>7</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2021</v>
      </c>
      <c r="B409" s="72" t="str">
        <f t="shared" si="187"/>
        <v>Nov</v>
      </c>
      <c r="C409" s="73">
        <f t="shared" si="205"/>
        <v>14</v>
      </c>
      <c r="D409" s="74">
        <f t="shared" si="188"/>
        <v>20</v>
      </c>
      <c r="E409" s="75">
        <f t="shared" si="189"/>
        <v>32</v>
      </c>
      <c r="F409" s="79"/>
      <c r="G409" s="82"/>
      <c r="H409" s="68" t="str">
        <f t="shared" si="206"/>
        <v>Hyprev7_20211114_20_00</v>
      </c>
      <c r="I409" s="69">
        <f t="shared" si="208"/>
        <v>1</v>
      </c>
      <c r="J409" s="76" t="str">
        <f t="shared" si="208"/>
        <v>Hypericum</v>
      </c>
      <c r="K409" s="76" t="str">
        <f t="shared" si="208"/>
        <v>revolutum</v>
      </c>
      <c r="L409" s="77">
        <f t="shared" si="208"/>
        <v>7</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2021</v>
      </c>
      <c r="B410" s="72" t="str">
        <f t="shared" si="187"/>
        <v>Nov</v>
      </c>
      <c r="C410" s="73">
        <f t="shared" si="205"/>
        <v>14</v>
      </c>
      <c r="D410" s="74">
        <f t="shared" si="188"/>
        <v>20</v>
      </c>
      <c r="E410" s="75">
        <f t="shared" si="189"/>
        <v>33</v>
      </c>
      <c r="F410" s="79"/>
      <c r="G410" s="82"/>
      <c r="H410" s="68" t="str">
        <f t="shared" si="206"/>
        <v>Hyprev7_20211114_20_00</v>
      </c>
      <c r="I410" s="69">
        <f t="shared" si="208"/>
        <v>1</v>
      </c>
      <c r="J410" s="76" t="str">
        <f t="shared" si="208"/>
        <v>Hypericum</v>
      </c>
      <c r="K410" s="76" t="str">
        <f t="shared" si="208"/>
        <v>revolutum</v>
      </c>
      <c r="L410" s="77">
        <f t="shared" si="208"/>
        <v>7</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2021</v>
      </c>
      <c r="B411" s="72" t="str">
        <f t="shared" si="187"/>
        <v>Nov</v>
      </c>
      <c r="C411" s="73">
        <f t="shared" si="205"/>
        <v>14</v>
      </c>
      <c r="D411" s="74">
        <f t="shared" si="188"/>
        <v>20</v>
      </c>
      <c r="E411" s="75">
        <f t="shared" si="189"/>
        <v>34</v>
      </c>
      <c r="F411" s="79"/>
      <c r="G411" s="82"/>
      <c r="H411" s="68" t="str">
        <f t="shared" si="206"/>
        <v>Hyprev7_20211114_20_00</v>
      </c>
      <c r="I411" s="69">
        <f t="shared" si="208"/>
        <v>1</v>
      </c>
      <c r="J411" s="76" t="str">
        <f t="shared" si="208"/>
        <v>Hypericum</v>
      </c>
      <c r="K411" s="76" t="str">
        <f t="shared" si="208"/>
        <v>revolutum</v>
      </c>
      <c r="L411" s="77">
        <f t="shared" si="208"/>
        <v>7</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2021</v>
      </c>
      <c r="B412" s="72" t="str">
        <f t="shared" si="187"/>
        <v>Nov</v>
      </c>
      <c r="C412" s="73">
        <f t="shared" si="205"/>
        <v>14</v>
      </c>
      <c r="D412" s="74">
        <f t="shared" si="188"/>
        <v>20</v>
      </c>
      <c r="E412" s="75">
        <f t="shared" si="189"/>
        <v>35</v>
      </c>
      <c r="F412" s="79"/>
      <c r="G412" s="82"/>
      <c r="H412" s="68" t="str">
        <f t="shared" si="206"/>
        <v>Hyprev7_20211114_20_00</v>
      </c>
      <c r="I412" s="69">
        <f t="shared" si="208"/>
        <v>1</v>
      </c>
      <c r="J412" s="76" t="str">
        <f t="shared" si="208"/>
        <v>Hypericum</v>
      </c>
      <c r="K412" s="76" t="str">
        <f t="shared" si="208"/>
        <v>revolutum</v>
      </c>
      <c r="L412" s="77">
        <f t="shared" si="208"/>
        <v>7</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v>
      </c>
      <c r="C413" s="73">
        <f t="shared" si="205"/>
        <v>14</v>
      </c>
      <c r="D413" s="74">
        <f t="shared" si="188"/>
        <v>20</v>
      </c>
      <c r="E413" s="75">
        <f t="shared" si="189"/>
        <v>36</v>
      </c>
      <c r="F413" s="79"/>
      <c r="G413" s="82"/>
      <c r="H413" s="68" t="str">
        <f t="shared" si="206"/>
        <v>Hyprev7_20211114_20_00</v>
      </c>
      <c r="I413" s="69">
        <f t="shared" si="208"/>
        <v>1</v>
      </c>
      <c r="J413" s="76" t="str">
        <f t="shared" si="208"/>
        <v>Hypericum</v>
      </c>
      <c r="K413" s="76" t="str">
        <f t="shared" si="208"/>
        <v>revolutum</v>
      </c>
      <c r="L413" s="77">
        <f t="shared" si="208"/>
        <v>7</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2021</v>
      </c>
      <c r="B414" s="72" t="str">
        <f t="shared" si="187"/>
        <v>Nov</v>
      </c>
      <c r="C414" s="73">
        <f t="shared" si="205"/>
        <v>14</v>
      </c>
      <c r="D414" s="74">
        <f t="shared" si="188"/>
        <v>20</v>
      </c>
      <c r="E414" s="75">
        <f t="shared" si="189"/>
        <v>37</v>
      </c>
      <c r="F414" s="79"/>
      <c r="G414" s="82"/>
      <c r="H414" s="68" t="str">
        <f t="shared" si="206"/>
        <v>Hyprev7_20211114_20_00</v>
      </c>
      <c r="I414" s="69">
        <f t="shared" si="208"/>
        <v>1</v>
      </c>
      <c r="J414" s="76" t="str">
        <f t="shared" si="208"/>
        <v>Hypericum</v>
      </c>
      <c r="K414" s="76" t="str">
        <f t="shared" si="208"/>
        <v>revolutum</v>
      </c>
      <c r="L414" s="77">
        <f t="shared" si="208"/>
        <v>7</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2021</v>
      </c>
      <c r="B415" s="72" t="str">
        <f t="shared" si="187"/>
        <v>Nov</v>
      </c>
      <c r="C415" s="73">
        <f t="shared" si="205"/>
        <v>14</v>
      </c>
      <c r="D415" s="74">
        <f t="shared" si="188"/>
        <v>20</v>
      </c>
      <c r="E415" s="75">
        <f t="shared" si="189"/>
        <v>38</v>
      </c>
      <c r="F415" s="79"/>
      <c r="G415" s="82"/>
      <c r="H415" s="68" t="str">
        <f t="shared" si="206"/>
        <v>Hyprev7_20211114_20_00</v>
      </c>
      <c r="I415" s="69">
        <f t="shared" si="208"/>
        <v>1</v>
      </c>
      <c r="J415" s="76" t="str">
        <f t="shared" si="208"/>
        <v>Hypericum</v>
      </c>
      <c r="K415" s="76" t="str">
        <f t="shared" si="208"/>
        <v>revolutum</v>
      </c>
      <c r="L415" s="77">
        <f t="shared" si="208"/>
        <v>7</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v>
      </c>
      <c r="C416" s="73">
        <f t="shared" si="205"/>
        <v>14</v>
      </c>
      <c r="D416" s="74">
        <f t="shared" si="188"/>
        <v>20</v>
      </c>
      <c r="E416" s="75">
        <f t="shared" si="189"/>
        <v>39</v>
      </c>
      <c r="F416" s="79"/>
      <c r="G416" s="82"/>
      <c r="H416" s="68" t="str">
        <f t="shared" si="206"/>
        <v>Hyprev7_20211114_20_00</v>
      </c>
      <c r="I416" s="69">
        <f t="shared" si="208"/>
        <v>1</v>
      </c>
      <c r="J416" s="76" t="str">
        <f t="shared" si="208"/>
        <v>Hypericum</v>
      </c>
      <c r="K416" s="76" t="str">
        <f t="shared" si="208"/>
        <v>revolutum</v>
      </c>
      <c r="L416" s="77">
        <f t="shared" si="208"/>
        <v>7</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v>
      </c>
      <c r="C417" s="73">
        <f t="shared" si="205"/>
        <v>14</v>
      </c>
      <c r="D417" s="74">
        <f t="shared" si="188"/>
        <v>20</v>
      </c>
      <c r="E417" s="75">
        <f t="shared" si="189"/>
        <v>40</v>
      </c>
      <c r="F417" s="79"/>
      <c r="G417" s="82"/>
      <c r="H417" s="68" t="str">
        <f t="shared" si="206"/>
        <v>Hyprev7_20211114_20_00</v>
      </c>
      <c r="I417" s="69">
        <f t="shared" si="208"/>
        <v>1</v>
      </c>
      <c r="J417" s="76" t="str">
        <f t="shared" si="208"/>
        <v>Hypericum</v>
      </c>
      <c r="K417" s="76" t="str">
        <f t="shared" si="208"/>
        <v>revolutum</v>
      </c>
      <c r="L417" s="77">
        <f t="shared" si="208"/>
        <v>7</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v>
      </c>
      <c r="C418" s="73">
        <f t="shared" si="205"/>
        <v>14</v>
      </c>
      <c r="D418" s="74">
        <f t="shared" si="188"/>
        <v>20</v>
      </c>
      <c r="E418" s="75">
        <f t="shared" si="189"/>
        <v>41</v>
      </c>
      <c r="F418" s="79"/>
      <c r="G418" s="82"/>
      <c r="H418" s="68" t="str">
        <f t="shared" si="206"/>
        <v>Hyprev7_20211114_20_00</v>
      </c>
      <c r="I418" s="69">
        <f t="shared" si="208"/>
        <v>1</v>
      </c>
      <c r="J418" s="76" t="str">
        <f t="shared" si="208"/>
        <v>Hypericum</v>
      </c>
      <c r="K418" s="76" t="str">
        <f t="shared" si="208"/>
        <v>revolutum</v>
      </c>
      <c r="L418" s="77">
        <f t="shared" si="208"/>
        <v>7</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v>
      </c>
      <c r="C419" s="73">
        <f t="shared" si="205"/>
        <v>14</v>
      </c>
      <c r="D419" s="74">
        <f t="shared" si="188"/>
        <v>20</v>
      </c>
      <c r="E419" s="75">
        <f t="shared" si="189"/>
        <v>42</v>
      </c>
      <c r="F419" s="79"/>
      <c r="G419" s="82"/>
      <c r="H419" s="68" t="str">
        <f t="shared" si="206"/>
        <v>Hyprev7_20211114_20_00</v>
      </c>
      <c r="I419" s="69">
        <f t="shared" si="208"/>
        <v>1</v>
      </c>
      <c r="J419" s="76" t="str">
        <f t="shared" si="208"/>
        <v>Hypericum</v>
      </c>
      <c r="K419" s="76" t="str">
        <f t="shared" si="208"/>
        <v>revolutum</v>
      </c>
      <c r="L419" s="77">
        <f t="shared" si="208"/>
        <v>7</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v>
      </c>
      <c r="C420" s="73">
        <f t="shared" si="205"/>
        <v>14</v>
      </c>
      <c r="D420" s="74">
        <f t="shared" si="188"/>
        <v>20</v>
      </c>
      <c r="E420" s="75">
        <f t="shared" si="189"/>
        <v>43</v>
      </c>
      <c r="F420" s="79"/>
      <c r="G420" s="82"/>
      <c r="H420" s="68" t="str">
        <f t="shared" si="206"/>
        <v>Hyprev7_20211114_20_00</v>
      </c>
      <c r="I420" s="69">
        <f t="shared" si="208"/>
        <v>1</v>
      </c>
      <c r="J420" s="76" t="str">
        <f t="shared" si="208"/>
        <v>Hypericum</v>
      </c>
      <c r="K420" s="76" t="str">
        <f t="shared" si="208"/>
        <v>revolutum</v>
      </c>
      <c r="L420" s="77">
        <f t="shared" si="208"/>
        <v>7</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v>
      </c>
      <c r="C421" s="73">
        <f t="shared" si="205"/>
        <v>14</v>
      </c>
      <c r="D421" s="74">
        <f t="shared" si="188"/>
        <v>20</v>
      </c>
      <c r="E421" s="75">
        <f t="shared" si="189"/>
        <v>44</v>
      </c>
      <c r="F421" s="79"/>
      <c r="G421" s="82"/>
      <c r="H421" s="68" t="str">
        <f t="shared" si="206"/>
        <v>Hyprev7_20211114_20_00</v>
      </c>
      <c r="I421" s="69">
        <f t="shared" ref="I421:N436" si="209">I420</f>
        <v>1</v>
      </c>
      <c r="J421" s="76" t="str">
        <f t="shared" si="209"/>
        <v>Hypericum</v>
      </c>
      <c r="K421" s="76" t="str">
        <f t="shared" si="209"/>
        <v>revolutum</v>
      </c>
      <c r="L421" s="77">
        <f t="shared" si="209"/>
        <v>7</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v>
      </c>
      <c r="C422" s="73">
        <f t="shared" si="205"/>
        <v>14</v>
      </c>
      <c r="D422" s="74">
        <f t="shared" si="188"/>
        <v>20</v>
      </c>
      <c r="E422" s="75">
        <f t="shared" si="189"/>
        <v>45</v>
      </c>
      <c r="F422" s="79"/>
      <c r="G422" s="82"/>
      <c r="H422" s="68" t="str">
        <f t="shared" si="206"/>
        <v>Hyprev7_20211114_20_00</v>
      </c>
      <c r="I422" s="69">
        <f t="shared" si="209"/>
        <v>1</v>
      </c>
      <c r="J422" s="76" t="str">
        <f t="shared" si="209"/>
        <v>Hypericum</v>
      </c>
      <c r="K422" s="76" t="str">
        <f t="shared" si="209"/>
        <v>revolutum</v>
      </c>
      <c r="L422" s="77">
        <f t="shared" si="209"/>
        <v>7</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v>
      </c>
      <c r="C423" s="73">
        <f t="shared" si="205"/>
        <v>14</v>
      </c>
      <c r="D423" s="74">
        <f t="shared" si="188"/>
        <v>20</v>
      </c>
      <c r="E423" s="75">
        <f t="shared" si="189"/>
        <v>46</v>
      </c>
      <c r="F423" s="79"/>
      <c r="G423" s="82"/>
      <c r="H423" s="68" t="str">
        <f t="shared" si="206"/>
        <v>Hyprev7_20211114_20_00</v>
      </c>
      <c r="I423" s="69">
        <f t="shared" si="209"/>
        <v>1</v>
      </c>
      <c r="J423" s="76" t="str">
        <f t="shared" si="209"/>
        <v>Hypericum</v>
      </c>
      <c r="K423" s="76" t="str">
        <f t="shared" si="209"/>
        <v>revolutum</v>
      </c>
      <c r="L423" s="77">
        <f t="shared" si="209"/>
        <v>7</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v>
      </c>
      <c r="C424" s="73">
        <f t="shared" si="205"/>
        <v>14</v>
      </c>
      <c r="D424" s="74">
        <f t="shared" si="188"/>
        <v>20</v>
      </c>
      <c r="E424" s="75">
        <f t="shared" si="189"/>
        <v>47</v>
      </c>
      <c r="F424" s="79"/>
      <c r="G424" s="82"/>
      <c r="H424" s="68" t="str">
        <f t="shared" si="206"/>
        <v>Hyprev7_20211114_20_00</v>
      </c>
      <c r="I424" s="69">
        <f t="shared" si="209"/>
        <v>1</v>
      </c>
      <c r="J424" s="76" t="str">
        <f t="shared" si="209"/>
        <v>Hypericum</v>
      </c>
      <c r="K424" s="76" t="str">
        <f t="shared" si="209"/>
        <v>revolutum</v>
      </c>
      <c r="L424" s="77">
        <f t="shared" si="209"/>
        <v>7</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v>
      </c>
      <c r="C425" s="73">
        <f t="shared" si="205"/>
        <v>14</v>
      </c>
      <c r="D425" s="74">
        <f t="shared" si="188"/>
        <v>20</v>
      </c>
      <c r="E425" s="75">
        <f t="shared" si="189"/>
        <v>48</v>
      </c>
      <c r="F425" s="79"/>
      <c r="G425" s="82"/>
      <c r="H425" s="68" t="str">
        <f t="shared" si="206"/>
        <v>Hyprev7_20211114_20_00</v>
      </c>
      <c r="I425" s="69">
        <f t="shared" si="209"/>
        <v>1</v>
      </c>
      <c r="J425" s="76" t="str">
        <f t="shared" si="209"/>
        <v>Hypericum</v>
      </c>
      <c r="K425" s="76" t="str">
        <f t="shared" si="209"/>
        <v>revolutum</v>
      </c>
      <c r="L425" s="77">
        <f t="shared" si="209"/>
        <v>7</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2021</v>
      </c>
      <c r="B426" s="72" t="str">
        <f t="shared" si="187"/>
        <v>Nov</v>
      </c>
      <c r="C426" s="73">
        <f t="shared" si="205"/>
        <v>14</v>
      </c>
      <c r="D426" s="74">
        <f t="shared" si="188"/>
        <v>20</v>
      </c>
      <c r="E426" s="75">
        <f t="shared" si="189"/>
        <v>49</v>
      </c>
      <c r="F426" s="79"/>
      <c r="G426" s="82"/>
      <c r="H426" s="68" t="str">
        <f t="shared" si="206"/>
        <v>Hyprev7_20211114_20_00</v>
      </c>
      <c r="I426" s="69">
        <f t="shared" si="209"/>
        <v>1</v>
      </c>
      <c r="J426" s="76" t="str">
        <f t="shared" si="209"/>
        <v>Hypericum</v>
      </c>
      <c r="K426" s="76" t="str">
        <f t="shared" si="209"/>
        <v>revolutum</v>
      </c>
      <c r="L426" s="77">
        <f t="shared" si="209"/>
        <v>7</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2021</v>
      </c>
      <c r="B427" s="72" t="str">
        <f t="shared" si="187"/>
        <v>Nov</v>
      </c>
      <c r="C427" s="73">
        <f t="shared" si="205"/>
        <v>14</v>
      </c>
      <c r="D427" s="74">
        <f t="shared" si="188"/>
        <v>20</v>
      </c>
      <c r="E427" s="75">
        <f t="shared" si="189"/>
        <v>50</v>
      </c>
      <c r="F427" s="79"/>
      <c r="G427" s="82"/>
      <c r="H427" s="68" t="str">
        <f t="shared" si="206"/>
        <v>Hyprev7_20211114_20_00</v>
      </c>
      <c r="I427" s="69">
        <f t="shared" si="209"/>
        <v>1</v>
      </c>
      <c r="J427" s="76" t="str">
        <f t="shared" si="209"/>
        <v>Hypericum</v>
      </c>
      <c r="K427" s="76" t="str">
        <f t="shared" si="209"/>
        <v>revolutum</v>
      </c>
      <c r="L427" s="77">
        <f t="shared" si="209"/>
        <v>7</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v>
      </c>
      <c r="C428" s="73">
        <f t="shared" si="205"/>
        <v>14</v>
      </c>
      <c r="D428" s="74">
        <f t="shared" si="188"/>
        <v>20</v>
      </c>
      <c r="E428" s="75">
        <f t="shared" si="189"/>
        <v>51</v>
      </c>
      <c r="F428" s="79"/>
      <c r="G428" s="82"/>
      <c r="H428" s="68" t="str">
        <f t="shared" si="206"/>
        <v>Hyprev7_20211114_20_00</v>
      </c>
      <c r="I428" s="69">
        <f t="shared" si="209"/>
        <v>1</v>
      </c>
      <c r="J428" s="76" t="str">
        <f t="shared" si="209"/>
        <v>Hypericum</v>
      </c>
      <c r="K428" s="76" t="str">
        <f t="shared" si="209"/>
        <v>revolutum</v>
      </c>
      <c r="L428" s="77">
        <f t="shared" si="209"/>
        <v>7</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v>
      </c>
      <c r="C429" s="73">
        <f t="shared" si="205"/>
        <v>14</v>
      </c>
      <c r="D429" s="74">
        <f t="shared" si="188"/>
        <v>20</v>
      </c>
      <c r="E429" s="75">
        <f t="shared" si="189"/>
        <v>52</v>
      </c>
      <c r="F429" s="79"/>
      <c r="G429" s="82"/>
      <c r="H429" s="68" t="str">
        <f t="shared" si="206"/>
        <v>Hyprev7_20211114_20_00</v>
      </c>
      <c r="I429" s="69">
        <f t="shared" si="209"/>
        <v>1</v>
      </c>
      <c r="J429" s="76" t="str">
        <f t="shared" si="209"/>
        <v>Hypericum</v>
      </c>
      <c r="K429" s="76" t="str">
        <f t="shared" si="209"/>
        <v>revolutum</v>
      </c>
      <c r="L429" s="77">
        <f t="shared" si="209"/>
        <v>7</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v>
      </c>
      <c r="C430" s="73">
        <f t="shared" si="205"/>
        <v>14</v>
      </c>
      <c r="D430" s="74">
        <f t="shared" si="188"/>
        <v>20</v>
      </c>
      <c r="E430" s="75">
        <f t="shared" si="189"/>
        <v>53</v>
      </c>
      <c r="F430" s="79"/>
      <c r="G430" s="82"/>
      <c r="H430" s="68" t="str">
        <f t="shared" si="206"/>
        <v>Hyprev7_20211114_20_00</v>
      </c>
      <c r="I430" s="69">
        <f t="shared" si="209"/>
        <v>1</v>
      </c>
      <c r="J430" s="76" t="str">
        <f t="shared" si="209"/>
        <v>Hypericum</v>
      </c>
      <c r="K430" s="76" t="str">
        <f t="shared" si="209"/>
        <v>revolutum</v>
      </c>
      <c r="L430" s="77">
        <f t="shared" si="209"/>
        <v>7</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v>
      </c>
      <c r="C431" s="73">
        <f t="shared" si="205"/>
        <v>14</v>
      </c>
      <c r="D431" s="74">
        <f t="shared" si="188"/>
        <v>20</v>
      </c>
      <c r="E431" s="75">
        <f t="shared" si="189"/>
        <v>54</v>
      </c>
      <c r="F431" s="79"/>
      <c r="G431" s="82"/>
      <c r="H431" s="68" t="str">
        <f t="shared" si="206"/>
        <v>Hyprev7_20211114_20_00</v>
      </c>
      <c r="I431" s="69">
        <f t="shared" si="209"/>
        <v>1</v>
      </c>
      <c r="J431" s="76" t="str">
        <f t="shared" si="209"/>
        <v>Hypericum</v>
      </c>
      <c r="K431" s="76" t="str">
        <f t="shared" si="209"/>
        <v>revolutum</v>
      </c>
      <c r="L431" s="77">
        <f t="shared" si="209"/>
        <v>7</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v>
      </c>
      <c r="C432" s="73">
        <f t="shared" si="205"/>
        <v>14</v>
      </c>
      <c r="D432" s="74">
        <f t="shared" si="188"/>
        <v>20</v>
      </c>
      <c r="E432" s="75">
        <f t="shared" si="189"/>
        <v>55</v>
      </c>
      <c r="F432" s="79">
        <v>53</v>
      </c>
      <c r="G432" s="82"/>
      <c r="H432" s="68" t="str">
        <f t="shared" si="206"/>
        <v>Hyprev7_20211114_20_00</v>
      </c>
      <c r="I432" s="69">
        <f t="shared" si="209"/>
        <v>1</v>
      </c>
      <c r="J432" s="76" t="str">
        <f t="shared" si="209"/>
        <v>Hypericum</v>
      </c>
      <c r="K432" s="76" t="str">
        <f t="shared" si="209"/>
        <v>revolutum</v>
      </c>
      <c r="L432" s="77">
        <f t="shared" si="209"/>
        <v>7</v>
      </c>
      <c r="M432" s="77">
        <f t="shared" si="209"/>
        <v>2</v>
      </c>
      <c r="N432" s="71">
        <f t="shared" si="209"/>
        <v>0</v>
      </c>
      <c r="O432" s="44"/>
      <c r="P432" s="45">
        <f t="shared" si="190"/>
        <v>1</v>
      </c>
      <c r="Q432" s="46" t="str">
        <f t="shared" si="191"/>
        <v>20:55:53</v>
      </c>
      <c r="R432" s="47" t="str">
        <f t="shared" si="192"/>
        <v>55:53</v>
      </c>
      <c r="S432" s="48">
        <f t="shared" si="181"/>
        <v>9</v>
      </c>
      <c r="T432" s="47" t="str">
        <f t="shared" si="193"/>
        <v>20</v>
      </c>
      <c r="U432" s="49">
        <v>56</v>
      </c>
      <c r="V432" s="50">
        <v>2</v>
      </c>
      <c r="W432" s="51" t="str">
        <f t="shared" si="194"/>
        <v>56:02</v>
      </c>
      <c r="X432" s="52" t="s">
        <v>128</v>
      </c>
      <c r="Y432" s="124" t="s">
        <v>245</v>
      </c>
      <c r="Z432" s="124"/>
      <c r="AA432" s="47" t="s">
        <v>255</v>
      </c>
      <c r="AB432" s="47" t="str">
        <f t="shared" si="195"/>
        <v>NA</v>
      </c>
      <c r="AC432" s="53" t="str">
        <f t="shared" si="196"/>
        <v/>
      </c>
      <c r="AD432" s="54">
        <v>2</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t="s">
        <v>133</v>
      </c>
      <c r="AT432" s="58"/>
      <c r="AU432" s="58"/>
      <c r="AV432" s="59"/>
      <c r="AW432" s="60">
        <f t="shared" si="182"/>
        <v>0</v>
      </c>
      <c r="AX432" s="61" t="str">
        <f t="shared" si="183"/>
        <v/>
      </c>
      <c r="AY432" s="60">
        <f t="shared" si="184"/>
        <v>0</v>
      </c>
      <c r="AZ432" s="61" t="str">
        <f t="shared" si="185"/>
        <v/>
      </c>
    </row>
    <row r="433" spans="1:52" s="3" customFormat="1" hidden="1" x14ac:dyDescent="0.35">
      <c r="A433" s="72">
        <f t="shared" si="186"/>
        <v>2021</v>
      </c>
      <c r="B433" s="72" t="str">
        <f t="shared" si="187"/>
        <v>Nov</v>
      </c>
      <c r="C433" s="73">
        <f t="shared" si="205"/>
        <v>14</v>
      </c>
      <c r="D433" s="74">
        <f t="shared" si="188"/>
        <v>20</v>
      </c>
      <c r="E433" s="75">
        <f t="shared" si="189"/>
        <v>56</v>
      </c>
      <c r="F433" s="79">
        <v>5</v>
      </c>
      <c r="G433" s="82"/>
      <c r="H433" s="68" t="str">
        <f t="shared" si="206"/>
        <v>Hyprev7_20211114_20_00</v>
      </c>
      <c r="I433" s="69">
        <f t="shared" si="209"/>
        <v>1</v>
      </c>
      <c r="J433" s="76" t="str">
        <f t="shared" si="209"/>
        <v>Hypericum</v>
      </c>
      <c r="K433" s="76" t="str">
        <f t="shared" si="209"/>
        <v>revolutum</v>
      </c>
      <c r="L433" s="77">
        <f t="shared" si="209"/>
        <v>7</v>
      </c>
      <c r="M433" s="77">
        <f t="shared" si="209"/>
        <v>2</v>
      </c>
      <c r="N433" s="71">
        <f t="shared" si="209"/>
        <v>0</v>
      </c>
      <c r="O433" s="44"/>
      <c r="P433" s="45">
        <f t="shared" si="190"/>
        <v>1</v>
      </c>
      <c r="Q433" s="46" t="str">
        <f t="shared" si="191"/>
        <v>20:56:05</v>
      </c>
      <c r="R433" s="47" t="str">
        <f t="shared" si="192"/>
        <v>56:05</v>
      </c>
      <c r="S433" s="48">
        <f t="shared" si="181"/>
        <v>0</v>
      </c>
      <c r="T433" s="47" t="str">
        <f t="shared" si="193"/>
        <v>20</v>
      </c>
      <c r="U433" s="49">
        <v>56</v>
      </c>
      <c r="V433" s="50">
        <v>5</v>
      </c>
      <c r="W433" s="51" t="str">
        <f t="shared" si="194"/>
        <v>56:05</v>
      </c>
      <c r="X433" s="52" t="s">
        <v>128</v>
      </c>
      <c r="Y433" s="124" t="s">
        <v>245</v>
      </c>
      <c r="Z433" s="124"/>
      <c r="AA433" s="47" t="s">
        <v>255</v>
      </c>
      <c r="AB433" s="47" t="str">
        <f t="shared" si="195"/>
        <v>NA</v>
      </c>
      <c r="AC433" s="53">
        <f t="shared" si="196"/>
        <v>0</v>
      </c>
      <c r="AD433" s="54">
        <f t="shared" si="197"/>
        <v>1</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t="s">
        <v>119</v>
      </c>
      <c r="AT433" s="58"/>
      <c r="AU433" s="58"/>
      <c r="AV433" s="59"/>
      <c r="AW433" s="60">
        <f t="shared" si="182"/>
        <v>0</v>
      </c>
      <c r="AX433" s="61" t="str">
        <f t="shared" si="183"/>
        <v/>
      </c>
      <c r="AY433" s="60">
        <f t="shared" si="184"/>
        <v>0</v>
      </c>
      <c r="AZ433" s="61" t="str">
        <f t="shared" si="185"/>
        <v/>
      </c>
    </row>
    <row r="434" spans="1:52" s="3" customFormat="1" hidden="1" x14ac:dyDescent="0.35">
      <c r="A434" s="72">
        <f t="shared" si="186"/>
        <v>2021</v>
      </c>
      <c r="B434" s="72" t="str">
        <f t="shared" si="187"/>
        <v>Nov</v>
      </c>
      <c r="C434" s="73">
        <f t="shared" si="205"/>
        <v>14</v>
      </c>
      <c r="D434" s="74">
        <f t="shared" si="188"/>
        <v>20</v>
      </c>
      <c r="E434" s="75">
        <v>56</v>
      </c>
      <c r="F434" s="79">
        <v>7</v>
      </c>
      <c r="G434" s="82"/>
      <c r="H434" s="68" t="str">
        <f t="shared" si="206"/>
        <v>Hyprev7_20211114_20_00</v>
      </c>
      <c r="I434" s="69">
        <f t="shared" si="209"/>
        <v>1</v>
      </c>
      <c r="J434" s="76" t="str">
        <f t="shared" si="209"/>
        <v>Hypericum</v>
      </c>
      <c r="K434" s="76" t="str">
        <f t="shared" si="209"/>
        <v>revolutum</v>
      </c>
      <c r="L434" s="77">
        <f t="shared" si="209"/>
        <v>7</v>
      </c>
      <c r="M434" s="77">
        <f t="shared" si="209"/>
        <v>2</v>
      </c>
      <c r="N434" s="71">
        <f t="shared" si="209"/>
        <v>0</v>
      </c>
      <c r="O434" s="44"/>
      <c r="P434" s="45">
        <f t="shared" si="190"/>
        <v>1</v>
      </c>
      <c r="Q434" s="46" t="str">
        <f t="shared" si="191"/>
        <v>20:56:07</v>
      </c>
      <c r="R434" s="47" t="str">
        <f t="shared" si="192"/>
        <v>56:07</v>
      </c>
      <c r="S434" s="48">
        <f t="shared" si="181"/>
        <v>1</v>
      </c>
      <c r="T434" s="47" t="str">
        <f t="shared" si="193"/>
        <v>20</v>
      </c>
      <c r="U434" s="49">
        <v>56</v>
      </c>
      <c r="V434" s="50">
        <v>8</v>
      </c>
      <c r="W434" s="51" t="str">
        <f t="shared" si="194"/>
        <v>56:08</v>
      </c>
      <c r="X434" s="52" t="s">
        <v>128</v>
      </c>
      <c r="Y434" s="124" t="s">
        <v>245</v>
      </c>
      <c r="Z434" s="124"/>
      <c r="AA434" s="47" t="s">
        <v>255</v>
      </c>
      <c r="AB434" s="47" t="str">
        <f t="shared" si="195"/>
        <v>NA</v>
      </c>
      <c r="AC434" s="53" t="str">
        <f t="shared" si="196"/>
        <v/>
      </c>
      <c r="AD434" s="54">
        <f t="shared" si="197"/>
        <v>1</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t="s">
        <v>119</v>
      </c>
      <c r="AT434" s="58"/>
      <c r="AU434" s="58"/>
      <c r="AV434" s="59"/>
      <c r="AW434" s="60">
        <f t="shared" si="182"/>
        <v>0</v>
      </c>
      <c r="AX434" s="61" t="str">
        <f t="shared" si="183"/>
        <v/>
      </c>
      <c r="AY434" s="60">
        <f t="shared" si="184"/>
        <v>0</v>
      </c>
      <c r="AZ434" s="61" t="str">
        <f t="shared" si="185"/>
        <v/>
      </c>
    </row>
    <row r="435" spans="1:52" s="3" customFormat="1" hidden="1" x14ac:dyDescent="0.35">
      <c r="A435" s="72">
        <f t="shared" si="186"/>
        <v>2021</v>
      </c>
      <c r="B435" s="72" t="str">
        <f t="shared" si="187"/>
        <v>Nov</v>
      </c>
      <c r="C435" s="73">
        <f t="shared" si="205"/>
        <v>14</v>
      </c>
      <c r="D435" s="74">
        <f t="shared" si="188"/>
        <v>20</v>
      </c>
      <c r="E435" s="75">
        <f t="shared" si="189"/>
        <v>57</v>
      </c>
      <c r="F435" s="79"/>
      <c r="G435" s="82"/>
      <c r="H435" s="68" t="str">
        <f t="shared" si="206"/>
        <v>Hyprev7_20211114_20_00</v>
      </c>
      <c r="I435" s="69">
        <f t="shared" si="209"/>
        <v>1</v>
      </c>
      <c r="J435" s="76" t="str">
        <f t="shared" si="209"/>
        <v>Hypericum</v>
      </c>
      <c r="K435" s="76" t="str">
        <f t="shared" si="209"/>
        <v>revolutum</v>
      </c>
      <c r="L435" s="77">
        <f t="shared" si="209"/>
        <v>7</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v>
      </c>
      <c r="C436" s="73">
        <f t="shared" si="205"/>
        <v>14</v>
      </c>
      <c r="D436" s="74">
        <f t="shared" si="188"/>
        <v>20</v>
      </c>
      <c r="E436" s="75">
        <f t="shared" si="189"/>
        <v>58</v>
      </c>
      <c r="F436" s="79"/>
      <c r="G436" s="82"/>
      <c r="H436" s="68" t="str">
        <f t="shared" si="206"/>
        <v>Hyprev7_20211114_20_00</v>
      </c>
      <c r="I436" s="69">
        <f t="shared" si="209"/>
        <v>1</v>
      </c>
      <c r="J436" s="76" t="str">
        <f t="shared" si="209"/>
        <v>Hypericum</v>
      </c>
      <c r="K436" s="76" t="str">
        <f t="shared" si="209"/>
        <v>revolutum</v>
      </c>
      <c r="L436" s="77">
        <f t="shared" si="209"/>
        <v>7</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v>
      </c>
      <c r="C437" s="73">
        <f t="shared" si="205"/>
        <v>14</v>
      </c>
      <c r="D437" s="74">
        <f t="shared" si="188"/>
        <v>20</v>
      </c>
      <c r="E437" s="75">
        <f t="shared" si="189"/>
        <v>59</v>
      </c>
      <c r="F437" s="79"/>
      <c r="G437" s="82"/>
      <c r="H437" s="68" t="str">
        <f t="shared" si="206"/>
        <v>Hyprev7_20211114_20_00</v>
      </c>
      <c r="I437" s="69">
        <f t="shared" ref="I437:N452" si="210">I436</f>
        <v>1</v>
      </c>
      <c r="J437" s="76" t="str">
        <f t="shared" si="210"/>
        <v>Hypericum</v>
      </c>
      <c r="K437" s="76" t="str">
        <f t="shared" si="210"/>
        <v>revolutum</v>
      </c>
      <c r="L437" s="77">
        <f t="shared" si="210"/>
        <v>7</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v>
      </c>
      <c r="C438" s="73">
        <f t="shared" si="205"/>
        <v>14</v>
      </c>
      <c r="D438" s="74">
        <f t="shared" si="188"/>
        <v>21</v>
      </c>
      <c r="E438" s="75">
        <f t="shared" si="189"/>
        <v>0</v>
      </c>
      <c r="F438" s="79"/>
      <c r="G438" s="82"/>
      <c r="H438" s="68" t="str">
        <f t="shared" si="206"/>
        <v>Hyprev7_20211114_21_00</v>
      </c>
      <c r="I438" s="69">
        <f t="shared" si="210"/>
        <v>1</v>
      </c>
      <c r="J438" s="76" t="str">
        <f t="shared" si="210"/>
        <v>Hypericum</v>
      </c>
      <c r="K438" s="76" t="str">
        <f t="shared" si="210"/>
        <v>revolutum</v>
      </c>
      <c r="L438" s="77">
        <f t="shared" si="210"/>
        <v>7</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v>
      </c>
      <c r="C439" s="73">
        <f t="shared" si="205"/>
        <v>14</v>
      </c>
      <c r="D439" s="74">
        <f t="shared" si="188"/>
        <v>21</v>
      </c>
      <c r="E439" s="75">
        <f t="shared" si="189"/>
        <v>1</v>
      </c>
      <c r="F439" s="79">
        <v>41</v>
      </c>
      <c r="G439" s="82"/>
      <c r="H439" s="68" t="str">
        <f t="shared" si="206"/>
        <v>Hyprev7_20211114_21_00</v>
      </c>
      <c r="I439" s="69">
        <f t="shared" si="210"/>
        <v>1</v>
      </c>
      <c r="J439" s="76" t="str">
        <f t="shared" si="210"/>
        <v>Hypericum</v>
      </c>
      <c r="K439" s="76" t="str">
        <f t="shared" si="210"/>
        <v>revolutum</v>
      </c>
      <c r="L439" s="77">
        <f t="shared" si="210"/>
        <v>7</v>
      </c>
      <c r="M439" s="77">
        <f t="shared" si="210"/>
        <v>2</v>
      </c>
      <c r="N439" s="71">
        <f t="shared" si="210"/>
        <v>0</v>
      </c>
      <c r="O439" s="44"/>
      <c r="P439" s="45">
        <f t="shared" si="190"/>
        <v>1</v>
      </c>
      <c r="Q439" s="46" t="str">
        <f t="shared" si="191"/>
        <v>21:01:41</v>
      </c>
      <c r="R439" s="47" t="str">
        <f t="shared" si="192"/>
        <v>01:41</v>
      </c>
      <c r="S439" s="48">
        <f t="shared" si="181"/>
        <v>281</v>
      </c>
      <c r="T439" s="47" t="str">
        <f t="shared" si="193"/>
        <v>21</v>
      </c>
      <c r="U439" s="49">
        <v>6</v>
      </c>
      <c r="V439" s="50">
        <v>22</v>
      </c>
      <c r="W439" s="51" t="str">
        <f t="shared" si="194"/>
        <v>06:22</v>
      </c>
      <c r="X439" s="52" t="s">
        <v>59</v>
      </c>
      <c r="Y439" s="124" t="s">
        <v>246</v>
      </c>
      <c r="Z439" s="124"/>
      <c r="AA439" s="47" t="s">
        <v>253</v>
      </c>
      <c r="AB439" s="47" t="str">
        <f t="shared" si="195"/>
        <v>NA</v>
      </c>
      <c r="AC439" s="53" t="str">
        <f t="shared" si="196"/>
        <v/>
      </c>
      <c r="AD439" s="54">
        <f t="shared" si="197"/>
        <v>1</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t="s">
        <v>134</v>
      </c>
      <c r="AT439" s="58"/>
      <c r="AU439" s="58"/>
      <c r="AV439" s="59"/>
      <c r="AW439" s="60">
        <f t="shared" si="182"/>
        <v>0</v>
      </c>
      <c r="AX439" s="61" t="str">
        <f t="shared" si="183"/>
        <v/>
      </c>
      <c r="AY439" s="60">
        <f t="shared" si="184"/>
        <v>0</v>
      </c>
      <c r="AZ439" s="61" t="str">
        <f t="shared" si="185"/>
        <v/>
      </c>
    </row>
    <row r="440" spans="1:52" s="3" customFormat="1" hidden="1" x14ac:dyDescent="0.35">
      <c r="A440" s="72">
        <f t="shared" si="186"/>
        <v>2021</v>
      </c>
      <c r="B440" s="72" t="str">
        <f t="shared" si="187"/>
        <v>Nov</v>
      </c>
      <c r="C440" s="73">
        <f t="shared" si="205"/>
        <v>14</v>
      </c>
      <c r="D440" s="74">
        <f t="shared" si="188"/>
        <v>21</v>
      </c>
      <c r="E440" s="75">
        <f t="shared" si="189"/>
        <v>2</v>
      </c>
      <c r="F440" s="79"/>
      <c r="G440" s="82"/>
      <c r="H440" s="68" t="str">
        <f t="shared" si="206"/>
        <v>Hyprev7_20211114_21_00</v>
      </c>
      <c r="I440" s="69">
        <f t="shared" si="210"/>
        <v>1</v>
      </c>
      <c r="J440" s="76" t="str">
        <f t="shared" si="210"/>
        <v>Hypericum</v>
      </c>
      <c r="K440" s="76" t="str">
        <f t="shared" si="210"/>
        <v>revolutum</v>
      </c>
      <c r="L440" s="77">
        <f t="shared" si="210"/>
        <v>7</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v>
      </c>
      <c r="C441" s="73">
        <f t="shared" si="205"/>
        <v>14</v>
      </c>
      <c r="D441" s="74">
        <f t="shared" si="188"/>
        <v>21</v>
      </c>
      <c r="E441" s="75">
        <f t="shared" si="189"/>
        <v>3</v>
      </c>
      <c r="F441" s="79"/>
      <c r="G441" s="82"/>
      <c r="H441" s="68" t="str">
        <f t="shared" si="206"/>
        <v>Hyprev7_20211114_21_00</v>
      </c>
      <c r="I441" s="69">
        <f t="shared" si="210"/>
        <v>1</v>
      </c>
      <c r="J441" s="76" t="str">
        <f t="shared" si="210"/>
        <v>Hypericum</v>
      </c>
      <c r="K441" s="76" t="str">
        <f t="shared" si="210"/>
        <v>revolutum</v>
      </c>
      <c r="L441" s="77">
        <f t="shared" si="210"/>
        <v>7</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v>
      </c>
      <c r="C442" s="73">
        <f t="shared" si="205"/>
        <v>14</v>
      </c>
      <c r="D442" s="74">
        <f t="shared" si="188"/>
        <v>21</v>
      </c>
      <c r="E442" s="75">
        <f t="shared" si="189"/>
        <v>4</v>
      </c>
      <c r="F442" s="79"/>
      <c r="G442" s="82"/>
      <c r="H442" s="68" t="str">
        <f t="shared" si="206"/>
        <v>Hyprev7_20211114_21_00</v>
      </c>
      <c r="I442" s="69">
        <f t="shared" si="210"/>
        <v>1</v>
      </c>
      <c r="J442" s="76" t="str">
        <f t="shared" si="210"/>
        <v>Hypericum</v>
      </c>
      <c r="K442" s="76" t="str">
        <f t="shared" si="210"/>
        <v>revolutum</v>
      </c>
      <c r="L442" s="77">
        <f t="shared" si="210"/>
        <v>7</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v>
      </c>
      <c r="C443" s="73">
        <f t="shared" si="205"/>
        <v>14</v>
      </c>
      <c r="D443" s="74">
        <f t="shared" si="188"/>
        <v>21</v>
      </c>
      <c r="E443" s="75">
        <f t="shared" si="189"/>
        <v>5</v>
      </c>
      <c r="F443" s="79"/>
      <c r="G443" s="82"/>
      <c r="H443" s="68" t="str">
        <f t="shared" si="206"/>
        <v>Hyprev7_20211114_21_00</v>
      </c>
      <c r="I443" s="69">
        <f t="shared" si="210"/>
        <v>1</v>
      </c>
      <c r="J443" s="76" t="str">
        <f t="shared" si="210"/>
        <v>Hypericum</v>
      </c>
      <c r="K443" s="76" t="str">
        <f t="shared" si="210"/>
        <v>revolutum</v>
      </c>
      <c r="L443" s="77">
        <f t="shared" si="210"/>
        <v>7</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v>
      </c>
      <c r="C444" s="73">
        <f t="shared" si="205"/>
        <v>14</v>
      </c>
      <c r="D444" s="74">
        <f t="shared" si="188"/>
        <v>21</v>
      </c>
      <c r="E444" s="75">
        <f t="shared" si="189"/>
        <v>6</v>
      </c>
      <c r="F444" s="79"/>
      <c r="G444" s="82"/>
      <c r="H444" s="68" t="str">
        <f t="shared" si="206"/>
        <v>Hyprev7_20211114_21_00</v>
      </c>
      <c r="I444" s="69">
        <f t="shared" si="210"/>
        <v>1</v>
      </c>
      <c r="J444" s="76" t="str">
        <f t="shared" si="210"/>
        <v>Hypericum</v>
      </c>
      <c r="K444" s="76" t="str">
        <f t="shared" si="210"/>
        <v>revolutum</v>
      </c>
      <c r="L444" s="77">
        <f t="shared" si="210"/>
        <v>7</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v>
      </c>
      <c r="C445" s="73">
        <f t="shared" si="205"/>
        <v>14</v>
      </c>
      <c r="D445" s="74">
        <f t="shared" si="188"/>
        <v>21</v>
      </c>
      <c r="E445" s="75">
        <f t="shared" si="189"/>
        <v>7</v>
      </c>
      <c r="F445" s="79"/>
      <c r="G445" s="82"/>
      <c r="H445" s="68" t="str">
        <f t="shared" si="206"/>
        <v>Hyprev7_20211114_21_00</v>
      </c>
      <c r="I445" s="69">
        <f t="shared" si="210"/>
        <v>1</v>
      </c>
      <c r="J445" s="76" t="str">
        <f t="shared" si="210"/>
        <v>Hypericum</v>
      </c>
      <c r="K445" s="76" t="str">
        <f t="shared" si="210"/>
        <v>revolutum</v>
      </c>
      <c r="L445" s="77">
        <f t="shared" si="210"/>
        <v>7</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v>
      </c>
      <c r="C446" s="73">
        <f t="shared" si="205"/>
        <v>14</v>
      </c>
      <c r="D446" s="74">
        <f t="shared" si="188"/>
        <v>21</v>
      </c>
      <c r="E446" s="75">
        <f t="shared" si="189"/>
        <v>8</v>
      </c>
      <c r="F446" s="79"/>
      <c r="G446" s="82"/>
      <c r="H446" s="68" t="str">
        <f t="shared" si="206"/>
        <v>Hyprev7_20211114_21_00</v>
      </c>
      <c r="I446" s="69">
        <f t="shared" si="210"/>
        <v>1</v>
      </c>
      <c r="J446" s="76" t="str">
        <f t="shared" si="210"/>
        <v>Hypericum</v>
      </c>
      <c r="K446" s="76" t="str">
        <f t="shared" si="210"/>
        <v>revolutum</v>
      </c>
      <c r="L446" s="77">
        <f t="shared" si="210"/>
        <v>7</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v>
      </c>
      <c r="C447" s="73">
        <f t="shared" si="205"/>
        <v>14</v>
      </c>
      <c r="D447" s="74">
        <f t="shared" si="188"/>
        <v>21</v>
      </c>
      <c r="E447" s="75">
        <f t="shared" si="189"/>
        <v>9</v>
      </c>
      <c r="F447" s="79"/>
      <c r="G447" s="82"/>
      <c r="H447" s="68" t="str">
        <f t="shared" si="206"/>
        <v>Hyprev7_20211114_21_00</v>
      </c>
      <c r="I447" s="69">
        <f t="shared" si="210"/>
        <v>1</v>
      </c>
      <c r="J447" s="76" t="str">
        <f t="shared" si="210"/>
        <v>Hypericum</v>
      </c>
      <c r="K447" s="76" t="str">
        <f t="shared" si="210"/>
        <v>revolutum</v>
      </c>
      <c r="L447" s="77">
        <f t="shared" si="210"/>
        <v>7</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v>
      </c>
      <c r="C448" s="73">
        <f t="shared" si="205"/>
        <v>14</v>
      </c>
      <c r="D448" s="74">
        <f t="shared" si="188"/>
        <v>21</v>
      </c>
      <c r="E448" s="75">
        <f t="shared" si="189"/>
        <v>10</v>
      </c>
      <c r="F448" s="79"/>
      <c r="G448" s="82"/>
      <c r="H448" s="68" t="str">
        <f t="shared" si="206"/>
        <v>Hyprev7_20211114_21_00</v>
      </c>
      <c r="I448" s="69">
        <f t="shared" si="210"/>
        <v>1</v>
      </c>
      <c r="J448" s="76" t="str">
        <f t="shared" si="210"/>
        <v>Hypericum</v>
      </c>
      <c r="K448" s="76" t="str">
        <f t="shared" si="210"/>
        <v>revolutum</v>
      </c>
      <c r="L448" s="77">
        <f t="shared" si="210"/>
        <v>7</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v>
      </c>
      <c r="C449" s="73">
        <f t="shared" si="205"/>
        <v>14</v>
      </c>
      <c r="D449" s="74">
        <f t="shared" si="188"/>
        <v>21</v>
      </c>
      <c r="E449" s="75">
        <f t="shared" si="189"/>
        <v>11</v>
      </c>
      <c r="F449" s="79"/>
      <c r="G449" s="82"/>
      <c r="H449" s="68" t="str">
        <f t="shared" si="206"/>
        <v>Hyprev7_20211114_21_00</v>
      </c>
      <c r="I449" s="69">
        <f t="shared" si="210"/>
        <v>1</v>
      </c>
      <c r="J449" s="76" t="str">
        <f t="shared" si="210"/>
        <v>Hypericum</v>
      </c>
      <c r="K449" s="76" t="str">
        <f t="shared" si="210"/>
        <v>revolutum</v>
      </c>
      <c r="L449" s="77">
        <f t="shared" si="210"/>
        <v>7</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v>
      </c>
      <c r="C450" s="73">
        <f t="shared" si="205"/>
        <v>14</v>
      </c>
      <c r="D450" s="74">
        <f t="shared" si="188"/>
        <v>21</v>
      </c>
      <c r="E450" s="75">
        <f t="shared" si="189"/>
        <v>12</v>
      </c>
      <c r="F450" s="79"/>
      <c r="G450" s="82"/>
      <c r="H450" s="68" t="str">
        <f t="shared" si="206"/>
        <v>Hyprev7_20211114_21_00</v>
      </c>
      <c r="I450" s="69">
        <f t="shared" si="210"/>
        <v>1</v>
      </c>
      <c r="J450" s="76" t="str">
        <f t="shared" si="210"/>
        <v>Hypericum</v>
      </c>
      <c r="K450" s="76" t="str">
        <f t="shared" si="210"/>
        <v>revolutum</v>
      </c>
      <c r="L450" s="77">
        <f t="shared" si="210"/>
        <v>7</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v>
      </c>
      <c r="C451" s="73">
        <f t="shared" si="205"/>
        <v>14</v>
      </c>
      <c r="D451" s="74">
        <f t="shared" si="188"/>
        <v>21</v>
      </c>
      <c r="E451" s="75">
        <f t="shared" si="189"/>
        <v>13</v>
      </c>
      <c r="F451" s="79"/>
      <c r="G451" s="82"/>
      <c r="H451" s="68" t="str">
        <f t="shared" si="206"/>
        <v>Hyprev7_20211114_21_00</v>
      </c>
      <c r="I451" s="69">
        <f t="shared" si="210"/>
        <v>1</v>
      </c>
      <c r="J451" s="76" t="str">
        <f t="shared" si="210"/>
        <v>Hypericum</v>
      </c>
      <c r="K451" s="76" t="str">
        <f t="shared" si="210"/>
        <v>revolutum</v>
      </c>
      <c r="L451" s="77">
        <f t="shared" si="210"/>
        <v>7</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v>
      </c>
      <c r="C452" s="73">
        <f t="shared" si="205"/>
        <v>14</v>
      </c>
      <c r="D452" s="74">
        <f t="shared" ref="D452:D515" si="218">IF(IF(E451=59,D451+1,D451)=24,0,IF(E451=59,D451+1,D451))</f>
        <v>21</v>
      </c>
      <c r="E452" s="75">
        <f t="shared" ref="E452:E515" si="219">IF(E451&lt;59,E451+1,0)</f>
        <v>14</v>
      </c>
      <c r="F452" s="79"/>
      <c r="G452" s="82"/>
      <c r="H452" s="68" t="str">
        <f t="shared" si="206"/>
        <v>Hyprev7_20211114_21_00</v>
      </c>
      <c r="I452" s="69">
        <f t="shared" si="210"/>
        <v>1</v>
      </c>
      <c r="J452" s="76" t="str">
        <f t="shared" si="210"/>
        <v>Hypericum</v>
      </c>
      <c r="K452" s="76" t="str">
        <f t="shared" si="210"/>
        <v>revolutum</v>
      </c>
      <c r="L452" s="77">
        <f t="shared" si="210"/>
        <v>7</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v>
      </c>
      <c r="C453" s="73">
        <f t="shared" ref="C453:C516" si="235">IF(AND(D453=0, E453=0), IF(TEXT(C452,"dd")=TEXT(EOMONTH(DATE(A452,MONTH(DATEVALUE(B452&amp;"1")),C452),0), "dd"), 1, C452+1), C452)</f>
        <v>14</v>
      </c>
      <c r="D453" s="74">
        <f t="shared" si="218"/>
        <v>21</v>
      </c>
      <c r="E453" s="75">
        <f t="shared" si="219"/>
        <v>15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Hyprev7_20211114_21_00</v>
      </c>
      <c r="I453" s="69">
        <f t="shared" ref="I453:N468" si="237">I452</f>
        <v>1</v>
      </c>
      <c r="J453" s="76" t="str">
        <f t="shared" si="237"/>
        <v>Hypericum</v>
      </c>
      <c r="K453" s="76" t="str">
        <f t="shared" si="237"/>
        <v>revolutum</v>
      </c>
      <c r="L453" s="77">
        <f t="shared" si="237"/>
        <v>7</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v>
      </c>
      <c r="C454" s="73">
        <f t="shared" si="235"/>
        <v>14</v>
      </c>
      <c r="D454" s="74">
        <f t="shared" si="218"/>
        <v>21</v>
      </c>
      <c r="E454" s="75">
        <f t="shared" si="219"/>
        <v>16</v>
      </c>
      <c r="F454" s="79"/>
      <c r="G454" s="82"/>
      <c r="H454" s="68" t="str">
        <f t="shared" si="236"/>
        <v>Hyprev7_20211114_21_00</v>
      </c>
      <c r="I454" s="69">
        <f t="shared" si="237"/>
        <v>1</v>
      </c>
      <c r="J454" s="76" t="str">
        <f t="shared" si="237"/>
        <v>Hypericum</v>
      </c>
      <c r="K454" s="76" t="str">
        <f t="shared" si="237"/>
        <v>revolutum</v>
      </c>
      <c r="L454" s="77">
        <f t="shared" si="237"/>
        <v>7</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v>
      </c>
      <c r="C455" s="73">
        <f t="shared" si="235"/>
        <v>14</v>
      </c>
      <c r="D455" s="74">
        <f t="shared" si="218"/>
        <v>21</v>
      </c>
      <c r="E455" s="75">
        <f t="shared" si="219"/>
        <v>17</v>
      </c>
      <c r="F455" s="79"/>
      <c r="G455" s="82"/>
      <c r="H455" s="68" t="str">
        <f t="shared" si="236"/>
        <v>Hyprev7_20211114_21_00</v>
      </c>
      <c r="I455" s="69">
        <f t="shared" si="237"/>
        <v>1</v>
      </c>
      <c r="J455" s="76" t="str">
        <f t="shared" si="237"/>
        <v>Hypericum</v>
      </c>
      <c r="K455" s="76" t="str">
        <f t="shared" si="237"/>
        <v>revolutum</v>
      </c>
      <c r="L455" s="77">
        <f t="shared" si="237"/>
        <v>7</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v>
      </c>
      <c r="C456" s="73">
        <f t="shared" si="235"/>
        <v>14</v>
      </c>
      <c r="D456" s="74">
        <f t="shared" si="218"/>
        <v>21</v>
      </c>
      <c r="E456" s="75">
        <f t="shared" si="219"/>
        <v>18</v>
      </c>
      <c r="F456" s="79"/>
      <c r="G456" s="82"/>
      <c r="H456" s="68" t="str">
        <f t="shared" si="236"/>
        <v>Hyprev7_20211114_21_00</v>
      </c>
      <c r="I456" s="69">
        <f t="shared" si="237"/>
        <v>1</v>
      </c>
      <c r="J456" s="76" t="str">
        <f t="shared" si="237"/>
        <v>Hypericum</v>
      </c>
      <c r="K456" s="76" t="str">
        <f t="shared" si="237"/>
        <v>revolutum</v>
      </c>
      <c r="L456" s="77">
        <f t="shared" si="237"/>
        <v>7</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v>
      </c>
      <c r="C457" s="73">
        <f t="shared" si="235"/>
        <v>14</v>
      </c>
      <c r="D457" s="74">
        <f t="shared" si="218"/>
        <v>21</v>
      </c>
      <c r="E457" s="75">
        <f t="shared" si="219"/>
        <v>19</v>
      </c>
      <c r="F457" s="79"/>
      <c r="G457" s="82"/>
      <c r="H457" s="68" t="str">
        <f t="shared" si="236"/>
        <v>Hyprev7_20211114_21_00</v>
      </c>
      <c r="I457" s="69">
        <f t="shared" si="237"/>
        <v>1</v>
      </c>
      <c r="J457" s="76" t="str">
        <f t="shared" si="237"/>
        <v>Hypericum</v>
      </c>
      <c r="K457" s="76" t="str">
        <f t="shared" si="237"/>
        <v>revolutum</v>
      </c>
      <c r="L457" s="77">
        <f t="shared" si="237"/>
        <v>7</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v>
      </c>
      <c r="C458" s="73">
        <f t="shared" si="235"/>
        <v>14</v>
      </c>
      <c r="D458" s="74">
        <f t="shared" si="218"/>
        <v>21</v>
      </c>
      <c r="E458" s="75">
        <f t="shared" si="219"/>
        <v>20</v>
      </c>
      <c r="F458" s="79"/>
      <c r="G458" s="82"/>
      <c r="H458" s="68" t="str">
        <f t="shared" si="236"/>
        <v>Hyprev7_20211114_21_00</v>
      </c>
      <c r="I458" s="69">
        <f t="shared" si="237"/>
        <v>1</v>
      </c>
      <c r="J458" s="76" t="str">
        <f t="shared" si="237"/>
        <v>Hypericum</v>
      </c>
      <c r="K458" s="76" t="str">
        <f t="shared" si="237"/>
        <v>revolutum</v>
      </c>
      <c r="L458" s="77">
        <f t="shared" si="237"/>
        <v>7</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v>
      </c>
      <c r="C459" s="73">
        <f t="shared" si="235"/>
        <v>14</v>
      </c>
      <c r="D459" s="74">
        <f t="shared" si="218"/>
        <v>21</v>
      </c>
      <c r="E459" s="75">
        <f t="shared" si="219"/>
        <v>21</v>
      </c>
      <c r="F459" s="79"/>
      <c r="G459" s="82"/>
      <c r="H459" s="68" t="str">
        <f t="shared" si="236"/>
        <v>Hyprev7_20211114_21_00</v>
      </c>
      <c r="I459" s="69">
        <f t="shared" si="237"/>
        <v>1</v>
      </c>
      <c r="J459" s="76" t="str">
        <f t="shared" si="237"/>
        <v>Hypericum</v>
      </c>
      <c r="K459" s="76" t="str">
        <f t="shared" si="237"/>
        <v>revolutum</v>
      </c>
      <c r="L459" s="77">
        <f t="shared" si="237"/>
        <v>7</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v>
      </c>
      <c r="C460" s="73">
        <f t="shared" si="235"/>
        <v>14</v>
      </c>
      <c r="D460" s="74">
        <f t="shared" si="218"/>
        <v>21</v>
      </c>
      <c r="E460" s="75">
        <f t="shared" si="219"/>
        <v>22</v>
      </c>
      <c r="F460" s="79"/>
      <c r="G460" s="82"/>
      <c r="H460" s="68" t="str">
        <f t="shared" si="236"/>
        <v>Hyprev7_20211114_21_00</v>
      </c>
      <c r="I460" s="69">
        <f t="shared" si="237"/>
        <v>1</v>
      </c>
      <c r="J460" s="76" t="str">
        <f t="shared" si="237"/>
        <v>Hypericum</v>
      </c>
      <c r="K460" s="76" t="str">
        <f t="shared" si="237"/>
        <v>revolutum</v>
      </c>
      <c r="L460" s="77">
        <f t="shared" si="237"/>
        <v>7</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v>
      </c>
      <c r="C461" s="73">
        <f t="shared" si="235"/>
        <v>14</v>
      </c>
      <c r="D461" s="74">
        <f t="shared" si="218"/>
        <v>21</v>
      </c>
      <c r="E461" s="75">
        <f t="shared" si="219"/>
        <v>23</v>
      </c>
      <c r="F461" s="79"/>
      <c r="G461" s="82"/>
      <c r="H461" s="68" t="str">
        <f t="shared" si="236"/>
        <v>Hyprev7_20211114_21_00</v>
      </c>
      <c r="I461" s="69">
        <f t="shared" si="237"/>
        <v>1</v>
      </c>
      <c r="J461" s="76" t="str">
        <f t="shared" si="237"/>
        <v>Hypericum</v>
      </c>
      <c r="K461" s="76" t="str">
        <f t="shared" si="237"/>
        <v>revolutum</v>
      </c>
      <c r="L461" s="77">
        <f t="shared" si="237"/>
        <v>7</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v>
      </c>
      <c r="C462" s="73">
        <f t="shared" si="235"/>
        <v>14</v>
      </c>
      <c r="D462" s="74">
        <f t="shared" si="218"/>
        <v>21</v>
      </c>
      <c r="E462" s="75">
        <f t="shared" si="219"/>
        <v>24</v>
      </c>
      <c r="F462" s="79"/>
      <c r="G462" s="82"/>
      <c r="H462" s="68" t="str">
        <f t="shared" si="236"/>
        <v>Hyprev7_20211114_21_00</v>
      </c>
      <c r="I462" s="69">
        <f t="shared" si="237"/>
        <v>1</v>
      </c>
      <c r="J462" s="76" t="str">
        <f t="shared" si="237"/>
        <v>Hypericum</v>
      </c>
      <c r="K462" s="76" t="str">
        <f t="shared" si="237"/>
        <v>revolutum</v>
      </c>
      <c r="L462" s="77">
        <f t="shared" si="237"/>
        <v>7</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v>
      </c>
      <c r="C463" s="73">
        <f t="shared" si="235"/>
        <v>14</v>
      </c>
      <c r="D463" s="74">
        <f t="shared" si="218"/>
        <v>21</v>
      </c>
      <c r="E463" s="75">
        <f t="shared" si="219"/>
        <v>25</v>
      </c>
      <c r="F463" s="79"/>
      <c r="G463" s="82"/>
      <c r="H463" s="68" t="str">
        <f t="shared" si="236"/>
        <v>Hyprev7_20211114_21_00</v>
      </c>
      <c r="I463" s="69">
        <f t="shared" si="237"/>
        <v>1</v>
      </c>
      <c r="J463" s="76" t="str">
        <f t="shared" si="237"/>
        <v>Hypericum</v>
      </c>
      <c r="K463" s="76" t="str">
        <f t="shared" si="237"/>
        <v>revolutum</v>
      </c>
      <c r="L463" s="77">
        <f t="shared" si="237"/>
        <v>7</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2021</v>
      </c>
      <c r="B464" s="72" t="str">
        <f t="shared" si="217"/>
        <v>Nov</v>
      </c>
      <c r="C464" s="73">
        <f t="shared" si="235"/>
        <v>14</v>
      </c>
      <c r="D464" s="74">
        <f t="shared" si="218"/>
        <v>21</v>
      </c>
      <c r="E464" s="75">
        <f t="shared" si="219"/>
        <v>26</v>
      </c>
      <c r="F464" s="79"/>
      <c r="G464" s="82"/>
      <c r="H464" s="68" t="str">
        <f t="shared" si="236"/>
        <v>Hyprev7_20211114_21_00</v>
      </c>
      <c r="I464" s="69">
        <f t="shared" si="237"/>
        <v>1</v>
      </c>
      <c r="J464" s="76" t="str">
        <f t="shared" si="237"/>
        <v>Hypericum</v>
      </c>
      <c r="K464" s="76" t="str">
        <f t="shared" si="237"/>
        <v>revolutum</v>
      </c>
      <c r="L464" s="77">
        <f t="shared" si="237"/>
        <v>7</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2021</v>
      </c>
      <c r="B465" s="72" t="str">
        <f t="shared" si="217"/>
        <v>Nov</v>
      </c>
      <c r="C465" s="73">
        <f t="shared" si="235"/>
        <v>14</v>
      </c>
      <c r="D465" s="74">
        <f t="shared" si="218"/>
        <v>21</v>
      </c>
      <c r="E465" s="75">
        <f t="shared" si="219"/>
        <v>27</v>
      </c>
      <c r="F465" s="79"/>
      <c r="G465" s="82"/>
      <c r="H465" s="68" t="str">
        <f t="shared" si="236"/>
        <v>Hyprev7_20211114_21_00</v>
      </c>
      <c r="I465" s="69">
        <f t="shared" si="237"/>
        <v>1</v>
      </c>
      <c r="J465" s="76" t="str">
        <f t="shared" si="237"/>
        <v>Hypericum</v>
      </c>
      <c r="K465" s="76" t="str">
        <f t="shared" si="237"/>
        <v>revolutum</v>
      </c>
      <c r="L465" s="77">
        <f t="shared" si="237"/>
        <v>7</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v>
      </c>
      <c r="C466" s="73">
        <f t="shared" si="235"/>
        <v>14</v>
      </c>
      <c r="D466" s="74">
        <f t="shared" si="218"/>
        <v>21</v>
      </c>
      <c r="E466" s="75">
        <f t="shared" si="219"/>
        <v>28</v>
      </c>
      <c r="F466" s="79"/>
      <c r="G466" s="82"/>
      <c r="H466" s="68" t="str">
        <f t="shared" si="236"/>
        <v>Hyprev7_20211114_21_00</v>
      </c>
      <c r="I466" s="69">
        <f t="shared" si="237"/>
        <v>1</v>
      </c>
      <c r="J466" s="76" t="str">
        <f t="shared" si="237"/>
        <v>Hypericum</v>
      </c>
      <c r="K466" s="76" t="str">
        <f t="shared" si="237"/>
        <v>revolutum</v>
      </c>
      <c r="L466" s="77">
        <f t="shared" si="237"/>
        <v>7</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v>
      </c>
      <c r="C467" s="73">
        <f t="shared" si="235"/>
        <v>14</v>
      </c>
      <c r="D467" s="74">
        <f t="shared" si="218"/>
        <v>21</v>
      </c>
      <c r="E467" s="75">
        <f t="shared" si="219"/>
        <v>29</v>
      </c>
      <c r="F467" s="79"/>
      <c r="G467" s="82"/>
      <c r="H467" s="68" t="str">
        <f t="shared" si="236"/>
        <v>Hyprev7_20211114_21_00</v>
      </c>
      <c r="I467" s="69">
        <f t="shared" si="237"/>
        <v>1</v>
      </c>
      <c r="J467" s="76" t="str">
        <f t="shared" si="237"/>
        <v>Hypericum</v>
      </c>
      <c r="K467" s="76" t="str">
        <f t="shared" si="237"/>
        <v>revolutum</v>
      </c>
      <c r="L467" s="77">
        <f t="shared" si="237"/>
        <v>7</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v>
      </c>
      <c r="C468" s="73">
        <f t="shared" si="235"/>
        <v>14</v>
      </c>
      <c r="D468" s="74">
        <f t="shared" si="218"/>
        <v>21</v>
      </c>
      <c r="E468" s="75">
        <f t="shared" si="219"/>
        <v>30</v>
      </c>
      <c r="F468" s="79"/>
      <c r="G468" s="82"/>
      <c r="H468" s="68" t="str">
        <f t="shared" si="236"/>
        <v>Hyprev7_20211114_21_00</v>
      </c>
      <c r="I468" s="69">
        <f t="shared" si="237"/>
        <v>1</v>
      </c>
      <c r="J468" s="76" t="str">
        <f t="shared" si="237"/>
        <v>Hypericum</v>
      </c>
      <c r="K468" s="76" t="str">
        <f t="shared" si="237"/>
        <v>revolutum</v>
      </c>
      <c r="L468" s="77">
        <f t="shared" si="237"/>
        <v>7</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v>
      </c>
      <c r="C469" s="73">
        <f t="shared" si="235"/>
        <v>14</v>
      </c>
      <c r="D469" s="74">
        <f t="shared" si="218"/>
        <v>21</v>
      </c>
      <c r="E469" s="75">
        <f t="shared" si="219"/>
        <v>31</v>
      </c>
      <c r="F469" s="79"/>
      <c r="G469" s="82"/>
      <c r="H469" s="68" t="str">
        <f t="shared" si="236"/>
        <v>Hyprev7_20211114_21_00</v>
      </c>
      <c r="I469" s="69">
        <f t="shared" ref="I469:N484" si="238">I468</f>
        <v>1</v>
      </c>
      <c r="J469" s="76" t="str">
        <f t="shared" si="238"/>
        <v>Hypericum</v>
      </c>
      <c r="K469" s="76" t="str">
        <f t="shared" si="238"/>
        <v>revolutum</v>
      </c>
      <c r="L469" s="77">
        <f t="shared" si="238"/>
        <v>7</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v>
      </c>
      <c r="C470" s="73">
        <f t="shared" si="235"/>
        <v>14</v>
      </c>
      <c r="D470" s="74">
        <f t="shared" si="218"/>
        <v>21</v>
      </c>
      <c r="E470" s="75">
        <f t="shared" si="219"/>
        <v>32</v>
      </c>
      <c r="F470" s="79"/>
      <c r="G470" s="82"/>
      <c r="H470" s="68" t="str">
        <f t="shared" si="236"/>
        <v>Hyprev7_20211114_21_00</v>
      </c>
      <c r="I470" s="69">
        <f t="shared" si="238"/>
        <v>1</v>
      </c>
      <c r="J470" s="76" t="str">
        <f t="shared" si="238"/>
        <v>Hypericum</v>
      </c>
      <c r="K470" s="76" t="str">
        <f t="shared" si="238"/>
        <v>revolutum</v>
      </c>
      <c r="L470" s="77">
        <f t="shared" si="238"/>
        <v>7</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v>
      </c>
      <c r="C471" s="73">
        <f t="shared" si="235"/>
        <v>14</v>
      </c>
      <c r="D471" s="74">
        <f t="shared" si="218"/>
        <v>21</v>
      </c>
      <c r="E471" s="75">
        <f t="shared" si="219"/>
        <v>33</v>
      </c>
      <c r="F471" s="79"/>
      <c r="G471" s="82"/>
      <c r="H471" s="68" t="str">
        <f t="shared" si="236"/>
        <v>Hyprev7_20211114_21_00</v>
      </c>
      <c r="I471" s="69">
        <f t="shared" si="238"/>
        <v>1</v>
      </c>
      <c r="J471" s="76" t="str">
        <f t="shared" si="238"/>
        <v>Hypericum</v>
      </c>
      <c r="K471" s="76" t="str">
        <f t="shared" si="238"/>
        <v>revolutum</v>
      </c>
      <c r="L471" s="77">
        <f t="shared" si="238"/>
        <v>7</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2021</v>
      </c>
      <c r="B472" s="72" t="str">
        <f t="shared" si="217"/>
        <v>Nov</v>
      </c>
      <c r="C472" s="73">
        <f t="shared" si="235"/>
        <v>14</v>
      </c>
      <c r="D472" s="74">
        <f t="shared" si="218"/>
        <v>21</v>
      </c>
      <c r="E472" s="75">
        <f t="shared" si="219"/>
        <v>34</v>
      </c>
      <c r="F472" s="79"/>
      <c r="G472" s="82"/>
      <c r="H472" s="68" t="str">
        <f t="shared" si="236"/>
        <v>Hyprev7_20211114_21_00</v>
      </c>
      <c r="I472" s="69">
        <f t="shared" si="238"/>
        <v>1</v>
      </c>
      <c r="J472" s="76" t="str">
        <f t="shared" si="238"/>
        <v>Hypericum</v>
      </c>
      <c r="K472" s="76" t="str">
        <f t="shared" si="238"/>
        <v>revolutum</v>
      </c>
      <c r="L472" s="77">
        <f t="shared" si="238"/>
        <v>7</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2021</v>
      </c>
      <c r="B473" s="72" t="str">
        <f t="shared" si="217"/>
        <v>Nov</v>
      </c>
      <c r="C473" s="73">
        <f t="shared" si="235"/>
        <v>14</v>
      </c>
      <c r="D473" s="74">
        <f t="shared" si="218"/>
        <v>21</v>
      </c>
      <c r="E473" s="75">
        <f t="shared" si="219"/>
        <v>35</v>
      </c>
      <c r="F473" s="79"/>
      <c r="G473" s="82"/>
      <c r="H473" s="68" t="str">
        <f t="shared" si="236"/>
        <v>Hyprev7_20211114_21_00</v>
      </c>
      <c r="I473" s="69">
        <f t="shared" si="238"/>
        <v>1</v>
      </c>
      <c r="J473" s="76" t="str">
        <f t="shared" si="238"/>
        <v>Hypericum</v>
      </c>
      <c r="K473" s="76" t="str">
        <f t="shared" si="238"/>
        <v>revolutum</v>
      </c>
      <c r="L473" s="77">
        <f t="shared" si="238"/>
        <v>7</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2021</v>
      </c>
      <c r="B474" s="72" t="str">
        <f t="shared" si="217"/>
        <v>Nov</v>
      </c>
      <c r="C474" s="73">
        <f t="shared" si="235"/>
        <v>14</v>
      </c>
      <c r="D474" s="74">
        <f t="shared" si="218"/>
        <v>21</v>
      </c>
      <c r="E474" s="75">
        <f t="shared" si="219"/>
        <v>36</v>
      </c>
      <c r="F474" s="79"/>
      <c r="G474" s="82"/>
      <c r="H474" s="68" t="str">
        <f t="shared" si="236"/>
        <v>Hyprev7_20211114_21_00</v>
      </c>
      <c r="I474" s="69">
        <f t="shared" si="238"/>
        <v>1</v>
      </c>
      <c r="J474" s="76" t="str">
        <f t="shared" si="238"/>
        <v>Hypericum</v>
      </c>
      <c r="K474" s="76" t="str">
        <f t="shared" si="238"/>
        <v>revolutum</v>
      </c>
      <c r="L474" s="77">
        <f t="shared" si="238"/>
        <v>7</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v>
      </c>
      <c r="C475" s="73">
        <f t="shared" si="235"/>
        <v>14</v>
      </c>
      <c r="D475" s="74">
        <f t="shared" si="218"/>
        <v>21</v>
      </c>
      <c r="E475" s="75">
        <f t="shared" si="219"/>
        <v>37</v>
      </c>
      <c r="F475" s="79"/>
      <c r="G475" s="82"/>
      <c r="H475" s="68" t="str">
        <f t="shared" si="236"/>
        <v>Hyprev7_20211114_21_00</v>
      </c>
      <c r="I475" s="69">
        <f t="shared" si="238"/>
        <v>1</v>
      </c>
      <c r="J475" s="76" t="str">
        <f t="shared" si="238"/>
        <v>Hypericum</v>
      </c>
      <c r="K475" s="76" t="str">
        <f t="shared" si="238"/>
        <v>revolutum</v>
      </c>
      <c r="L475" s="77">
        <f t="shared" si="238"/>
        <v>7</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v>
      </c>
      <c r="C476" s="73">
        <f t="shared" si="235"/>
        <v>14</v>
      </c>
      <c r="D476" s="74">
        <f t="shared" si="218"/>
        <v>21</v>
      </c>
      <c r="E476" s="75">
        <f t="shared" si="219"/>
        <v>38</v>
      </c>
      <c r="F476" s="79"/>
      <c r="G476" s="82"/>
      <c r="H476" s="68" t="str">
        <f t="shared" si="236"/>
        <v>Hyprev7_20211114_21_00</v>
      </c>
      <c r="I476" s="69">
        <f t="shared" si="238"/>
        <v>1</v>
      </c>
      <c r="J476" s="76" t="str">
        <f t="shared" si="238"/>
        <v>Hypericum</v>
      </c>
      <c r="K476" s="76" t="str">
        <f t="shared" si="238"/>
        <v>revolutum</v>
      </c>
      <c r="L476" s="77">
        <f t="shared" si="238"/>
        <v>7</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v>
      </c>
      <c r="C477" s="73">
        <f t="shared" si="235"/>
        <v>14</v>
      </c>
      <c r="D477" s="74">
        <f t="shared" si="218"/>
        <v>21</v>
      </c>
      <c r="E477" s="75">
        <f t="shared" si="219"/>
        <v>39</v>
      </c>
      <c r="F477" s="79"/>
      <c r="G477" s="82"/>
      <c r="H477" s="68" t="str">
        <f t="shared" si="236"/>
        <v>Hyprev7_20211114_21_00</v>
      </c>
      <c r="I477" s="69">
        <f t="shared" si="238"/>
        <v>1</v>
      </c>
      <c r="J477" s="76" t="str">
        <f t="shared" si="238"/>
        <v>Hypericum</v>
      </c>
      <c r="K477" s="76" t="str">
        <f t="shared" si="238"/>
        <v>revolutum</v>
      </c>
      <c r="L477" s="77">
        <f t="shared" si="238"/>
        <v>7</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v>
      </c>
      <c r="C478" s="73">
        <f t="shared" si="235"/>
        <v>14</v>
      </c>
      <c r="D478" s="74">
        <f t="shared" si="218"/>
        <v>21</v>
      </c>
      <c r="E478" s="75">
        <f t="shared" si="219"/>
        <v>40</v>
      </c>
      <c r="F478" s="79"/>
      <c r="G478" s="82"/>
      <c r="H478" s="68" t="str">
        <f t="shared" si="236"/>
        <v>Hyprev7_20211114_21_00</v>
      </c>
      <c r="I478" s="69">
        <f t="shared" si="238"/>
        <v>1</v>
      </c>
      <c r="J478" s="76" t="str">
        <f t="shared" si="238"/>
        <v>Hypericum</v>
      </c>
      <c r="K478" s="76" t="str">
        <f t="shared" si="238"/>
        <v>revolutum</v>
      </c>
      <c r="L478" s="77">
        <f t="shared" si="238"/>
        <v>7</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v>
      </c>
      <c r="C479" s="73">
        <f t="shared" si="235"/>
        <v>14</v>
      </c>
      <c r="D479" s="74">
        <f t="shared" si="218"/>
        <v>21</v>
      </c>
      <c r="E479" s="75">
        <f t="shared" si="219"/>
        <v>41</v>
      </c>
      <c r="F479" s="79"/>
      <c r="G479" s="82"/>
      <c r="H479" s="68" t="str">
        <f t="shared" si="236"/>
        <v>Hyprev7_20211114_21_00</v>
      </c>
      <c r="I479" s="69">
        <f t="shared" si="238"/>
        <v>1</v>
      </c>
      <c r="J479" s="76" t="str">
        <f t="shared" si="238"/>
        <v>Hypericum</v>
      </c>
      <c r="K479" s="76" t="str">
        <f t="shared" si="238"/>
        <v>revolutum</v>
      </c>
      <c r="L479" s="77">
        <f t="shared" si="238"/>
        <v>7</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v>
      </c>
      <c r="C480" s="73">
        <f t="shared" si="235"/>
        <v>14</v>
      </c>
      <c r="D480" s="74">
        <f t="shared" si="218"/>
        <v>21</v>
      </c>
      <c r="E480" s="75">
        <f t="shared" si="219"/>
        <v>42</v>
      </c>
      <c r="F480" s="79">
        <v>43</v>
      </c>
      <c r="G480" s="82"/>
      <c r="H480" s="68" t="str">
        <f t="shared" si="236"/>
        <v>Hyprev7_20211114_21_00</v>
      </c>
      <c r="I480" s="69">
        <f t="shared" si="238"/>
        <v>1</v>
      </c>
      <c r="J480" s="76" t="str">
        <f t="shared" si="238"/>
        <v>Hypericum</v>
      </c>
      <c r="K480" s="76" t="str">
        <f t="shared" si="238"/>
        <v>revolutum</v>
      </c>
      <c r="L480" s="77">
        <f t="shared" si="238"/>
        <v>7</v>
      </c>
      <c r="M480" s="77">
        <f t="shared" si="238"/>
        <v>2</v>
      </c>
      <c r="N480" s="71">
        <f t="shared" si="238"/>
        <v>0</v>
      </c>
      <c r="O480" s="44"/>
      <c r="P480" s="45">
        <f t="shared" si="220"/>
        <v>1</v>
      </c>
      <c r="Q480" s="46" t="str">
        <f t="shared" si="221"/>
        <v>21:42:43</v>
      </c>
      <c r="R480" s="47" t="str">
        <f t="shared" si="222"/>
        <v>42:43</v>
      </c>
      <c r="S480" s="48">
        <f t="shared" si="211"/>
        <v>5</v>
      </c>
      <c r="T480" s="47" t="str">
        <f t="shared" si="223"/>
        <v>21</v>
      </c>
      <c r="U480" s="49">
        <v>42</v>
      </c>
      <c r="V480" s="50">
        <v>48</v>
      </c>
      <c r="W480" s="51" t="str">
        <f t="shared" si="224"/>
        <v>42:48</v>
      </c>
      <c r="X480" s="52" t="s">
        <v>128</v>
      </c>
      <c r="Y480" s="124" t="s">
        <v>245</v>
      </c>
      <c r="Z480" s="124"/>
      <c r="AA480" s="47" t="s">
        <v>255</v>
      </c>
      <c r="AB480" s="47" t="str">
        <f t="shared" si="225"/>
        <v>NA</v>
      </c>
      <c r="AC480" s="53" t="str">
        <f t="shared" si="226"/>
        <v/>
      </c>
      <c r="AD480" s="54">
        <v>2</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t="s">
        <v>135</v>
      </c>
      <c r="AT480" s="58"/>
      <c r="AU480" s="58"/>
      <c r="AV480" s="59"/>
      <c r="AW480" s="60">
        <f t="shared" si="212"/>
        <v>0</v>
      </c>
      <c r="AX480" s="61" t="str">
        <f t="shared" si="213"/>
        <v/>
      </c>
      <c r="AY480" s="60">
        <f t="shared" si="214"/>
        <v>0</v>
      </c>
      <c r="AZ480" s="61" t="str">
        <f t="shared" si="215"/>
        <v/>
      </c>
    </row>
    <row r="481" spans="1:52" s="3" customFormat="1" hidden="1" x14ac:dyDescent="0.35">
      <c r="A481" s="72">
        <f t="shared" si="216"/>
        <v>2021</v>
      </c>
      <c r="B481" s="72" t="str">
        <f t="shared" si="217"/>
        <v>Nov</v>
      </c>
      <c r="C481" s="73">
        <f t="shared" si="235"/>
        <v>14</v>
      </c>
      <c r="D481" s="74">
        <f t="shared" si="218"/>
        <v>21</v>
      </c>
      <c r="E481" s="75">
        <f t="shared" si="219"/>
        <v>43</v>
      </c>
      <c r="F481" s="79"/>
      <c r="G481" s="82"/>
      <c r="H481" s="68" t="str">
        <f t="shared" si="236"/>
        <v>Hyprev7_20211114_21_00</v>
      </c>
      <c r="I481" s="69">
        <f t="shared" si="238"/>
        <v>1</v>
      </c>
      <c r="J481" s="76" t="str">
        <f t="shared" si="238"/>
        <v>Hypericum</v>
      </c>
      <c r="K481" s="76" t="str">
        <f t="shared" si="238"/>
        <v>revolutum</v>
      </c>
      <c r="L481" s="77">
        <f t="shared" si="238"/>
        <v>7</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v>
      </c>
      <c r="C482" s="73">
        <f t="shared" si="235"/>
        <v>14</v>
      </c>
      <c r="D482" s="74">
        <f t="shared" si="218"/>
        <v>21</v>
      </c>
      <c r="E482" s="75">
        <f t="shared" si="219"/>
        <v>44</v>
      </c>
      <c r="F482" s="79"/>
      <c r="G482" s="82"/>
      <c r="H482" s="68" t="str">
        <f t="shared" si="236"/>
        <v>Hyprev7_20211114_21_00</v>
      </c>
      <c r="I482" s="69">
        <f t="shared" si="238"/>
        <v>1</v>
      </c>
      <c r="J482" s="76" t="str">
        <f t="shared" si="238"/>
        <v>Hypericum</v>
      </c>
      <c r="K482" s="76" t="str">
        <f t="shared" si="238"/>
        <v>revolutum</v>
      </c>
      <c r="L482" s="77">
        <f t="shared" si="238"/>
        <v>7</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v>
      </c>
      <c r="C483" s="73">
        <f t="shared" si="235"/>
        <v>14</v>
      </c>
      <c r="D483" s="74">
        <f t="shared" si="218"/>
        <v>21</v>
      </c>
      <c r="E483" s="75">
        <f t="shared" si="219"/>
        <v>45</v>
      </c>
      <c r="F483" s="79"/>
      <c r="G483" s="82"/>
      <c r="H483" s="68" t="str">
        <f t="shared" si="236"/>
        <v>Hyprev7_20211114_21_00</v>
      </c>
      <c r="I483" s="69">
        <f t="shared" si="238"/>
        <v>1</v>
      </c>
      <c r="J483" s="76" t="str">
        <f t="shared" si="238"/>
        <v>Hypericum</v>
      </c>
      <c r="K483" s="76" t="str">
        <f t="shared" si="238"/>
        <v>revolutum</v>
      </c>
      <c r="L483" s="77">
        <f t="shared" si="238"/>
        <v>7</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v>
      </c>
      <c r="C484" s="73">
        <f t="shared" si="235"/>
        <v>14</v>
      </c>
      <c r="D484" s="74">
        <f t="shared" si="218"/>
        <v>21</v>
      </c>
      <c r="E484" s="75">
        <f t="shared" si="219"/>
        <v>46</v>
      </c>
      <c r="F484" s="79"/>
      <c r="G484" s="82"/>
      <c r="H484" s="68" t="str">
        <f t="shared" si="236"/>
        <v>Hyprev7_20211114_21_00</v>
      </c>
      <c r="I484" s="69">
        <f t="shared" si="238"/>
        <v>1</v>
      </c>
      <c r="J484" s="76" t="str">
        <f t="shared" si="238"/>
        <v>Hypericum</v>
      </c>
      <c r="K484" s="76" t="str">
        <f t="shared" si="238"/>
        <v>revolutum</v>
      </c>
      <c r="L484" s="77">
        <f t="shared" si="238"/>
        <v>7</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v>
      </c>
      <c r="C485" s="73">
        <f t="shared" si="235"/>
        <v>14</v>
      </c>
      <c r="D485" s="74">
        <f t="shared" si="218"/>
        <v>21</v>
      </c>
      <c r="E485" s="75">
        <f t="shared" si="219"/>
        <v>47</v>
      </c>
      <c r="F485" s="79"/>
      <c r="G485" s="82"/>
      <c r="H485" s="68" t="str">
        <f t="shared" si="236"/>
        <v>Hyprev7_20211114_21_00</v>
      </c>
      <c r="I485" s="69">
        <f t="shared" ref="I485:N500" si="239">I484</f>
        <v>1</v>
      </c>
      <c r="J485" s="76" t="str">
        <f t="shared" si="239"/>
        <v>Hypericum</v>
      </c>
      <c r="K485" s="76" t="str">
        <f t="shared" si="239"/>
        <v>revolutum</v>
      </c>
      <c r="L485" s="77">
        <f t="shared" si="239"/>
        <v>7</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v>
      </c>
      <c r="C486" s="73">
        <f t="shared" si="235"/>
        <v>14</v>
      </c>
      <c r="D486" s="74">
        <f t="shared" si="218"/>
        <v>21</v>
      </c>
      <c r="E486" s="75">
        <f t="shared" si="219"/>
        <v>48</v>
      </c>
      <c r="F486" s="79"/>
      <c r="G486" s="82"/>
      <c r="H486" s="68" t="str">
        <f t="shared" si="236"/>
        <v>Hyprev7_20211114_21_00</v>
      </c>
      <c r="I486" s="69">
        <f t="shared" si="239"/>
        <v>1</v>
      </c>
      <c r="J486" s="76" t="str">
        <f t="shared" si="239"/>
        <v>Hypericum</v>
      </c>
      <c r="K486" s="76" t="str">
        <f t="shared" si="239"/>
        <v>revolutum</v>
      </c>
      <c r="L486" s="77">
        <f t="shared" si="239"/>
        <v>7</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v>
      </c>
      <c r="C487" s="73">
        <f t="shared" si="235"/>
        <v>14</v>
      </c>
      <c r="D487" s="74">
        <f t="shared" si="218"/>
        <v>21</v>
      </c>
      <c r="E487" s="75">
        <f t="shared" si="219"/>
        <v>49</v>
      </c>
      <c r="F487" s="79"/>
      <c r="G487" s="82"/>
      <c r="H487" s="68" t="str">
        <f t="shared" si="236"/>
        <v>Hyprev7_20211114_21_00</v>
      </c>
      <c r="I487" s="69">
        <f t="shared" si="239"/>
        <v>1</v>
      </c>
      <c r="J487" s="76" t="str">
        <f t="shared" si="239"/>
        <v>Hypericum</v>
      </c>
      <c r="K487" s="76" t="str">
        <f t="shared" si="239"/>
        <v>revolutum</v>
      </c>
      <c r="L487" s="77">
        <f t="shared" si="239"/>
        <v>7</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v>
      </c>
      <c r="C488" s="73">
        <f t="shared" si="235"/>
        <v>14</v>
      </c>
      <c r="D488" s="74">
        <f t="shared" si="218"/>
        <v>21</v>
      </c>
      <c r="E488" s="75">
        <f t="shared" si="219"/>
        <v>50</v>
      </c>
      <c r="F488" s="79"/>
      <c r="G488" s="82"/>
      <c r="H488" s="68" t="str">
        <f t="shared" si="236"/>
        <v>Hyprev7_20211114_21_00</v>
      </c>
      <c r="I488" s="69">
        <f t="shared" si="239"/>
        <v>1</v>
      </c>
      <c r="J488" s="76" t="str">
        <f t="shared" si="239"/>
        <v>Hypericum</v>
      </c>
      <c r="K488" s="76" t="str">
        <f t="shared" si="239"/>
        <v>revolutum</v>
      </c>
      <c r="L488" s="77">
        <f t="shared" si="239"/>
        <v>7</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v>
      </c>
      <c r="C489" s="73">
        <f t="shared" si="235"/>
        <v>14</v>
      </c>
      <c r="D489" s="74">
        <f t="shared" si="218"/>
        <v>21</v>
      </c>
      <c r="E489" s="75">
        <f t="shared" si="219"/>
        <v>51</v>
      </c>
      <c r="F489" s="79"/>
      <c r="G489" s="82"/>
      <c r="H489" s="68" t="str">
        <f t="shared" si="236"/>
        <v>Hyprev7_20211114_21_00</v>
      </c>
      <c r="I489" s="69">
        <f t="shared" si="239"/>
        <v>1</v>
      </c>
      <c r="J489" s="76" t="str">
        <f t="shared" si="239"/>
        <v>Hypericum</v>
      </c>
      <c r="K489" s="76" t="str">
        <f t="shared" si="239"/>
        <v>revolutum</v>
      </c>
      <c r="L489" s="77">
        <f t="shared" si="239"/>
        <v>7</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v>
      </c>
      <c r="C490" s="73">
        <f t="shared" si="235"/>
        <v>14</v>
      </c>
      <c r="D490" s="74">
        <f t="shared" si="218"/>
        <v>21</v>
      </c>
      <c r="E490" s="75">
        <f t="shared" si="219"/>
        <v>52</v>
      </c>
      <c r="F490" s="79"/>
      <c r="G490" s="82"/>
      <c r="H490" s="68" t="str">
        <f t="shared" si="236"/>
        <v>Hyprev7_20211114_21_00</v>
      </c>
      <c r="I490" s="69">
        <f t="shared" si="239"/>
        <v>1</v>
      </c>
      <c r="J490" s="76" t="str">
        <f t="shared" si="239"/>
        <v>Hypericum</v>
      </c>
      <c r="K490" s="76" t="str">
        <f t="shared" si="239"/>
        <v>revolutum</v>
      </c>
      <c r="L490" s="77">
        <f t="shared" si="239"/>
        <v>7</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v>
      </c>
      <c r="C491" s="73">
        <f t="shared" si="235"/>
        <v>14</v>
      </c>
      <c r="D491" s="74">
        <f t="shared" si="218"/>
        <v>21</v>
      </c>
      <c r="E491" s="75">
        <f t="shared" si="219"/>
        <v>53</v>
      </c>
      <c r="F491" s="79"/>
      <c r="G491" s="82"/>
      <c r="H491" s="68" t="str">
        <f t="shared" si="236"/>
        <v>Hyprev7_20211114_21_00</v>
      </c>
      <c r="I491" s="69">
        <f t="shared" si="239"/>
        <v>1</v>
      </c>
      <c r="J491" s="76" t="str">
        <f t="shared" si="239"/>
        <v>Hypericum</v>
      </c>
      <c r="K491" s="76" t="str">
        <f t="shared" si="239"/>
        <v>revolutum</v>
      </c>
      <c r="L491" s="77">
        <f t="shared" si="239"/>
        <v>7</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v>
      </c>
      <c r="C492" s="73">
        <f t="shared" si="235"/>
        <v>14</v>
      </c>
      <c r="D492" s="74">
        <f t="shared" si="218"/>
        <v>21</v>
      </c>
      <c r="E492" s="75">
        <f t="shared" si="219"/>
        <v>54</v>
      </c>
      <c r="F492" s="79"/>
      <c r="G492" s="82"/>
      <c r="H492" s="68" t="str">
        <f t="shared" si="236"/>
        <v>Hyprev7_20211114_21_00</v>
      </c>
      <c r="I492" s="69">
        <f t="shared" si="239"/>
        <v>1</v>
      </c>
      <c r="J492" s="76" t="str">
        <f t="shared" si="239"/>
        <v>Hypericum</v>
      </c>
      <c r="K492" s="76" t="str">
        <f t="shared" si="239"/>
        <v>revolutum</v>
      </c>
      <c r="L492" s="77">
        <f t="shared" si="239"/>
        <v>7</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v>
      </c>
      <c r="C493" s="73">
        <f t="shared" si="235"/>
        <v>14</v>
      </c>
      <c r="D493" s="74">
        <f t="shared" si="218"/>
        <v>21</v>
      </c>
      <c r="E493" s="75">
        <f t="shared" si="219"/>
        <v>55</v>
      </c>
      <c r="F493" s="79"/>
      <c r="G493" s="82"/>
      <c r="H493" s="68" t="str">
        <f t="shared" si="236"/>
        <v>Hyprev7_20211114_21_00</v>
      </c>
      <c r="I493" s="69">
        <f t="shared" si="239"/>
        <v>1</v>
      </c>
      <c r="J493" s="76" t="str">
        <f t="shared" si="239"/>
        <v>Hypericum</v>
      </c>
      <c r="K493" s="76" t="str">
        <f t="shared" si="239"/>
        <v>revolutum</v>
      </c>
      <c r="L493" s="77">
        <f t="shared" si="239"/>
        <v>7</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v>
      </c>
      <c r="C494" s="73">
        <f t="shared" si="235"/>
        <v>14</v>
      </c>
      <c r="D494" s="74">
        <f t="shared" si="218"/>
        <v>21</v>
      </c>
      <c r="E494" s="75">
        <f t="shared" si="219"/>
        <v>56</v>
      </c>
      <c r="F494" s="79"/>
      <c r="G494" s="82"/>
      <c r="H494" s="68" t="str">
        <f t="shared" si="236"/>
        <v>Hyprev7_20211114_21_00</v>
      </c>
      <c r="I494" s="69">
        <f t="shared" si="239"/>
        <v>1</v>
      </c>
      <c r="J494" s="76" t="str">
        <f t="shared" si="239"/>
        <v>Hypericum</v>
      </c>
      <c r="K494" s="76" t="str">
        <f t="shared" si="239"/>
        <v>revolutum</v>
      </c>
      <c r="L494" s="77">
        <f t="shared" si="239"/>
        <v>7</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v>
      </c>
      <c r="C495" s="73">
        <f t="shared" si="235"/>
        <v>14</v>
      </c>
      <c r="D495" s="74">
        <f t="shared" si="218"/>
        <v>21</v>
      </c>
      <c r="E495" s="75">
        <f t="shared" si="219"/>
        <v>57</v>
      </c>
      <c r="F495" s="79"/>
      <c r="G495" s="82"/>
      <c r="H495" s="68" t="str">
        <f t="shared" si="236"/>
        <v>Hyprev7_20211114_21_00</v>
      </c>
      <c r="I495" s="69">
        <f t="shared" si="239"/>
        <v>1</v>
      </c>
      <c r="J495" s="76" t="str">
        <f t="shared" si="239"/>
        <v>Hypericum</v>
      </c>
      <c r="K495" s="76" t="str">
        <f t="shared" si="239"/>
        <v>revolutum</v>
      </c>
      <c r="L495" s="77">
        <f t="shared" si="239"/>
        <v>7</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v>
      </c>
      <c r="C496" s="73">
        <f t="shared" si="235"/>
        <v>14</v>
      </c>
      <c r="D496" s="74">
        <f t="shared" si="218"/>
        <v>21</v>
      </c>
      <c r="E496" s="75">
        <f t="shared" si="219"/>
        <v>58</v>
      </c>
      <c r="F496" s="79"/>
      <c r="G496" s="82"/>
      <c r="H496" s="68" t="str">
        <f t="shared" si="236"/>
        <v>Hyprev7_20211114_21_00</v>
      </c>
      <c r="I496" s="69">
        <f t="shared" si="239"/>
        <v>1</v>
      </c>
      <c r="J496" s="76" t="str">
        <f t="shared" si="239"/>
        <v>Hypericum</v>
      </c>
      <c r="K496" s="76" t="str">
        <f t="shared" si="239"/>
        <v>revolutum</v>
      </c>
      <c r="L496" s="77">
        <f t="shared" si="239"/>
        <v>7</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v>
      </c>
      <c r="C497" s="73">
        <f t="shared" si="235"/>
        <v>14</v>
      </c>
      <c r="D497" s="74">
        <f t="shared" si="218"/>
        <v>21</v>
      </c>
      <c r="E497" s="75">
        <f t="shared" si="219"/>
        <v>59</v>
      </c>
      <c r="F497" s="79"/>
      <c r="G497" s="82"/>
      <c r="H497" s="68" t="str">
        <f t="shared" si="236"/>
        <v>Hyprev7_20211114_21_00</v>
      </c>
      <c r="I497" s="69">
        <f t="shared" si="239"/>
        <v>1</v>
      </c>
      <c r="J497" s="76" t="str">
        <f t="shared" si="239"/>
        <v>Hypericum</v>
      </c>
      <c r="K497" s="76" t="str">
        <f t="shared" si="239"/>
        <v>revolutum</v>
      </c>
      <c r="L497" s="77">
        <f t="shared" si="239"/>
        <v>7</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v>
      </c>
      <c r="C498" s="73">
        <f t="shared" si="235"/>
        <v>14</v>
      </c>
      <c r="D498" s="74">
        <f t="shared" si="218"/>
        <v>22</v>
      </c>
      <c r="E498" s="75">
        <f t="shared" si="219"/>
        <v>0</v>
      </c>
      <c r="F498" s="79"/>
      <c r="G498" s="82"/>
      <c r="H498" s="68" t="str">
        <f t="shared" si="236"/>
        <v>Hyprev7_20211114_22_00</v>
      </c>
      <c r="I498" s="69">
        <f t="shared" si="239"/>
        <v>1</v>
      </c>
      <c r="J498" s="76" t="str">
        <f t="shared" si="239"/>
        <v>Hypericum</v>
      </c>
      <c r="K498" s="76" t="str">
        <f t="shared" si="239"/>
        <v>revolutum</v>
      </c>
      <c r="L498" s="77">
        <f t="shared" si="239"/>
        <v>7</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v>
      </c>
      <c r="C499" s="73">
        <f t="shared" si="235"/>
        <v>14</v>
      </c>
      <c r="D499" s="74">
        <f t="shared" si="218"/>
        <v>22</v>
      </c>
      <c r="E499" s="75">
        <f t="shared" si="219"/>
        <v>1</v>
      </c>
      <c r="F499" s="79"/>
      <c r="G499" s="82"/>
      <c r="H499" s="68" t="str">
        <f t="shared" si="236"/>
        <v>Hyprev7_20211114_22_00</v>
      </c>
      <c r="I499" s="69">
        <f t="shared" si="239"/>
        <v>1</v>
      </c>
      <c r="J499" s="76" t="str">
        <f t="shared" si="239"/>
        <v>Hypericum</v>
      </c>
      <c r="K499" s="76" t="str">
        <f t="shared" si="239"/>
        <v>revolutum</v>
      </c>
      <c r="L499" s="77">
        <f t="shared" si="239"/>
        <v>7</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v>
      </c>
      <c r="C500" s="73">
        <f t="shared" si="235"/>
        <v>14</v>
      </c>
      <c r="D500" s="74">
        <f t="shared" si="218"/>
        <v>22</v>
      </c>
      <c r="E500" s="75">
        <f t="shared" si="219"/>
        <v>2</v>
      </c>
      <c r="F500" s="79"/>
      <c r="G500" s="82"/>
      <c r="H500" s="68" t="str">
        <f t="shared" si="236"/>
        <v>Hyprev7_20211114_22_00</v>
      </c>
      <c r="I500" s="69">
        <f t="shared" si="239"/>
        <v>1</v>
      </c>
      <c r="J500" s="76" t="str">
        <f t="shared" si="239"/>
        <v>Hypericum</v>
      </c>
      <c r="K500" s="76" t="str">
        <f t="shared" si="239"/>
        <v>revolutum</v>
      </c>
      <c r="L500" s="77">
        <f t="shared" si="239"/>
        <v>7</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v>
      </c>
      <c r="C501" s="73">
        <f t="shared" si="235"/>
        <v>14</v>
      </c>
      <c r="D501" s="74">
        <f t="shared" si="218"/>
        <v>22</v>
      </c>
      <c r="E501" s="75">
        <f t="shared" si="219"/>
        <v>3</v>
      </c>
      <c r="F501" s="79"/>
      <c r="G501" s="82"/>
      <c r="H501" s="68" t="str">
        <f t="shared" si="236"/>
        <v>Hyprev7_20211114_22_00</v>
      </c>
      <c r="I501" s="69">
        <f t="shared" ref="I501:N516" si="240">I500</f>
        <v>1</v>
      </c>
      <c r="J501" s="76" t="str">
        <f t="shared" si="240"/>
        <v>Hypericum</v>
      </c>
      <c r="K501" s="76" t="str">
        <f t="shared" si="240"/>
        <v>revolutum</v>
      </c>
      <c r="L501" s="77">
        <f t="shared" si="240"/>
        <v>7</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v>
      </c>
      <c r="C502" s="73">
        <f t="shared" si="235"/>
        <v>14</v>
      </c>
      <c r="D502" s="74">
        <f t="shared" si="218"/>
        <v>22</v>
      </c>
      <c r="E502" s="75">
        <f t="shared" si="219"/>
        <v>4</v>
      </c>
      <c r="F502" s="79"/>
      <c r="G502" s="82"/>
      <c r="H502" s="68" t="str">
        <f t="shared" si="236"/>
        <v>Hyprev7_20211114_22_00</v>
      </c>
      <c r="I502" s="69">
        <f t="shared" si="240"/>
        <v>1</v>
      </c>
      <c r="J502" s="76" t="str">
        <f t="shared" si="240"/>
        <v>Hypericum</v>
      </c>
      <c r="K502" s="76" t="str">
        <f t="shared" si="240"/>
        <v>revolutum</v>
      </c>
      <c r="L502" s="77">
        <f t="shared" si="240"/>
        <v>7</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v>
      </c>
      <c r="C503" s="73">
        <f t="shared" si="235"/>
        <v>14</v>
      </c>
      <c r="D503" s="74">
        <f t="shared" si="218"/>
        <v>22</v>
      </c>
      <c r="E503" s="75">
        <f t="shared" si="219"/>
        <v>5</v>
      </c>
      <c r="F503" s="79"/>
      <c r="G503" s="82"/>
      <c r="H503" s="68" t="str">
        <f t="shared" si="236"/>
        <v>Hyprev7_20211114_22_00</v>
      </c>
      <c r="I503" s="69">
        <f t="shared" si="240"/>
        <v>1</v>
      </c>
      <c r="J503" s="76" t="str">
        <f t="shared" si="240"/>
        <v>Hypericum</v>
      </c>
      <c r="K503" s="76" t="str">
        <f t="shared" si="240"/>
        <v>revolutum</v>
      </c>
      <c r="L503" s="77">
        <f t="shared" si="240"/>
        <v>7</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v>
      </c>
      <c r="C504" s="73">
        <f t="shared" si="235"/>
        <v>14</v>
      </c>
      <c r="D504" s="74">
        <f t="shared" si="218"/>
        <v>22</v>
      </c>
      <c r="E504" s="75">
        <f t="shared" si="219"/>
        <v>6</v>
      </c>
      <c r="F504" s="79"/>
      <c r="G504" s="82"/>
      <c r="H504" s="68" t="str">
        <f t="shared" si="236"/>
        <v>Hyprev7_20211114_22_00</v>
      </c>
      <c r="I504" s="69">
        <f t="shared" si="240"/>
        <v>1</v>
      </c>
      <c r="J504" s="76" t="str">
        <f t="shared" si="240"/>
        <v>Hypericum</v>
      </c>
      <c r="K504" s="76" t="str">
        <f t="shared" si="240"/>
        <v>revolutum</v>
      </c>
      <c r="L504" s="77">
        <f t="shared" si="240"/>
        <v>7</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v>
      </c>
      <c r="C505" s="73">
        <f t="shared" si="235"/>
        <v>14</v>
      </c>
      <c r="D505" s="74">
        <f t="shared" si="218"/>
        <v>22</v>
      </c>
      <c r="E505" s="75">
        <f t="shared" si="219"/>
        <v>7</v>
      </c>
      <c r="F505" s="79"/>
      <c r="G505" s="82"/>
      <c r="H505" s="68" t="str">
        <f t="shared" si="236"/>
        <v>Hyprev7_20211114_22_00</v>
      </c>
      <c r="I505" s="69">
        <f t="shared" si="240"/>
        <v>1</v>
      </c>
      <c r="J505" s="76" t="str">
        <f t="shared" si="240"/>
        <v>Hypericum</v>
      </c>
      <c r="K505" s="76" t="str">
        <f t="shared" si="240"/>
        <v>revolutum</v>
      </c>
      <c r="L505" s="77">
        <f t="shared" si="240"/>
        <v>7</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v>
      </c>
      <c r="C506" s="73">
        <f t="shared" si="235"/>
        <v>14</v>
      </c>
      <c r="D506" s="74">
        <f t="shared" si="218"/>
        <v>22</v>
      </c>
      <c r="E506" s="75">
        <f t="shared" si="219"/>
        <v>8</v>
      </c>
      <c r="F506" s="79"/>
      <c r="G506" s="82"/>
      <c r="H506" s="68" t="str">
        <f t="shared" si="236"/>
        <v>Hyprev7_20211114_22_00</v>
      </c>
      <c r="I506" s="69">
        <f t="shared" si="240"/>
        <v>1</v>
      </c>
      <c r="J506" s="76" t="str">
        <f t="shared" si="240"/>
        <v>Hypericum</v>
      </c>
      <c r="K506" s="76" t="str">
        <f t="shared" si="240"/>
        <v>revolutum</v>
      </c>
      <c r="L506" s="77">
        <f t="shared" si="240"/>
        <v>7</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v>
      </c>
      <c r="C507" s="73">
        <f t="shared" si="235"/>
        <v>14</v>
      </c>
      <c r="D507" s="74">
        <f t="shared" si="218"/>
        <v>22</v>
      </c>
      <c r="E507" s="75">
        <f t="shared" si="219"/>
        <v>9</v>
      </c>
      <c r="F507" s="79"/>
      <c r="G507" s="82"/>
      <c r="H507" s="68" t="str">
        <f t="shared" si="236"/>
        <v>Hyprev7_20211114_22_00</v>
      </c>
      <c r="I507" s="69">
        <f t="shared" si="240"/>
        <v>1</v>
      </c>
      <c r="J507" s="76" t="str">
        <f t="shared" si="240"/>
        <v>Hypericum</v>
      </c>
      <c r="K507" s="76" t="str">
        <f t="shared" si="240"/>
        <v>revolutum</v>
      </c>
      <c r="L507" s="77">
        <f t="shared" si="240"/>
        <v>7</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v>
      </c>
      <c r="C508" s="73">
        <f t="shared" si="235"/>
        <v>14</v>
      </c>
      <c r="D508" s="74">
        <f t="shared" si="218"/>
        <v>22</v>
      </c>
      <c r="E508" s="75">
        <f t="shared" si="219"/>
        <v>10</v>
      </c>
      <c r="F508" s="79"/>
      <c r="G508" s="82"/>
      <c r="H508" s="68" t="str">
        <f t="shared" si="236"/>
        <v>Hyprev7_20211114_22_00</v>
      </c>
      <c r="I508" s="69">
        <f t="shared" si="240"/>
        <v>1</v>
      </c>
      <c r="J508" s="76" t="str">
        <f t="shared" si="240"/>
        <v>Hypericum</v>
      </c>
      <c r="K508" s="76" t="str">
        <f t="shared" si="240"/>
        <v>revolutum</v>
      </c>
      <c r="L508" s="77">
        <f t="shared" si="240"/>
        <v>7</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v>
      </c>
      <c r="C509" s="73">
        <f t="shared" si="235"/>
        <v>14</v>
      </c>
      <c r="D509" s="74">
        <f t="shared" si="218"/>
        <v>22</v>
      </c>
      <c r="E509" s="75">
        <f t="shared" si="219"/>
        <v>11</v>
      </c>
      <c r="F509" s="79"/>
      <c r="G509" s="82"/>
      <c r="H509" s="68" t="str">
        <f t="shared" si="236"/>
        <v>Hyprev7_20211114_22_00</v>
      </c>
      <c r="I509" s="69">
        <f t="shared" si="240"/>
        <v>1</v>
      </c>
      <c r="J509" s="76" t="str">
        <f t="shared" si="240"/>
        <v>Hypericum</v>
      </c>
      <c r="K509" s="76" t="str">
        <f t="shared" si="240"/>
        <v>revolutum</v>
      </c>
      <c r="L509" s="77">
        <f t="shared" si="240"/>
        <v>7</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v>
      </c>
      <c r="C510" s="73">
        <f t="shared" si="235"/>
        <v>14</v>
      </c>
      <c r="D510" s="74">
        <f t="shared" si="218"/>
        <v>22</v>
      </c>
      <c r="E510" s="75">
        <f t="shared" si="219"/>
        <v>12</v>
      </c>
      <c r="F510" s="79">
        <v>19</v>
      </c>
      <c r="G510" s="82"/>
      <c r="H510" s="68" t="str">
        <f t="shared" si="236"/>
        <v>Hyprev7_20211114_22_00</v>
      </c>
      <c r="I510" s="69">
        <f t="shared" si="240"/>
        <v>1</v>
      </c>
      <c r="J510" s="76" t="str">
        <f t="shared" si="240"/>
        <v>Hypericum</v>
      </c>
      <c r="K510" s="76" t="str">
        <f t="shared" si="240"/>
        <v>revolutum</v>
      </c>
      <c r="L510" s="77">
        <f t="shared" si="240"/>
        <v>7</v>
      </c>
      <c r="M510" s="77">
        <f t="shared" si="240"/>
        <v>2</v>
      </c>
      <c r="N510" s="71">
        <f t="shared" si="240"/>
        <v>0</v>
      </c>
      <c r="O510" s="44"/>
      <c r="P510" s="45">
        <f t="shared" si="220"/>
        <v>1</v>
      </c>
      <c r="Q510" s="46" t="str">
        <f t="shared" si="221"/>
        <v>22:12:19</v>
      </c>
      <c r="R510" s="47" t="str">
        <f t="shared" si="222"/>
        <v>12:19</v>
      </c>
      <c r="S510" s="48">
        <f t="shared" si="211"/>
        <v>16</v>
      </c>
      <c r="T510" s="47" t="str">
        <f t="shared" si="223"/>
        <v>22</v>
      </c>
      <c r="U510" s="49">
        <v>12</v>
      </c>
      <c r="V510" s="50">
        <v>35</v>
      </c>
      <c r="W510" s="51" t="str">
        <f t="shared" si="224"/>
        <v>12:35</v>
      </c>
      <c r="X510" s="52" t="s">
        <v>59</v>
      </c>
      <c r="Y510" s="124" t="s">
        <v>243</v>
      </c>
      <c r="Z510" s="124"/>
      <c r="AA510" s="47" t="s">
        <v>254</v>
      </c>
      <c r="AB510" s="47" t="str">
        <f t="shared" si="225"/>
        <v>NA</v>
      </c>
      <c r="AC510" s="53" t="str">
        <f t="shared" si="226"/>
        <v/>
      </c>
      <c r="AD510" s="54">
        <f t="shared" si="227"/>
        <v>1</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t="s">
        <v>136</v>
      </c>
      <c r="AT510" s="58"/>
      <c r="AU510" s="58"/>
      <c r="AV510" s="59"/>
      <c r="AW510" s="60">
        <f t="shared" si="212"/>
        <v>0</v>
      </c>
      <c r="AX510" s="61" t="str">
        <f t="shared" si="213"/>
        <v/>
      </c>
      <c r="AY510" s="60">
        <f t="shared" si="214"/>
        <v>0</v>
      </c>
      <c r="AZ510" s="61" t="str">
        <f t="shared" si="215"/>
        <v/>
      </c>
    </row>
    <row r="511" spans="1:52" s="3" customFormat="1" hidden="1" x14ac:dyDescent="0.35">
      <c r="A511" s="72">
        <f t="shared" si="216"/>
        <v>2021</v>
      </c>
      <c r="B511" s="72" t="str">
        <f t="shared" si="217"/>
        <v>Nov</v>
      </c>
      <c r="C511" s="73">
        <f t="shared" si="235"/>
        <v>14</v>
      </c>
      <c r="D511" s="74">
        <f t="shared" si="218"/>
        <v>22</v>
      </c>
      <c r="E511" s="75">
        <f t="shared" si="219"/>
        <v>13</v>
      </c>
      <c r="F511" s="79">
        <v>56</v>
      </c>
      <c r="G511" s="82"/>
      <c r="H511" s="68" t="str">
        <f t="shared" si="236"/>
        <v>Hyprev7_20211114_22_00</v>
      </c>
      <c r="I511" s="69">
        <f t="shared" si="240"/>
        <v>1</v>
      </c>
      <c r="J511" s="76" t="str">
        <f t="shared" si="240"/>
        <v>Hypericum</v>
      </c>
      <c r="K511" s="76" t="str">
        <f t="shared" si="240"/>
        <v>revolutum</v>
      </c>
      <c r="L511" s="77">
        <f t="shared" si="240"/>
        <v>7</v>
      </c>
      <c r="M511" s="77">
        <f t="shared" si="240"/>
        <v>2</v>
      </c>
      <c r="N511" s="71">
        <f t="shared" si="240"/>
        <v>0</v>
      </c>
      <c r="O511" s="44"/>
      <c r="P511" s="45">
        <f t="shared" si="220"/>
        <v>1</v>
      </c>
      <c r="Q511" s="46" t="str">
        <f t="shared" si="221"/>
        <v>22:13:56</v>
      </c>
      <c r="R511" s="47" t="str">
        <f t="shared" si="222"/>
        <v>13:56</v>
      </c>
      <c r="S511" s="48">
        <f t="shared" si="211"/>
        <v>318</v>
      </c>
      <c r="T511" s="47" t="str">
        <f t="shared" si="223"/>
        <v>22</v>
      </c>
      <c r="U511" s="49">
        <v>19</v>
      </c>
      <c r="V511" s="50">
        <v>14</v>
      </c>
      <c r="W511" s="51" t="str">
        <f t="shared" si="224"/>
        <v>19:14</v>
      </c>
      <c r="X511" s="52" t="s">
        <v>145</v>
      </c>
      <c r="Y511" s="124" t="s">
        <v>260</v>
      </c>
      <c r="Z511" s="124"/>
      <c r="AA511" s="47" t="s">
        <v>255</v>
      </c>
      <c r="AB511" s="47" t="str">
        <f t="shared" si="225"/>
        <v>NA</v>
      </c>
      <c r="AC511" s="53" t="str">
        <f t="shared" si="226"/>
        <v/>
      </c>
      <c r="AD511" s="54">
        <v>2</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t="s">
        <v>137</v>
      </c>
      <c r="AT511" s="58"/>
      <c r="AU511" s="58"/>
      <c r="AV511" s="59"/>
      <c r="AW511" s="60">
        <f t="shared" si="212"/>
        <v>0</v>
      </c>
      <c r="AX511" s="61" t="str">
        <f t="shared" si="213"/>
        <v/>
      </c>
      <c r="AY511" s="60">
        <f t="shared" si="214"/>
        <v>0</v>
      </c>
      <c r="AZ511" s="61" t="str">
        <f t="shared" si="215"/>
        <v/>
      </c>
    </row>
    <row r="512" spans="1:52" s="3" customFormat="1" hidden="1" x14ac:dyDescent="0.35">
      <c r="A512" s="72">
        <f t="shared" si="216"/>
        <v>2021</v>
      </c>
      <c r="B512" s="72" t="str">
        <f t="shared" si="217"/>
        <v>Nov</v>
      </c>
      <c r="C512" s="73">
        <f t="shared" si="235"/>
        <v>14</v>
      </c>
      <c r="D512" s="74">
        <f t="shared" si="218"/>
        <v>22</v>
      </c>
      <c r="E512" s="75">
        <f t="shared" si="219"/>
        <v>14</v>
      </c>
      <c r="F512" s="79"/>
      <c r="G512" s="82"/>
      <c r="H512" s="68" t="str">
        <f t="shared" si="236"/>
        <v>Hyprev7_20211114_22_00</v>
      </c>
      <c r="I512" s="69">
        <f t="shared" si="240"/>
        <v>1</v>
      </c>
      <c r="J512" s="76" t="str">
        <f t="shared" si="240"/>
        <v>Hypericum</v>
      </c>
      <c r="K512" s="76" t="str">
        <f t="shared" si="240"/>
        <v>revolutum</v>
      </c>
      <c r="L512" s="77">
        <f t="shared" si="240"/>
        <v>7</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v>
      </c>
      <c r="C513" s="73">
        <f t="shared" si="235"/>
        <v>14</v>
      </c>
      <c r="D513" s="74">
        <f t="shared" si="218"/>
        <v>22</v>
      </c>
      <c r="E513" s="75">
        <f t="shared" si="219"/>
        <v>15</v>
      </c>
      <c r="F513" s="79"/>
      <c r="G513" s="82"/>
      <c r="H513" s="68" t="str">
        <f t="shared" si="236"/>
        <v>Hyprev7_20211114_22_00</v>
      </c>
      <c r="I513" s="69">
        <f t="shared" si="240"/>
        <v>1</v>
      </c>
      <c r="J513" s="76" t="str">
        <f t="shared" si="240"/>
        <v>Hypericum</v>
      </c>
      <c r="K513" s="76" t="str">
        <f t="shared" si="240"/>
        <v>revolutum</v>
      </c>
      <c r="L513" s="77">
        <f t="shared" si="240"/>
        <v>7</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v>
      </c>
      <c r="C514" s="73">
        <f t="shared" si="235"/>
        <v>14</v>
      </c>
      <c r="D514" s="74">
        <f t="shared" si="218"/>
        <v>22</v>
      </c>
      <c r="E514" s="75">
        <f t="shared" si="219"/>
        <v>16</v>
      </c>
      <c r="F514" s="79">
        <v>55</v>
      </c>
      <c r="G514" s="82"/>
      <c r="H514" s="68" t="str">
        <f t="shared" si="236"/>
        <v>Hyprev7_20211114_22_00</v>
      </c>
      <c r="I514" s="69">
        <f t="shared" si="240"/>
        <v>1</v>
      </c>
      <c r="J514" s="76" t="str">
        <f t="shared" si="240"/>
        <v>Hypericum</v>
      </c>
      <c r="K514" s="76" t="str">
        <f t="shared" si="240"/>
        <v>revolutum</v>
      </c>
      <c r="L514" s="77">
        <f t="shared" si="240"/>
        <v>7</v>
      </c>
      <c r="M514" s="77">
        <f t="shared" si="240"/>
        <v>2</v>
      </c>
      <c r="N514" s="71">
        <f t="shared" si="240"/>
        <v>0</v>
      </c>
      <c r="O514" s="44"/>
      <c r="P514" s="45">
        <f t="shared" si="220"/>
        <v>1</v>
      </c>
      <c r="Q514" s="46" t="str">
        <f t="shared" si="221"/>
        <v>22:16:55</v>
      </c>
      <c r="R514" s="47" t="str">
        <f t="shared" si="222"/>
        <v>16:55</v>
      </c>
      <c r="S514" s="48">
        <f t="shared" si="211"/>
        <v>182</v>
      </c>
      <c r="T514" s="47" t="str">
        <f t="shared" si="223"/>
        <v>22</v>
      </c>
      <c r="U514" s="49">
        <v>19</v>
      </c>
      <c r="V514" s="50">
        <v>57</v>
      </c>
      <c r="W514" s="51" t="str">
        <f t="shared" si="224"/>
        <v>19:57</v>
      </c>
      <c r="X514" s="52" t="s">
        <v>59</v>
      </c>
      <c r="Y514" s="124" t="s">
        <v>243</v>
      </c>
      <c r="Z514" s="124"/>
      <c r="AA514" s="47" t="s">
        <v>254</v>
      </c>
      <c r="AB514" s="47" t="str">
        <f t="shared" si="225"/>
        <v>NA</v>
      </c>
      <c r="AC514" s="53" t="str">
        <f t="shared" si="226"/>
        <v/>
      </c>
      <c r="AD514" s="54">
        <f t="shared" si="227"/>
        <v>1</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t="s">
        <v>138</v>
      </c>
      <c r="AT514" s="58"/>
      <c r="AU514" s="58"/>
      <c r="AV514" s="59"/>
      <c r="AW514" s="60">
        <f t="shared" si="212"/>
        <v>0</v>
      </c>
      <c r="AX514" s="61" t="str">
        <f t="shared" si="213"/>
        <v/>
      </c>
      <c r="AY514" s="60">
        <f t="shared" si="214"/>
        <v>0</v>
      </c>
      <c r="AZ514" s="61" t="str">
        <f t="shared" si="215"/>
        <v/>
      </c>
    </row>
    <row r="515" spans="1:52" s="3" customFormat="1" hidden="1" x14ac:dyDescent="0.35">
      <c r="A515" s="72">
        <f t="shared" si="216"/>
        <v>2021</v>
      </c>
      <c r="B515" s="72" t="str">
        <f t="shared" si="217"/>
        <v>Nov</v>
      </c>
      <c r="C515" s="73">
        <f t="shared" si="235"/>
        <v>14</v>
      </c>
      <c r="D515" s="74">
        <f t="shared" si="218"/>
        <v>22</v>
      </c>
      <c r="E515" s="75">
        <f t="shared" si="219"/>
        <v>17</v>
      </c>
      <c r="F515" s="79"/>
      <c r="G515" s="82"/>
      <c r="H515" s="68" t="str">
        <f t="shared" si="236"/>
        <v>Hyprev7_20211114_22_00</v>
      </c>
      <c r="I515" s="69">
        <f t="shared" si="240"/>
        <v>1</v>
      </c>
      <c r="J515" s="76" t="str">
        <f t="shared" si="240"/>
        <v>Hypericum</v>
      </c>
      <c r="K515" s="76" t="str">
        <f t="shared" si="240"/>
        <v>revolutum</v>
      </c>
      <c r="L515" s="77">
        <f t="shared" si="240"/>
        <v>7</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v>
      </c>
      <c r="C516" s="73">
        <f t="shared" si="235"/>
        <v>14</v>
      </c>
      <c r="D516" s="74">
        <f t="shared" ref="D516:D579" si="248">IF(IF(E515=59,D515+1,D515)=24,0,IF(E515=59,D515+1,D515))</f>
        <v>22</v>
      </c>
      <c r="E516" s="75">
        <f t="shared" ref="E516:E579" si="249">IF(E515&lt;59,E515+1,0)</f>
        <v>18</v>
      </c>
      <c r="F516" s="79">
        <v>55</v>
      </c>
      <c r="G516" s="82"/>
      <c r="H516" s="68" t="str">
        <f t="shared" si="236"/>
        <v>Hyprev7_20211114_22_00</v>
      </c>
      <c r="I516" s="69">
        <f t="shared" si="240"/>
        <v>1</v>
      </c>
      <c r="J516" s="76" t="str">
        <f t="shared" si="240"/>
        <v>Hypericum</v>
      </c>
      <c r="K516" s="76" t="str">
        <f t="shared" si="240"/>
        <v>revolutum</v>
      </c>
      <c r="L516" s="77">
        <f t="shared" si="240"/>
        <v>7</v>
      </c>
      <c r="M516" s="77">
        <f t="shared" si="240"/>
        <v>2</v>
      </c>
      <c r="N516" s="71">
        <f t="shared" si="240"/>
        <v>0</v>
      </c>
      <c r="O516" s="44"/>
      <c r="P516" s="45">
        <f t="shared" ref="P516:P579" si="250">IF(F516="","",1)</f>
        <v>1</v>
      </c>
      <c r="Q516" s="46" t="str">
        <f t="shared" ref="Q516:Q579" si="251">TEXT(IF(P516=1,CONCATENATE($D516,":",$E516,":",(LEFT($F516,2))),""),"hh:mm:ss")</f>
        <v>22:18:55</v>
      </c>
      <c r="R516" s="47" t="str">
        <f t="shared" ref="R516:R579" si="252">TEXT(Q516-TIME(0,RIGHT($H516,2),$G$9)+(Q516&gt;TIME(0,RIGHT($H516,2),$G$9)),"mm:ss")</f>
        <v>18:55</v>
      </c>
      <c r="S516" s="48">
        <f t="shared" si="241"/>
        <v>147</v>
      </c>
      <c r="T516" s="47" t="str">
        <f t="shared" ref="T516:T579" si="253">TEXT(IF(P516=1,D516,""),"00")</f>
        <v>22</v>
      </c>
      <c r="U516" s="49">
        <v>21</v>
      </c>
      <c r="V516" s="50">
        <v>22</v>
      </c>
      <c r="W516" s="51" t="str">
        <f t="shared" ref="W516:W579" si="254">IF(O516=0,TEXT(TIME(T516,U516,V516)-TIME(D516,E516,RIGHT(F516,2))+TIME(0,LEFT(R516,2),RIGHT(R516,2)),"mm:ss"),TEXT(TIME(T516,U516,V516)-TIME(D516,E516,RIGHT(F516,2))+TIME(0,LEFT(R516,2),RIGHT(R516,2))-TIME(0,($G$10*O516),0),"mm:ss"))</f>
        <v>21:22</v>
      </c>
      <c r="X516" s="52" t="s">
        <v>59</v>
      </c>
      <c r="Y516" s="124" t="s">
        <v>243</v>
      </c>
      <c r="Z516" s="124"/>
      <c r="AA516" s="47" t="s">
        <v>254</v>
      </c>
      <c r="AB516" s="47" t="str">
        <f t="shared" ref="AB516:AB579" si="255">IF(AA516&lt;&gt;0,"NA","")</f>
        <v>NA</v>
      </c>
      <c r="AC516" s="53" t="str">
        <f t="shared" ref="AC516:AC579" si="256">IF(SUM(AH516,AJ516,AL516,AN516,AP516,AR516)=S516,,"")</f>
        <v/>
      </c>
      <c r="AD516" s="54">
        <f t="shared" ref="AD516:AD579" si="257">IF(P516=1,1,"")</f>
        <v>1</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t="s">
        <v>139</v>
      </c>
      <c r="AT516" s="58"/>
      <c r="AU516" s="58"/>
      <c r="AV516" s="59"/>
      <c r="AW516" s="60">
        <f t="shared" si="242"/>
        <v>0</v>
      </c>
      <c r="AX516" s="61" t="str">
        <f t="shared" si="243"/>
        <v/>
      </c>
      <c r="AY516" s="60">
        <f t="shared" si="244"/>
        <v>0</v>
      </c>
      <c r="AZ516" s="61" t="str">
        <f t="shared" si="245"/>
        <v/>
      </c>
    </row>
    <row r="517" spans="1:52" s="3" customFormat="1" hidden="1" x14ac:dyDescent="0.35">
      <c r="A517" s="72">
        <f t="shared" si="246"/>
        <v>2021</v>
      </c>
      <c r="B517" s="72" t="str">
        <f t="shared" si="247"/>
        <v>Nov</v>
      </c>
      <c r="C517" s="73">
        <f t="shared" ref="C517:C580" si="265">IF(AND(D517=0, E517=0), IF(TEXT(C516,"dd")=TEXT(EOMONTH(DATE(A516,MONTH(DATEVALUE(B516&amp;"1")),C516),0), "dd"), 1, C516+1), C516)</f>
        <v>14</v>
      </c>
      <c r="D517" s="74">
        <f t="shared" si="248"/>
        <v>22</v>
      </c>
      <c r="E517" s="75">
        <f t="shared" si="249"/>
        <v>19</v>
      </c>
      <c r="F517" s="79">
        <v>27</v>
      </c>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Hyprev7_20211114_22_00</v>
      </c>
      <c r="I517" s="69">
        <f t="shared" ref="I517:N532" si="267">I516</f>
        <v>1</v>
      </c>
      <c r="J517" s="76" t="str">
        <f t="shared" si="267"/>
        <v>Hypericum</v>
      </c>
      <c r="K517" s="76" t="str">
        <f t="shared" si="267"/>
        <v>revolutum</v>
      </c>
      <c r="L517" s="77">
        <f t="shared" si="267"/>
        <v>7</v>
      </c>
      <c r="M517" s="77">
        <f t="shared" si="267"/>
        <v>2</v>
      </c>
      <c r="N517" s="71">
        <f t="shared" si="267"/>
        <v>0</v>
      </c>
      <c r="O517" s="44"/>
      <c r="P517" s="45">
        <f t="shared" si="250"/>
        <v>1</v>
      </c>
      <c r="Q517" s="46" t="str">
        <f t="shared" si="251"/>
        <v>22:19:27</v>
      </c>
      <c r="R517" s="47" t="str">
        <f t="shared" si="252"/>
        <v>19:27</v>
      </c>
      <c r="S517" s="48">
        <f t="shared" si="241"/>
        <v>6</v>
      </c>
      <c r="T517" s="47" t="str">
        <f t="shared" si="253"/>
        <v>22</v>
      </c>
      <c r="U517" s="49">
        <v>19</v>
      </c>
      <c r="V517" s="50">
        <v>33</v>
      </c>
      <c r="W517" s="51" t="str">
        <f t="shared" si="254"/>
        <v>19:33</v>
      </c>
      <c r="X517" s="52" t="s">
        <v>145</v>
      </c>
      <c r="Y517" s="124" t="s">
        <v>260</v>
      </c>
      <c r="Z517" s="124"/>
      <c r="AA517" s="47" t="s">
        <v>255</v>
      </c>
      <c r="AB517" s="47" t="str">
        <f t="shared" si="255"/>
        <v>NA</v>
      </c>
      <c r="AC517" s="53" t="str">
        <f t="shared" si="256"/>
        <v/>
      </c>
      <c r="AD517" s="54">
        <f t="shared" si="257"/>
        <v>1</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t="s">
        <v>121</v>
      </c>
      <c r="AT517" s="58"/>
      <c r="AU517" s="58"/>
      <c r="AV517" s="59"/>
      <c r="AW517" s="60">
        <f t="shared" si="242"/>
        <v>0</v>
      </c>
      <c r="AX517" s="61" t="str">
        <f t="shared" si="243"/>
        <v/>
      </c>
      <c r="AY517" s="60">
        <f t="shared" si="244"/>
        <v>0</v>
      </c>
      <c r="AZ517" s="61" t="str">
        <f t="shared" si="245"/>
        <v/>
      </c>
    </row>
    <row r="518" spans="1:52" s="3" customFormat="1" hidden="1" x14ac:dyDescent="0.35">
      <c r="A518" s="72">
        <f t="shared" si="246"/>
        <v>2021</v>
      </c>
      <c r="B518" s="72" t="str">
        <f t="shared" si="247"/>
        <v>Nov</v>
      </c>
      <c r="C518" s="73">
        <f t="shared" si="265"/>
        <v>14</v>
      </c>
      <c r="D518" s="74">
        <f t="shared" si="248"/>
        <v>22</v>
      </c>
      <c r="E518" s="75">
        <v>19</v>
      </c>
      <c r="F518" s="79">
        <v>57</v>
      </c>
      <c r="G518" s="82"/>
      <c r="H518" s="68" t="str">
        <f t="shared" si="266"/>
        <v>Hyprev7_20211114_22_00</v>
      </c>
      <c r="I518" s="69">
        <f t="shared" si="267"/>
        <v>1</v>
      </c>
      <c r="J518" s="76" t="str">
        <f t="shared" si="267"/>
        <v>Hypericum</v>
      </c>
      <c r="K518" s="76" t="str">
        <f t="shared" si="267"/>
        <v>revolutum</v>
      </c>
      <c r="L518" s="77">
        <f t="shared" si="267"/>
        <v>7</v>
      </c>
      <c r="M518" s="77">
        <f t="shared" si="267"/>
        <v>2</v>
      </c>
      <c r="N518" s="71">
        <f t="shared" si="267"/>
        <v>0</v>
      </c>
      <c r="O518" s="44"/>
      <c r="P518" s="45">
        <f t="shared" si="250"/>
        <v>1</v>
      </c>
      <c r="Q518" s="46" t="str">
        <f t="shared" si="251"/>
        <v>22:19:57</v>
      </c>
      <c r="R518" s="47" t="str">
        <f t="shared" si="252"/>
        <v>19:57</v>
      </c>
      <c r="S518" s="48">
        <f t="shared" si="241"/>
        <v>4</v>
      </c>
      <c r="T518" s="47" t="str">
        <f t="shared" si="253"/>
        <v>22</v>
      </c>
      <c r="U518" s="49">
        <v>20</v>
      </c>
      <c r="V518" s="50">
        <v>1</v>
      </c>
      <c r="W518" s="51" t="str">
        <f t="shared" si="254"/>
        <v>20:01</v>
      </c>
      <c r="X518" s="52" t="s">
        <v>59</v>
      </c>
      <c r="Y518" s="124" t="s">
        <v>243</v>
      </c>
      <c r="Z518" s="124"/>
      <c r="AA518" s="47" t="s">
        <v>254</v>
      </c>
      <c r="AB518" s="47" t="str">
        <f t="shared" si="255"/>
        <v>NA</v>
      </c>
      <c r="AC518" s="53" t="str">
        <f t="shared" si="256"/>
        <v/>
      </c>
      <c r="AD518" s="54">
        <f t="shared" si="257"/>
        <v>1</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t="s">
        <v>140</v>
      </c>
      <c r="AT518" s="58"/>
      <c r="AU518" s="58"/>
      <c r="AV518" s="59"/>
      <c r="AW518" s="60">
        <f t="shared" si="242"/>
        <v>0</v>
      </c>
      <c r="AX518" s="61" t="str">
        <f t="shared" si="243"/>
        <v/>
      </c>
      <c r="AY518" s="60">
        <f t="shared" si="244"/>
        <v>0</v>
      </c>
      <c r="AZ518" s="61" t="str">
        <f t="shared" si="245"/>
        <v/>
      </c>
    </row>
    <row r="519" spans="1:52" s="3" customFormat="1" hidden="1" x14ac:dyDescent="0.35">
      <c r="A519" s="72">
        <f t="shared" si="246"/>
        <v>2021</v>
      </c>
      <c r="B519" s="72" t="str">
        <f t="shared" si="247"/>
        <v>Nov</v>
      </c>
      <c r="C519" s="73">
        <f t="shared" si="265"/>
        <v>14</v>
      </c>
      <c r="D519" s="74">
        <f t="shared" si="248"/>
        <v>22</v>
      </c>
      <c r="E519" s="75">
        <f t="shared" si="249"/>
        <v>20</v>
      </c>
      <c r="F519" s="79">
        <v>25</v>
      </c>
      <c r="G519" s="82"/>
      <c r="H519" s="68" t="str">
        <f t="shared" si="266"/>
        <v>Hyprev7_20211114_22_00</v>
      </c>
      <c r="I519" s="69">
        <f t="shared" si="267"/>
        <v>1</v>
      </c>
      <c r="J519" s="76" t="str">
        <f t="shared" si="267"/>
        <v>Hypericum</v>
      </c>
      <c r="K519" s="76" t="str">
        <f t="shared" si="267"/>
        <v>revolutum</v>
      </c>
      <c r="L519" s="77">
        <f t="shared" si="267"/>
        <v>7</v>
      </c>
      <c r="M519" s="77">
        <f t="shared" si="267"/>
        <v>2</v>
      </c>
      <c r="N519" s="71">
        <f t="shared" si="267"/>
        <v>0</v>
      </c>
      <c r="O519" s="44"/>
      <c r="P519" s="45">
        <f t="shared" si="250"/>
        <v>1</v>
      </c>
      <c r="Q519" s="46" t="str">
        <f t="shared" si="251"/>
        <v>22:20:25</v>
      </c>
      <c r="R519" s="47" t="str">
        <f t="shared" si="252"/>
        <v>20:25</v>
      </c>
      <c r="S519" s="48">
        <f t="shared" si="241"/>
        <v>81</v>
      </c>
      <c r="T519" s="47" t="str">
        <f t="shared" si="253"/>
        <v>22</v>
      </c>
      <c r="U519" s="49">
        <v>21</v>
      </c>
      <c r="V519" s="50">
        <v>46</v>
      </c>
      <c r="W519" s="51" t="str">
        <f t="shared" si="254"/>
        <v>21:46</v>
      </c>
      <c r="X519" s="52" t="s">
        <v>59</v>
      </c>
      <c r="Y519" s="124" t="s">
        <v>246</v>
      </c>
      <c r="Z519" s="124"/>
      <c r="AA519" s="47" t="s">
        <v>253</v>
      </c>
      <c r="AB519" s="47" t="str">
        <f t="shared" si="255"/>
        <v>NA</v>
      </c>
      <c r="AC519" s="53" t="str">
        <f t="shared" si="256"/>
        <v/>
      </c>
      <c r="AD519" s="54">
        <f t="shared" si="257"/>
        <v>1</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t="s">
        <v>141</v>
      </c>
      <c r="AT519" s="58"/>
      <c r="AU519" s="58"/>
      <c r="AV519" s="59"/>
      <c r="AW519" s="60">
        <f t="shared" si="242"/>
        <v>0</v>
      </c>
      <c r="AX519" s="61" t="str">
        <f t="shared" si="243"/>
        <v/>
      </c>
      <c r="AY519" s="60">
        <f t="shared" si="244"/>
        <v>0</v>
      </c>
      <c r="AZ519" s="61" t="str">
        <f t="shared" si="245"/>
        <v/>
      </c>
    </row>
    <row r="520" spans="1:52" s="3" customFormat="1" hidden="1" x14ac:dyDescent="0.35">
      <c r="A520" s="72">
        <f t="shared" si="246"/>
        <v>2021</v>
      </c>
      <c r="B520" s="72" t="str">
        <f t="shared" si="247"/>
        <v>Nov</v>
      </c>
      <c r="C520" s="73">
        <f t="shared" si="265"/>
        <v>14</v>
      </c>
      <c r="D520" s="74">
        <f t="shared" si="248"/>
        <v>22</v>
      </c>
      <c r="E520" s="75">
        <f t="shared" si="249"/>
        <v>21</v>
      </c>
      <c r="F520" s="79">
        <v>40</v>
      </c>
      <c r="G520" s="82"/>
      <c r="H520" s="68" t="str">
        <f t="shared" si="266"/>
        <v>Hyprev7_20211114_22_00</v>
      </c>
      <c r="I520" s="69">
        <f t="shared" si="267"/>
        <v>1</v>
      </c>
      <c r="J520" s="76" t="str">
        <f t="shared" si="267"/>
        <v>Hypericum</v>
      </c>
      <c r="K520" s="76" t="str">
        <f t="shared" si="267"/>
        <v>revolutum</v>
      </c>
      <c r="L520" s="77">
        <f t="shared" si="267"/>
        <v>7</v>
      </c>
      <c r="M520" s="77">
        <f t="shared" si="267"/>
        <v>2</v>
      </c>
      <c r="N520" s="71">
        <f t="shared" si="267"/>
        <v>0</v>
      </c>
      <c r="O520" s="44"/>
      <c r="P520" s="45">
        <f t="shared" si="250"/>
        <v>1</v>
      </c>
      <c r="Q520" s="46" t="str">
        <f t="shared" si="251"/>
        <v>22:21:40</v>
      </c>
      <c r="R520" s="47" t="str">
        <f t="shared" si="252"/>
        <v>21:40</v>
      </c>
      <c r="S520" s="48">
        <f t="shared" si="241"/>
        <v>120</v>
      </c>
      <c r="T520" s="47" t="str">
        <f t="shared" si="253"/>
        <v>22</v>
      </c>
      <c r="U520" s="49">
        <v>23</v>
      </c>
      <c r="V520" s="50">
        <v>40</v>
      </c>
      <c r="W520" s="51" t="str">
        <f t="shared" si="254"/>
        <v>23:40</v>
      </c>
      <c r="X520" s="52" t="s">
        <v>59</v>
      </c>
      <c r="Y520" s="124" t="s">
        <v>246</v>
      </c>
      <c r="Z520" s="124"/>
      <c r="AA520" s="47" t="s">
        <v>253</v>
      </c>
      <c r="AB520" s="47" t="str">
        <f t="shared" si="255"/>
        <v>NA</v>
      </c>
      <c r="AC520" s="53" t="str">
        <f t="shared" si="256"/>
        <v/>
      </c>
      <c r="AD520" s="54">
        <f t="shared" si="257"/>
        <v>1</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t="s">
        <v>142</v>
      </c>
      <c r="AT520" s="58"/>
      <c r="AU520" s="58"/>
      <c r="AV520" s="59"/>
      <c r="AW520" s="60">
        <f t="shared" si="242"/>
        <v>0</v>
      </c>
      <c r="AX520" s="61" t="str">
        <f t="shared" si="243"/>
        <v/>
      </c>
      <c r="AY520" s="60">
        <f t="shared" si="244"/>
        <v>0</v>
      </c>
      <c r="AZ520" s="61" t="str">
        <f t="shared" si="245"/>
        <v/>
      </c>
    </row>
    <row r="521" spans="1:52" s="3" customFormat="1" hidden="1" x14ac:dyDescent="0.35">
      <c r="A521" s="72">
        <f t="shared" si="246"/>
        <v>2021</v>
      </c>
      <c r="B521" s="72" t="str">
        <f t="shared" si="247"/>
        <v>Nov</v>
      </c>
      <c r="C521" s="73">
        <f t="shared" si="265"/>
        <v>14</v>
      </c>
      <c r="D521" s="74">
        <f t="shared" si="248"/>
        <v>22</v>
      </c>
      <c r="E521" s="75">
        <f t="shared" si="249"/>
        <v>22</v>
      </c>
      <c r="F521" s="79"/>
      <c r="G521" s="82"/>
      <c r="H521" s="68" t="str">
        <f t="shared" si="266"/>
        <v>Hyprev7_20211114_22_00</v>
      </c>
      <c r="I521" s="69">
        <f t="shared" si="267"/>
        <v>1</v>
      </c>
      <c r="J521" s="76" t="str">
        <f t="shared" si="267"/>
        <v>Hypericum</v>
      </c>
      <c r="K521" s="76" t="str">
        <f t="shared" si="267"/>
        <v>revolutum</v>
      </c>
      <c r="L521" s="77">
        <f t="shared" si="267"/>
        <v>7</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v>
      </c>
      <c r="C522" s="73">
        <f t="shared" si="265"/>
        <v>14</v>
      </c>
      <c r="D522" s="74">
        <f t="shared" si="248"/>
        <v>22</v>
      </c>
      <c r="E522" s="75">
        <f t="shared" si="249"/>
        <v>23</v>
      </c>
      <c r="F522" s="79"/>
      <c r="G522" s="82"/>
      <c r="H522" s="68" t="str">
        <f t="shared" si="266"/>
        <v>Hyprev7_20211114_22_00</v>
      </c>
      <c r="I522" s="69">
        <f t="shared" si="267"/>
        <v>1</v>
      </c>
      <c r="J522" s="76" t="str">
        <f t="shared" si="267"/>
        <v>Hypericum</v>
      </c>
      <c r="K522" s="76" t="str">
        <f t="shared" si="267"/>
        <v>revolutum</v>
      </c>
      <c r="L522" s="77">
        <f t="shared" si="267"/>
        <v>7</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v>
      </c>
      <c r="C523" s="73">
        <f t="shared" si="265"/>
        <v>14</v>
      </c>
      <c r="D523" s="74">
        <f t="shared" si="248"/>
        <v>22</v>
      </c>
      <c r="E523" s="75">
        <f t="shared" si="249"/>
        <v>24</v>
      </c>
      <c r="F523" s="79">
        <v>53</v>
      </c>
      <c r="G523" s="82"/>
      <c r="H523" s="68" t="str">
        <f t="shared" si="266"/>
        <v>Hyprev7_20211114_22_00</v>
      </c>
      <c r="I523" s="69">
        <f t="shared" si="267"/>
        <v>1</v>
      </c>
      <c r="J523" s="76" t="str">
        <f t="shared" si="267"/>
        <v>Hypericum</v>
      </c>
      <c r="K523" s="76" t="str">
        <f t="shared" si="267"/>
        <v>revolutum</v>
      </c>
      <c r="L523" s="77">
        <f t="shared" si="267"/>
        <v>7</v>
      </c>
      <c r="M523" s="77">
        <f t="shared" si="267"/>
        <v>2</v>
      </c>
      <c r="N523" s="71">
        <f t="shared" si="267"/>
        <v>0</v>
      </c>
      <c r="O523" s="44"/>
      <c r="P523" s="45">
        <f t="shared" si="250"/>
        <v>1</v>
      </c>
      <c r="Q523" s="46" t="str">
        <f t="shared" si="251"/>
        <v>22:24:53</v>
      </c>
      <c r="R523" s="47" t="str">
        <f t="shared" si="252"/>
        <v>24:53</v>
      </c>
      <c r="S523" s="48">
        <f t="shared" si="241"/>
        <v>9</v>
      </c>
      <c r="T523" s="47" t="str">
        <f t="shared" si="253"/>
        <v>22</v>
      </c>
      <c r="U523" s="49">
        <v>25</v>
      </c>
      <c r="V523" s="50">
        <v>2</v>
      </c>
      <c r="W523" s="51" t="str">
        <f t="shared" si="254"/>
        <v>25:02</v>
      </c>
      <c r="X523" s="52" t="s">
        <v>59</v>
      </c>
      <c r="Y523" s="124" t="s">
        <v>246</v>
      </c>
      <c r="Z523" s="124"/>
      <c r="AA523" s="47" t="s">
        <v>253</v>
      </c>
      <c r="AB523" s="47" t="str">
        <f t="shared" si="255"/>
        <v>NA</v>
      </c>
      <c r="AC523" s="53" t="str">
        <f t="shared" si="256"/>
        <v/>
      </c>
      <c r="AD523" s="54">
        <f t="shared" si="257"/>
        <v>1</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t="s">
        <v>143</v>
      </c>
      <c r="AT523" s="58"/>
      <c r="AU523" s="58"/>
      <c r="AV523" s="59"/>
      <c r="AW523" s="60">
        <f t="shared" si="242"/>
        <v>0</v>
      </c>
      <c r="AX523" s="61" t="str">
        <f t="shared" si="243"/>
        <v/>
      </c>
      <c r="AY523" s="60">
        <f t="shared" si="244"/>
        <v>0</v>
      </c>
      <c r="AZ523" s="61" t="str">
        <f t="shared" si="245"/>
        <v/>
      </c>
    </row>
    <row r="524" spans="1:52" s="3" customFormat="1" hidden="1" x14ac:dyDescent="0.35">
      <c r="A524" s="72">
        <f t="shared" si="246"/>
        <v>2021</v>
      </c>
      <c r="B524" s="72" t="str">
        <f t="shared" si="247"/>
        <v>Nov</v>
      </c>
      <c r="C524" s="73">
        <f t="shared" si="265"/>
        <v>14</v>
      </c>
      <c r="D524" s="74">
        <f t="shared" si="248"/>
        <v>22</v>
      </c>
      <c r="E524" s="75">
        <f t="shared" si="249"/>
        <v>25</v>
      </c>
      <c r="F524" s="79"/>
      <c r="G524" s="82"/>
      <c r="H524" s="68" t="str">
        <f t="shared" si="266"/>
        <v>Hyprev7_20211114_22_00</v>
      </c>
      <c r="I524" s="69">
        <f t="shared" si="267"/>
        <v>1</v>
      </c>
      <c r="J524" s="76" t="str">
        <f t="shared" si="267"/>
        <v>Hypericum</v>
      </c>
      <c r="K524" s="76" t="str">
        <f t="shared" si="267"/>
        <v>revolutum</v>
      </c>
      <c r="L524" s="77">
        <f t="shared" si="267"/>
        <v>7</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v>
      </c>
      <c r="C525" s="73">
        <f t="shared" si="265"/>
        <v>14</v>
      </c>
      <c r="D525" s="74">
        <f t="shared" si="248"/>
        <v>22</v>
      </c>
      <c r="E525" s="75">
        <f t="shared" si="249"/>
        <v>26</v>
      </c>
      <c r="F525" s="79">
        <v>6</v>
      </c>
      <c r="G525" s="82"/>
      <c r="H525" s="68" t="str">
        <f t="shared" si="266"/>
        <v>Hyprev7_20211114_22_00</v>
      </c>
      <c r="I525" s="69">
        <f t="shared" si="267"/>
        <v>1</v>
      </c>
      <c r="J525" s="76" t="str">
        <f t="shared" si="267"/>
        <v>Hypericum</v>
      </c>
      <c r="K525" s="76" t="str">
        <f t="shared" si="267"/>
        <v>revolutum</v>
      </c>
      <c r="L525" s="77">
        <f t="shared" si="267"/>
        <v>7</v>
      </c>
      <c r="M525" s="77">
        <f t="shared" si="267"/>
        <v>2</v>
      </c>
      <c r="N525" s="71">
        <f t="shared" si="267"/>
        <v>0</v>
      </c>
      <c r="O525" s="44"/>
      <c r="P525" s="45">
        <f t="shared" si="250"/>
        <v>1</v>
      </c>
      <c r="Q525" s="46" t="str">
        <f t="shared" si="251"/>
        <v>22:26:06</v>
      </c>
      <c r="R525" s="47" t="str">
        <f t="shared" si="252"/>
        <v>26:06</v>
      </c>
      <c r="S525" s="48">
        <f t="shared" si="241"/>
        <v>1312</v>
      </c>
      <c r="T525" s="47" t="str">
        <f t="shared" si="253"/>
        <v>22</v>
      </c>
      <c r="U525" s="49">
        <v>47</v>
      </c>
      <c r="V525" s="50">
        <v>58</v>
      </c>
      <c r="W525" s="51" t="str">
        <f t="shared" si="254"/>
        <v>47:58</v>
      </c>
      <c r="X525" s="52" t="s">
        <v>59</v>
      </c>
      <c r="Y525" s="124" t="s">
        <v>243</v>
      </c>
      <c r="Z525" s="124"/>
      <c r="AA525" s="47" t="s">
        <v>254</v>
      </c>
      <c r="AB525" s="47" t="str">
        <f t="shared" si="255"/>
        <v>NA</v>
      </c>
      <c r="AC525" s="53" t="str">
        <f t="shared" si="256"/>
        <v/>
      </c>
      <c r="AD525" s="54">
        <f t="shared" si="257"/>
        <v>1</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t="s">
        <v>144</v>
      </c>
      <c r="AT525" s="58"/>
      <c r="AU525" s="58"/>
      <c r="AV525" s="59"/>
      <c r="AW525" s="60">
        <f t="shared" si="242"/>
        <v>0</v>
      </c>
      <c r="AX525" s="61" t="str">
        <f t="shared" si="243"/>
        <v/>
      </c>
      <c r="AY525" s="60">
        <f t="shared" si="244"/>
        <v>0</v>
      </c>
      <c r="AZ525" s="61" t="str">
        <f t="shared" si="245"/>
        <v/>
      </c>
    </row>
    <row r="526" spans="1:52" s="3" customFormat="1" hidden="1" x14ac:dyDescent="0.35">
      <c r="A526" s="72">
        <f t="shared" si="246"/>
        <v>2021</v>
      </c>
      <c r="B526" s="72" t="str">
        <f t="shared" si="247"/>
        <v>Nov</v>
      </c>
      <c r="C526" s="73">
        <f t="shared" si="265"/>
        <v>14</v>
      </c>
      <c r="D526" s="74">
        <f t="shared" si="248"/>
        <v>22</v>
      </c>
      <c r="E526" s="75">
        <f t="shared" si="249"/>
        <v>27</v>
      </c>
      <c r="F526" s="79">
        <v>53</v>
      </c>
      <c r="G526" s="82"/>
      <c r="H526" s="68" t="str">
        <f t="shared" si="266"/>
        <v>Hyprev7_20211114_22_00</v>
      </c>
      <c r="I526" s="69">
        <f t="shared" si="267"/>
        <v>1</v>
      </c>
      <c r="J526" s="76" t="str">
        <f t="shared" si="267"/>
        <v>Hypericum</v>
      </c>
      <c r="K526" s="76" t="str">
        <f t="shared" si="267"/>
        <v>revolutum</v>
      </c>
      <c r="L526" s="77">
        <f t="shared" si="267"/>
        <v>7</v>
      </c>
      <c r="M526" s="77">
        <f t="shared" si="267"/>
        <v>2</v>
      </c>
      <c r="N526" s="71">
        <f t="shared" si="267"/>
        <v>0</v>
      </c>
      <c r="O526" s="44"/>
      <c r="P526" s="45">
        <f t="shared" si="250"/>
        <v>1</v>
      </c>
      <c r="Q526" s="46" t="str">
        <f t="shared" si="251"/>
        <v>22:27:53</v>
      </c>
      <c r="R526" s="47" t="str">
        <f t="shared" si="252"/>
        <v>27:53</v>
      </c>
      <c r="S526" s="48">
        <f t="shared" si="241"/>
        <v>20</v>
      </c>
      <c r="T526" s="47" t="str">
        <f t="shared" si="253"/>
        <v>22</v>
      </c>
      <c r="U526" s="49">
        <v>28</v>
      </c>
      <c r="V526" s="50">
        <v>13</v>
      </c>
      <c r="W526" s="51" t="str">
        <f t="shared" si="254"/>
        <v>28:13</v>
      </c>
      <c r="X526" s="52" t="s">
        <v>145</v>
      </c>
      <c r="Y526" s="124" t="s">
        <v>260</v>
      </c>
      <c r="Z526" s="124"/>
      <c r="AA526" s="47" t="s">
        <v>255</v>
      </c>
      <c r="AB526" s="47" t="str">
        <f t="shared" si="255"/>
        <v>NA</v>
      </c>
      <c r="AC526" s="53" t="str">
        <f t="shared" si="256"/>
        <v/>
      </c>
      <c r="AD526" s="54">
        <f t="shared" si="257"/>
        <v>1</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t="s">
        <v>121</v>
      </c>
      <c r="AT526" s="58"/>
      <c r="AU526" s="58"/>
      <c r="AV526" s="59"/>
      <c r="AW526" s="60">
        <f t="shared" si="242"/>
        <v>0</v>
      </c>
      <c r="AX526" s="61" t="str">
        <f t="shared" si="243"/>
        <v/>
      </c>
      <c r="AY526" s="60">
        <f t="shared" si="244"/>
        <v>0</v>
      </c>
      <c r="AZ526" s="61" t="str">
        <f t="shared" si="245"/>
        <v/>
      </c>
    </row>
    <row r="527" spans="1:52" s="3" customFormat="1" hidden="1" x14ac:dyDescent="0.35">
      <c r="A527" s="72">
        <f t="shared" si="246"/>
        <v>2021</v>
      </c>
      <c r="B527" s="72" t="str">
        <f t="shared" si="247"/>
        <v>Nov</v>
      </c>
      <c r="C527" s="73">
        <f t="shared" si="265"/>
        <v>14</v>
      </c>
      <c r="D527" s="74">
        <f t="shared" si="248"/>
        <v>22</v>
      </c>
      <c r="E527" s="75">
        <f t="shared" si="249"/>
        <v>28</v>
      </c>
      <c r="F527" s="79">
        <v>36</v>
      </c>
      <c r="G527" s="82"/>
      <c r="H527" s="68" t="str">
        <f t="shared" si="266"/>
        <v>Hyprev7_20211114_22_00</v>
      </c>
      <c r="I527" s="69">
        <f t="shared" si="267"/>
        <v>1</v>
      </c>
      <c r="J527" s="76" t="str">
        <f t="shared" si="267"/>
        <v>Hypericum</v>
      </c>
      <c r="K527" s="76" t="str">
        <f t="shared" si="267"/>
        <v>revolutum</v>
      </c>
      <c r="L527" s="77">
        <f t="shared" si="267"/>
        <v>7</v>
      </c>
      <c r="M527" s="77">
        <f t="shared" si="267"/>
        <v>2</v>
      </c>
      <c r="N527" s="71">
        <f t="shared" si="267"/>
        <v>0</v>
      </c>
      <c r="O527" s="44"/>
      <c r="P527" s="45">
        <f t="shared" si="250"/>
        <v>1</v>
      </c>
      <c r="Q527" s="46" t="str">
        <f t="shared" si="251"/>
        <v>22:28:36</v>
      </c>
      <c r="R527" s="47" t="str">
        <f t="shared" si="252"/>
        <v>28:36</v>
      </c>
      <c r="S527" s="48">
        <f t="shared" si="241"/>
        <v>299</v>
      </c>
      <c r="T527" s="47" t="str">
        <f t="shared" si="253"/>
        <v>22</v>
      </c>
      <c r="U527" s="49">
        <v>33</v>
      </c>
      <c r="V527" s="50">
        <v>35</v>
      </c>
      <c r="W527" s="51" t="str">
        <f t="shared" si="254"/>
        <v>33:35</v>
      </c>
      <c r="X527" s="52" t="s">
        <v>145</v>
      </c>
      <c r="Y527" s="124" t="s">
        <v>261</v>
      </c>
      <c r="Z527" s="124"/>
      <c r="AA527" s="47" t="s">
        <v>255</v>
      </c>
      <c r="AB527" s="47" t="str">
        <f t="shared" si="255"/>
        <v>NA</v>
      </c>
      <c r="AC527" s="53" t="str">
        <f t="shared" si="256"/>
        <v/>
      </c>
      <c r="AD527" s="54">
        <v>2</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t="s">
        <v>146</v>
      </c>
      <c r="AT527" s="58"/>
      <c r="AU527" s="58"/>
      <c r="AV527" s="59"/>
      <c r="AW527" s="60">
        <f t="shared" si="242"/>
        <v>0</v>
      </c>
      <c r="AX527" s="61" t="str">
        <f t="shared" si="243"/>
        <v/>
      </c>
      <c r="AY527" s="60">
        <f t="shared" si="244"/>
        <v>0</v>
      </c>
      <c r="AZ527" s="61" t="str">
        <f t="shared" si="245"/>
        <v/>
      </c>
    </row>
    <row r="528" spans="1:52" s="3" customFormat="1" hidden="1" x14ac:dyDescent="0.35">
      <c r="A528" s="72">
        <f t="shared" si="246"/>
        <v>2021</v>
      </c>
      <c r="B528" s="72" t="str">
        <f t="shared" si="247"/>
        <v>Nov</v>
      </c>
      <c r="C528" s="73">
        <f t="shared" si="265"/>
        <v>14</v>
      </c>
      <c r="D528" s="74">
        <f t="shared" si="248"/>
        <v>22</v>
      </c>
      <c r="E528" s="75">
        <f t="shared" si="249"/>
        <v>29</v>
      </c>
      <c r="F528" s="79"/>
      <c r="G528" s="82"/>
      <c r="H528" s="68" t="str">
        <f t="shared" si="266"/>
        <v>Hyprev7_20211114_22_00</v>
      </c>
      <c r="I528" s="69">
        <f t="shared" si="267"/>
        <v>1</v>
      </c>
      <c r="J528" s="76" t="str">
        <f t="shared" si="267"/>
        <v>Hypericum</v>
      </c>
      <c r="K528" s="76" t="str">
        <f t="shared" si="267"/>
        <v>revolutum</v>
      </c>
      <c r="L528" s="77">
        <f t="shared" si="267"/>
        <v>7</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v>
      </c>
      <c r="C529" s="73">
        <f t="shared" si="265"/>
        <v>14</v>
      </c>
      <c r="D529" s="74">
        <f t="shared" si="248"/>
        <v>22</v>
      </c>
      <c r="E529" s="75">
        <f t="shared" si="249"/>
        <v>30</v>
      </c>
      <c r="F529" s="79">
        <v>18</v>
      </c>
      <c r="G529" s="82"/>
      <c r="H529" s="68" t="str">
        <f t="shared" si="266"/>
        <v>Hyprev7_20211114_22_00</v>
      </c>
      <c r="I529" s="69">
        <f t="shared" si="267"/>
        <v>1</v>
      </c>
      <c r="J529" s="76" t="str">
        <f t="shared" si="267"/>
        <v>Hypericum</v>
      </c>
      <c r="K529" s="76" t="str">
        <f t="shared" si="267"/>
        <v>revolutum</v>
      </c>
      <c r="L529" s="77">
        <f t="shared" si="267"/>
        <v>7</v>
      </c>
      <c r="M529" s="77">
        <f t="shared" si="267"/>
        <v>2</v>
      </c>
      <c r="N529" s="71">
        <f t="shared" si="267"/>
        <v>0</v>
      </c>
      <c r="O529" s="44"/>
      <c r="P529" s="45">
        <f t="shared" si="250"/>
        <v>1</v>
      </c>
      <c r="Q529" s="46" t="str">
        <f t="shared" si="251"/>
        <v>22:30:18</v>
      </c>
      <c r="R529" s="47" t="str">
        <f t="shared" si="252"/>
        <v>30:18</v>
      </c>
      <c r="S529" s="48">
        <f t="shared" si="241"/>
        <v>12</v>
      </c>
      <c r="T529" s="47" t="str">
        <f t="shared" si="253"/>
        <v>22</v>
      </c>
      <c r="U529" s="49">
        <v>30</v>
      </c>
      <c r="V529" s="50">
        <v>30</v>
      </c>
      <c r="W529" s="51" t="str">
        <f t="shared" si="254"/>
        <v>30:30</v>
      </c>
      <c r="X529" s="52" t="s">
        <v>145</v>
      </c>
      <c r="Y529" s="124" t="s">
        <v>259</v>
      </c>
      <c r="Z529" s="124"/>
      <c r="AA529" s="47" t="s">
        <v>255</v>
      </c>
      <c r="AB529" s="47" t="str">
        <f t="shared" si="255"/>
        <v>NA</v>
      </c>
      <c r="AC529" s="53" t="str">
        <f t="shared" si="256"/>
        <v/>
      </c>
      <c r="AD529" s="54">
        <f t="shared" si="257"/>
        <v>1</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t="s">
        <v>121</v>
      </c>
      <c r="AT529" s="58"/>
      <c r="AU529" s="58"/>
      <c r="AV529" s="59"/>
      <c r="AW529" s="60">
        <f t="shared" si="242"/>
        <v>0</v>
      </c>
      <c r="AX529" s="61" t="str">
        <f t="shared" si="243"/>
        <v/>
      </c>
      <c r="AY529" s="60">
        <f t="shared" si="244"/>
        <v>0</v>
      </c>
      <c r="AZ529" s="61" t="str">
        <f t="shared" si="245"/>
        <v/>
      </c>
    </row>
    <row r="530" spans="1:52" s="3" customFormat="1" hidden="1" x14ac:dyDescent="0.35">
      <c r="A530" s="72">
        <f t="shared" si="246"/>
        <v>2021</v>
      </c>
      <c r="B530" s="72" t="str">
        <f t="shared" si="247"/>
        <v>Nov</v>
      </c>
      <c r="C530" s="73">
        <f t="shared" si="265"/>
        <v>14</v>
      </c>
      <c r="D530" s="74">
        <f t="shared" si="248"/>
        <v>22</v>
      </c>
      <c r="E530" s="75">
        <f t="shared" si="249"/>
        <v>31</v>
      </c>
      <c r="F530" s="79">
        <v>4</v>
      </c>
      <c r="G530" s="82"/>
      <c r="H530" s="68" t="str">
        <f t="shared" si="266"/>
        <v>Hyprev7_20211114_22_00</v>
      </c>
      <c r="I530" s="69">
        <f t="shared" si="267"/>
        <v>1</v>
      </c>
      <c r="J530" s="76" t="str">
        <f t="shared" si="267"/>
        <v>Hypericum</v>
      </c>
      <c r="K530" s="76" t="str">
        <f t="shared" si="267"/>
        <v>revolutum</v>
      </c>
      <c r="L530" s="77">
        <f t="shared" si="267"/>
        <v>7</v>
      </c>
      <c r="M530" s="77">
        <f t="shared" si="267"/>
        <v>2</v>
      </c>
      <c r="N530" s="71">
        <f t="shared" si="267"/>
        <v>0</v>
      </c>
      <c r="O530" s="44"/>
      <c r="P530" s="45">
        <f t="shared" si="250"/>
        <v>1</v>
      </c>
      <c r="Q530" s="46" t="str">
        <f t="shared" si="251"/>
        <v>22:31:04</v>
      </c>
      <c r="R530" s="47" t="str">
        <f t="shared" si="252"/>
        <v>31:04</v>
      </c>
      <c r="S530" s="48">
        <f t="shared" si="241"/>
        <v>5</v>
      </c>
      <c r="T530" s="47" t="str">
        <f t="shared" si="253"/>
        <v>22</v>
      </c>
      <c r="U530" s="49">
        <v>31</v>
      </c>
      <c r="V530" s="50">
        <v>9</v>
      </c>
      <c r="W530" s="51" t="str">
        <f t="shared" si="254"/>
        <v>31:09</v>
      </c>
      <c r="X530" s="52" t="s">
        <v>145</v>
      </c>
      <c r="Y530" s="124" t="s">
        <v>260</v>
      </c>
      <c r="Z530" s="124"/>
      <c r="AA530" s="47" t="s">
        <v>255</v>
      </c>
      <c r="AB530" s="47" t="str">
        <f t="shared" si="255"/>
        <v>NA</v>
      </c>
      <c r="AC530" s="53" t="str">
        <f t="shared" si="256"/>
        <v/>
      </c>
      <c r="AD530" s="54">
        <f t="shared" si="257"/>
        <v>1</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t="s">
        <v>121</v>
      </c>
      <c r="AT530" s="58"/>
      <c r="AU530" s="58"/>
      <c r="AV530" s="59"/>
      <c r="AW530" s="60">
        <f t="shared" si="242"/>
        <v>0</v>
      </c>
      <c r="AX530" s="61" t="str">
        <f t="shared" si="243"/>
        <v/>
      </c>
      <c r="AY530" s="60">
        <f t="shared" si="244"/>
        <v>0</v>
      </c>
      <c r="AZ530" s="61" t="str">
        <f t="shared" si="245"/>
        <v/>
      </c>
    </row>
    <row r="531" spans="1:52" s="3" customFormat="1" hidden="1" x14ac:dyDescent="0.35">
      <c r="A531" s="72">
        <f t="shared" si="246"/>
        <v>2021</v>
      </c>
      <c r="B531" s="72" t="str">
        <f t="shared" si="247"/>
        <v>Nov</v>
      </c>
      <c r="C531" s="73">
        <f t="shared" si="265"/>
        <v>14</v>
      </c>
      <c r="D531" s="74">
        <f t="shared" si="248"/>
        <v>22</v>
      </c>
      <c r="E531" s="75">
        <v>31</v>
      </c>
      <c r="F531" s="79">
        <v>26</v>
      </c>
      <c r="G531" s="82"/>
      <c r="H531" s="68" t="str">
        <f t="shared" si="266"/>
        <v>Hyprev7_20211114_22_00</v>
      </c>
      <c r="I531" s="69">
        <f t="shared" si="267"/>
        <v>1</v>
      </c>
      <c r="J531" s="76" t="str">
        <f t="shared" si="267"/>
        <v>Hypericum</v>
      </c>
      <c r="K531" s="76" t="str">
        <f t="shared" si="267"/>
        <v>revolutum</v>
      </c>
      <c r="L531" s="77">
        <f t="shared" si="267"/>
        <v>7</v>
      </c>
      <c r="M531" s="77">
        <f t="shared" si="267"/>
        <v>2</v>
      </c>
      <c r="N531" s="71">
        <f t="shared" si="267"/>
        <v>0</v>
      </c>
      <c r="O531" s="44"/>
      <c r="P531" s="45">
        <f t="shared" si="250"/>
        <v>1</v>
      </c>
      <c r="Q531" s="46" t="str">
        <f t="shared" si="251"/>
        <v>22:31:26</v>
      </c>
      <c r="R531" s="47" t="str">
        <f t="shared" si="252"/>
        <v>31:26</v>
      </c>
      <c r="S531" s="48">
        <f t="shared" si="241"/>
        <v>3</v>
      </c>
      <c r="T531" s="47" t="str">
        <f t="shared" si="253"/>
        <v>22</v>
      </c>
      <c r="U531" s="49">
        <v>31</v>
      </c>
      <c r="V531" s="50">
        <v>29</v>
      </c>
      <c r="W531" s="51" t="str">
        <f t="shared" si="254"/>
        <v>31:29</v>
      </c>
      <c r="X531" s="52" t="s">
        <v>145</v>
      </c>
      <c r="Y531" s="124" t="s">
        <v>260</v>
      </c>
      <c r="Z531" s="124"/>
      <c r="AA531" s="47" t="s">
        <v>255</v>
      </c>
      <c r="AB531" s="47" t="str">
        <f t="shared" si="255"/>
        <v>NA</v>
      </c>
      <c r="AC531" s="53" t="str">
        <f t="shared" si="256"/>
        <v/>
      </c>
      <c r="AD531" s="54">
        <f t="shared" si="257"/>
        <v>1</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t="s">
        <v>147</v>
      </c>
      <c r="AT531" s="58"/>
      <c r="AU531" s="58"/>
      <c r="AV531" s="59"/>
      <c r="AW531" s="60">
        <f t="shared" si="242"/>
        <v>0</v>
      </c>
      <c r="AX531" s="61" t="str">
        <f t="shared" si="243"/>
        <v/>
      </c>
      <c r="AY531" s="60">
        <f t="shared" si="244"/>
        <v>0</v>
      </c>
      <c r="AZ531" s="61" t="str">
        <f t="shared" si="245"/>
        <v/>
      </c>
    </row>
    <row r="532" spans="1:52" s="3" customFormat="1" hidden="1" x14ac:dyDescent="0.35">
      <c r="A532" s="72">
        <f t="shared" si="246"/>
        <v>2021</v>
      </c>
      <c r="B532" s="72" t="str">
        <f t="shared" si="247"/>
        <v>Nov</v>
      </c>
      <c r="C532" s="73">
        <f t="shared" si="265"/>
        <v>14</v>
      </c>
      <c r="D532" s="74">
        <f t="shared" si="248"/>
        <v>22</v>
      </c>
      <c r="E532" s="75">
        <v>31</v>
      </c>
      <c r="F532" s="79">
        <v>31</v>
      </c>
      <c r="G532" s="82"/>
      <c r="H532" s="68" t="str">
        <f t="shared" si="266"/>
        <v>Hyprev7_20211114_22_00</v>
      </c>
      <c r="I532" s="69">
        <f t="shared" si="267"/>
        <v>1</v>
      </c>
      <c r="J532" s="76" t="str">
        <f t="shared" si="267"/>
        <v>Hypericum</v>
      </c>
      <c r="K532" s="76" t="str">
        <f t="shared" si="267"/>
        <v>revolutum</v>
      </c>
      <c r="L532" s="77">
        <f t="shared" si="267"/>
        <v>7</v>
      </c>
      <c r="M532" s="77">
        <f t="shared" si="267"/>
        <v>2</v>
      </c>
      <c r="N532" s="71">
        <f t="shared" si="267"/>
        <v>0</v>
      </c>
      <c r="O532" s="44"/>
      <c r="P532" s="45">
        <f t="shared" si="250"/>
        <v>1</v>
      </c>
      <c r="Q532" s="46" t="str">
        <f t="shared" si="251"/>
        <v>22:31:31</v>
      </c>
      <c r="R532" s="47" t="str">
        <f t="shared" si="252"/>
        <v>31:31</v>
      </c>
      <c r="S532" s="48">
        <f t="shared" si="241"/>
        <v>7</v>
      </c>
      <c r="T532" s="47" t="str">
        <f t="shared" si="253"/>
        <v>22</v>
      </c>
      <c r="U532" s="49">
        <v>31</v>
      </c>
      <c r="V532" s="50">
        <v>38</v>
      </c>
      <c r="W532" s="51" t="str">
        <f t="shared" si="254"/>
        <v>31:38</v>
      </c>
      <c r="X532" s="52" t="s">
        <v>145</v>
      </c>
      <c r="Y532" s="124" t="s">
        <v>260</v>
      </c>
      <c r="Z532" s="124"/>
      <c r="AA532" s="47" t="s">
        <v>255</v>
      </c>
      <c r="AB532" s="47" t="str">
        <f t="shared" si="255"/>
        <v>NA</v>
      </c>
      <c r="AC532" s="53" t="str">
        <f t="shared" si="256"/>
        <v/>
      </c>
      <c r="AD532" s="54">
        <f t="shared" si="257"/>
        <v>1</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t="s">
        <v>121</v>
      </c>
      <c r="AT532" s="58"/>
      <c r="AU532" s="58"/>
      <c r="AV532" s="59"/>
      <c r="AW532" s="60">
        <f t="shared" si="242"/>
        <v>0</v>
      </c>
      <c r="AX532" s="61" t="str">
        <f t="shared" si="243"/>
        <v/>
      </c>
      <c r="AY532" s="60">
        <f t="shared" si="244"/>
        <v>0</v>
      </c>
      <c r="AZ532" s="61" t="str">
        <f t="shared" si="245"/>
        <v/>
      </c>
    </row>
    <row r="533" spans="1:52" s="3" customFormat="1" hidden="1" x14ac:dyDescent="0.35">
      <c r="A533" s="72">
        <f t="shared" si="246"/>
        <v>2021</v>
      </c>
      <c r="B533" s="72" t="str">
        <f t="shared" si="247"/>
        <v>Nov</v>
      </c>
      <c r="C533" s="73">
        <f t="shared" si="265"/>
        <v>14</v>
      </c>
      <c r="D533" s="74">
        <f t="shared" si="248"/>
        <v>22</v>
      </c>
      <c r="E533" s="75">
        <f t="shared" si="249"/>
        <v>32</v>
      </c>
      <c r="F533" s="79">
        <v>37</v>
      </c>
      <c r="G533" s="82"/>
      <c r="H533" s="68" t="str">
        <f t="shared" si="266"/>
        <v>Hyprev7_20211114_22_00</v>
      </c>
      <c r="I533" s="69">
        <f t="shared" ref="I533:N548" si="268">I532</f>
        <v>1</v>
      </c>
      <c r="J533" s="76" t="str">
        <f t="shared" si="268"/>
        <v>Hypericum</v>
      </c>
      <c r="K533" s="76" t="str">
        <f t="shared" si="268"/>
        <v>revolutum</v>
      </c>
      <c r="L533" s="77">
        <f t="shared" si="268"/>
        <v>7</v>
      </c>
      <c r="M533" s="77">
        <f t="shared" si="268"/>
        <v>2</v>
      </c>
      <c r="N533" s="71">
        <f t="shared" si="268"/>
        <v>0</v>
      </c>
      <c r="O533" s="44"/>
      <c r="P533" s="45">
        <f t="shared" si="250"/>
        <v>1</v>
      </c>
      <c r="Q533" s="46" t="str">
        <f t="shared" si="251"/>
        <v>22:32:37</v>
      </c>
      <c r="R533" s="47" t="str">
        <f t="shared" si="252"/>
        <v>32:37</v>
      </c>
      <c r="S533" s="48">
        <f t="shared" si="241"/>
        <v>9</v>
      </c>
      <c r="T533" s="47" t="str">
        <f t="shared" si="253"/>
        <v>22</v>
      </c>
      <c r="U533" s="49">
        <v>32</v>
      </c>
      <c r="V533" s="50">
        <v>46</v>
      </c>
      <c r="W533" s="51" t="str">
        <f t="shared" si="254"/>
        <v>32:46</v>
      </c>
      <c r="X533" s="52" t="s">
        <v>145</v>
      </c>
      <c r="Y533" s="124" t="s">
        <v>261</v>
      </c>
      <c r="Z533" s="124"/>
      <c r="AA533" s="47" t="s">
        <v>255</v>
      </c>
      <c r="AB533" s="47" t="str">
        <f t="shared" si="255"/>
        <v>NA</v>
      </c>
      <c r="AC533" s="53" t="str">
        <f t="shared" si="256"/>
        <v/>
      </c>
      <c r="AD533" s="54">
        <f t="shared" si="257"/>
        <v>1</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t="s">
        <v>102</v>
      </c>
      <c r="AT533" s="58"/>
      <c r="AU533" s="58"/>
      <c r="AV533" s="59"/>
      <c r="AW533" s="60">
        <f t="shared" si="242"/>
        <v>0</v>
      </c>
      <c r="AX533" s="61" t="str">
        <f t="shared" si="243"/>
        <v/>
      </c>
      <c r="AY533" s="60">
        <f t="shared" si="244"/>
        <v>0</v>
      </c>
      <c r="AZ533" s="61" t="str">
        <f t="shared" si="245"/>
        <v/>
      </c>
    </row>
    <row r="534" spans="1:52" s="3" customFormat="1" hidden="1" x14ac:dyDescent="0.35">
      <c r="A534" s="72">
        <f t="shared" si="246"/>
        <v>2021</v>
      </c>
      <c r="B534" s="72" t="str">
        <f t="shared" si="247"/>
        <v>Nov</v>
      </c>
      <c r="C534" s="73">
        <f t="shared" si="265"/>
        <v>14</v>
      </c>
      <c r="D534" s="74">
        <f t="shared" si="248"/>
        <v>22</v>
      </c>
      <c r="E534" s="75">
        <f t="shared" si="249"/>
        <v>33</v>
      </c>
      <c r="F534" s="79"/>
      <c r="G534" s="82"/>
      <c r="H534" s="68" t="str">
        <f t="shared" si="266"/>
        <v>Hyprev7_20211114_22_00</v>
      </c>
      <c r="I534" s="69">
        <f t="shared" si="268"/>
        <v>1</v>
      </c>
      <c r="J534" s="76" t="str">
        <f t="shared" si="268"/>
        <v>Hypericum</v>
      </c>
      <c r="K534" s="76" t="str">
        <f t="shared" si="268"/>
        <v>revolutum</v>
      </c>
      <c r="L534" s="77">
        <f t="shared" si="268"/>
        <v>7</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v>
      </c>
      <c r="C535" s="73">
        <f t="shared" si="265"/>
        <v>14</v>
      </c>
      <c r="D535" s="74">
        <f t="shared" si="248"/>
        <v>22</v>
      </c>
      <c r="E535" s="75">
        <f t="shared" si="249"/>
        <v>34</v>
      </c>
      <c r="F535" s="79"/>
      <c r="G535" s="82"/>
      <c r="H535" s="68" t="str">
        <f t="shared" si="266"/>
        <v>Hyprev7_20211114_22_00</v>
      </c>
      <c r="I535" s="69">
        <f t="shared" si="268"/>
        <v>1</v>
      </c>
      <c r="J535" s="76" t="str">
        <f t="shared" si="268"/>
        <v>Hypericum</v>
      </c>
      <c r="K535" s="76" t="str">
        <f t="shared" si="268"/>
        <v>revolutum</v>
      </c>
      <c r="L535" s="77">
        <f t="shared" si="268"/>
        <v>7</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v>
      </c>
      <c r="C536" s="73">
        <f t="shared" si="265"/>
        <v>14</v>
      </c>
      <c r="D536" s="74">
        <f t="shared" si="248"/>
        <v>22</v>
      </c>
      <c r="E536" s="75">
        <f t="shared" si="249"/>
        <v>35</v>
      </c>
      <c r="F536" s="79"/>
      <c r="G536" s="82"/>
      <c r="H536" s="68" t="str">
        <f t="shared" si="266"/>
        <v>Hyprev7_20211114_22_00</v>
      </c>
      <c r="I536" s="69">
        <f t="shared" si="268"/>
        <v>1</v>
      </c>
      <c r="J536" s="76" t="str">
        <f t="shared" si="268"/>
        <v>Hypericum</v>
      </c>
      <c r="K536" s="76" t="str">
        <f t="shared" si="268"/>
        <v>revolutum</v>
      </c>
      <c r="L536" s="77">
        <f t="shared" si="268"/>
        <v>7</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v>
      </c>
      <c r="C537" s="73">
        <f t="shared" si="265"/>
        <v>14</v>
      </c>
      <c r="D537" s="74">
        <f t="shared" si="248"/>
        <v>22</v>
      </c>
      <c r="E537" s="75">
        <f t="shared" si="249"/>
        <v>36</v>
      </c>
      <c r="F537" s="79"/>
      <c r="G537" s="82"/>
      <c r="H537" s="68" t="str">
        <f t="shared" si="266"/>
        <v>Hyprev7_20211114_22_00</v>
      </c>
      <c r="I537" s="69">
        <f t="shared" si="268"/>
        <v>1</v>
      </c>
      <c r="J537" s="76" t="str">
        <f t="shared" si="268"/>
        <v>Hypericum</v>
      </c>
      <c r="K537" s="76" t="str">
        <f t="shared" si="268"/>
        <v>revolutum</v>
      </c>
      <c r="L537" s="77">
        <f t="shared" si="268"/>
        <v>7</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v>
      </c>
      <c r="C538" s="73">
        <f t="shared" si="265"/>
        <v>14</v>
      </c>
      <c r="D538" s="74">
        <f t="shared" si="248"/>
        <v>22</v>
      </c>
      <c r="E538" s="75">
        <f t="shared" si="249"/>
        <v>37</v>
      </c>
      <c r="F538" s="79">
        <v>25</v>
      </c>
      <c r="G538" s="82"/>
      <c r="H538" s="68" t="str">
        <f t="shared" si="266"/>
        <v>Hyprev7_20211114_22_00</v>
      </c>
      <c r="I538" s="69">
        <f t="shared" si="268"/>
        <v>1</v>
      </c>
      <c r="J538" s="76" t="str">
        <f t="shared" si="268"/>
        <v>Hypericum</v>
      </c>
      <c r="K538" s="76" t="str">
        <f t="shared" si="268"/>
        <v>revolutum</v>
      </c>
      <c r="L538" s="77">
        <f t="shared" si="268"/>
        <v>7</v>
      </c>
      <c r="M538" s="77">
        <f t="shared" si="268"/>
        <v>2</v>
      </c>
      <c r="N538" s="71">
        <f t="shared" si="268"/>
        <v>0</v>
      </c>
      <c r="O538" s="44"/>
      <c r="P538" s="45">
        <f t="shared" si="250"/>
        <v>1</v>
      </c>
      <c r="Q538" s="46" t="str">
        <f t="shared" si="251"/>
        <v>22:37:25</v>
      </c>
      <c r="R538" s="47" t="str">
        <f t="shared" si="252"/>
        <v>37:25</v>
      </c>
      <c r="S538" s="48">
        <f t="shared" si="241"/>
        <v>555</v>
      </c>
      <c r="T538" s="47" t="str">
        <f t="shared" si="253"/>
        <v>22</v>
      </c>
      <c r="U538" s="49">
        <v>46</v>
      </c>
      <c r="V538" s="50">
        <v>40</v>
      </c>
      <c r="W538" s="51" t="str">
        <f t="shared" si="254"/>
        <v>46:40</v>
      </c>
      <c r="X538" s="52" t="s">
        <v>59</v>
      </c>
      <c r="Y538" s="124" t="s">
        <v>243</v>
      </c>
      <c r="Z538" s="124"/>
      <c r="AA538" s="47" t="s">
        <v>254</v>
      </c>
      <c r="AB538" s="47" t="str">
        <f t="shared" si="255"/>
        <v>NA</v>
      </c>
      <c r="AC538" s="53" t="str">
        <f t="shared" si="256"/>
        <v/>
      </c>
      <c r="AD538" s="54">
        <f t="shared" si="257"/>
        <v>1</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t="s">
        <v>148</v>
      </c>
      <c r="AT538" s="58"/>
      <c r="AU538" s="58"/>
      <c r="AV538" s="59"/>
      <c r="AW538" s="60">
        <f t="shared" si="242"/>
        <v>0</v>
      </c>
      <c r="AX538" s="61" t="str">
        <f t="shared" si="243"/>
        <v/>
      </c>
      <c r="AY538" s="60">
        <f t="shared" si="244"/>
        <v>0</v>
      </c>
      <c r="AZ538" s="61" t="str">
        <f t="shared" si="245"/>
        <v/>
      </c>
    </row>
    <row r="539" spans="1:52" s="3" customFormat="1" hidden="1" x14ac:dyDescent="0.35">
      <c r="A539" s="72">
        <f t="shared" si="246"/>
        <v>2021</v>
      </c>
      <c r="B539" s="72" t="str">
        <f t="shared" si="247"/>
        <v>Nov</v>
      </c>
      <c r="C539" s="73">
        <f t="shared" si="265"/>
        <v>14</v>
      </c>
      <c r="D539" s="74">
        <f t="shared" si="248"/>
        <v>22</v>
      </c>
      <c r="E539" s="75">
        <f t="shared" si="249"/>
        <v>38</v>
      </c>
      <c r="F539" s="79">
        <v>0</v>
      </c>
      <c r="G539" s="82"/>
      <c r="H539" s="68" t="str">
        <f t="shared" si="266"/>
        <v>Hyprev7_20211114_22_00</v>
      </c>
      <c r="I539" s="69">
        <f t="shared" si="268"/>
        <v>1</v>
      </c>
      <c r="J539" s="76" t="str">
        <f t="shared" si="268"/>
        <v>Hypericum</v>
      </c>
      <c r="K539" s="76" t="str">
        <f t="shared" si="268"/>
        <v>revolutum</v>
      </c>
      <c r="L539" s="77">
        <f t="shared" si="268"/>
        <v>7</v>
      </c>
      <c r="M539" s="77">
        <f t="shared" si="268"/>
        <v>2</v>
      </c>
      <c r="N539" s="71">
        <f t="shared" si="268"/>
        <v>0</v>
      </c>
      <c r="O539" s="44"/>
      <c r="P539" s="45">
        <f t="shared" si="250"/>
        <v>1</v>
      </c>
      <c r="Q539" s="46" t="str">
        <f t="shared" si="251"/>
        <v>22:38:00</v>
      </c>
      <c r="R539" s="47" t="str">
        <f t="shared" si="252"/>
        <v>38:00</v>
      </c>
      <c r="S539" s="48">
        <f t="shared" si="241"/>
        <v>158</v>
      </c>
      <c r="T539" s="47" t="str">
        <f t="shared" si="253"/>
        <v>22</v>
      </c>
      <c r="U539" s="49">
        <v>40</v>
      </c>
      <c r="V539" s="50">
        <v>38</v>
      </c>
      <c r="W539" s="51" t="str">
        <f t="shared" si="254"/>
        <v>40:38</v>
      </c>
      <c r="X539" s="52" t="s">
        <v>59</v>
      </c>
      <c r="Y539" s="124" t="s">
        <v>243</v>
      </c>
      <c r="Z539" s="124"/>
      <c r="AA539" s="47" t="s">
        <v>254</v>
      </c>
      <c r="AB539" s="47" t="str">
        <f t="shared" si="255"/>
        <v>NA</v>
      </c>
      <c r="AC539" s="53" t="str">
        <f t="shared" si="256"/>
        <v/>
      </c>
      <c r="AD539" s="54">
        <f t="shared" si="257"/>
        <v>1</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t="s">
        <v>149</v>
      </c>
      <c r="AT539" s="58"/>
      <c r="AU539" s="58"/>
      <c r="AV539" s="59"/>
      <c r="AW539" s="60">
        <f t="shared" si="242"/>
        <v>0</v>
      </c>
      <c r="AX539" s="61" t="str">
        <f t="shared" si="243"/>
        <v/>
      </c>
      <c r="AY539" s="60">
        <f t="shared" si="244"/>
        <v>0</v>
      </c>
      <c r="AZ539" s="61" t="str">
        <f t="shared" si="245"/>
        <v/>
      </c>
    </row>
    <row r="540" spans="1:52" s="3" customFormat="1" hidden="1" x14ac:dyDescent="0.35">
      <c r="A540" s="72">
        <f t="shared" si="246"/>
        <v>2021</v>
      </c>
      <c r="B540" s="72" t="str">
        <f t="shared" si="247"/>
        <v>Nov</v>
      </c>
      <c r="C540" s="73">
        <f t="shared" si="265"/>
        <v>14</v>
      </c>
      <c r="D540" s="74">
        <f t="shared" si="248"/>
        <v>22</v>
      </c>
      <c r="E540" s="75">
        <v>38</v>
      </c>
      <c r="F540" s="79">
        <v>14</v>
      </c>
      <c r="G540" s="82"/>
      <c r="H540" s="68" t="str">
        <f t="shared" si="266"/>
        <v>Hyprev7_20211114_22_00</v>
      </c>
      <c r="I540" s="69">
        <f t="shared" si="268"/>
        <v>1</v>
      </c>
      <c r="J540" s="76" t="str">
        <f t="shared" si="268"/>
        <v>Hypericum</v>
      </c>
      <c r="K540" s="76" t="str">
        <f t="shared" si="268"/>
        <v>revolutum</v>
      </c>
      <c r="L540" s="77">
        <f t="shared" si="268"/>
        <v>7</v>
      </c>
      <c r="M540" s="77">
        <f t="shared" si="268"/>
        <v>2</v>
      </c>
      <c r="N540" s="71">
        <f t="shared" si="268"/>
        <v>0</v>
      </c>
      <c r="O540" s="44"/>
      <c r="P540" s="45">
        <f t="shared" si="250"/>
        <v>1</v>
      </c>
      <c r="Q540" s="46" t="str">
        <f t="shared" si="251"/>
        <v>22:38:14</v>
      </c>
      <c r="R540" s="47" t="str">
        <f t="shared" si="252"/>
        <v>38:14</v>
      </c>
      <c r="S540" s="48">
        <f t="shared" si="241"/>
        <v>4</v>
      </c>
      <c r="T540" s="47" t="str">
        <f t="shared" si="253"/>
        <v>22</v>
      </c>
      <c r="U540" s="49">
        <v>38</v>
      </c>
      <c r="V540" s="50">
        <v>18</v>
      </c>
      <c r="W540" s="51" t="str">
        <f t="shared" si="254"/>
        <v>38:18</v>
      </c>
      <c r="X540" s="52" t="s">
        <v>145</v>
      </c>
      <c r="Y540" s="124" t="s">
        <v>260</v>
      </c>
      <c r="Z540" s="124"/>
      <c r="AA540" s="47" t="s">
        <v>255</v>
      </c>
      <c r="AB540" s="47" t="str">
        <f t="shared" si="255"/>
        <v>NA</v>
      </c>
      <c r="AC540" s="53" t="str">
        <f t="shared" si="256"/>
        <v/>
      </c>
      <c r="AD540" s="54">
        <f t="shared" si="257"/>
        <v>1</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t="s">
        <v>121</v>
      </c>
      <c r="AT540" s="58"/>
      <c r="AU540" s="58"/>
      <c r="AV540" s="59"/>
      <c r="AW540" s="60">
        <f t="shared" si="242"/>
        <v>0</v>
      </c>
      <c r="AX540" s="61" t="str">
        <f t="shared" si="243"/>
        <v/>
      </c>
      <c r="AY540" s="60">
        <f t="shared" si="244"/>
        <v>0</v>
      </c>
      <c r="AZ540" s="61" t="str">
        <f t="shared" si="245"/>
        <v/>
      </c>
    </row>
    <row r="541" spans="1:52" s="3" customFormat="1" hidden="1" x14ac:dyDescent="0.35">
      <c r="A541" s="72">
        <f t="shared" si="246"/>
        <v>2021</v>
      </c>
      <c r="B541" s="72" t="str">
        <f t="shared" si="247"/>
        <v>Nov</v>
      </c>
      <c r="C541" s="73">
        <f t="shared" si="265"/>
        <v>14</v>
      </c>
      <c r="D541" s="74">
        <f t="shared" si="248"/>
        <v>22</v>
      </c>
      <c r="E541" s="75">
        <f t="shared" si="249"/>
        <v>39</v>
      </c>
      <c r="F541" s="79"/>
      <c r="G541" s="82"/>
      <c r="H541" s="68" t="str">
        <f t="shared" si="266"/>
        <v>Hyprev7_20211114_22_00</v>
      </c>
      <c r="I541" s="69">
        <f t="shared" si="268"/>
        <v>1</v>
      </c>
      <c r="J541" s="76" t="str">
        <f t="shared" si="268"/>
        <v>Hypericum</v>
      </c>
      <c r="K541" s="76" t="str">
        <f t="shared" si="268"/>
        <v>revolutum</v>
      </c>
      <c r="L541" s="77">
        <f t="shared" si="268"/>
        <v>7</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v>
      </c>
      <c r="C542" s="73">
        <f t="shared" si="265"/>
        <v>14</v>
      </c>
      <c r="D542" s="74">
        <f t="shared" si="248"/>
        <v>22</v>
      </c>
      <c r="E542" s="75">
        <f t="shared" si="249"/>
        <v>40</v>
      </c>
      <c r="F542" s="79">
        <v>18</v>
      </c>
      <c r="G542" s="82"/>
      <c r="H542" s="68" t="str">
        <f t="shared" si="266"/>
        <v>Hyprev7_20211114_22_00</v>
      </c>
      <c r="I542" s="69">
        <f t="shared" si="268"/>
        <v>1</v>
      </c>
      <c r="J542" s="76" t="str">
        <f t="shared" si="268"/>
        <v>Hypericum</v>
      </c>
      <c r="K542" s="76" t="str">
        <f t="shared" si="268"/>
        <v>revolutum</v>
      </c>
      <c r="L542" s="77">
        <f t="shared" si="268"/>
        <v>7</v>
      </c>
      <c r="M542" s="77">
        <f t="shared" si="268"/>
        <v>2</v>
      </c>
      <c r="N542" s="71">
        <f t="shared" si="268"/>
        <v>0</v>
      </c>
      <c r="O542" s="44"/>
      <c r="P542" s="45">
        <f t="shared" si="250"/>
        <v>1</v>
      </c>
      <c r="Q542" s="46" t="str">
        <f t="shared" si="251"/>
        <v>22:40:18</v>
      </c>
      <c r="R542" s="47" t="str">
        <f t="shared" si="252"/>
        <v>40:18</v>
      </c>
      <c r="S542" s="48">
        <f t="shared" si="241"/>
        <v>39</v>
      </c>
      <c r="T542" s="47" t="str">
        <f t="shared" si="253"/>
        <v>22</v>
      </c>
      <c r="U542" s="49">
        <v>40</v>
      </c>
      <c r="V542" s="50">
        <v>57</v>
      </c>
      <c r="W542" s="51" t="str">
        <f t="shared" si="254"/>
        <v>40:57</v>
      </c>
      <c r="X542" s="52" t="s">
        <v>145</v>
      </c>
      <c r="Y542" s="124" t="s">
        <v>260</v>
      </c>
      <c r="Z542" s="124"/>
      <c r="AA542" s="47" t="s">
        <v>255</v>
      </c>
      <c r="AB542" s="47" t="str">
        <f t="shared" si="255"/>
        <v>NA</v>
      </c>
      <c r="AC542" s="53" t="str">
        <f t="shared" si="256"/>
        <v/>
      </c>
      <c r="AD542" s="54">
        <v>2</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t="s">
        <v>150</v>
      </c>
      <c r="AT542" s="58"/>
      <c r="AU542" s="58"/>
      <c r="AV542" s="59"/>
      <c r="AW542" s="60">
        <f t="shared" si="242"/>
        <v>0</v>
      </c>
      <c r="AX542" s="61" t="str">
        <f t="shared" si="243"/>
        <v/>
      </c>
      <c r="AY542" s="60">
        <f t="shared" si="244"/>
        <v>0</v>
      </c>
      <c r="AZ542" s="61" t="str">
        <f t="shared" si="245"/>
        <v/>
      </c>
    </row>
    <row r="543" spans="1:52" s="3" customFormat="1" hidden="1" x14ac:dyDescent="0.35">
      <c r="A543" s="72">
        <f t="shared" si="246"/>
        <v>2021</v>
      </c>
      <c r="B543" s="72" t="str">
        <f t="shared" si="247"/>
        <v>Nov</v>
      </c>
      <c r="C543" s="73">
        <f t="shared" si="265"/>
        <v>14</v>
      </c>
      <c r="D543" s="74">
        <f t="shared" si="248"/>
        <v>22</v>
      </c>
      <c r="E543" s="75">
        <f t="shared" si="249"/>
        <v>41</v>
      </c>
      <c r="F543" s="79">
        <v>57</v>
      </c>
      <c r="G543" s="82"/>
      <c r="H543" s="68" t="str">
        <f t="shared" si="266"/>
        <v>Hyprev7_20211114_22_00</v>
      </c>
      <c r="I543" s="69">
        <f t="shared" si="268"/>
        <v>1</v>
      </c>
      <c r="J543" s="76" t="str">
        <f t="shared" si="268"/>
        <v>Hypericum</v>
      </c>
      <c r="K543" s="76" t="str">
        <f t="shared" si="268"/>
        <v>revolutum</v>
      </c>
      <c r="L543" s="77">
        <f t="shared" si="268"/>
        <v>7</v>
      </c>
      <c r="M543" s="77">
        <f t="shared" si="268"/>
        <v>2</v>
      </c>
      <c r="N543" s="71">
        <f t="shared" si="268"/>
        <v>0</v>
      </c>
      <c r="O543" s="44"/>
      <c r="P543" s="45">
        <f t="shared" si="250"/>
        <v>1</v>
      </c>
      <c r="Q543" s="46" t="str">
        <f t="shared" si="251"/>
        <v>22:41:57</v>
      </c>
      <c r="R543" s="47" t="str">
        <f t="shared" si="252"/>
        <v>41:57</v>
      </c>
      <c r="S543" s="48">
        <f t="shared" si="241"/>
        <v>4</v>
      </c>
      <c r="T543" s="47" t="str">
        <f t="shared" si="253"/>
        <v>22</v>
      </c>
      <c r="U543" s="49">
        <v>42</v>
      </c>
      <c r="V543" s="50">
        <v>1</v>
      </c>
      <c r="W543" s="51" t="str">
        <f t="shared" si="254"/>
        <v>42:01</v>
      </c>
      <c r="X543" s="52" t="s">
        <v>145</v>
      </c>
      <c r="Y543" s="124" t="s">
        <v>262</v>
      </c>
      <c r="Z543" s="124"/>
      <c r="AA543" s="47" t="s">
        <v>255</v>
      </c>
      <c r="AB543" s="47" t="str">
        <f t="shared" si="255"/>
        <v>NA</v>
      </c>
      <c r="AC543" s="53" t="str">
        <f t="shared" si="256"/>
        <v/>
      </c>
      <c r="AD543" s="54">
        <f t="shared" si="257"/>
        <v>1</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t="s">
        <v>127</v>
      </c>
      <c r="AT543" s="58"/>
      <c r="AU543" s="58"/>
      <c r="AV543" s="59"/>
      <c r="AW543" s="60">
        <f t="shared" si="242"/>
        <v>0</v>
      </c>
      <c r="AX543" s="61" t="str">
        <f t="shared" si="243"/>
        <v/>
      </c>
      <c r="AY543" s="60">
        <f t="shared" si="244"/>
        <v>0</v>
      </c>
      <c r="AZ543" s="61" t="str">
        <f t="shared" si="245"/>
        <v/>
      </c>
    </row>
    <row r="544" spans="1:52" s="3" customFormat="1" hidden="1" x14ac:dyDescent="0.35">
      <c r="A544" s="72">
        <f t="shared" si="246"/>
        <v>2021</v>
      </c>
      <c r="B544" s="72" t="str">
        <f t="shared" si="247"/>
        <v>Nov</v>
      </c>
      <c r="C544" s="73">
        <f t="shared" si="265"/>
        <v>14</v>
      </c>
      <c r="D544" s="74">
        <f t="shared" si="248"/>
        <v>22</v>
      </c>
      <c r="E544" s="75">
        <f t="shared" si="249"/>
        <v>42</v>
      </c>
      <c r="F544" s="79"/>
      <c r="G544" s="82"/>
      <c r="H544" s="68" t="str">
        <f t="shared" si="266"/>
        <v>Hyprev7_20211114_22_00</v>
      </c>
      <c r="I544" s="69">
        <f t="shared" si="268"/>
        <v>1</v>
      </c>
      <c r="J544" s="76" t="str">
        <f t="shared" si="268"/>
        <v>Hypericum</v>
      </c>
      <c r="K544" s="76" t="str">
        <f t="shared" si="268"/>
        <v>revolutum</v>
      </c>
      <c r="L544" s="77">
        <f t="shared" si="268"/>
        <v>7</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v>
      </c>
      <c r="C545" s="73">
        <f t="shared" si="265"/>
        <v>14</v>
      </c>
      <c r="D545" s="74">
        <f t="shared" si="248"/>
        <v>22</v>
      </c>
      <c r="E545" s="75">
        <f t="shared" si="249"/>
        <v>43</v>
      </c>
      <c r="F545" s="79"/>
      <c r="G545" s="82"/>
      <c r="H545" s="68" t="str">
        <f t="shared" si="266"/>
        <v>Hyprev7_20211114_22_00</v>
      </c>
      <c r="I545" s="69">
        <f t="shared" si="268"/>
        <v>1</v>
      </c>
      <c r="J545" s="76" t="str">
        <f t="shared" si="268"/>
        <v>Hypericum</v>
      </c>
      <c r="K545" s="76" t="str">
        <f t="shared" si="268"/>
        <v>revolutum</v>
      </c>
      <c r="L545" s="77">
        <f t="shared" si="268"/>
        <v>7</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2021</v>
      </c>
      <c r="B546" s="72" t="str">
        <f t="shared" si="247"/>
        <v>Nov</v>
      </c>
      <c r="C546" s="73">
        <f t="shared" si="265"/>
        <v>14</v>
      </c>
      <c r="D546" s="74">
        <f t="shared" si="248"/>
        <v>22</v>
      </c>
      <c r="E546" s="75">
        <f t="shared" si="249"/>
        <v>44</v>
      </c>
      <c r="F546" s="79"/>
      <c r="G546" s="82"/>
      <c r="H546" s="68" t="str">
        <f t="shared" si="266"/>
        <v>Hyprev7_20211114_22_00</v>
      </c>
      <c r="I546" s="69">
        <f t="shared" si="268"/>
        <v>1</v>
      </c>
      <c r="J546" s="76" t="str">
        <f t="shared" si="268"/>
        <v>Hypericum</v>
      </c>
      <c r="K546" s="76" t="str">
        <f t="shared" si="268"/>
        <v>revolutum</v>
      </c>
      <c r="L546" s="77">
        <f t="shared" si="268"/>
        <v>7</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v>
      </c>
      <c r="C547" s="73">
        <f t="shared" si="265"/>
        <v>14</v>
      </c>
      <c r="D547" s="74">
        <f t="shared" si="248"/>
        <v>22</v>
      </c>
      <c r="E547" s="75">
        <f t="shared" si="249"/>
        <v>45</v>
      </c>
      <c r="F547" s="79">
        <v>35</v>
      </c>
      <c r="G547" s="82"/>
      <c r="H547" s="68" t="str">
        <f t="shared" si="266"/>
        <v>Hyprev7_20211114_22_00</v>
      </c>
      <c r="I547" s="69">
        <f t="shared" si="268"/>
        <v>1</v>
      </c>
      <c r="J547" s="76" t="str">
        <f t="shared" si="268"/>
        <v>Hypericum</v>
      </c>
      <c r="K547" s="76" t="str">
        <f t="shared" si="268"/>
        <v>revolutum</v>
      </c>
      <c r="L547" s="77">
        <f t="shared" si="268"/>
        <v>7</v>
      </c>
      <c r="M547" s="77">
        <f t="shared" si="268"/>
        <v>2</v>
      </c>
      <c r="N547" s="71">
        <f t="shared" si="268"/>
        <v>0</v>
      </c>
      <c r="O547" s="44"/>
      <c r="P547" s="45">
        <f t="shared" si="250"/>
        <v>1</v>
      </c>
      <c r="Q547" s="46" t="str">
        <f t="shared" si="251"/>
        <v>22:45:35</v>
      </c>
      <c r="R547" s="47" t="str">
        <f t="shared" si="252"/>
        <v>45:35</v>
      </c>
      <c r="S547" s="48">
        <f t="shared" si="241"/>
        <v>29</v>
      </c>
      <c r="T547" s="47" t="str">
        <f t="shared" si="253"/>
        <v>22</v>
      </c>
      <c r="U547" s="49">
        <v>46</v>
      </c>
      <c r="V547" s="50">
        <v>4</v>
      </c>
      <c r="W547" s="51" t="str">
        <f t="shared" si="254"/>
        <v>46:04</v>
      </c>
      <c r="X547" s="52" t="s">
        <v>145</v>
      </c>
      <c r="Y547" s="124" t="s">
        <v>260</v>
      </c>
      <c r="Z547" s="124"/>
      <c r="AA547" s="47" t="s">
        <v>255</v>
      </c>
      <c r="AB547" s="47" t="str">
        <f t="shared" si="255"/>
        <v>NA</v>
      </c>
      <c r="AC547" s="53" t="str">
        <f t="shared" si="256"/>
        <v/>
      </c>
      <c r="AD547" s="54">
        <f t="shared" si="257"/>
        <v>1</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t="s">
        <v>151</v>
      </c>
      <c r="AT547" s="58"/>
      <c r="AU547" s="58"/>
      <c r="AV547" s="59"/>
      <c r="AW547" s="60">
        <f t="shared" si="242"/>
        <v>0</v>
      </c>
      <c r="AX547" s="61" t="str">
        <f t="shared" si="243"/>
        <v/>
      </c>
      <c r="AY547" s="60">
        <f t="shared" si="244"/>
        <v>0</v>
      </c>
      <c r="AZ547" s="61" t="str">
        <f t="shared" si="245"/>
        <v/>
      </c>
    </row>
    <row r="548" spans="1:52" s="3" customFormat="1" hidden="1" x14ac:dyDescent="0.35">
      <c r="A548" s="72">
        <f t="shared" si="246"/>
        <v>2021</v>
      </c>
      <c r="B548" s="72" t="str">
        <f t="shared" si="247"/>
        <v>Nov</v>
      </c>
      <c r="C548" s="73">
        <f t="shared" si="265"/>
        <v>14</v>
      </c>
      <c r="D548" s="74">
        <f t="shared" si="248"/>
        <v>22</v>
      </c>
      <c r="E548" s="75">
        <f t="shared" si="249"/>
        <v>46</v>
      </c>
      <c r="F548" s="79"/>
      <c r="G548" s="82"/>
      <c r="H548" s="68" t="str">
        <f t="shared" si="266"/>
        <v>Hyprev7_20211114_22_00</v>
      </c>
      <c r="I548" s="69">
        <f t="shared" si="268"/>
        <v>1</v>
      </c>
      <c r="J548" s="76" t="str">
        <f t="shared" si="268"/>
        <v>Hypericum</v>
      </c>
      <c r="K548" s="76" t="str">
        <f t="shared" si="268"/>
        <v>revolutum</v>
      </c>
      <c r="L548" s="77">
        <f t="shared" si="268"/>
        <v>7</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v>
      </c>
      <c r="C549" s="73">
        <f t="shared" si="265"/>
        <v>14</v>
      </c>
      <c r="D549" s="74">
        <f t="shared" si="248"/>
        <v>22</v>
      </c>
      <c r="E549" s="75">
        <f t="shared" si="249"/>
        <v>47</v>
      </c>
      <c r="F549" s="79"/>
      <c r="G549" s="82"/>
      <c r="H549" s="68" t="str">
        <f t="shared" si="266"/>
        <v>Hyprev7_20211114_22_00</v>
      </c>
      <c r="I549" s="69">
        <f t="shared" ref="I549:N564" si="269">I548</f>
        <v>1</v>
      </c>
      <c r="J549" s="76" t="str">
        <f t="shared" si="269"/>
        <v>Hypericum</v>
      </c>
      <c r="K549" s="76" t="str">
        <f t="shared" si="269"/>
        <v>revolutum</v>
      </c>
      <c r="L549" s="77">
        <f t="shared" si="269"/>
        <v>7</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v>
      </c>
      <c r="C550" s="73">
        <f t="shared" si="265"/>
        <v>14</v>
      </c>
      <c r="D550" s="74">
        <f t="shared" si="248"/>
        <v>22</v>
      </c>
      <c r="E550" s="75">
        <f t="shared" si="249"/>
        <v>48</v>
      </c>
      <c r="F550" s="79"/>
      <c r="G550" s="82"/>
      <c r="H550" s="68" t="str">
        <f t="shared" si="266"/>
        <v>Hyprev7_20211114_22_00</v>
      </c>
      <c r="I550" s="69">
        <f t="shared" si="269"/>
        <v>1</v>
      </c>
      <c r="J550" s="76" t="str">
        <f t="shared" si="269"/>
        <v>Hypericum</v>
      </c>
      <c r="K550" s="76" t="str">
        <f t="shared" si="269"/>
        <v>revolutum</v>
      </c>
      <c r="L550" s="77">
        <f t="shared" si="269"/>
        <v>7</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v>
      </c>
      <c r="C551" s="73">
        <f t="shared" si="265"/>
        <v>14</v>
      </c>
      <c r="D551" s="74">
        <f t="shared" si="248"/>
        <v>22</v>
      </c>
      <c r="E551" s="75">
        <f t="shared" si="249"/>
        <v>49</v>
      </c>
      <c r="F551" s="79"/>
      <c r="G551" s="82"/>
      <c r="H551" s="68" t="str">
        <f t="shared" si="266"/>
        <v>Hyprev7_20211114_22_00</v>
      </c>
      <c r="I551" s="69">
        <f t="shared" si="269"/>
        <v>1</v>
      </c>
      <c r="J551" s="76" t="str">
        <f t="shared" si="269"/>
        <v>Hypericum</v>
      </c>
      <c r="K551" s="76" t="str">
        <f t="shared" si="269"/>
        <v>revolutum</v>
      </c>
      <c r="L551" s="77">
        <f t="shared" si="269"/>
        <v>7</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v>
      </c>
      <c r="C552" s="73">
        <f t="shared" si="265"/>
        <v>14</v>
      </c>
      <c r="D552" s="74">
        <f t="shared" si="248"/>
        <v>22</v>
      </c>
      <c r="E552" s="75">
        <f t="shared" si="249"/>
        <v>50</v>
      </c>
      <c r="F552" s="79">
        <v>27</v>
      </c>
      <c r="G552" s="82"/>
      <c r="H552" s="68" t="str">
        <f t="shared" si="266"/>
        <v>Hyprev7_20211114_22_00</v>
      </c>
      <c r="I552" s="69">
        <f t="shared" si="269"/>
        <v>1</v>
      </c>
      <c r="J552" s="76" t="str">
        <f t="shared" si="269"/>
        <v>Hypericum</v>
      </c>
      <c r="K552" s="76" t="str">
        <f t="shared" si="269"/>
        <v>revolutum</v>
      </c>
      <c r="L552" s="77">
        <f t="shared" si="269"/>
        <v>7</v>
      </c>
      <c r="M552" s="77">
        <f t="shared" si="269"/>
        <v>2</v>
      </c>
      <c r="N552" s="71">
        <f t="shared" si="269"/>
        <v>0</v>
      </c>
      <c r="O552" s="44"/>
      <c r="P552" s="45">
        <f t="shared" si="250"/>
        <v>1</v>
      </c>
      <c r="Q552" s="46" t="str">
        <f t="shared" si="251"/>
        <v>22:50:27</v>
      </c>
      <c r="R552" s="47" t="str">
        <f t="shared" si="252"/>
        <v>50:27</v>
      </c>
      <c r="S552" s="48">
        <f t="shared" si="241"/>
        <v>11</v>
      </c>
      <c r="T552" s="47" t="str">
        <f t="shared" si="253"/>
        <v>22</v>
      </c>
      <c r="U552" s="49">
        <v>50</v>
      </c>
      <c r="V552" s="50">
        <v>38</v>
      </c>
      <c r="W552" s="51" t="str">
        <f t="shared" si="254"/>
        <v>50:38</v>
      </c>
      <c r="X552" s="52" t="s">
        <v>145</v>
      </c>
      <c r="Y552" s="124" t="s">
        <v>260</v>
      </c>
      <c r="Z552" s="124"/>
      <c r="AA552" s="47" t="s">
        <v>255</v>
      </c>
      <c r="AB552" s="47" t="str">
        <f t="shared" si="255"/>
        <v>NA</v>
      </c>
      <c r="AC552" s="53" t="str">
        <f t="shared" si="256"/>
        <v/>
      </c>
      <c r="AD552" s="54">
        <f t="shared" si="257"/>
        <v>1</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t="s">
        <v>76</v>
      </c>
      <c r="AT552" s="58"/>
      <c r="AU552" s="58"/>
      <c r="AV552" s="59"/>
      <c r="AW552" s="60">
        <f t="shared" si="242"/>
        <v>0</v>
      </c>
      <c r="AX552" s="61" t="str">
        <f t="shared" si="243"/>
        <v/>
      </c>
      <c r="AY552" s="60">
        <f t="shared" si="244"/>
        <v>0</v>
      </c>
      <c r="AZ552" s="61" t="str">
        <f t="shared" si="245"/>
        <v/>
      </c>
    </row>
    <row r="553" spans="1:52" s="3" customFormat="1" hidden="1" x14ac:dyDescent="0.35">
      <c r="A553" s="72">
        <f t="shared" si="246"/>
        <v>2021</v>
      </c>
      <c r="B553" s="72" t="str">
        <f t="shared" si="247"/>
        <v>Nov</v>
      </c>
      <c r="C553" s="73">
        <f t="shared" si="265"/>
        <v>14</v>
      </c>
      <c r="D553" s="74">
        <f t="shared" si="248"/>
        <v>22</v>
      </c>
      <c r="E553" s="75">
        <f t="shared" si="249"/>
        <v>51</v>
      </c>
      <c r="F553" s="79">
        <v>20</v>
      </c>
      <c r="G553" s="82"/>
      <c r="H553" s="68" t="str">
        <f t="shared" si="266"/>
        <v>Hyprev7_20211114_22_00</v>
      </c>
      <c r="I553" s="69">
        <f t="shared" si="269"/>
        <v>1</v>
      </c>
      <c r="J553" s="76" t="str">
        <f t="shared" si="269"/>
        <v>Hypericum</v>
      </c>
      <c r="K553" s="76" t="str">
        <f t="shared" si="269"/>
        <v>revolutum</v>
      </c>
      <c r="L553" s="77">
        <f t="shared" si="269"/>
        <v>7</v>
      </c>
      <c r="M553" s="77">
        <f t="shared" si="269"/>
        <v>2</v>
      </c>
      <c r="N553" s="71">
        <f t="shared" si="269"/>
        <v>0</v>
      </c>
      <c r="O553" s="44"/>
      <c r="P553" s="45">
        <f t="shared" si="250"/>
        <v>1</v>
      </c>
      <c r="Q553" s="46" t="str">
        <f t="shared" si="251"/>
        <v>22:51:20</v>
      </c>
      <c r="R553" s="47" t="str">
        <f t="shared" si="252"/>
        <v>51:20</v>
      </c>
      <c r="S553" s="48">
        <f t="shared" si="241"/>
        <v>19</v>
      </c>
      <c r="T553" s="47" t="str">
        <f t="shared" si="253"/>
        <v>22</v>
      </c>
      <c r="U553" s="49">
        <v>51</v>
      </c>
      <c r="V553" s="50">
        <v>39</v>
      </c>
      <c r="W553" s="51" t="str">
        <f t="shared" si="254"/>
        <v>51:39</v>
      </c>
      <c r="X553" s="52" t="s">
        <v>145</v>
      </c>
      <c r="Y553" s="124" t="s">
        <v>260</v>
      </c>
      <c r="Z553" s="124"/>
      <c r="AA553" s="47" t="s">
        <v>255</v>
      </c>
      <c r="AB553" s="47" t="str">
        <f t="shared" si="255"/>
        <v>NA</v>
      </c>
      <c r="AC553" s="53" t="str">
        <f t="shared" si="256"/>
        <v/>
      </c>
      <c r="AD553" s="54">
        <f t="shared" si="257"/>
        <v>1</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t="s">
        <v>152</v>
      </c>
      <c r="AT553" s="58"/>
      <c r="AU553" s="58"/>
      <c r="AV553" s="59"/>
      <c r="AW553" s="60">
        <f t="shared" si="242"/>
        <v>0</v>
      </c>
      <c r="AX553" s="61" t="str">
        <f t="shared" si="243"/>
        <v/>
      </c>
      <c r="AY553" s="60">
        <f t="shared" si="244"/>
        <v>0</v>
      </c>
      <c r="AZ553" s="61" t="str">
        <f t="shared" si="245"/>
        <v/>
      </c>
    </row>
    <row r="554" spans="1:52" s="3" customFormat="1" hidden="1" x14ac:dyDescent="0.35">
      <c r="A554" s="72">
        <f t="shared" si="246"/>
        <v>2021</v>
      </c>
      <c r="B554" s="72" t="str">
        <f t="shared" si="247"/>
        <v>Nov</v>
      </c>
      <c r="C554" s="73">
        <f t="shared" si="265"/>
        <v>14</v>
      </c>
      <c r="D554" s="74">
        <f t="shared" si="248"/>
        <v>22</v>
      </c>
      <c r="E554" s="75">
        <v>51</v>
      </c>
      <c r="F554" s="79">
        <v>22</v>
      </c>
      <c r="G554" s="82"/>
      <c r="H554" s="68" t="str">
        <f t="shared" si="266"/>
        <v>Hyprev7_20211114_22_00</v>
      </c>
      <c r="I554" s="69">
        <f t="shared" si="269"/>
        <v>1</v>
      </c>
      <c r="J554" s="76" t="str">
        <f t="shared" si="269"/>
        <v>Hypericum</v>
      </c>
      <c r="K554" s="76" t="str">
        <f t="shared" si="269"/>
        <v>revolutum</v>
      </c>
      <c r="L554" s="77">
        <f t="shared" si="269"/>
        <v>7</v>
      </c>
      <c r="M554" s="77">
        <f t="shared" si="269"/>
        <v>2</v>
      </c>
      <c r="N554" s="71">
        <f t="shared" si="269"/>
        <v>0</v>
      </c>
      <c r="O554" s="44"/>
      <c r="P554" s="45">
        <f t="shared" si="250"/>
        <v>1</v>
      </c>
      <c r="Q554" s="46" t="str">
        <f t="shared" si="251"/>
        <v>22:51:22</v>
      </c>
      <c r="R554" s="47" t="str">
        <f t="shared" si="252"/>
        <v>51:22</v>
      </c>
      <c r="S554" s="48">
        <f t="shared" si="241"/>
        <v>5</v>
      </c>
      <c r="T554" s="47" t="str">
        <f t="shared" si="253"/>
        <v>22</v>
      </c>
      <c r="U554" s="49">
        <v>51</v>
      </c>
      <c r="V554" s="50">
        <v>27</v>
      </c>
      <c r="W554" s="51" t="str">
        <f t="shared" si="254"/>
        <v>51:27</v>
      </c>
      <c r="X554" s="52" t="s">
        <v>59</v>
      </c>
      <c r="Y554" s="124" t="s">
        <v>243</v>
      </c>
      <c r="Z554" s="124"/>
      <c r="AA554" s="47" t="s">
        <v>254</v>
      </c>
      <c r="AB554" s="47" t="str">
        <f t="shared" si="255"/>
        <v>NA</v>
      </c>
      <c r="AC554" s="53" t="str">
        <f t="shared" si="256"/>
        <v/>
      </c>
      <c r="AD554" s="54">
        <f t="shared" si="257"/>
        <v>1</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t="s">
        <v>147</v>
      </c>
      <c r="AT554" s="58"/>
      <c r="AU554" s="58"/>
      <c r="AV554" s="59"/>
      <c r="AW554" s="60">
        <f t="shared" si="242"/>
        <v>0</v>
      </c>
      <c r="AX554" s="61" t="str">
        <f t="shared" si="243"/>
        <v/>
      </c>
      <c r="AY554" s="60">
        <f t="shared" si="244"/>
        <v>0</v>
      </c>
      <c r="AZ554" s="61" t="str">
        <f t="shared" si="245"/>
        <v/>
      </c>
    </row>
    <row r="555" spans="1:52" s="3" customFormat="1" hidden="1" x14ac:dyDescent="0.35">
      <c r="A555" s="72">
        <f t="shared" si="246"/>
        <v>2021</v>
      </c>
      <c r="B555" s="72" t="str">
        <f t="shared" si="247"/>
        <v>Nov</v>
      </c>
      <c r="C555" s="73">
        <f t="shared" si="265"/>
        <v>14</v>
      </c>
      <c r="D555" s="74">
        <f t="shared" si="248"/>
        <v>22</v>
      </c>
      <c r="E555" s="75">
        <v>51</v>
      </c>
      <c r="F555" s="79">
        <v>44</v>
      </c>
      <c r="G555" s="82"/>
      <c r="H555" s="68" t="str">
        <f t="shared" si="266"/>
        <v>Hyprev7_20211114_22_00</v>
      </c>
      <c r="I555" s="69">
        <f t="shared" si="269"/>
        <v>1</v>
      </c>
      <c r="J555" s="76" t="str">
        <f t="shared" si="269"/>
        <v>Hypericum</v>
      </c>
      <c r="K555" s="76" t="str">
        <f t="shared" si="269"/>
        <v>revolutum</v>
      </c>
      <c r="L555" s="77">
        <f t="shared" si="269"/>
        <v>7</v>
      </c>
      <c r="M555" s="77">
        <f t="shared" si="269"/>
        <v>2</v>
      </c>
      <c r="N555" s="71">
        <f t="shared" si="269"/>
        <v>0</v>
      </c>
      <c r="O555" s="44"/>
      <c r="P555" s="45">
        <f t="shared" si="250"/>
        <v>1</v>
      </c>
      <c r="Q555" s="46" t="str">
        <f t="shared" si="251"/>
        <v>22:51:44</v>
      </c>
      <c r="R555" s="47" t="str">
        <f t="shared" si="252"/>
        <v>51:44</v>
      </c>
      <c r="S555" s="48">
        <f t="shared" si="241"/>
        <v>101</v>
      </c>
      <c r="T555" s="47" t="str">
        <f t="shared" si="253"/>
        <v>22</v>
      </c>
      <c r="U555" s="49">
        <v>53</v>
      </c>
      <c r="V555" s="50">
        <v>25</v>
      </c>
      <c r="W555" s="51" t="str">
        <f t="shared" si="254"/>
        <v>53:25</v>
      </c>
      <c r="X555" s="52" t="s">
        <v>59</v>
      </c>
      <c r="Y555" s="124" t="s">
        <v>243</v>
      </c>
      <c r="Z555" s="124"/>
      <c r="AA555" s="47" t="s">
        <v>254</v>
      </c>
      <c r="AB555" s="47" t="str">
        <f t="shared" si="255"/>
        <v>NA</v>
      </c>
      <c r="AC555" s="53" t="str">
        <f t="shared" si="256"/>
        <v/>
      </c>
      <c r="AD555" s="54">
        <f t="shared" si="257"/>
        <v>1</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t="s">
        <v>153</v>
      </c>
      <c r="AT555" s="58"/>
      <c r="AU555" s="58"/>
      <c r="AV555" s="59"/>
      <c r="AW555" s="60">
        <f t="shared" si="242"/>
        <v>0</v>
      </c>
      <c r="AX555" s="61" t="str">
        <f t="shared" si="243"/>
        <v/>
      </c>
      <c r="AY555" s="60">
        <f t="shared" si="244"/>
        <v>0</v>
      </c>
      <c r="AZ555" s="61" t="str">
        <f t="shared" si="245"/>
        <v/>
      </c>
    </row>
    <row r="556" spans="1:52" s="3" customFormat="1" hidden="1" x14ac:dyDescent="0.35">
      <c r="A556" s="72">
        <f t="shared" si="246"/>
        <v>2021</v>
      </c>
      <c r="B556" s="72" t="str">
        <f t="shared" si="247"/>
        <v>Nov</v>
      </c>
      <c r="C556" s="73">
        <f t="shared" si="265"/>
        <v>14</v>
      </c>
      <c r="D556" s="74">
        <f t="shared" si="248"/>
        <v>22</v>
      </c>
      <c r="E556" s="75">
        <f t="shared" si="249"/>
        <v>52</v>
      </c>
      <c r="F556" s="79"/>
      <c r="G556" s="82"/>
      <c r="H556" s="68" t="str">
        <f t="shared" si="266"/>
        <v>Hyprev7_20211114_22_00</v>
      </c>
      <c r="I556" s="69">
        <f t="shared" si="269"/>
        <v>1</v>
      </c>
      <c r="J556" s="76" t="str">
        <f t="shared" si="269"/>
        <v>Hypericum</v>
      </c>
      <c r="K556" s="76" t="str">
        <f t="shared" si="269"/>
        <v>revolutum</v>
      </c>
      <c r="L556" s="77">
        <f t="shared" si="269"/>
        <v>7</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v>
      </c>
      <c r="C557" s="73">
        <f t="shared" si="265"/>
        <v>14</v>
      </c>
      <c r="D557" s="74">
        <f t="shared" si="248"/>
        <v>22</v>
      </c>
      <c r="E557" s="75">
        <f t="shared" si="249"/>
        <v>53</v>
      </c>
      <c r="F557" s="79"/>
      <c r="G557" s="82"/>
      <c r="H557" s="68" t="str">
        <f t="shared" si="266"/>
        <v>Hyprev7_20211114_22_00</v>
      </c>
      <c r="I557" s="69">
        <f t="shared" si="269"/>
        <v>1</v>
      </c>
      <c r="J557" s="76" t="str">
        <f t="shared" si="269"/>
        <v>Hypericum</v>
      </c>
      <c r="K557" s="76" t="str">
        <f t="shared" si="269"/>
        <v>revolutum</v>
      </c>
      <c r="L557" s="77">
        <f t="shared" si="269"/>
        <v>7</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v>
      </c>
      <c r="C558" s="73">
        <f t="shared" si="265"/>
        <v>14</v>
      </c>
      <c r="D558" s="74">
        <f t="shared" si="248"/>
        <v>22</v>
      </c>
      <c r="E558" s="75">
        <f t="shared" si="249"/>
        <v>54</v>
      </c>
      <c r="F558" s="79">
        <v>40</v>
      </c>
      <c r="G558" s="82"/>
      <c r="H558" s="68" t="str">
        <f t="shared" si="266"/>
        <v>Hyprev7_20211114_22_00</v>
      </c>
      <c r="I558" s="69">
        <f t="shared" si="269"/>
        <v>1</v>
      </c>
      <c r="J558" s="76" t="str">
        <f t="shared" si="269"/>
        <v>Hypericum</v>
      </c>
      <c r="K558" s="76" t="str">
        <f t="shared" si="269"/>
        <v>revolutum</v>
      </c>
      <c r="L558" s="77">
        <f t="shared" si="269"/>
        <v>7</v>
      </c>
      <c r="M558" s="77">
        <f t="shared" si="269"/>
        <v>2</v>
      </c>
      <c r="N558" s="71">
        <f t="shared" si="269"/>
        <v>0</v>
      </c>
      <c r="O558" s="44"/>
      <c r="P558" s="45">
        <f t="shared" si="250"/>
        <v>1</v>
      </c>
      <c r="Q558" s="46" t="str">
        <f t="shared" si="251"/>
        <v>22:54:40</v>
      </c>
      <c r="R558" s="47" t="str">
        <f t="shared" si="252"/>
        <v>54:40</v>
      </c>
      <c r="S558" s="48">
        <f t="shared" si="241"/>
        <v>16</v>
      </c>
      <c r="T558" s="47" t="str">
        <f t="shared" si="253"/>
        <v>22</v>
      </c>
      <c r="U558" s="49">
        <v>54</v>
      </c>
      <c r="V558" s="50">
        <v>56</v>
      </c>
      <c r="W558" s="51" t="str">
        <f t="shared" si="254"/>
        <v>54:56</v>
      </c>
      <c r="X558" s="52" t="s">
        <v>59</v>
      </c>
      <c r="Y558" s="124" t="s">
        <v>246</v>
      </c>
      <c r="Z558" s="124"/>
      <c r="AA558" s="47" t="s">
        <v>253</v>
      </c>
      <c r="AB558" s="47" t="str">
        <f t="shared" si="255"/>
        <v>NA</v>
      </c>
      <c r="AC558" s="53" t="str">
        <f t="shared" si="256"/>
        <v/>
      </c>
      <c r="AD558" s="54">
        <f t="shared" si="257"/>
        <v>1</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t="s">
        <v>154</v>
      </c>
      <c r="AT558" s="58"/>
      <c r="AU558" s="58"/>
      <c r="AV558" s="59"/>
      <c r="AW558" s="60">
        <f t="shared" si="242"/>
        <v>0</v>
      </c>
      <c r="AX558" s="61" t="str">
        <f t="shared" si="243"/>
        <v/>
      </c>
      <c r="AY558" s="60">
        <f t="shared" si="244"/>
        <v>0</v>
      </c>
      <c r="AZ558" s="61" t="str">
        <f t="shared" si="245"/>
        <v/>
      </c>
    </row>
    <row r="559" spans="1:52" s="3" customFormat="1" hidden="1" x14ac:dyDescent="0.35">
      <c r="A559" s="72">
        <f t="shared" si="246"/>
        <v>2021</v>
      </c>
      <c r="B559" s="72" t="str">
        <f t="shared" si="247"/>
        <v>Nov</v>
      </c>
      <c r="C559" s="73">
        <f t="shared" si="265"/>
        <v>14</v>
      </c>
      <c r="D559" s="74">
        <f t="shared" si="248"/>
        <v>22</v>
      </c>
      <c r="E559" s="75">
        <f t="shared" si="249"/>
        <v>55</v>
      </c>
      <c r="F559" s="79"/>
      <c r="G559" s="82"/>
      <c r="H559" s="68" t="str">
        <f t="shared" si="266"/>
        <v>Hyprev7_20211114_22_00</v>
      </c>
      <c r="I559" s="69">
        <f t="shared" si="269"/>
        <v>1</v>
      </c>
      <c r="J559" s="76" t="str">
        <f t="shared" si="269"/>
        <v>Hypericum</v>
      </c>
      <c r="K559" s="76" t="str">
        <f t="shared" si="269"/>
        <v>revolutum</v>
      </c>
      <c r="L559" s="77">
        <f t="shared" si="269"/>
        <v>7</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v>
      </c>
      <c r="C560" s="73">
        <f t="shared" si="265"/>
        <v>14</v>
      </c>
      <c r="D560" s="74">
        <f t="shared" si="248"/>
        <v>22</v>
      </c>
      <c r="E560" s="75">
        <f t="shared" si="249"/>
        <v>56</v>
      </c>
      <c r="F560" s="79"/>
      <c r="G560" s="82"/>
      <c r="H560" s="68" t="str">
        <f t="shared" si="266"/>
        <v>Hyprev7_20211114_22_00</v>
      </c>
      <c r="I560" s="69">
        <f t="shared" si="269"/>
        <v>1</v>
      </c>
      <c r="J560" s="76" t="str">
        <f t="shared" si="269"/>
        <v>Hypericum</v>
      </c>
      <c r="K560" s="76" t="str">
        <f t="shared" si="269"/>
        <v>revolutum</v>
      </c>
      <c r="L560" s="77">
        <f t="shared" si="269"/>
        <v>7</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v>
      </c>
      <c r="C561" s="73">
        <f t="shared" si="265"/>
        <v>14</v>
      </c>
      <c r="D561" s="74">
        <f t="shared" si="248"/>
        <v>22</v>
      </c>
      <c r="E561" s="75">
        <f t="shared" si="249"/>
        <v>57</v>
      </c>
      <c r="F561" s="79"/>
      <c r="G561" s="82"/>
      <c r="H561" s="68" t="str">
        <f t="shared" si="266"/>
        <v>Hyprev7_20211114_22_00</v>
      </c>
      <c r="I561" s="69">
        <f t="shared" si="269"/>
        <v>1</v>
      </c>
      <c r="J561" s="76" t="str">
        <f t="shared" si="269"/>
        <v>Hypericum</v>
      </c>
      <c r="K561" s="76" t="str">
        <f t="shared" si="269"/>
        <v>revolutum</v>
      </c>
      <c r="L561" s="77">
        <f t="shared" si="269"/>
        <v>7</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v>
      </c>
      <c r="C562" s="73">
        <f t="shared" si="265"/>
        <v>14</v>
      </c>
      <c r="D562" s="74">
        <f t="shared" si="248"/>
        <v>22</v>
      </c>
      <c r="E562" s="75">
        <f t="shared" si="249"/>
        <v>58</v>
      </c>
      <c r="F562" s="79"/>
      <c r="G562" s="82"/>
      <c r="H562" s="68" t="str">
        <f t="shared" si="266"/>
        <v>Hyprev7_20211114_22_00</v>
      </c>
      <c r="I562" s="69">
        <f t="shared" si="269"/>
        <v>1</v>
      </c>
      <c r="J562" s="76" t="str">
        <f t="shared" si="269"/>
        <v>Hypericum</v>
      </c>
      <c r="K562" s="76" t="str">
        <f t="shared" si="269"/>
        <v>revolutum</v>
      </c>
      <c r="L562" s="77">
        <f t="shared" si="269"/>
        <v>7</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2021</v>
      </c>
      <c r="B563" s="72" t="str">
        <f t="shared" si="247"/>
        <v>Nov</v>
      </c>
      <c r="C563" s="73">
        <f t="shared" si="265"/>
        <v>14</v>
      </c>
      <c r="D563" s="74">
        <f t="shared" si="248"/>
        <v>22</v>
      </c>
      <c r="E563" s="75">
        <f t="shared" si="249"/>
        <v>59</v>
      </c>
      <c r="F563" s="79"/>
      <c r="G563" s="82"/>
      <c r="H563" s="68" t="str">
        <f t="shared" si="266"/>
        <v>Hyprev7_20211114_22_00</v>
      </c>
      <c r="I563" s="69">
        <f t="shared" si="269"/>
        <v>1</v>
      </c>
      <c r="J563" s="76" t="str">
        <f t="shared" si="269"/>
        <v>Hypericum</v>
      </c>
      <c r="K563" s="76" t="str">
        <f t="shared" si="269"/>
        <v>revolutum</v>
      </c>
      <c r="L563" s="77">
        <f t="shared" si="269"/>
        <v>7</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2021</v>
      </c>
      <c r="B564" s="72" t="str">
        <f t="shared" si="247"/>
        <v>Nov</v>
      </c>
      <c r="C564" s="73">
        <f t="shared" si="265"/>
        <v>14</v>
      </c>
      <c r="D564" s="74">
        <f t="shared" si="248"/>
        <v>23</v>
      </c>
      <c r="E564" s="75">
        <f t="shared" si="249"/>
        <v>0</v>
      </c>
      <c r="F564" s="79">
        <v>9</v>
      </c>
      <c r="G564" s="82"/>
      <c r="H564" s="68" t="str">
        <f t="shared" si="266"/>
        <v>Hyprev7_20211114_23_00</v>
      </c>
      <c r="I564" s="69">
        <f t="shared" si="269"/>
        <v>1</v>
      </c>
      <c r="J564" s="76" t="str">
        <f t="shared" si="269"/>
        <v>Hypericum</v>
      </c>
      <c r="K564" s="76" t="str">
        <f t="shared" si="269"/>
        <v>revolutum</v>
      </c>
      <c r="L564" s="77">
        <f t="shared" si="269"/>
        <v>7</v>
      </c>
      <c r="M564" s="77">
        <f t="shared" si="269"/>
        <v>2</v>
      </c>
      <c r="N564" s="71">
        <f t="shared" si="269"/>
        <v>0</v>
      </c>
      <c r="O564" s="44"/>
      <c r="P564" s="45">
        <f t="shared" si="250"/>
        <v>1</v>
      </c>
      <c r="Q564" s="46" t="str">
        <f t="shared" si="251"/>
        <v>23:00:09</v>
      </c>
      <c r="R564" s="47" t="str">
        <f t="shared" si="252"/>
        <v>00:09</v>
      </c>
      <c r="S564" s="48">
        <f t="shared" si="241"/>
        <v>199</v>
      </c>
      <c r="T564" s="47" t="str">
        <f t="shared" si="253"/>
        <v>23</v>
      </c>
      <c r="U564" s="49">
        <v>3</v>
      </c>
      <c r="V564" s="50">
        <v>28</v>
      </c>
      <c r="W564" s="51" t="str">
        <f t="shared" si="254"/>
        <v>03:28</v>
      </c>
      <c r="X564" s="52" t="s">
        <v>59</v>
      </c>
      <c r="Y564" s="124" t="s">
        <v>247</v>
      </c>
      <c r="Z564" s="124"/>
      <c r="AA564" s="47" t="s">
        <v>255</v>
      </c>
      <c r="AB564" s="47" t="str">
        <f t="shared" si="255"/>
        <v>NA</v>
      </c>
      <c r="AC564" s="53" t="str">
        <f t="shared" si="256"/>
        <v/>
      </c>
      <c r="AD564" s="54">
        <v>2</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t="s">
        <v>155</v>
      </c>
      <c r="AT564" s="58"/>
      <c r="AU564" s="58"/>
      <c r="AV564" s="59"/>
      <c r="AW564" s="60">
        <f t="shared" si="242"/>
        <v>0</v>
      </c>
      <c r="AX564" s="61" t="str">
        <f t="shared" si="243"/>
        <v/>
      </c>
      <c r="AY564" s="60">
        <f t="shared" si="244"/>
        <v>0</v>
      </c>
      <c r="AZ564" s="61" t="str">
        <f t="shared" si="245"/>
        <v/>
      </c>
    </row>
    <row r="565" spans="1:52" s="3" customFormat="1" hidden="1" x14ac:dyDescent="0.35">
      <c r="A565" s="72">
        <f t="shared" si="246"/>
        <v>2021</v>
      </c>
      <c r="B565" s="72" t="str">
        <f t="shared" si="247"/>
        <v>Nov</v>
      </c>
      <c r="C565" s="73">
        <f t="shared" si="265"/>
        <v>14</v>
      </c>
      <c r="D565" s="74">
        <f t="shared" si="248"/>
        <v>23</v>
      </c>
      <c r="E565" s="75">
        <f t="shared" si="249"/>
        <v>1</v>
      </c>
      <c r="F565" s="79"/>
      <c r="G565" s="82"/>
      <c r="H565" s="68" t="str">
        <f t="shared" si="266"/>
        <v>Hyprev7_20211114_23_00</v>
      </c>
      <c r="I565" s="69">
        <f t="shared" ref="I565:N580" si="270">I564</f>
        <v>1</v>
      </c>
      <c r="J565" s="76" t="str">
        <f t="shared" si="270"/>
        <v>Hypericum</v>
      </c>
      <c r="K565" s="76" t="str">
        <f t="shared" si="270"/>
        <v>revolutum</v>
      </c>
      <c r="L565" s="77">
        <f t="shared" si="270"/>
        <v>7</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v>
      </c>
      <c r="C566" s="73">
        <f t="shared" si="265"/>
        <v>14</v>
      </c>
      <c r="D566" s="74">
        <f t="shared" si="248"/>
        <v>23</v>
      </c>
      <c r="E566" s="75">
        <f t="shared" si="249"/>
        <v>2</v>
      </c>
      <c r="F566" s="79"/>
      <c r="G566" s="82"/>
      <c r="H566" s="68" t="str">
        <f t="shared" si="266"/>
        <v>Hyprev7_20211114_23_00</v>
      </c>
      <c r="I566" s="69">
        <f t="shared" si="270"/>
        <v>1</v>
      </c>
      <c r="J566" s="76" t="str">
        <f t="shared" si="270"/>
        <v>Hypericum</v>
      </c>
      <c r="K566" s="76" t="str">
        <f t="shared" si="270"/>
        <v>revolutum</v>
      </c>
      <c r="L566" s="77">
        <f t="shared" si="270"/>
        <v>7</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v>
      </c>
      <c r="C567" s="73">
        <f t="shared" si="265"/>
        <v>14</v>
      </c>
      <c r="D567" s="74">
        <f t="shared" si="248"/>
        <v>23</v>
      </c>
      <c r="E567" s="75">
        <f t="shared" si="249"/>
        <v>3</v>
      </c>
      <c r="F567" s="79"/>
      <c r="G567" s="82"/>
      <c r="H567" s="68" t="str">
        <f t="shared" si="266"/>
        <v>Hyprev7_20211114_23_00</v>
      </c>
      <c r="I567" s="69">
        <f t="shared" si="270"/>
        <v>1</v>
      </c>
      <c r="J567" s="76" t="str">
        <f t="shared" si="270"/>
        <v>Hypericum</v>
      </c>
      <c r="K567" s="76" t="str">
        <f t="shared" si="270"/>
        <v>revolutum</v>
      </c>
      <c r="L567" s="77">
        <f t="shared" si="270"/>
        <v>7</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v>
      </c>
      <c r="C568" s="73">
        <f t="shared" si="265"/>
        <v>14</v>
      </c>
      <c r="D568" s="74">
        <f t="shared" si="248"/>
        <v>23</v>
      </c>
      <c r="E568" s="75">
        <f t="shared" si="249"/>
        <v>4</v>
      </c>
      <c r="F568" s="79"/>
      <c r="G568" s="82"/>
      <c r="H568" s="68" t="str">
        <f t="shared" si="266"/>
        <v>Hyprev7_20211114_23_00</v>
      </c>
      <c r="I568" s="69">
        <f t="shared" si="270"/>
        <v>1</v>
      </c>
      <c r="J568" s="76" t="str">
        <f t="shared" si="270"/>
        <v>Hypericum</v>
      </c>
      <c r="K568" s="76" t="str">
        <f t="shared" si="270"/>
        <v>revolutum</v>
      </c>
      <c r="L568" s="77">
        <f t="shared" si="270"/>
        <v>7</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v>
      </c>
      <c r="C569" s="73">
        <f t="shared" si="265"/>
        <v>14</v>
      </c>
      <c r="D569" s="74">
        <f t="shared" si="248"/>
        <v>23</v>
      </c>
      <c r="E569" s="75">
        <f t="shared" si="249"/>
        <v>5</v>
      </c>
      <c r="F569" s="79">
        <v>44</v>
      </c>
      <c r="G569" s="82"/>
      <c r="H569" s="68" t="str">
        <f t="shared" si="266"/>
        <v>Hyprev7_20211114_23_00</v>
      </c>
      <c r="I569" s="69">
        <f t="shared" si="270"/>
        <v>1</v>
      </c>
      <c r="J569" s="76" t="str">
        <f t="shared" si="270"/>
        <v>Hypericum</v>
      </c>
      <c r="K569" s="76" t="str">
        <f t="shared" si="270"/>
        <v>revolutum</v>
      </c>
      <c r="L569" s="77">
        <f t="shared" si="270"/>
        <v>7</v>
      </c>
      <c r="M569" s="77">
        <f t="shared" si="270"/>
        <v>2</v>
      </c>
      <c r="N569" s="71">
        <f t="shared" si="270"/>
        <v>0</v>
      </c>
      <c r="O569" s="44"/>
      <c r="P569" s="45">
        <f t="shared" si="250"/>
        <v>1</v>
      </c>
      <c r="Q569" s="46" t="str">
        <f t="shared" si="251"/>
        <v>23:05:44</v>
      </c>
      <c r="R569" s="47" t="str">
        <f t="shared" si="252"/>
        <v>05:44</v>
      </c>
      <c r="S569" s="48">
        <f t="shared" si="241"/>
        <v>25</v>
      </c>
      <c r="T569" s="47" t="str">
        <f t="shared" si="253"/>
        <v>23</v>
      </c>
      <c r="U569" s="49">
        <v>6</v>
      </c>
      <c r="V569" s="50">
        <v>9</v>
      </c>
      <c r="W569" s="51" t="str">
        <f t="shared" si="254"/>
        <v>06:09</v>
      </c>
      <c r="X569" s="52" t="s">
        <v>59</v>
      </c>
      <c r="Y569" s="124" t="s">
        <v>246</v>
      </c>
      <c r="Z569" s="124"/>
      <c r="AA569" s="47" t="s">
        <v>253</v>
      </c>
      <c r="AB569" s="47" t="str">
        <f t="shared" si="255"/>
        <v>NA</v>
      </c>
      <c r="AC569" s="53" t="str">
        <f t="shared" si="256"/>
        <v/>
      </c>
      <c r="AD569" s="54">
        <f t="shared" si="257"/>
        <v>1</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t="s">
        <v>156</v>
      </c>
      <c r="AT569" s="58"/>
      <c r="AU569" s="58"/>
      <c r="AV569" s="59"/>
      <c r="AW569" s="60">
        <f t="shared" si="242"/>
        <v>0</v>
      </c>
      <c r="AX569" s="61" t="str">
        <f t="shared" si="243"/>
        <v/>
      </c>
      <c r="AY569" s="60">
        <f t="shared" si="244"/>
        <v>0</v>
      </c>
      <c r="AZ569" s="61" t="str">
        <f t="shared" si="245"/>
        <v/>
      </c>
    </row>
    <row r="570" spans="1:52" s="3" customFormat="1" hidden="1" x14ac:dyDescent="0.35">
      <c r="A570" s="72">
        <f t="shared" si="246"/>
        <v>2021</v>
      </c>
      <c r="B570" s="72" t="str">
        <f t="shared" si="247"/>
        <v>Nov</v>
      </c>
      <c r="C570" s="73">
        <f t="shared" si="265"/>
        <v>14</v>
      </c>
      <c r="D570" s="74">
        <f t="shared" si="248"/>
        <v>23</v>
      </c>
      <c r="E570" s="75">
        <f t="shared" si="249"/>
        <v>6</v>
      </c>
      <c r="F570" s="79"/>
      <c r="G570" s="82"/>
      <c r="H570" s="68" t="str">
        <f t="shared" si="266"/>
        <v>Hyprev7_20211114_23_00</v>
      </c>
      <c r="I570" s="69">
        <f t="shared" si="270"/>
        <v>1</v>
      </c>
      <c r="J570" s="76" t="str">
        <f t="shared" si="270"/>
        <v>Hypericum</v>
      </c>
      <c r="K570" s="76" t="str">
        <f t="shared" si="270"/>
        <v>revolutum</v>
      </c>
      <c r="L570" s="77">
        <f t="shared" si="270"/>
        <v>7</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v>
      </c>
      <c r="C571" s="73">
        <f t="shared" si="265"/>
        <v>14</v>
      </c>
      <c r="D571" s="74">
        <f t="shared" si="248"/>
        <v>23</v>
      </c>
      <c r="E571" s="75">
        <f t="shared" si="249"/>
        <v>7</v>
      </c>
      <c r="F571" s="79"/>
      <c r="G571" s="82"/>
      <c r="H571" s="68" t="str">
        <f t="shared" si="266"/>
        <v>Hyprev7_20211114_23_00</v>
      </c>
      <c r="I571" s="69">
        <f t="shared" si="270"/>
        <v>1</v>
      </c>
      <c r="J571" s="76" t="str">
        <f t="shared" si="270"/>
        <v>Hypericum</v>
      </c>
      <c r="K571" s="76" t="str">
        <f t="shared" si="270"/>
        <v>revolutum</v>
      </c>
      <c r="L571" s="77">
        <f t="shared" si="270"/>
        <v>7</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v>
      </c>
      <c r="C572" s="73">
        <f t="shared" si="265"/>
        <v>14</v>
      </c>
      <c r="D572" s="74">
        <f t="shared" si="248"/>
        <v>23</v>
      </c>
      <c r="E572" s="75">
        <f t="shared" si="249"/>
        <v>8</v>
      </c>
      <c r="F572" s="79"/>
      <c r="G572" s="82"/>
      <c r="H572" s="68" t="str">
        <f t="shared" si="266"/>
        <v>Hyprev7_20211114_23_00</v>
      </c>
      <c r="I572" s="69">
        <f t="shared" si="270"/>
        <v>1</v>
      </c>
      <c r="J572" s="76" t="str">
        <f t="shared" si="270"/>
        <v>Hypericum</v>
      </c>
      <c r="K572" s="76" t="str">
        <f t="shared" si="270"/>
        <v>revolutum</v>
      </c>
      <c r="L572" s="77">
        <f t="shared" si="270"/>
        <v>7</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v>
      </c>
      <c r="C573" s="73">
        <f t="shared" si="265"/>
        <v>14</v>
      </c>
      <c r="D573" s="74">
        <f t="shared" si="248"/>
        <v>23</v>
      </c>
      <c r="E573" s="75">
        <f t="shared" si="249"/>
        <v>9</v>
      </c>
      <c r="F573" s="79"/>
      <c r="G573" s="82"/>
      <c r="H573" s="68" t="str">
        <f t="shared" si="266"/>
        <v>Hyprev7_20211114_23_00</v>
      </c>
      <c r="I573" s="69">
        <f t="shared" si="270"/>
        <v>1</v>
      </c>
      <c r="J573" s="76" t="str">
        <f t="shared" si="270"/>
        <v>Hypericum</v>
      </c>
      <c r="K573" s="76" t="str">
        <f t="shared" si="270"/>
        <v>revolutum</v>
      </c>
      <c r="L573" s="77">
        <f t="shared" si="270"/>
        <v>7</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v>
      </c>
      <c r="C574" s="73">
        <f t="shared" si="265"/>
        <v>14</v>
      </c>
      <c r="D574" s="74">
        <f t="shared" si="248"/>
        <v>23</v>
      </c>
      <c r="E574" s="75">
        <f t="shared" si="249"/>
        <v>10</v>
      </c>
      <c r="F574" s="79"/>
      <c r="G574" s="82"/>
      <c r="H574" s="68" t="str">
        <f t="shared" si="266"/>
        <v>Hyprev7_20211114_23_00</v>
      </c>
      <c r="I574" s="69">
        <f t="shared" si="270"/>
        <v>1</v>
      </c>
      <c r="J574" s="76" t="str">
        <f t="shared" si="270"/>
        <v>Hypericum</v>
      </c>
      <c r="K574" s="76" t="str">
        <f t="shared" si="270"/>
        <v>revolutum</v>
      </c>
      <c r="L574" s="77">
        <f t="shared" si="270"/>
        <v>7</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2021</v>
      </c>
      <c r="B575" s="72" t="str">
        <f t="shared" si="247"/>
        <v>Nov</v>
      </c>
      <c r="C575" s="73">
        <f t="shared" si="265"/>
        <v>14</v>
      </c>
      <c r="D575" s="74">
        <f t="shared" si="248"/>
        <v>23</v>
      </c>
      <c r="E575" s="75">
        <f t="shared" si="249"/>
        <v>11</v>
      </c>
      <c r="F575" s="79"/>
      <c r="G575" s="82"/>
      <c r="H575" s="68" t="str">
        <f t="shared" si="266"/>
        <v>Hyprev7_20211114_23_00</v>
      </c>
      <c r="I575" s="69">
        <f t="shared" si="270"/>
        <v>1</v>
      </c>
      <c r="J575" s="76" t="str">
        <f t="shared" si="270"/>
        <v>Hypericum</v>
      </c>
      <c r="K575" s="76" t="str">
        <f t="shared" si="270"/>
        <v>revolutum</v>
      </c>
      <c r="L575" s="77">
        <f t="shared" si="270"/>
        <v>7</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2021</v>
      </c>
      <c r="B576" s="72" t="str">
        <f t="shared" si="247"/>
        <v>Nov</v>
      </c>
      <c r="C576" s="73">
        <f t="shared" si="265"/>
        <v>14</v>
      </c>
      <c r="D576" s="74">
        <f t="shared" si="248"/>
        <v>23</v>
      </c>
      <c r="E576" s="75">
        <f t="shared" si="249"/>
        <v>12</v>
      </c>
      <c r="F576" s="79"/>
      <c r="G576" s="82"/>
      <c r="H576" s="68" t="str">
        <f t="shared" si="266"/>
        <v>Hyprev7_20211114_23_00</v>
      </c>
      <c r="I576" s="69">
        <f t="shared" si="270"/>
        <v>1</v>
      </c>
      <c r="J576" s="76" t="str">
        <f t="shared" si="270"/>
        <v>Hypericum</v>
      </c>
      <c r="K576" s="76" t="str">
        <f t="shared" si="270"/>
        <v>revolutum</v>
      </c>
      <c r="L576" s="77">
        <f t="shared" si="270"/>
        <v>7</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v>
      </c>
      <c r="C577" s="73">
        <f t="shared" si="265"/>
        <v>14</v>
      </c>
      <c r="D577" s="74">
        <f t="shared" si="248"/>
        <v>23</v>
      </c>
      <c r="E577" s="75">
        <f t="shared" si="249"/>
        <v>13</v>
      </c>
      <c r="F577" s="79"/>
      <c r="G577" s="82"/>
      <c r="H577" s="68" t="str">
        <f t="shared" si="266"/>
        <v>Hyprev7_20211114_23_00</v>
      </c>
      <c r="I577" s="69">
        <f t="shared" si="270"/>
        <v>1</v>
      </c>
      <c r="J577" s="76" t="str">
        <f t="shared" si="270"/>
        <v>Hypericum</v>
      </c>
      <c r="K577" s="76" t="str">
        <f t="shared" si="270"/>
        <v>revolutum</v>
      </c>
      <c r="L577" s="77">
        <f t="shared" si="270"/>
        <v>7</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v>
      </c>
      <c r="C578" s="73">
        <f t="shared" si="265"/>
        <v>14</v>
      </c>
      <c r="D578" s="74">
        <f t="shared" si="248"/>
        <v>23</v>
      </c>
      <c r="E578" s="75">
        <f t="shared" si="249"/>
        <v>14</v>
      </c>
      <c r="F578" s="79"/>
      <c r="G578" s="82"/>
      <c r="H578" s="68" t="str">
        <f t="shared" si="266"/>
        <v>Hyprev7_20211114_23_00</v>
      </c>
      <c r="I578" s="69">
        <f t="shared" si="270"/>
        <v>1</v>
      </c>
      <c r="J578" s="76" t="str">
        <f t="shared" si="270"/>
        <v>Hypericum</v>
      </c>
      <c r="K578" s="76" t="str">
        <f t="shared" si="270"/>
        <v>revolutum</v>
      </c>
      <c r="L578" s="77">
        <f t="shared" si="270"/>
        <v>7</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v>
      </c>
      <c r="C579" s="73">
        <f t="shared" si="265"/>
        <v>14</v>
      </c>
      <c r="D579" s="74">
        <f t="shared" si="248"/>
        <v>23</v>
      </c>
      <c r="E579" s="75">
        <f t="shared" si="249"/>
        <v>15</v>
      </c>
      <c r="F579" s="79"/>
      <c r="G579" s="82"/>
      <c r="H579" s="68" t="str">
        <f t="shared" si="266"/>
        <v>Hyprev7_20211114_23_00</v>
      </c>
      <c r="I579" s="69">
        <f t="shared" si="270"/>
        <v>1</v>
      </c>
      <c r="J579" s="76" t="str">
        <f t="shared" si="270"/>
        <v>Hypericum</v>
      </c>
      <c r="K579" s="76" t="str">
        <f t="shared" si="270"/>
        <v>revolutum</v>
      </c>
      <c r="L579" s="77">
        <f t="shared" si="270"/>
        <v>7</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v>
      </c>
      <c r="C580" s="73">
        <f t="shared" si="265"/>
        <v>14</v>
      </c>
      <c r="D580" s="74">
        <f t="shared" ref="D580:D643" si="278">IF(IF(E579=59,D579+1,D579)=24,0,IF(E579=59,D579+1,D579))</f>
        <v>23</v>
      </c>
      <c r="E580" s="75">
        <f t="shared" ref="E580:E643" si="279">IF(E579&lt;59,E579+1,0)</f>
        <v>16</v>
      </c>
      <c r="F580" s="79"/>
      <c r="G580" s="82"/>
      <c r="H580" s="68" t="str">
        <f t="shared" si="266"/>
        <v>Hyprev7_20211114_23_00</v>
      </c>
      <c r="I580" s="69">
        <f t="shared" si="270"/>
        <v>1</v>
      </c>
      <c r="J580" s="76" t="str">
        <f t="shared" si="270"/>
        <v>Hypericum</v>
      </c>
      <c r="K580" s="76" t="str">
        <f t="shared" si="270"/>
        <v>revolutum</v>
      </c>
      <c r="L580" s="77">
        <f t="shared" si="270"/>
        <v>7</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v>
      </c>
      <c r="C581" s="73">
        <f t="shared" ref="C581:C644" si="295">IF(AND(D581=0, E581=0), IF(TEXT(C580,"dd")=TEXT(EOMONTH(DATE(A580,MONTH(DATEVALUE(B580&amp;"1")),C580),0), "dd"), 1, C580+1), C580)</f>
        <v>14</v>
      </c>
      <c r="D581" s="74">
        <f t="shared" si="278"/>
        <v>23</v>
      </c>
      <c r="E581" s="75">
        <f t="shared" si="279"/>
        <v>17</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Hyprev7_20211114_23_00</v>
      </c>
      <c r="I581" s="69">
        <f t="shared" ref="I581:N596" si="297">I580</f>
        <v>1</v>
      </c>
      <c r="J581" s="76" t="str">
        <f t="shared" si="297"/>
        <v>Hypericum</v>
      </c>
      <c r="K581" s="76" t="str">
        <f t="shared" si="297"/>
        <v>revolutum</v>
      </c>
      <c r="L581" s="77">
        <f t="shared" si="297"/>
        <v>7</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v>
      </c>
      <c r="C582" s="73">
        <f t="shared" si="295"/>
        <v>14</v>
      </c>
      <c r="D582" s="74">
        <f t="shared" si="278"/>
        <v>23</v>
      </c>
      <c r="E582" s="75">
        <f t="shared" si="279"/>
        <v>18</v>
      </c>
      <c r="F582" s="79"/>
      <c r="G582" s="82"/>
      <c r="H582" s="68" t="str">
        <f t="shared" si="296"/>
        <v>Hyprev7_20211114_23_00</v>
      </c>
      <c r="I582" s="69">
        <f t="shared" si="297"/>
        <v>1</v>
      </c>
      <c r="J582" s="76" t="str">
        <f t="shared" si="297"/>
        <v>Hypericum</v>
      </c>
      <c r="K582" s="76" t="str">
        <f t="shared" si="297"/>
        <v>revolutum</v>
      </c>
      <c r="L582" s="77">
        <f t="shared" si="297"/>
        <v>7</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v>
      </c>
      <c r="C583" s="73">
        <f t="shared" si="295"/>
        <v>14</v>
      </c>
      <c r="D583" s="74">
        <f t="shared" si="278"/>
        <v>23</v>
      </c>
      <c r="E583" s="75">
        <f t="shared" si="279"/>
        <v>19</v>
      </c>
      <c r="F583" s="79"/>
      <c r="G583" s="82"/>
      <c r="H583" s="68" t="str">
        <f t="shared" si="296"/>
        <v>Hyprev7_20211114_23_00</v>
      </c>
      <c r="I583" s="69">
        <f t="shared" si="297"/>
        <v>1</v>
      </c>
      <c r="J583" s="76" t="str">
        <f t="shared" si="297"/>
        <v>Hypericum</v>
      </c>
      <c r="K583" s="76" t="str">
        <f t="shared" si="297"/>
        <v>revolutum</v>
      </c>
      <c r="L583" s="77">
        <f t="shared" si="297"/>
        <v>7</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v>
      </c>
      <c r="C584" s="73">
        <f t="shared" si="295"/>
        <v>14</v>
      </c>
      <c r="D584" s="74">
        <f t="shared" si="278"/>
        <v>23</v>
      </c>
      <c r="E584" s="75">
        <f t="shared" si="279"/>
        <v>20</v>
      </c>
      <c r="F584" s="79"/>
      <c r="G584" s="82"/>
      <c r="H584" s="68" t="str">
        <f t="shared" si="296"/>
        <v>Hyprev7_20211114_23_00</v>
      </c>
      <c r="I584" s="69">
        <f t="shared" si="297"/>
        <v>1</v>
      </c>
      <c r="J584" s="76" t="str">
        <f t="shared" si="297"/>
        <v>Hypericum</v>
      </c>
      <c r="K584" s="76" t="str">
        <f t="shared" si="297"/>
        <v>revolutum</v>
      </c>
      <c r="L584" s="77">
        <f t="shared" si="297"/>
        <v>7</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v>
      </c>
      <c r="C585" s="73">
        <f t="shared" si="295"/>
        <v>14</v>
      </c>
      <c r="D585" s="74">
        <f t="shared" si="278"/>
        <v>23</v>
      </c>
      <c r="E585" s="75">
        <f t="shared" si="279"/>
        <v>21</v>
      </c>
      <c r="F585" s="79"/>
      <c r="G585" s="82"/>
      <c r="H585" s="68" t="str">
        <f t="shared" si="296"/>
        <v>Hyprev7_20211114_23_00</v>
      </c>
      <c r="I585" s="69">
        <f t="shared" si="297"/>
        <v>1</v>
      </c>
      <c r="J585" s="76" t="str">
        <f t="shared" si="297"/>
        <v>Hypericum</v>
      </c>
      <c r="K585" s="76" t="str">
        <f t="shared" si="297"/>
        <v>revolutum</v>
      </c>
      <c r="L585" s="77">
        <f t="shared" si="297"/>
        <v>7</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v>
      </c>
      <c r="C586" s="73">
        <f t="shared" si="295"/>
        <v>14</v>
      </c>
      <c r="D586" s="74">
        <f t="shared" si="278"/>
        <v>23</v>
      </c>
      <c r="E586" s="75">
        <f t="shared" si="279"/>
        <v>22</v>
      </c>
      <c r="F586" s="79"/>
      <c r="G586" s="82"/>
      <c r="H586" s="68" t="str">
        <f t="shared" si="296"/>
        <v>Hyprev7_20211114_23_00</v>
      </c>
      <c r="I586" s="69">
        <f t="shared" si="297"/>
        <v>1</v>
      </c>
      <c r="J586" s="76" t="str">
        <f t="shared" si="297"/>
        <v>Hypericum</v>
      </c>
      <c r="K586" s="76" t="str">
        <f t="shared" si="297"/>
        <v>revolutum</v>
      </c>
      <c r="L586" s="77">
        <f t="shared" si="297"/>
        <v>7</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v>
      </c>
      <c r="C587" s="73">
        <f t="shared" si="295"/>
        <v>14</v>
      </c>
      <c r="D587" s="74">
        <f t="shared" si="278"/>
        <v>23</v>
      </c>
      <c r="E587" s="75">
        <f t="shared" si="279"/>
        <v>23</v>
      </c>
      <c r="F587" s="79"/>
      <c r="G587" s="82"/>
      <c r="H587" s="68" t="str">
        <f t="shared" si="296"/>
        <v>Hyprev7_20211114_23_00</v>
      </c>
      <c r="I587" s="69">
        <f t="shared" si="297"/>
        <v>1</v>
      </c>
      <c r="J587" s="76" t="str">
        <f t="shared" si="297"/>
        <v>Hypericum</v>
      </c>
      <c r="K587" s="76" t="str">
        <f t="shared" si="297"/>
        <v>revolutum</v>
      </c>
      <c r="L587" s="77">
        <f t="shared" si="297"/>
        <v>7</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v>
      </c>
      <c r="C588" s="73">
        <f t="shared" si="295"/>
        <v>14</v>
      </c>
      <c r="D588" s="74">
        <f t="shared" si="278"/>
        <v>23</v>
      </c>
      <c r="E588" s="75">
        <f t="shared" si="279"/>
        <v>24</v>
      </c>
      <c r="F588" s="79"/>
      <c r="G588" s="82"/>
      <c r="H588" s="68" t="str">
        <f t="shared" si="296"/>
        <v>Hyprev7_20211114_23_00</v>
      </c>
      <c r="I588" s="69">
        <f t="shared" si="297"/>
        <v>1</v>
      </c>
      <c r="J588" s="76" t="str">
        <f t="shared" si="297"/>
        <v>Hypericum</v>
      </c>
      <c r="K588" s="76" t="str">
        <f t="shared" si="297"/>
        <v>revolutum</v>
      </c>
      <c r="L588" s="77">
        <f t="shared" si="297"/>
        <v>7</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v>
      </c>
      <c r="C589" s="73">
        <f t="shared" si="295"/>
        <v>14</v>
      </c>
      <c r="D589" s="74">
        <f t="shared" si="278"/>
        <v>23</v>
      </c>
      <c r="E589" s="75">
        <f t="shared" si="279"/>
        <v>25</v>
      </c>
      <c r="F589" s="79"/>
      <c r="G589" s="82"/>
      <c r="H589" s="68" t="str">
        <f t="shared" si="296"/>
        <v>Hyprev7_20211114_23_00</v>
      </c>
      <c r="I589" s="69">
        <f t="shared" si="297"/>
        <v>1</v>
      </c>
      <c r="J589" s="76" t="str">
        <f t="shared" si="297"/>
        <v>Hypericum</v>
      </c>
      <c r="K589" s="76" t="str">
        <f t="shared" si="297"/>
        <v>revolutum</v>
      </c>
      <c r="L589" s="77">
        <f t="shared" si="297"/>
        <v>7</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v>
      </c>
      <c r="C590" s="73">
        <f t="shared" si="295"/>
        <v>14</v>
      </c>
      <c r="D590" s="74">
        <f t="shared" si="278"/>
        <v>23</v>
      </c>
      <c r="E590" s="75">
        <f t="shared" si="279"/>
        <v>26</v>
      </c>
      <c r="F590" s="79"/>
      <c r="G590" s="82"/>
      <c r="H590" s="68" t="str">
        <f t="shared" si="296"/>
        <v>Hyprev7_20211114_23_00</v>
      </c>
      <c r="I590" s="69">
        <f t="shared" si="297"/>
        <v>1</v>
      </c>
      <c r="J590" s="76" t="str">
        <f t="shared" si="297"/>
        <v>Hypericum</v>
      </c>
      <c r="K590" s="76" t="str">
        <f t="shared" si="297"/>
        <v>revolutum</v>
      </c>
      <c r="L590" s="77">
        <f t="shared" si="297"/>
        <v>7</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v>
      </c>
      <c r="C591" s="73">
        <f t="shared" si="295"/>
        <v>14</v>
      </c>
      <c r="D591" s="74">
        <f t="shared" si="278"/>
        <v>23</v>
      </c>
      <c r="E591" s="75">
        <f t="shared" si="279"/>
        <v>27</v>
      </c>
      <c r="F591" s="79"/>
      <c r="G591" s="82"/>
      <c r="H591" s="68" t="str">
        <f t="shared" si="296"/>
        <v>Hyprev7_20211114_23_00</v>
      </c>
      <c r="I591" s="69">
        <f t="shared" si="297"/>
        <v>1</v>
      </c>
      <c r="J591" s="76" t="str">
        <f t="shared" si="297"/>
        <v>Hypericum</v>
      </c>
      <c r="K591" s="76" t="str">
        <f t="shared" si="297"/>
        <v>revolutum</v>
      </c>
      <c r="L591" s="77">
        <f t="shared" si="297"/>
        <v>7</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v>
      </c>
      <c r="C592" s="73">
        <f t="shared" si="295"/>
        <v>14</v>
      </c>
      <c r="D592" s="74">
        <f t="shared" si="278"/>
        <v>23</v>
      </c>
      <c r="E592" s="75">
        <f t="shared" si="279"/>
        <v>28</v>
      </c>
      <c r="F592" s="79"/>
      <c r="G592" s="82"/>
      <c r="H592" s="68" t="str">
        <f t="shared" si="296"/>
        <v>Hyprev7_20211114_23_00</v>
      </c>
      <c r="I592" s="69">
        <f t="shared" si="297"/>
        <v>1</v>
      </c>
      <c r="J592" s="76" t="str">
        <f t="shared" si="297"/>
        <v>Hypericum</v>
      </c>
      <c r="K592" s="76" t="str">
        <f t="shared" si="297"/>
        <v>revolutum</v>
      </c>
      <c r="L592" s="77">
        <f t="shared" si="297"/>
        <v>7</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v>
      </c>
      <c r="C593" s="73">
        <f t="shared" si="295"/>
        <v>14</v>
      </c>
      <c r="D593" s="74">
        <f t="shared" si="278"/>
        <v>23</v>
      </c>
      <c r="E593" s="75">
        <f t="shared" si="279"/>
        <v>29</v>
      </c>
      <c r="F593" s="79"/>
      <c r="G593" s="82"/>
      <c r="H593" s="68" t="str">
        <f t="shared" si="296"/>
        <v>Hyprev7_20211114_23_00</v>
      </c>
      <c r="I593" s="69">
        <f t="shared" si="297"/>
        <v>1</v>
      </c>
      <c r="J593" s="76" t="str">
        <f t="shared" si="297"/>
        <v>Hypericum</v>
      </c>
      <c r="K593" s="76" t="str">
        <f t="shared" si="297"/>
        <v>revolutum</v>
      </c>
      <c r="L593" s="77">
        <f t="shared" si="297"/>
        <v>7</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v>
      </c>
      <c r="C594" s="73">
        <f t="shared" si="295"/>
        <v>14</v>
      </c>
      <c r="D594" s="74">
        <f t="shared" si="278"/>
        <v>23</v>
      </c>
      <c r="E594" s="75">
        <f t="shared" si="279"/>
        <v>30</v>
      </c>
      <c r="F594" s="79"/>
      <c r="G594" s="82"/>
      <c r="H594" s="68" t="str">
        <f t="shared" si="296"/>
        <v>Hyprev7_20211114_23_00</v>
      </c>
      <c r="I594" s="69">
        <f t="shared" si="297"/>
        <v>1</v>
      </c>
      <c r="J594" s="76" t="str">
        <f t="shared" si="297"/>
        <v>Hypericum</v>
      </c>
      <c r="K594" s="76" t="str">
        <f t="shared" si="297"/>
        <v>revolutum</v>
      </c>
      <c r="L594" s="77">
        <f t="shared" si="297"/>
        <v>7</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v>
      </c>
      <c r="C595" s="73">
        <f t="shared" si="295"/>
        <v>14</v>
      </c>
      <c r="D595" s="74">
        <f t="shared" si="278"/>
        <v>23</v>
      </c>
      <c r="E595" s="75">
        <f t="shared" si="279"/>
        <v>31</v>
      </c>
      <c r="F595" s="79"/>
      <c r="G595" s="82"/>
      <c r="H595" s="68" t="str">
        <f t="shared" si="296"/>
        <v>Hyprev7_20211114_23_00</v>
      </c>
      <c r="I595" s="69">
        <f t="shared" si="297"/>
        <v>1</v>
      </c>
      <c r="J595" s="76" t="str">
        <f t="shared" si="297"/>
        <v>Hypericum</v>
      </c>
      <c r="K595" s="76" t="str">
        <f t="shared" si="297"/>
        <v>revolutum</v>
      </c>
      <c r="L595" s="77">
        <f t="shared" si="297"/>
        <v>7</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v>
      </c>
      <c r="C596" s="73">
        <f t="shared" si="295"/>
        <v>14</v>
      </c>
      <c r="D596" s="74">
        <f t="shared" si="278"/>
        <v>23</v>
      </c>
      <c r="E596" s="75">
        <f t="shared" si="279"/>
        <v>32</v>
      </c>
      <c r="F596" s="79"/>
      <c r="G596" s="82"/>
      <c r="H596" s="68" t="str">
        <f t="shared" si="296"/>
        <v>Hyprev7_20211114_23_00</v>
      </c>
      <c r="I596" s="69">
        <f t="shared" si="297"/>
        <v>1</v>
      </c>
      <c r="J596" s="76" t="str">
        <f t="shared" si="297"/>
        <v>Hypericum</v>
      </c>
      <c r="K596" s="76" t="str">
        <f t="shared" si="297"/>
        <v>revolutum</v>
      </c>
      <c r="L596" s="77">
        <f t="shared" si="297"/>
        <v>7</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v>
      </c>
      <c r="C597" s="73">
        <f t="shared" si="295"/>
        <v>14</v>
      </c>
      <c r="D597" s="74">
        <f t="shared" si="278"/>
        <v>23</v>
      </c>
      <c r="E597" s="75">
        <f t="shared" si="279"/>
        <v>33</v>
      </c>
      <c r="F597" s="79"/>
      <c r="G597" s="82"/>
      <c r="H597" s="68" t="str">
        <f t="shared" si="296"/>
        <v>Hyprev7_20211114_23_00</v>
      </c>
      <c r="I597" s="69">
        <f t="shared" ref="I597:N612" si="298">I596</f>
        <v>1</v>
      </c>
      <c r="J597" s="76" t="str">
        <f t="shared" si="298"/>
        <v>Hypericum</v>
      </c>
      <c r="K597" s="76" t="str">
        <f t="shared" si="298"/>
        <v>revolutum</v>
      </c>
      <c r="L597" s="77">
        <f t="shared" si="298"/>
        <v>7</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v>
      </c>
      <c r="C598" s="73">
        <f t="shared" si="295"/>
        <v>14</v>
      </c>
      <c r="D598" s="74">
        <f t="shared" si="278"/>
        <v>23</v>
      </c>
      <c r="E598" s="75">
        <f t="shared" si="279"/>
        <v>34</v>
      </c>
      <c r="F598" s="79"/>
      <c r="G598" s="82"/>
      <c r="H598" s="68" t="str">
        <f t="shared" si="296"/>
        <v>Hyprev7_20211114_23_00</v>
      </c>
      <c r="I598" s="69">
        <f t="shared" si="298"/>
        <v>1</v>
      </c>
      <c r="J598" s="76" t="str">
        <f t="shared" si="298"/>
        <v>Hypericum</v>
      </c>
      <c r="K598" s="76" t="str">
        <f t="shared" si="298"/>
        <v>revolutum</v>
      </c>
      <c r="L598" s="77">
        <f t="shared" si="298"/>
        <v>7</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v>
      </c>
      <c r="C599" s="73">
        <f t="shared" si="295"/>
        <v>14</v>
      </c>
      <c r="D599" s="74">
        <f t="shared" si="278"/>
        <v>23</v>
      </c>
      <c r="E599" s="75">
        <f t="shared" si="279"/>
        <v>35</v>
      </c>
      <c r="F599" s="79"/>
      <c r="G599" s="82"/>
      <c r="H599" s="68" t="str">
        <f t="shared" si="296"/>
        <v>Hyprev7_20211114_23_00</v>
      </c>
      <c r="I599" s="69">
        <f t="shared" si="298"/>
        <v>1</v>
      </c>
      <c r="J599" s="76" t="str">
        <f t="shared" si="298"/>
        <v>Hypericum</v>
      </c>
      <c r="K599" s="76" t="str">
        <f t="shared" si="298"/>
        <v>revolutum</v>
      </c>
      <c r="L599" s="77">
        <f t="shared" si="298"/>
        <v>7</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v>
      </c>
      <c r="C600" s="73">
        <f t="shared" si="295"/>
        <v>14</v>
      </c>
      <c r="D600" s="74">
        <f t="shared" si="278"/>
        <v>23</v>
      </c>
      <c r="E600" s="75">
        <f t="shared" si="279"/>
        <v>36</v>
      </c>
      <c r="F600" s="79"/>
      <c r="G600" s="82"/>
      <c r="H600" s="68" t="str">
        <f t="shared" si="296"/>
        <v>Hyprev7_20211114_23_00</v>
      </c>
      <c r="I600" s="69">
        <f t="shared" si="298"/>
        <v>1</v>
      </c>
      <c r="J600" s="76" t="str">
        <f t="shared" si="298"/>
        <v>Hypericum</v>
      </c>
      <c r="K600" s="76" t="str">
        <f t="shared" si="298"/>
        <v>revolutum</v>
      </c>
      <c r="L600" s="77">
        <f t="shared" si="298"/>
        <v>7</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2021</v>
      </c>
      <c r="B601" s="72" t="str">
        <f t="shared" si="277"/>
        <v>Nov</v>
      </c>
      <c r="C601" s="73">
        <f t="shared" si="295"/>
        <v>14</v>
      </c>
      <c r="D601" s="74">
        <f t="shared" si="278"/>
        <v>23</v>
      </c>
      <c r="E601" s="75">
        <f t="shared" si="279"/>
        <v>37</v>
      </c>
      <c r="F601" s="79"/>
      <c r="G601" s="82"/>
      <c r="H601" s="68" t="str">
        <f t="shared" si="296"/>
        <v>Hyprev7_20211114_23_00</v>
      </c>
      <c r="I601" s="69">
        <f t="shared" si="298"/>
        <v>1</v>
      </c>
      <c r="J601" s="76" t="str">
        <f t="shared" si="298"/>
        <v>Hypericum</v>
      </c>
      <c r="K601" s="76" t="str">
        <f t="shared" si="298"/>
        <v>revolutum</v>
      </c>
      <c r="L601" s="77">
        <f t="shared" si="298"/>
        <v>7</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2021</v>
      </c>
      <c r="B602" s="72" t="str">
        <f t="shared" si="277"/>
        <v>Nov</v>
      </c>
      <c r="C602" s="73">
        <f t="shared" si="295"/>
        <v>14</v>
      </c>
      <c r="D602" s="74">
        <f t="shared" si="278"/>
        <v>23</v>
      </c>
      <c r="E602" s="75">
        <f t="shared" si="279"/>
        <v>38</v>
      </c>
      <c r="F602" s="79">
        <v>51</v>
      </c>
      <c r="G602" s="82"/>
      <c r="H602" s="68" t="str">
        <f t="shared" si="296"/>
        <v>Hyprev7_20211114_23_00</v>
      </c>
      <c r="I602" s="69">
        <f t="shared" si="298"/>
        <v>1</v>
      </c>
      <c r="J602" s="76" t="str">
        <f t="shared" si="298"/>
        <v>Hypericum</v>
      </c>
      <c r="K602" s="76" t="str">
        <f t="shared" si="298"/>
        <v>revolutum</v>
      </c>
      <c r="L602" s="77">
        <f t="shared" si="298"/>
        <v>7</v>
      </c>
      <c r="M602" s="77">
        <f t="shared" si="298"/>
        <v>2</v>
      </c>
      <c r="N602" s="71">
        <f t="shared" si="298"/>
        <v>0</v>
      </c>
      <c r="O602" s="44"/>
      <c r="P602" s="45">
        <f t="shared" si="280"/>
        <v>1</v>
      </c>
      <c r="Q602" s="46" t="str">
        <f t="shared" si="281"/>
        <v>23:38:51</v>
      </c>
      <c r="R602" s="47" t="str">
        <f t="shared" si="282"/>
        <v>38:51</v>
      </c>
      <c r="S602" s="48">
        <f t="shared" si="271"/>
        <v>144</v>
      </c>
      <c r="T602" s="47" t="str">
        <f t="shared" si="283"/>
        <v>23</v>
      </c>
      <c r="U602" s="49">
        <v>41</v>
      </c>
      <c r="V602" s="50">
        <v>15</v>
      </c>
      <c r="W602" s="51" t="str">
        <f t="shared" si="284"/>
        <v>41:15</v>
      </c>
      <c r="X602" s="52" t="s">
        <v>59</v>
      </c>
      <c r="Y602" s="124" t="s">
        <v>243</v>
      </c>
      <c r="Z602" s="124"/>
      <c r="AA602" s="47" t="s">
        <v>254</v>
      </c>
      <c r="AB602" s="47" t="str">
        <f t="shared" si="285"/>
        <v>NA</v>
      </c>
      <c r="AC602" s="53" t="str">
        <f t="shared" si="286"/>
        <v/>
      </c>
      <c r="AD602" s="54">
        <f t="shared" si="287"/>
        <v>1</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t="s">
        <v>157</v>
      </c>
      <c r="AT602" s="58"/>
      <c r="AU602" s="58"/>
      <c r="AV602" s="59"/>
      <c r="AW602" s="60">
        <f t="shared" si="272"/>
        <v>0</v>
      </c>
      <c r="AX602" s="61" t="str">
        <f t="shared" si="273"/>
        <v/>
      </c>
      <c r="AY602" s="60">
        <f t="shared" si="274"/>
        <v>0</v>
      </c>
      <c r="AZ602" s="61" t="str">
        <f t="shared" si="275"/>
        <v/>
      </c>
    </row>
    <row r="603" spans="1:52" s="3" customFormat="1" hidden="1" x14ac:dyDescent="0.35">
      <c r="A603" s="72">
        <f t="shared" si="276"/>
        <v>2021</v>
      </c>
      <c r="B603" s="72" t="str">
        <f t="shared" si="277"/>
        <v>Nov</v>
      </c>
      <c r="C603" s="73">
        <f t="shared" si="295"/>
        <v>14</v>
      </c>
      <c r="D603" s="74">
        <f t="shared" si="278"/>
        <v>23</v>
      </c>
      <c r="E603" s="75">
        <f t="shared" si="279"/>
        <v>39</v>
      </c>
      <c r="F603" s="79"/>
      <c r="G603" s="82"/>
      <c r="H603" s="68" t="str">
        <f t="shared" si="296"/>
        <v>Hyprev7_20211114_23_00</v>
      </c>
      <c r="I603" s="69">
        <f t="shared" si="298"/>
        <v>1</v>
      </c>
      <c r="J603" s="76" t="str">
        <f t="shared" si="298"/>
        <v>Hypericum</v>
      </c>
      <c r="K603" s="76" t="str">
        <f t="shared" si="298"/>
        <v>revolutum</v>
      </c>
      <c r="L603" s="77">
        <f t="shared" si="298"/>
        <v>7</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v>
      </c>
      <c r="C604" s="73">
        <f t="shared" si="295"/>
        <v>14</v>
      </c>
      <c r="D604" s="74">
        <f t="shared" si="278"/>
        <v>23</v>
      </c>
      <c r="E604" s="75">
        <f t="shared" si="279"/>
        <v>40</v>
      </c>
      <c r="F604" s="79"/>
      <c r="G604" s="82"/>
      <c r="H604" s="68" t="str">
        <f t="shared" si="296"/>
        <v>Hyprev7_20211114_23_00</v>
      </c>
      <c r="I604" s="69">
        <f t="shared" si="298"/>
        <v>1</v>
      </c>
      <c r="J604" s="76" t="str">
        <f t="shared" si="298"/>
        <v>Hypericum</v>
      </c>
      <c r="K604" s="76" t="str">
        <f t="shared" si="298"/>
        <v>revolutum</v>
      </c>
      <c r="L604" s="77">
        <f t="shared" si="298"/>
        <v>7</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v>
      </c>
      <c r="C605" s="73">
        <f t="shared" si="295"/>
        <v>14</v>
      </c>
      <c r="D605" s="74">
        <f t="shared" si="278"/>
        <v>23</v>
      </c>
      <c r="E605" s="75">
        <f t="shared" si="279"/>
        <v>41</v>
      </c>
      <c r="F605" s="79"/>
      <c r="G605" s="82"/>
      <c r="H605" s="68" t="str">
        <f t="shared" si="296"/>
        <v>Hyprev7_20211114_23_00</v>
      </c>
      <c r="I605" s="69">
        <f t="shared" si="298"/>
        <v>1</v>
      </c>
      <c r="J605" s="76" t="str">
        <f t="shared" si="298"/>
        <v>Hypericum</v>
      </c>
      <c r="K605" s="76" t="str">
        <f t="shared" si="298"/>
        <v>revolutum</v>
      </c>
      <c r="L605" s="77">
        <f t="shared" si="298"/>
        <v>7</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v>
      </c>
      <c r="C606" s="73">
        <f t="shared" si="295"/>
        <v>14</v>
      </c>
      <c r="D606" s="74">
        <f t="shared" si="278"/>
        <v>23</v>
      </c>
      <c r="E606" s="75">
        <f t="shared" si="279"/>
        <v>42</v>
      </c>
      <c r="F606" s="79"/>
      <c r="G606" s="82"/>
      <c r="H606" s="68" t="str">
        <f t="shared" si="296"/>
        <v>Hyprev7_20211114_23_00</v>
      </c>
      <c r="I606" s="69">
        <f t="shared" si="298"/>
        <v>1</v>
      </c>
      <c r="J606" s="76" t="str">
        <f t="shared" si="298"/>
        <v>Hypericum</v>
      </c>
      <c r="K606" s="76" t="str">
        <f t="shared" si="298"/>
        <v>revolutum</v>
      </c>
      <c r="L606" s="77">
        <f t="shared" si="298"/>
        <v>7</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v>
      </c>
      <c r="C607" s="73">
        <f t="shared" si="295"/>
        <v>14</v>
      </c>
      <c r="D607" s="74">
        <f t="shared" si="278"/>
        <v>23</v>
      </c>
      <c r="E607" s="75">
        <f t="shared" si="279"/>
        <v>43</v>
      </c>
      <c r="F607" s="79"/>
      <c r="G607" s="82"/>
      <c r="H607" s="68" t="str">
        <f t="shared" si="296"/>
        <v>Hyprev7_20211114_23_00</v>
      </c>
      <c r="I607" s="69">
        <f t="shared" si="298"/>
        <v>1</v>
      </c>
      <c r="J607" s="76" t="str">
        <f t="shared" si="298"/>
        <v>Hypericum</v>
      </c>
      <c r="K607" s="76" t="str">
        <f t="shared" si="298"/>
        <v>revolutum</v>
      </c>
      <c r="L607" s="77">
        <f t="shared" si="298"/>
        <v>7</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v>
      </c>
      <c r="C608" s="73">
        <f t="shared" si="295"/>
        <v>14</v>
      </c>
      <c r="D608" s="74">
        <f t="shared" si="278"/>
        <v>23</v>
      </c>
      <c r="E608" s="75">
        <f t="shared" si="279"/>
        <v>44</v>
      </c>
      <c r="F608" s="79"/>
      <c r="G608" s="82"/>
      <c r="H608" s="68" t="str">
        <f t="shared" si="296"/>
        <v>Hyprev7_20211114_23_00</v>
      </c>
      <c r="I608" s="69">
        <f t="shared" si="298"/>
        <v>1</v>
      </c>
      <c r="J608" s="76" t="str">
        <f t="shared" si="298"/>
        <v>Hypericum</v>
      </c>
      <c r="K608" s="76" t="str">
        <f t="shared" si="298"/>
        <v>revolutum</v>
      </c>
      <c r="L608" s="77">
        <f t="shared" si="298"/>
        <v>7</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v>
      </c>
      <c r="C609" s="73">
        <f t="shared" si="295"/>
        <v>14</v>
      </c>
      <c r="D609" s="74">
        <f t="shared" si="278"/>
        <v>23</v>
      </c>
      <c r="E609" s="75">
        <f t="shared" si="279"/>
        <v>45</v>
      </c>
      <c r="F609" s="79"/>
      <c r="G609" s="82"/>
      <c r="H609" s="68" t="str">
        <f t="shared" si="296"/>
        <v>Hyprev7_20211114_23_00</v>
      </c>
      <c r="I609" s="69">
        <f t="shared" si="298"/>
        <v>1</v>
      </c>
      <c r="J609" s="76" t="str">
        <f t="shared" si="298"/>
        <v>Hypericum</v>
      </c>
      <c r="K609" s="76" t="str">
        <f t="shared" si="298"/>
        <v>revolutum</v>
      </c>
      <c r="L609" s="77">
        <f t="shared" si="298"/>
        <v>7</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v>
      </c>
      <c r="C610" s="73">
        <f t="shared" si="295"/>
        <v>14</v>
      </c>
      <c r="D610" s="74">
        <f t="shared" si="278"/>
        <v>23</v>
      </c>
      <c r="E610" s="75">
        <f t="shared" si="279"/>
        <v>46</v>
      </c>
      <c r="F610" s="79"/>
      <c r="G610" s="82"/>
      <c r="H610" s="68" t="str">
        <f t="shared" si="296"/>
        <v>Hyprev7_20211114_23_00</v>
      </c>
      <c r="I610" s="69">
        <f t="shared" si="298"/>
        <v>1</v>
      </c>
      <c r="J610" s="76" t="str">
        <f t="shared" si="298"/>
        <v>Hypericum</v>
      </c>
      <c r="K610" s="76" t="str">
        <f t="shared" si="298"/>
        <v>revolutum</v>
      </c>
      <c r="L610" s="77">
        <f t="shared" si="298"/>
        <v>7</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v>
      </c>
      <c r="C611" s="73">
        <f t="shared" si="295"/>
        <v>14</v>
      </c>
      <c r="D611" s="74">
        <f t="shared" si="278"/>
        <v>23</v>
      </c>
      <c r="E611" s="75">
        <f t="shared" si="279"/>
        <v>47</v>
      </c>
      <c r="F611" s="79"/>
      <c r="G611" s="82"/>
      <c r="H611" s="68" t="str">
        <f t="shared" si="296"/>
        <v>Hyprev7_20211114_23_00</v>
      </c>
      <c r="I611" s="69">
        <f t="shared" si="298"/>
        <v>1</v>
      </c>
      <c r="J611" s="76" t="str">
        <f t="shared" si="298"/>
        <v>Hypericum</v>
      </c>
      <c r="K611" s="76" t="str">
        <f t="shared" si="298"/>
        <v>revolutum</v>
      </c>
      <c r="L611" s="77">
        <f t="shared" si="298"/>
        <v>7</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v>
      </c>
      <c r="C612" s="73">
        <f t="shared" si="295"/>
        <v>14</v>
      </c>
      <c r="D612" s="74">
        <f t="shared" si="278"/>
        <v>23</v>
      </c>
      <c r="E612" s="75">
        <f t="shared" si="279"/>
        <v>48</v>
      </c>
      <c r="F612" s="79"/>
      <c r="G612" s="82"/>
      <c r="H612" s="68" t="str">
        <f t="shared" si="296"/>
        <v>Hyprev7_20211114_23_00</v>
      </c>
      <c r="I612" s="69">
        <f t="shared" si="298"/>
        <v>1</v>
      </c>
      <c r="J612" s="76" t="str">
        <f t="shared" si="298"/>
        <v>Hypericum</v>
      </c>
      <c r="K612" s="76" t="str">
        <f t="shared" si="298"/>
        <v>revolutum</v>
      </c>
      <c r="L612" s="77">
        <f t="shared" si="298"/>
        <v>7</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v>
      </c>
      <c r="C613" s="73">
        <f t="shared" si="295"/>
        <v>14</v>
      </c>
      <c r="D613" s="74">
        <f t="shared" si="278"/>
        <v>23</v>
      </c>
      <c r="E613" s="75">
        <f t="shared" si="279"/>
        <v>49</v>
      </c>
      <c r="F613" s="79"/>
      <c r="G613" s="82"/>
      <c r="H613" s="68" t="str">
        <f t="shared" si="296"/>
        <v>Hyprev7_20211114_23_00</v>
      </c>
      <c r="I613" s="69">
        <f t="shared" ref="I613:N628" si="299">I612</f>
        <v>1</v>
      </c>
      <c r="J613" s="76" t="str">
        <f t="shared" si="299"/>
        <v>Hypericum</v>
      </c>
      <c r="K613" s="76" t="str">
        <f t="shared" si="299"/>
        <v>revolutum</v>
      </c>
      <c r="L613" s="77">
        <f t="shared" si="299"/>
        <v>7</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v>
      </c>
      <c r="C614" s="73">
        <f t="shared" si="295"/>
        <v>14</v>
      </c>
      <c r="D614" s="74">
        <f t="shared" si="278"/>
        <v>23</v>
      </c>
      <c r="E614" s="75">
        <f t="shared" si="279"/>
        <v>50</v>
      </c>
      <c r="F614" s="79"/>
      <c r="G614" s="82"/>
      <c r="H614" s="68" t="str">
        <f t="shared" si="296"/>
        <v>Hyprev7_20211114_23_00</v>
      </c>
      <c r="I614" s="69">
        <f t="shared" si="299"/>
        <v>1</v>
      </c>
      <c r="J614" s="76" t="str">
        <f t="shared" si="299"/>
        <v>Hypericum</v>
      </c>
      <c r="K614" s="76" t="str">
        <f t="shared" si="299"/>
        <v>revolutum</v>
      </c>
      <c r="L614" s="77">
        <f t="shared" si="299"/>
        <v>7</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v>
      </c>
      <c r="C615" s="73">
        <f t="shared" si="295"/>
        <v>14</v>
      </c>
      <c r="D615" s="74">
        <f t="shared" si="278"/>
        <v>23</v>
      </c>
      <c r="E615" s="75">
        <f t="shared" si="279"/>
        <v>51</v>
      </c>
      <c r="F615" s="79"/>
      <c r="G615" s="82"/>
      <c r="H615" s="68" t="str">
        <f t="shared" si="296"/>
        <v>Hyprev7_20211114_23_00</v>
      </c>
      <c r="I615" s="69">
        <f t="shared" si="299"/>
        <v>1</v>
      </c>
      <c r="J615" s="76" t="str">
        <f t="shared" si="299"/>
        <v>Hypericum</v>
      </c>
      <c r="K615" s="76" t="str">
        <f t="shared" si="299"/>
        <v>revolutum</v>
      </c>
      <c r="L615" s="77">
        <f t="shared" si="299"/>
        <v>7</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v>
      </c>
      <c r="C616" s="73">
        <f t="shared" si="295"/>
        <v>14</v>
      </c>
      <c r="D616" s="74">
        <f t="shared" si="278"/>
        <v>23</v>
      </c>
      <c r="E616" s="75">
        <f t="shared" si="279"/>
        <v>52</v>
      </c>
      <c r="F616" s="79"/>
      <c r="G616" s="82"/>
      <c r="H616" s="68" t="str">
        <f t="shared" si="296"/>
        <v>Hyprev7_20211114_23_00</v>
      </c>
      <c r="I616" s="69">
        <f t="shared" si="299"/>
        <v>1</v>
      </c>
      <c r="J616" s="76" t="str">
        <f t="shared" si="299"/>
        <v>Hypericum</v>
      </c>
      <c r="K616" s="76" t="str">
        <f t="shared" si="299"/>
        <v>revolutum</v>
      </c>
      <c r="L616" s="77">
        <f t="shared" si="299"/>
        <v>7</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2021</v>
      </c>
      <c r="B617" s="72" t="str">
        <f t="shared" si="277"/>
        <v>Nov</v>
      </c>
      <c r="C617" s="73">
        <f t="shared" si="295"/>
        <v>14</v>
      </c>
      <c r="D617" s="74">
        <f t="shared" si="278"/>
        <v>23</v>
      </c>
      <c r="E617" s="75">
        <f t="shared" si="279"/>
        <v>53</v>
      </c>
      <c r="F617" s="79"/>
      <c r="G617" s="82"/>
      <c r="H617" s="68" t="str">
        <f t="shared" si="296"/>
        <v>Hyprev7_20211114_23_00</v>
      </c>
      <c r="I617" s="69">
        <f t="shared" si="299"/>
        <v>1</v>
      </c>
      <c r="J617" s="76" t="str">
        <f t="shared" si="299"/>
        <v>Hypericum</v>
      </c>
      <c r="K617" s="76" t="str">
        <f t="shared" si="299"/>
        <v>revolutum</v>
      </c>
      <c r="L617" s="77">
        <f t="shared" si="299"/>
        <v>7</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2021</v>
      </c>
      <c r="B618" s="72" t="str">
        <f t="shared" si="277"/>
        <v>Nov</v>
      </c>
      <c r="C618" s="73">
        <f t="shared" si="295"/>
        <v>14</v>
      </c>
      <c r="D618" s="74">
        <f t="shared" si="278"/>
        <v>23</v>
      </c>
      <c r="E618" s="75">
        <f t="shared" si="279"/>
        <v>54</v>
      </c>
      <c r="F618" s="79"/>
      <c r="G618" s="82"/>
      <c r="H618" s="68" t="str">
        <f t="shared" si="296"/>
        <v>Hyprev7_20211114_23_00</v>
      </c>
      <c r="I618" s="69">
        <f t="shared" si="299"/>
        <v>1</v>
      </c>
      <c r="J618" s="76" t="str">
        <f t="shared" si="299"/>
        <v>Hypericum</v>
      </c>
      <c r="K618" s="76" t="str">
        <f t="shared" si="299"/>
        <v>revolutum</v>
      </c>
      <c r="L618" s="77">
        <f t="shared" si="299"/>
        <v>7</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v>
      </c>
      <c r="C619" s="73">
        <f t="shared" si="295"/>
        <v>14</v>
      </c>
      <c r="D619" s="74">
        <f t="shared" si="278"/>
        <v>23</v>
      </c>
      <c r="E619" s="75">
        <f t="shared" si="279"/>
        <v>55</v>
      </c>
      <c r="F619" s="79"/>
      <c r="G619" s="82"/>
      <c r="H619" s="68" t="str">
        <f t="shared" si="296"/>
        <v>Hyprev7_20211114_23_00</v>
      </c>
      <c r="I619" s="69">
        <f t="shared" si="299"/>
        <v>1</v>
      </c>
      <c r="J619" s="76" t="str">
        <f t="shared" si="299"/>
        <v>Hypericum</v>
      </c>
      <c r="K619" s="76" t="str">
        <f t="shared" si="299"/>
        <v>revolutum</v>
      </c>
      <c r="L619" s="77">
        <f t="shared" si="299"/>
        <v>7</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v>
      </c>
      <c r="C620" s="73">
        <f t="shared" si="295"/>
        <v>14</v>
      </c>
      <c r="D620" s="74">
        <f t="shared" si="278"/>
        <v>23</v>
      </c>
      <c r="E620" s="75">
        <f t="shared" si="279"/>
        <v>56</v>
      </c>
      <c r="F620" s="79"/>
      <c r="G620" s="82"/>
      <c r="H620" s="68" t="str">
        <f t="shared" si="296"/>
        <v>Hyprev7_20211114_23_00</v>
      </c>
      <c r="I620" s="69">
        <f t="shared" si="299"/>
        <v>1</v>
      </c>
      <c r="J620" s="76" t="str">
        <f t="shared" si="299"/>
        <v>Hypericum</v>
      </c>
      <c r="K620" s="76" t="str">
        <f t="shared" si="299"/>
        <v>revolutum</v>
      </c>
      <c r="L620" s="77">
        <f t="shared" si="299"/>
        <v>7</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v>
      </c>
      <c r="C621" s="73">
        <f t="shared" si="295"/>
        <v>14</v>
      </c>
      <c r="D621" s="74">
        <f t="shared" si="278"/>
        <v>23</v>
      </c>
      <c r="E621" s="75">
        <f t="shared" si="279"/>
        <v>57</v>
      </c>
      <c r="F621" s="79"/>
      <c r="G621" s="82"/>
      <c r="H621" s="68" t="str">
        <f t="shared" si="296"/>
        <v>Hyprev7_20211114_23_00</v>
      </c>
      <c r="I621" s="69">
        <f t="shared" si="299"/>
        <v>1</v>
      </c>
      <c r="J621" s="76" t="str">
        <f t="shared" si="299"/>
        <v>Hypericum</v>
      </c>
      <c r="K621" s="76" t="str">
        <f t="shared" si="299"/>
        <v>revolutum</v>
      </c>
      <c r="L621" s="77">
        <f t="shared" si="299"/>
        <v>7</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v>
      </c>
      <c r="C622" s="73">
        <f t="shared" si="295"/>
        <v>14</v>
      </c>
      <c r="D622" s="74">
        <f t="shared" si="278"/>
        <v>23</v>
      </c>
      <c r="E622" s="75">
        <f t="shared" si="279"/>
        <v>58</v>
      </c>
      <c r="F622" s="79"/>
      <c r="G622" s="82"/>
      <c r="H622" s="68" t="str">
        <f t="shared" si="296"/>
        <v>Hyprev7_20211114_23_00</v>
      </c>
      <c r="I622" s="69">
        <f t="shared" si="299"/>
        <v>1</v>
      </c>
      <c r="J622" s="76" t="str">
        <f t="shared" si="299"/>
        <v>Hypericum</v>
      </c>
      <c r="K622" s="76" t="str">
        <f t="shared" si="299"/>
        <v>revolutum</v>
      </c>
      <c r="L622" s="77">
        <f t="shared" si="299"/>
        <v>7</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v>
      </c>
      <c r="C623" s="73">
        <f t="shared" si="295"/>
        <v>14</v>
      </c>
      <c r="D623" s="74">
        <f t="shared" si="278"/>
        <v>23</v>
      </c>
      <c r="E623" s="75">
        <f t="shared" si="279"/>
        <v>59</v>
      </c>
      <c r="F623" s="79"/>
      <c r="G623" s="82"/>
      <c r="H623" s="68" t="str">
        <f t="shared" si="296"/>
        <v>Hyprev7_20211114_23_00</v>
      </c>
      <c r="I623" s="69">
        <f t="shared" si="299"/>
        <v>1</v>
      </c>
      <c r="J623" s="76" t="str">
        <f t="shared" si="299"/>
        <v>Hypericum</v>
      </c>
      <c r="K623" s="76" t="str">
        <f t="shared" si="299"/>
        <v>revolutum</v>
      </c>
      <c r="L623" s="77">
        <f t="shared" si="299"/>
        <v>7</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v>
      </c>
      <c r="C624" s="73">
        <f t="shared" si="295"/>
        <v>15</v>
      </c>
      <c r="D624" s="74">
        <f t="shared" si="278"/>
        <v>0</v>
      </c>
      <c r="E624" s="75">
        <f t="shared" si="279"/>
        <v>0</v>
      </c>
      <c r="F624" s="79"/>
      <c r="G624" s="82"/>
      <c r="H624" s="68" t="str">
        <f t="shared" si="296"/>
        <v>Hyprev7_20211115_00_00</v>
      </c>
      <c r="I624" s="69">
        <f t="shared" si="299"/>
        <v>1</v>
      </c>
      <c r="J624" s="76" t="str">
        <f t="shared" si="299"/>
        <v>Hypericum</v>
      </c>
      <c r="K624" s="76" t="str">
        <f t="shared" si="299"/>
        <v>revolutum</v>
      </c>
      <c r="L624" s="77">
        <f t="shared" si="299"/>
        <v>7</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v>
      </c>
      <c r="C625" s="73">
        <f t="shared" si="295"/>
        <v>15</v>
      </c>
      <c r="D625" s="74">
        <f t="shared" si="278"/>
        <v>0</v>
      </c>
      <c r="E625" s="75">
        <f t="shared" si="279"/>
        <v>1</v>
      </c>
      <c r="F625" s="79"/>
      <c r="G625" s="82"/>
      <c r="H625" s="68" t="str">
        <f t="shared" si="296"/>
        <v>Hyprev7_20211115_00_00</v>
      </c>
      <c r="I625" s="69">
        <f t="shared" si="299"/>
        <v>1</v>
      </c>
      <c r="J625" s="76" t="str">
        <f t="shared" si="299"/>
        <v>Hypericum</v>
      </c>
      <c r="K625" s="76" t="str">
        <f t="shared" si="299"/>
        <v>revolutum</v>
      </c>
      <c r="L625" s="77">
        <f t="shared" si="299"/>
        <v>7</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v>
      </c>
      <c r="C626" s="73">
        <f t="shared" si="295"/>
        <v>15</v>
      </c>
      <c r="D626" s="74">
        <f t="shared" si="278"/>
        <v>0</v>
      </c>
      <c r="E626" s="75">
        <f t="shared" si="279"/>
        <v>2</v>
      </c>
      <c r="F626" s="79"/>
      <c r="G626" s="82"/>
      <c r="H626" s="68" t="str">
        <f t="shared" si="296"/>
        <v>Hyprev7_20211115_00_00</v>
      </c>
      <c r="I626" s="69">
        <f t="shared" si="299"/>
        <v>1</v>
      </c>
      <c r="J626" s="76" t="str">
        <f t="shared" si="299"/>
        <v>Hypericum</v>
      </c>
      <c r="K626" s="76" t="str">
        <f t="shared" si="299"/>
        <v>revolutum</v>
      </c>
      <c r="L626" s="77">
        <f t="shared" si="299"/>
        <v>7</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v>
      </c>
      <c r="C627" s="73">
        <f t="shared" si="295"/>
        <v>15</v>
      </c>
      <c r="D627" s="74">
        <f t="shared" si="278"/>
        <v>0</v>
      </c>
      <c r="E627" s="75">
        <f t="shared" si="279"/>
        <v>3</v>
      </c>
      <c r="F627" s="79"/>
      <c r="G627" s="82"/>
      <c r="H627" s="68" t="str">
        <f t="shared" si="296"/>
        <v>Hyprev7_20211115_00_00</v>
      </c>
      <c r="I627" s="69">
        <f t="shared" si="299"/>
        <v>1</v>
      </c>
      <c r="J627" s="76" t="str">
        <f t="shared" si="299"/>
        <v>Hypericum</v>
      </c>
      <c r="K627" s="76" t="str">
        <f t="shared" si="299"/>
        <v>revolutum</v>
      </c>
      <c r="L627" s="77">
        <f t="shared" si="299"/>
        <v>7</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v>
      </c>
      <c r="C628" s="73">
        <f t="shared" si="295"/>
        <v>15</v>
      </c>
      <c r="D628" s="74">
        <f t="shared" si="278"/>
        <v>0</v>
      </c>
      <c r="E628" s="75">
        <f t="shared" si="279"/>
        <v>4</v>
      </c>
      <c r="F628" s="79"/>
      <c r="G628" s="82"/>
      <c r="H628" s="68" t="str">
        <f t="shared" si="296"/>
        <v>Hyprev7_20211115_00_00</v>
      </c>
      <c r="I628" s="69">
        <f t="shared" si="299"/>
        <v>1</v>
      </c>
      <c r="J628" s="76" t="str">
        <f t="shared" si="299"/>
        <v>Hypericum</v>
      </c>
      <c r="K628" s="76" t="str">
        <f t="shared" si="299"/>
        <v>revolutum</v>
      </c>
      <c r="L628" s="77">
        <f t="shared" si="299"/>
        <v>7</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v>
      </c>
      <c r="C629" s="73">
        <f t="shared" si="295"/>
        <v>15</v>
      </c>
      <c r="D629" s="74">
        <f t="shared" si="278"/>
        <v>0</v>
      </c>
      <c r="E629" s="75">
        <f t="shared" si="279"/>
        <v>5</v>
      </c>
      <c r="F629" s="79"/>
      <c r="G629" s="82"/>
      <c r="H629" s="68" t="str">
        <f t="shared" si="296"/>
        <v>Hyprev7_20211115_00_00</v>
      </c>
      <c r="I629" s="69">
        <f t="shared" ref="I629:N644" si="300">I628</f>
        <v>1</v>
      </c>
      <c r="J629" s="76" t="str">
        <f t="shared" si="300"/>
        <v>Hypericum</v>
      </c>
      <c r="K629" s="76" t="str">
        <f t="shared" si="300"/>
        <v>revolutum</v>
      </c>
      <c r="L629" s="77">
        <f t="shared" si="300"/>
        <v>7</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v>
      </c>
      <c r="C630" s="73">
        <f t="shared" si="295"/>
        <v>15</v>
      </c>
      <c r="D630" s="74">
        <f t="shared" si="278"/>
        <v>0</v>
      </c>
      <c r="E630" s="75">
        <f t="shared" si="279"/>
        <v>6</v>
      </c>
      <c r="F630" s="79"/>
      <c r="G630" s="82"/>
      <c r="H630" s="68" t="str">
        <f t="shared" si="296"/>
        <v>Hyprev7_20211115_00_00</v>
      </c>
      <c r="I630" s="69">
        <f t="shared" si="300"/>
        <v>1</v>
      </c>
      <c r="J630" s="76" t="str">
        <f t="shared" si="300"/>
        <v>Hypericum</v>
      </c>
      <c r="K630" s="76" t="str">
        <f t="shared" si="300"/>
        <v>revolutum</v>
      </c>
      <c r="L630" s="77">
        <f t="shared" si="300"/>
        <v>7</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v>
      </c>
      <c r="C631" s="73">
        <f t="shared" si="295"/>
        <v>15</v>
      </c>
      <c r="D631" s="74">
        <f t="shared" si="278"/>
        <v>0</v>
      </c>
      <c r="E631" s="75">
        <f t="shared" si="279"/>
        <v>7</v>
      </c>
      <c r="F631" s="79"/>
      <c r="G631" s="82"/>
      <c r="H631" s="68" t="str">
        <f t="shared" si="296"/>
        <v>Hyprev7_20211115_00_00</v>
      </c>
      <c r="I631" s="69">
        <f t="shared" si="300"/>
        <v>1</v>
      </c>
      <c r="J631" s="76" t="str">
        <f t="shared" si="300"/>
        <v>Hypericum</v>
      </c>
      <c r="K631" s="76" t="str">
        <f t="shared" si="300"/>
        <v>revolutum</v>
      </c>
      <c r="L631" s="77">
        <f t="shared" si="300"/>
        <v>7</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v>
      </c>
      <c r="C632" s="73">
        <f t="shared" si="295"/>
        <v>15</v>
      </c>
      <c r="D632" s="74">
        <f t="shared" si="278"/>
        <v>0</v>
      </c>
      <c r="E632" s="75">
        <f t="shared" si="279"/>
        <v>8</v>
      </c>
      <c r="F632" s="79"/>
      <c r="G632" s="82"/>
      <c r="H632" s="68" t="str">
        <f t="shared" si="296"/>
        <v>Hyprev7_20211115_00_00</v>
      </c>
      <c r="I632" s="69">
        <f t="shared" si="300"/>
        <v>1</v>
      </c>
      <c r="J632" s="76" t="str">
        <f t="shared" si="300"/>
        <v>Hypericum</v>
      </c>
      <c r="K632" s="76" t="str">
        <f t="shared" si="300"/>
        <v>revolutum</v>
      </c>
      <c r="L632" s="77">
        <f t="shared" si="300"/>
        <v>7</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v>
      </c>
      <c r="C633" s="73">
        <f t="shared" si="295"/>
        <v>15</v>
      </c>
      <c r="D633" s="74">
        <f t="shared" si="278"/>
        <v>0</v>
      </c>
      <c r="E633" s="75">
        <f t="shared" si="279"/>
        <v>9</v>
      </c>
      <c r="F633" s="79"/>
      <c r="G633" s="82"/>
      <c r="H633" s="68" t="str">
        <f t="shared" si="296"/>
        <v>Hyprev7_20211115_00_00</v>
      </c>
      <c r="I633" s="69">
        <f t="shared" si="300"/>
        <v>1</v>
      </c>
      <c r="J633" s="76" t="str">
        <f t="shared" si="300"/>
        <v>Hypericum</v>
      </c>
      <c r="K633" s="76" t="str">
        <f t="shared" si="300"/>
        <v>revolutum</v>
      </c>
      <c r="L633" s="77">
        <f t="shared" si="300"/>
        <v>7</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v>
      </c>
      <c r="C634" s="73">
        <f t="shared" si="295"/>
        <v>15</v>
      </c>
      <c r="D634" s="74">
        <f t="shared" si="278"/>
        <v>0</v>
      </c>
      <c r="E634" s="75">
        <f t="shared" si="279"/>
        <v>10</v>
      </c>
      <c r="F634" s="79"/>
      <c r="G634" s="82"/>
      <c r="H634" s="68" t="str">
        <f t="shared" si="296"/>
        <v>Hyprev7_20211115_00_00</v>
      </c>
      <c r="I634" s="69">
        <f t="shared" si="300"/>
        <v>1</v>
      </c>
      <c r="J634" s="76" t="str">
        <f t="shared" si="300"/>
        <v>Hypericum</v>
      </c>
      <c r="K634" s="76" t="str">
        <f t="shared" si="300"/>
        <v>revolutum</v>
      </c>
      <c r="L634" s="77">
        <f t="shared" si="300"/>
        <v>7</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v>
      </c>
      <c r="C635" s="73">
        <f t="shared" si="295"/>
        <v>15</v>
      </c>
      <c r="D635" s="74">
        <f t="shared" si="278"/>
        <v>0</v>
      </c>
      <c r="E635" s="75">
        <f t="shared" si="279"/>
        <v>11</v>
      </c>
      <c r="F635" s="79"/>
      <c r="G635" s="82"/>
      <c r="H635" s="68" t="str">
        <f t="shared" si="296"/>
        <v>Hyprev7_20211115_00_00</v>
      </c>
      <c r="I635" s="69">
        <f t="shared" si="300"/>
        <v>1</v>
      </c>
      <c r="J635" s="76" t="str">
        <f t="shared" si="300"/>
        <v>Hypericum</v>
      </c>
      <c r="K635" s="76" t="str">
        <f t="shared" si="300"/>
        <v>revolutum</v>
      </c>
      <c r="L635" s="77">
        <f t="shared" si="300"/>
        <v>7</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v>
      </c>
      <c r="C636" s="73">
        <f t="shared" si="295"/>
        <v>15</v>
      </c>
      <c r="D636" s="74">
        <f t="shared" si="278"/>
        <v>0</v>
      </c>
      <c r="E636" s="75">
        <f t="shared" si="279"/>
        <v>12</v>
      </c>
      <c r="F636" s="79"/>
      <c r="G636" s="82"/>
      <c r="H636" s="68" t="str">
        <f t="shared" si="296"/>
        <v>Hyprev7_20211115_00_00</v>
      </c>
      <c r="I636" s="69">
        <f t="shared" si="300"/>
        <v>1</v>
      </c>
      <c r="J636" s="76" t="str">
        <f t="shared" si="300"/>
        <v>Hypericum</v>
      </c>
      <c r="K636" s="76" t="str">
        <f t="shared" si="300"/>
        <v>revolutum</v>
      </c>
      <c r="L636" s="77">
        <f t="shared" si="300"/>
        <v>7</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v>
      </c>
      <c r="C637" s="73">
        <f t="shared" si="295"/>
        <v>15</v>
      </c>
      <c r="D637" s="74">
        <f t="shared" si="278"/>
        <v>0</v>
      </c>
      <c r="E637" s="75">
        <f t="shared" si="279"/>
        <v>13</v>
      </c>
      <c r="F637" s="79"/>
      <c r="G637" s="82"/>
      <c r="H637" s="68" t="str">
        <f t="shared" si="296"/>
        <v>Hyprev7_20211115_00_00</v>
      </c>
      <c r="I637" s="69">
        <f t="shared" si="300"/>
        <v>1</v>
      </c>
      <c r="J637" s="76" t="str">
        <f t="shared" si="300"/>
        <v>Hypericum</v>
      </c>
      <c r="K637" s="76" t="str">
        <f t="shared" si="300"/>
        <v>revolutum</v>
      </c>
      <c r="L637" s="77">
        <f t="shared" si="300"/>
        <v>7</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v>
      </c>
      <c r="C638" s="73">
        <f t="shared" si="295"/>
        <v>15</v>
      </c>
      <c r="D638" s="74">
        <f t="shared" si="278"/>
        <v>0</v>
      </c>
      <c r="E638" s="75">
        <f t="shared" si="279"/>
        <v>14</v>
      </c>
      <c r="F638" s="79"/>
      <c r="G638" s="82"/>
      <c r="H638" s="68" t="str">
        <f t="shared" si="296"/>
        <v>Hyprev7_20211115_00_00</v>
      </c>
      <c r="I638" s="69">
        <f t="shared" si="300"/>
        <v>1</v>
      </c>
      <c r="J638" s="76" t="str">
        <f t="shared" si="300"/>
        <v>Hypericum</v>
      </c>
      <c r="K638" s="76" t="str">
        <f t="shared" si="300"/>
        <v>revolutum</v>
      </c>
      <c r="L638" s="77">
        <f t="shared" si="300"/>
        <v>7</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v>
      </c>
      <c r="C639" s="73">
        <f t="shared" si="295"/>
        <v>15</v>
      </c>
      <c r="D639" s="74">
        <f t="shared" si="278"/>
        <v>0</v>
      </c>
      <c r="E639" s="75">
        <f t="shared" si="279"/>
        <v>15</v>
      </c>
      <c r="F639" s="79"/>
      <c r="G639" s="82"/>
      <c r="H639" s="68" t="str">
        <f t="shared" si="296"/>
        <v>Hyprev7_20211115_00_00</v>
      </c>
      <c r="I639" s="69">
        <f t="shared" si="300"/>
        <v>1</v>
      </c>
      <c r="J639" s="76" t="str">
        <f t="shared" si="300"/>
        <v>Hypericum</v>
      </c>
      <c r="K639" s="76" t="str">
        <f t="shared" si="300"/>
        <v>revolutum</v>
      </c>
      <c r="L639" s="77">
        <f t="shared" si="300"/>
        <v>7</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v>
      </c>
      <c r="C640" s="73">
        <f t="shared" si="295"/>
        <v>15</v>
      </c>
      <c r="D640" s="74">
        <f t="shared" si="278"/>
        <v>0</v>
      </c>
      <c r="E640" s="75">
        <f t="shared" si="279"/>
        <v>16</v>
      </c>
      <c r="F640" s="79"/>
      <c r="G640" s="82"/>
      <c r="H640" s="68" t="str">
        <f t="shared" si="296"/>
        <v>Hyprev7_20211115_00_00</v>
      </c>
      <c r="I640" s="69">
        <f t="shared" si="300"/>
        <v>1</v>
      </c>
      <c r="J640" s="76" t="str">
        <f t="shared" si="300"/>
        <v>Hypericum</v>
      </c>
      <c r="K640" s="76" t="str">
        <f t="shared" si="300"/>
        <v>revolutum</v>
      </c>
      <c r="L640" s="77">
        <f t="shared" si="300"/>
        <v>7</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v>
      </c>
      <c r="C641" s="73">
        <f t="shared" si="295"/>
        <v>15</v>
      </c>
      <c r="D641" s="74">
        <f t="shared" si="278"/>
        <v>0</v>
      </c>
      <c r="E641" s="75">
        <f t="shared" si="279"/>
        <v>17</v>
      </c>
      <c r="F641" s="79"/>
      <c r="G641" s="82"/>
      <c r="H641" s="68" t="str">
        <f t="shared" si="296"/>
        <v>Hyprev7_20211115_00_00</v>
      </c>
      <c r="I641" s="69">
        <f t="shared" si="300"/>
        <v>1</v>
      </c>
      <c r="J641" s="76" t="str">
        <f t="shared" si="300"/>
        <v>Hypericum</v>
      </c>
      <c r="K641" s="76" t="str">
        <f t="shared" si="300"/>
        <v>revolutum</v>
      </c>
      <c r="L641" s="77">
        <f t="shared" si="300"/>
        <v>7</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v>
      </c>
      <c r="C642" s="73">
        <f t="shared" si="295"/>
        <v>15</v>
      </c>
      <c r="D642" s="74">
        <f t="shared" si="278"/>
        <v>0</v>
      </c>
      <c r="E642" s="75">
        <f t="shared" si="279"/>
        <v>18</v>
      </c>
      <c r="F642" s="79"/>
      <c r="G642" s="82"/>
      <c r="H642" s="68" t="str">
        <f t="shared" si="296"/>
        <v>Hyprev7_20211115_00_00</v>
      </c>
      <c r="I642" s="69">
        <f t="shared" si="300"/>
        <v>1</v>
      </c>
      <c r="J642" s="76" t="str">
        <f t="shared" si="300"/>
        <v>Hypericum</v>
      </c>
      <c r="K642" s="76" t="str">
        <f t="shared" si="300"/>
        <v>revolutum</v>
      </c>
      <c r="L642" s="77">
        <f t="shared" si="300"/>
        <v>7</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v>
      </c>
      <c r="C643" s="73">
        <f t="shared" si="295"/>
        <v>15</v>
      </c>
      <c r="D643" s="74">
        <f t="shared" si="278"/>
        <v>0</v>
      </c>
      <c r="E643" s="75">
        <f t="shared" si="279"/>
        <v>19</v>
      </c>
      <c r="F643" s="79"/>
      <c r="G643" s="82"/>
      <c r="H643" s="68" t="str">
        <f t="shared" si="296"/>
        <v>Hyprev7_20211115_00_00</v>
      </c>
      <c r="I643" s="69">
        <f t="shared" si="300"/>
        <v>1</v>
      </c>
      <c r="J643" s="76" t="str">
        <f t="shared" si="300"/>
        <v>Hypericum</v>
      </c>
      <c r="K643" s="76" t="str">
        <f t="shared" si="300"/>
        <v>revolutum</v>
      </c>
      <c r="L643" s="77">
        <f t="shared" si="300"/>
        <v>7</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v>
      </c>
      <c r="C644" s="73">
        <f t="shared" si="295"/>
        <v>15</v>
      </c>
      <c r="D644" s="74">
        <f t="shared" ref="D644:D707" si="308">IF(IF(E643=59,D643+1,D643)=24,0,IF(E643=59,D643+1,D643))</f>
        <v>0</v>
      </c>
      <c r="E644" s="75">
        <f t="shared" ref="E644:E707" si="309">IF(E643&lt;59,E643+1,0)</f>
        <v>20</v>
      </c>
      <c r="F644" s="79"/>
      <c r="G644" s="82"/>
      <c r="H644" s="68" t="str">
        <f t="shared" si="296"/>
        <v>Hyprev7_20211115_00_00</v>
      </c>
      <c r="I644" s="69">
        <f t="shared" si="300"/>
        <v>1</v>
      </c>
      <c r="J644" s="76" t="str">
        <f t="shared" si="300"/>
        <v>Hypericum</v>
      </c>
      <c r="K644" s="76" t="str">
        <f t="shared" si="300"/>
        <v>revolutum</v>
      </c>
      <c r="L644" s="77">
        <f t="shared" si="300"/>
        <v>7</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v>
      </c>
      <c r="C645" s="73">
        <f t="shared" ref="C645:C708" si="325">IF(AND(D645=0, E645=0), IF(TEXT(C644,"dd")=TEXT(EOMONTH(DATE(A644,MONTH(DATEVALUE(B644&amp;"1")),C644),0), "dd"), 1, C644+1), C644)</f>
        <v>15</v>
      </c>
      <c r="D645" s="74">
        <f t="shared" si="308"/>
        <v>0</v>
      </c>
      <c r="E645" s="75">
        <f t="shared" si="309"/>
        <v>21</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Hyprev7_20211115_00_00</v>
      </c>
      <c r="I645" s="69">
        <f t="shared" ref="I645:N660" si="327">I644</f>
        <v>1</v>
      </c>
      <c r="J645" s="76" t="str">
        <f t="shared" si="327"/>
        <v>Hypericum</v>
      </c>
      <c r="K645" s="76" t="str">
        <f t="shared" si="327"/>
        <v>revolutum</v>
      </c>
      <c r="L645" s="77">
        <f t="shared" si="327"/>
        <v>7</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v>
      </c>
      <c r="C646" s="73">
        <f t="shared" si="325"/>
        <v>15</v>
      </c>
      <c r="D646" s="74">
        <f t="shared" si="308"/>
        <v>0</v>
      </c>
      <c r="E646" s="75">
        <f t="shared" si="309"/>
        <v>22</v>
      </c>
      <c r="F646" s="79"/>
      <c r="G646" s="82"/>
      <c r="H646" s="68" t="str">
        <f t="shared" si="326"/>
        <v>Hyprev7_20211115_00_00</v>
      </c>
      <c r="I646" s="69">
        <f t="shared" si="327"/>
        <v>1</v>
      </c>
      <c r="J646" s="76" t="str">
        <f t="shared" si="327"/>
        <v>Hypericum</v>
      </c>
      <c r="K646" s="76" t="str">
        <f t="shared" si="327"/>
        <v>revolutum</v>
      </c>
      <c r="L646" s="77">
        <f t="shared" si="327"/>
        <v>7</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v>
      </c>
      <c r="C647" s="73">
        <f t="shared" si="325"/>
        <v>15</v>
      </c>
      <c r="D647" s="74">
        <f t="shared" si="308"/>
        <v>0</v>
      </c>
      <c r="E647" s="75">
        <f t="shared" si="309"/>
        <v>23</v>
      </c>
      <c r="F647" s="79"/>
      <c r="G647" s="82"/>
      <c r="H647" s="68" t="str">
        <f t="shared" si="326"/>
        <v>Hyprev7_20211115_00_00</v>
      </c>
      <c r="I647" s="69">
        <f t="shared" si="327"/>
        <v>1</v>
      </c>
      <c r="J647" s="76" t="str">
        <f t="shared" si="327"/>
        <v>Hypericum</v>
      </c>
      <c r="K647" s="76" t="str">
        <f t="shared" si="327"/>
        <v>revolutum</v>
      </c>
      <c r="L647" s="77">
        <f t="shared" si="327"/>
        <v>7</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v>
      </c>
      <c r="C648" s="73">
        <f t="shared" si="325"/>
        <v>15</v>
      </c>
      <c r="D648" s="74">
        <f t="shared" si="308"/>
        <v>0</v>
      </c>
      <c r="E648" s="75">
        <f t="shared" si="309"/>
        <v>24</v>
      </c>
      <c r="F648" s="79"/>
      <c r="G648" s="82"/>
      <c r="H648" s="68" t="str">
        <f t="shared" si="326"/>
        <v>Hyprev7_20211115_00_00</v>
      </c>
      <c r="I648" s="69">
        <f t="shared" si="327"/>
        <v>1</v>
      </c>
      <c r="J648" s="76" t="str">
        <f t="shared" si="327"/>
        <v>Hypericum</v>
      </c>
      <c r="K648" s="76" t="str">
        <f t="shared" si="327"/>
        <v>revolutum</v>
      </c>
      <c r="L648" s="77">
        <f t="shared" si="327"/>
        <v>7</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v>
      </c>
      <c r="C649" s="73">
        <f t="shared" si="325"/>
        <v>15</v>
      </c>
      <c r="D649" s="74">
        <f t="shared" si="308"/>
        <v>0</v>
      </c>
      <c r="E649" s="75">
        <f t="shared" si="309"/>
        <v>25</v>
      </c>
      <c r="F649" s="79"/>
      <c r="G649" s="82"/>
      <c r="H649" s="68" t="str">
        <f t="shared" si="326"/>
        <v>Hyprev7_20211115_00_00</v>
      </c>
      <c r="I649" s="69">
        <f t="shared" si="327"/>
        <v>1</v>
      </c>
      <c r="J649" s="76" t="str">
        <f t="shared" si="327"/>
        <v>Hypericum</v>
      </c>
      <c r="K649" s="76" t="str">
        <f t="shared" si="327"/>
        <v>revolutum</v>
      </c>
      <c r="L649" s="77">
        <f t="shared" si="327"/>
        <v>7</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v>
      </c>
      <c r="C650" s="73">
        <f t="shared" si="325"/>
        <v>15</v>
      </c>
      <c r="D650" s="74">
        <f t="shared" si="308"/>
        <v>0</v>
      </c>
      <c r="E650" s="75">
        <f t="shared" si="309"/>
        <v>26</v>
      </c>
      <c r="F650" s="79"/>
      <c r="G650" s="82"/>
      <c r="H650" s="68" t="str">
        <f t="shared" si="326"/>
        <v>Hyprev7_20211115_00_00</v>
      </c>
      <c r="I650" s="69">
        <f t="shared" si="327"/>
        <v>1</v>
      </c>
      <c r="J650" s="76" t="str">
        <f t="shared" si="327"/>
        <v>Hypericum</v>
      </c>
      <c r="K650" s="76" t="str">
        <f t="shared" si="327"/>
        <v>revolutum</v>
      </c>
      <c r="L650" s="77">
        <f t="shared" si="327"/>
        <v>7</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v>
      </c>
      <c r="C651" s="73">
        <f t="shared" si="325"/>
        <v>15</v>
      </c>
      <c r="D651" s="74">
        <f t="shared" si="308"/>
        <v>0</v>
      </c>
      <c r="E651" s="75">
        <f t="shared" si="309"/>
        <v>27</v>
      </c>
      <c r="F651" s="79"/>
      <c r="G651" s="82"/>
      <c r="H651" s="68" t="str">
        <f t="shared" si="326"/>
        <v>Hyprev7_20211115_00_00</v>
      </c>
      <c r="I651" s="69">
        <f t="shared" si="327"/>
        <v>1</v>
      </c>
      <c r="J651" s="76" t="str">
        <f t="shared" si="327"/>
        <v>Hypericum</v>
      </c>
      <c r="K651" s="76" t="str">
        <f t="shared" si="327"/>
        <v>revolutum</v>
      </c>
      <c r="L651" s="77">
        <f t="shared" si="327"/>
        <v>7</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v>
      </c>
      <c r="C652" s="73">
        <f t="shared" si="325"/>
        <v>15</v>
      </c>
      <c r="D652" s="74">
        <f t="shared" si="308"/>
        <v>0</v>
      </c>
      <c r="E652" s="75">
        <f t="shared" si="309"/>
        <v>28</v>
      </c>
      <c r="F652" s="79"/>
      <c r="G652" s="82"/>
      <c r="H652" s="68" t="str">
        <f t="shared" si="326"/>
        <v>Hyprev7_20211115_00_00</v>
      </c>
      <c r="I652" s="69">
        <f t="shared" si="327"/>
        <v>1</v>
      </c>
      <c r="J652" s="76" t="str">
        <f t="shared" si="327"/>
        <v>Hypericum</v>
      </c>
      <c r="K652" s="76" t="str">
        <f t="shared" si="327"/>
        <v>revolutum</v>
      </c>
      <c r="L652" s="77">
        <f t="shared" si="327"/>
        <v>7</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v>
      </c>
      <c r="C653" s="73">
        <f t="shared" si="325"/>
        <v>15</v>
      </c>
      <c r="D653" s="74">
        <f t="shared" si="308"/>
        <v>0</v>
      </c>
      <c r="E653" s="75">
        <f t="shared" si="309"/>
        <v>29</v>
      </c>
      <c r="F653" s="79"/>
      <c r="G653" s="82"/>
      <c r="H653" s="68" t="str">
        <f t="shared" si="326"/>
        <v>Hyprev7_20211115_00_00</v>
      </c>
      <c r="I653" s="69">
        <f t="shared" si="327"/>
        <v>1</v>
      </c>
      <c r="J653" s="76" t="str">
        <f t="shared" si="327"/>
        <v>Hypericum</v>
      </c>
      <c r="K653" s="76" t="str">
        <f t="shared" si="327"/>
        <v>revolutum</v>
      </c>
      <c r="L653" s="77">
        <f t="shared" si="327"/>
        <v>7</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v>
      </c>
      <c r="C654" s="73">
        <f t="shared" si="325"/>
        <v>15</v>
      </c>
      <c r="D654" s="74">
        <f t="shared" si="308"/>
        <v>0</v>
      </c>
      <c r="E654" s="75">
        <f t="shared" si="309"/>
        <v>30</v>
      </c>
      <c r="F654" s="79"/>
      <c r="G654" s="82"/>
      <c r="H654" s="68" t="str">
        <f t="shared" si="326"/>
        <v>Hyprev7_20211115_00_00</v>
      </c>
      <c r="I654" s="69">
        <f t="shared" si="327"/>
        <v>1</v>
      </c>
      <c r="J654" s="76" t="str">
        <f t="shared" si="327"/>
        <v>Hypericum</v>
      </c>
      <c r="K654" s="76" t="str">
        <f t="shared" si="327"/>
        <v>revolutum</v>
      </c>
      <c r="L654" s="77">
        <f t="shared" si="327"/>
        <v>7</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v>
      </c>
      <c r="C655" s="73">
        <f t="shared" si="325"/>
        <v>15</v>
      </c>
      <c r="D655" s="74">
        <f t="shared" si="308"/>
        <v>0</v>
      </c>
      <c r="E655" s="75">
        <f t="shared" si="309"/>
        <v>31</v>
      </c>
      <c r="F655" s="79"/>
      <c r="G655" s="82"/>
      <c r="H655" s="68" t="str">
        <f t="shared" si="326"/>
        <v>Hyprev7_20211115_00_00</v>
      </c>
      <c r="I655" s="69">
        <f t="shared" si="327"/>
        <v>1</v>
      </c>
      <c r="J655" s="76" t="str">
        <f t="shared" si="327"/>
        <v>Hypericum</v>
      </c>
      <c r="K655" s="76" t="str">
        <f t="shared" si="327"/>
        <v>revolutum</v>
      </c>
      <c r="L655" s="77">
        <f t="shared" si="327"/>
        <v>7</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v>
      </c>
      <c r="C656" s="73">
        <f t="shared" si="325"/>
        <v>15</v>
      </c>
      <c r="D656" s="74">
        <f t="shared" si="308"/>
        <v>0</v>
      </c>
      <c r="E656" s="75">
        <f t="shared" si="309"/>
        <v>32</v>
      </c>
      <c r="F656" s="79"/>
      <c r="G656" s="82"/>
      <c r="H656" s="68" t="str">
        <f t="shared" si="326"/>
        <v>Hyprev7_20211115_00_00</v>
      </c>
      <c r="I656" s="69">
        <f t="shared" si="327"/>
        <v>1</v>
      </c>
      <c r="J656" s="76" t="str">
        <f t="shared" si="327"/>
        <v>Hypericum</v>
      </c>
      <c r="K656" s="76" t="str">
        <f t="shared" si="327"/>
        <v>revolutum</v>
      </c>
      <c r="L656" s="77">
        <f t="shared" si="327"/>
        <v>7</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v>
      </c>
      <c r="C657" s="73">
        <f t="shared" si="325"/>
        <v>15</v>
      </c>
      <c r="D657" s="74">
        <f t="shared" si="308"/>
        <v>0</v>
      </c>
      <c r="E657" s="75">
        <f t="shared" si="309"/>
        <v>33</v>
      </c>
      <c r="F657" s="79"/>
      <c r="G657" s="82"/>
      <c r="H657" s="68" t="str">
        <f t="shared" si="326"/>
        <v>Hyprev7_20211115_00_00</v>
      </c>
      <c r="I657" s="69">
        <f t="shared" si="327"/>
        <v>1</v>
      </c>
      <c r="J657" s="76" t="str">
        <f t="shared" si="327"/>
        <v>Hypericum</v>
      </c>
      <c r="K657" s="76" t="str">
        <f t="shared" si="327"/>
        <v>revolutum</v>
      </c>
      <c r="L657" s="77">
        <f t="shared" si="327"/>
        <v>7</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v>
      </c>
      <c r="C658" s="73">
        <f t="shared" si="325"/>
        <v>15</v>
      </c>
      <c r="D658" s="74">
        <f t="shared" si="308"/>
        <v>0</v>
      </c>
      <c r="E658" s="75">
        <f t="shared" si="309"/>
        <v>34</v>
      </c>
      <c r="F658" s="79"/>
      <c r="G658" s="82"/>
      <c r="H658" s="68" t="str">
        <f t="shared" si="326"/>
        <v>Hyprev7_20211115_00_00</v>
      </c>
      <c r="I658" s="69">
        <f t="shared" si="327"/>
        <v>1</v>
      </c>
      <c r="J658" s="76" t="str">
        <f t="shared" si="327"/>
        <v>Hypericum</v>
      </c>
      <c r="K658" s="76" t="str">
        <f t="shared" si="327"/>
        <v>revolutum</v>
      </c>
      <c r="L658" s="77">
        <f t="shared" si="327"/>
        <v>7</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v>
      </c>
      <c r="C659" s="73">
        <f t="shared" si="325"/>
        <v>15</v>
      </c>
      <c r="D659" s="74">
        <f t="shared" si="308"/>
        <v>0</v>
      </c>
      <c r="E659" s="75">
        <f t="shared" si="309"/>
        <v>35</v>
      </c>
      <c r="F659" s="79"/>
      <c r="G659" s="82"/>
      <c r="H659" s="68" t="str">
        <f t="shared" si="326"/>
        <v>Hyprev7_20211115_00_00</v>
      </c>
      <c r="I659" s="69">
        <f t="shared" si="327"/>
        <v>1</v>
      </c>
      <c r="J659" s="76" t="str">
        <f t="shared" si="327"/>
        <v>Hypericum</v>
      </c>
      <c r="K659" s="76" t="str">
        <f t="shared" si="327"/>
        <v>revolutum</v>
      </c>
      <c r="L659" s="77">
        <f t="shared" si="327"/>
        <v>7</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v>
      </c>
      <c r="C660" s="73">
        <f t="shared" si="325"/>
        <v>15</v>
      </c>
      <c r="D660" s="74">
        <f t="shared" si="308"/>
        <v>0</v>
      </c>
      <c r="E660" s="75">
        <f t="shared" si="309"/>
        <v>36</v>
      </c>
      <c r="F660" s="79"/>
      <c r="G660" s="82"/>
      <c r="H660" s="68" t="str">
        <f t="shared" si="326"/>
        <v>Hyprev7_20211115_00_00</v>
      </c>
      <c r="I660" s="69">
        <f t="shared" si="327"/>
        <v>1</v>
      </c>
      <c r="J660" s="76" t="str">
        <f t="shared" si="327"/>
        <v>Hypericum</v>
      </c>
      <c r="K660" s="76" t="str">
        <f t="shared" si="327"/>
        <v>revolutum</v>
      </c>
      <c r="L660" s="77">
        <f t="shared" si="327"/>
        <v>7</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v>
      </c>
      <c r="C661" s="73">
        <f t="shared" si="325"/>
        <v>15</v>
      </c>
      <c r="D661" s="74">
        <f t="shared" si="308"/>
        <v>0</v>
      </c>
      <c r="E661" s="75">
        <f t="shared" si="309"/>
        <v>37</v>
      </c>
      <c r="F661" s="79"/>
      <c r="G661" s="82"/>
      <c r="H661" s="68" t="str">
        <f t="shared" si="326"/>
        <v>Hyprev7_20211115_00_00</v>
      </c>
      <c r="I661" s="69">
        <f t="shared" ref="I661:N676" si="328">I660</f>
        <v>1</v>
      </c>
      <c r="J661" s="76" t="str">
        <f t="shared" si="328"/>
        <v>Hypericum</v>
      </c>
      <c r="K661" s="76" t="str">
        <f t="shared" si="328"/>
        <v>revolutum</v>
      </c>
      <c r="L661" s="77">
        <f t="shared" si="328"/>
        <v>7</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v>
      </c>
      <c r="C662" s="73">
        <f t="shared" si="325"/>
        <v>15</v>
      </c>
      <c r="D662" s="74">
        <f t="shared" si="308"/>
        <v>0</v>
      </c>
      <c r="E662" s="75">
        <f t="shared" si="309"/>
        <v>38</v>
      </c>
      <c r="F662" s="79"/>
      <c r="G662" s="82"/>
      <c r="H662" s="68" t="str">
        <f t="shared" si="326"/>
        <v>Hyprev7_20211115_00_00</v>
      </c>
      <c r="I662" s="69">
        <f t="shared" si="328"/>
        <v>1</v>
      </c>
      <c r="J662" s="76" t="str">
        <f t="shared" si="328"/>
        <v>Hypericum</v>
      </c>
      <c r="K662" s="76" t="str">
        <f t="shared" si="328"/>
        <v>revolutum</v>
      </c>
      <c r="L662" s="77">
        <f t="shared" si="328"/>
        <v>7</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v>
      </c>
      <c r="C663" s="73">
        <f t="shared" si="325"/>
        <v>15</v>
      </c>
      <c r="D663" s="74">
        <f t="shared" si="308"/>
        <v>0</v>
      </c>
      <c r="E663" s="75">
        <f t="shared" si="309"/>
        <v>39</v>
      </c>
      <c r="F663" s="79"/>
      <c r="G663" s="82"/>
      <c r="H663" s="68" t="str">
        <f t="shared" si="326"/>
        <v>Hyprev7_20211115_00_00</v>
      </c>
      <c r="I663" s="69">
        <f t="shared" si="328"/>
        <v>1</v>
      </c>
      <c r="J663" s="76" t="str">
        <f t="shared" si="328"/>
        <v>Hypericum</v>
      </c>
      <c r="K663" s="76" t="str">
        <f t="shared" si="328"/>
        <v>revolutum</v>
      </c>
      <c r="L663" s="77">
        <f t="shared" si="328"/>
        <v>7</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v>
      </c>
      <c r="C664" s="73">
        <f t="shared" si="325"/>
        <v>15</v>
      </c>
      <c r="D664" s="74">
        <f t="shared" si="308"/>
        <v>0</v>
      </c>
      <c r="E664" s="75">
        <f t="shared" si="309"/>
        <v>40</v>
      </c>
      <c r="F664" s="79"/>
      <c r="G664" s="82"/>
      <c r="H664" s="68" t="str">
        <f t="shared" si="326"/>
        <v>Hyprev7_20211115_00_00</v>
      </c>
      <c r="I664" s="69">
        <f t="shared" si="328"/>
        <v>1</v>
      </c>
      <c r="J664" s="76" t="str">
        <f t="shared" si="328"/>
        <v>Hypericum</v>
      </c>
      <c r="K664" s="76" t="str">
        <f t="shared" si="328"/>
        <v>revolutum</v>
      </c>
      <c r="L664" s="77">
        <f t="shared" si="328"/>
        <v>7</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v>
      </c>
      <c r="C665" s="73">
        <f t="shared" si="325"/>
        <v>15</v>
      </c>
      <c r="D665" s="74">
        <f t="shared" si="308"/>
        <v>0</v>
      </c>
      <c r="E665" s="75">
        <f t="shared" si="309"/>
        <v>41</v>
      </c>
      <c r="F665" s="79"/>
      <c r="G665" s="82"/>
      <c r="H665" s="68" t="str">
        <f t="shared" si="326"/>
        <v>Hyprev7_20211115_00_00</v>
      </c>
      <c r="I665" s="69">
        <f t="shared" si="328"/>
        <v>1</v>
      </c>
      <c r="J665" s="76" t="str">
        <f t="shared" si="328"/>
        <v>Hypericum</v>
      </c>
      <c r="K665" s="76" t="str">
        <f t="shared" si="328"/>
        <v>revolutum</v>
      </c>
      <c r="L665" s="77">
        <f t="shared" si="328"/>
        <v>7</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v>
      </c>
      <c r="C666" s="73">
        <f t="shared" si="325"/>
        <v>15</v>
      </c>
      <c r="D666" s="74">
        <f t="shared" si="308"/>
        <v>0</v>
      </c>
      <c r="E666" s="75">
        <f t="shared" si="309"/>
        <v>42</v>
      </c>
      <c r="F666" s="79"/>
      <c r="G666" s="82"/>
      <c r="H666" s="68" t="str">
        <f t="shared" si="326"/>
        <v>Hyprev7_20211115_00_00</v>
      </c>
      <c r="I666" s="69">
        <f t="shared" si="328"/>
        <v>1</v>
      </c>
      <c r="J666" s="76" t="str">
        <f t="shared" si="328"/>
        <v>Hypericum</v>
      </c>
      <c r="K666" s="76" t="str">
        <f t="shared" si="328"/>
        <v>revolutum</v>
      </c>
      <c r="L666" s="77">
        <f t="shared" si="328"/>
        <v>7</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v>
      </c>
      <c r="C667" s="73">
        <f t="shared" si="325"/>
        <v>15</v>
      </c>
      <c r="D667" s="74">
        <f t="shared" si="308"/>
        <v>0</v>
      </c>
      <c r="E667" s="75">
        <f t="shared" si="309"/>
        <v>43</v>
      </c>
      <c r="F667" s="79"/>
      <c r="G667" s="82"/>
      <c r="H667" s="68" t="str">
        <f t="shared" si="326"/>
        <v>Hyprev7_20211115_00_00</v>
      </c>
      <c r="I667" s="69">
        <f t="shared" si="328"/>
        <v>1</v>
      </c>
      <c r="J667" s="76" t="str">
        <f t="shared" si="328"/>
        <v>Hypericum</v>
      </c>
      <c r="K667" s="76" t="str">
        <f t="shared" si="328"/>
        <v>revolutum</v>
      </c>
      <c r="L667" s="77">
        <f t="shared" si="328"/>
        <v>7</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v>
      </c>
      <c r="C668" s="73">
        <f t="shared" si="325"/>
        <v>15</v>
      </c>
      <c r="D668" s="74">
        <f t="shared" si="308"/>
        <v>0</v>
      </c>
      <c r="E668" s="75">
        <f t="shared" si="309"/>
        <v>44</v>
      </c>
      <c r="F668" s="79"/>
      <c r="G668" s="82"/>
      <c r="H668" s="68" t="str">
        <f t="shared" si="326"/>
        <v>Hyprev7_20211115_00_00</v>
      </c>
      <c r="I668" s="69">
        <f t="shared" si="328"/>
        <v>1</v>
      </c>
      <c r="J668" s="76" t="str">
        <f t="shared" si="328"/>
        <v>Hypericum</v>
      </c>
      <c r="K668" s="76" t="str">
        <f t="shared" si="328"/>
        <v>revolutum</v>
      </c>
      <c r="L668" s="77">
        <f t="shared" si="328"/>
        <v>7</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v>
      </c>
      <c r="C669" s="73">
        <f t="shared" si="325"/>
        <v>15</v>
      </c>
      <c r="D669" s="74">
        <f t="shared" si="308"/>
        <v>0</v>
      </c>
      <c r="E669" s="75">
        <f t="shared" si="309"/>
        <v>45</v>
      </c>
      <c r="F669" s="79"/>
      <c r="G669" s="82"/>
      <c r="H669" s="68" t="str">
        <f t="shared" si="326"/>
        <v>Hyprev7_20211115_00_00</v>
      </c>
      <c r="I669" s="69">
        <f t="shared" si="328"/>
        <v>1</v>
      </c>
      <c r="J669" s="76" t="str">
        <f t="shared" si="328"/>
        <v>Hypericum</v>
      </c>
      <c r="K669" s="76" t="str">
        <f t="shared" si="328"/>
        <v>revolutum</v>
      </c>
      <c r="L669" s="77">
        <f t="shared" si="328"/>
        <v>7</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v>
      </c>
      <c r="C670" s="73">
        <f t="shared" si="325"/>
        <v>15</v>
      </c>
      <c r="D670" s="74">
        <f t="shared" si="308"/>
        <v>0</v>
      </c>
      <c r="E670" s="75">
        <f t="shared" si="309"/>
        <v>46</v>
      </c>
      <c r="F670" s="79"/>
      <c r="G670" s="82"/>
      <c r="H670" s="68" t="str">
        <f t="shared" si="326"/>
        <v>Hyprev7_20211115_00_00</v>
      </c>
      <c r="I670" s="69">
        <f t="shared" si="328"/>
        <v>1</v>
      </c>
      <c r="J670" s="76" t="str">
        <f t="shared" si="328"/>
        <v>Hypericum</v>
      </c>
      <c r="K670" s="76" t="str">
        <f t="shared" si="328"/>
        <v>revolutum</v>
      </c>
      <c r="L670" s="77">
        <f t="shared" si="328"/>
        <v>7</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v>
      </c>
      <c r="C671" s="73">
        <f t="shared" si="325"/>
        <v>15</v>
      </c>
      <c r="D671" s="74">
        <f t="shared" si="308"/>
        <v>0</v>
      </c>
      <c r="E671" s="75">
        <f t="shared" si="309"/>
        <v>47</v>
      </c>
      <c r="F671" s="79"/>
      <c r="G671" s="82"/>
      <c r="H671" s="68" t="str">
        <f t="shared" si="326"/>
        <v>Hyprev7_20211115_00_00</v>
      </c>
      <c r="I671" s="69">
        <f t="shared" si="328"/>
        <v>1</v>
      </c>
      <c r="J671" s="76" t="str">
        <f t="shared" si="328"/>
        <v>Hypericum</v>
      </c>
      <c r="K671" s="76" t="str">
        <f t="shared" si="328"/>
        <v>revolutum</v>
      </c>
      <c r="L671" s="77">
        <f t="shared" si="328"/>
        <v>7</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v>
      </c>
      <c r="C672" s="73">
        <f t="shared" si="325"/>
        <v>15</v>
      </c>
      <c r="D672" s="74">
        <f t="shared" si="308"/>
        <v>0</v>
      </c>
      <c r="E672" s="75">
        <f t="shared" si="309"/>
        <v>48</v>
      </c>
      <c r="F672" s="79"/>
      <c r="G672" s="82"/>
      <c r="H672" s="68" t="str">
        <f t="shared" si="326"/>
        <v>Hyprev7_20211115_00_00</v>
      </c>
      <c r="I672" s="69">
        <f t="shared" si="328"/>
        <v>1</v>
      </c>
      <c r="J672" s="76" t="str">
        <f t="shared" si="328"/>
        <v>Hypericum</v>
      </c>
      <c r="K672" s="76" t="str">
        <f t="shared" si="328"/>
        <v>revolutum</v>
      </c>
      <c r="L672" s="77">
        <f t="shared" si="328"/>
        <v>7</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v>
      </c>
      <c r="C673" s="73">
        <f t="shared" si="325"/>
        <v>15</v>
      </c>
      <c r="D673" s="74">
        <f t="shared" si="308"/>
        <v>0</v>
      </c>
      <c r="E673" s="75">
        <f t="shared" si="309"/>
        <v>49</v>
      </c>
      <c r="F673" s="79"/>
      <c r="G673" s="82"/>
      <c r="H673" s="68" t="str">
        <f t="shared" si="326"/>
        <v>Hyprev7_20211115_00_00</v>
      </c>
      <c r="I673" s="69">
        <f t="shared" si="328"/>
        <v>1</v>
      </c>
      <c r="J673" s="76" t="str">
        <f t="shared" si="328"/>
        <v>Hypericum</v>
      </c>
      <c r="K673" s="76" t="str">
        <f t="shared" si="328"/>
        <v>revolutum</v>
      </c>
      <c r="L673" s="77">
        <f t="shared" si="328"/>
        <v>7</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v>
      </c>
      <c r="C674" s="73">
        <f t="shared" si="325"/>
        <v>15</v>
      </c>
      <c r="D674" s="74">
        <f t="shared" si="308"/>
        <v>0</v>
      </c>
      <c r="E674" s="75">
        <f t="shared" si="309"/>
        <v>50</v>
      </c>
      <c r="F674" s="79"/>
      <c r="G674" s="82"/>
      <c r="H674" s="68" t="str">
        <f t="shared" si="326"/>
        <v>Hyprev7_20211115_00_00</v>
      </c>
      <c r="I674" s="69">
        <f t="shared" si="328"/>
        <v>1</v>
      </c>
      <c r="J674" s="76" t="str">
        <f t="shared" si="328"/>
        <v>Hypericum</v>
      </c>
      <c r="K674" s="76" t="str">
        <f t="shared" si="328"/>
        <v>revolutum</v>
      </c>
      <c r="L674" s="77">
        <f t="shared" si="328"/>
        <v>7</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v>
      </c>
      <c r="C675" s="73">
        <f t="shared" si="325"/>
        <v>15</v>
      </c>
      <c r="D675" s="74">
        <f t="shared" si="308"/>
        <v>0</v>
      </c>
      <c r="E675" s="75">
        <f t="shared" si="309"/>
        <v>51</v>
      </c>
      <c r="F675" s="79"/>
      <c r="G675" s="82"/>
      <c r="H675" s="68" t="str">
        <f t="shared" si="326"/>
        <v>Hyprev7_20211115_00_00</v>
      </c>
      <c r="I675" s="69">
        <f t="shared" si="328"/>
        <v>1</v>
      </c>
      <c r="J675" s="76" t="str">
        <f t="shared" si="328"/>
        <v>Hypericum</v>
      </c>
      <c r="K675" s="76" t="str">
        <f t="shared" si="328"/>
        <v>revolutum</v>
      </c>
      <c r="L675" s="77">
        <f t="shared" si="328"/>
        <v>7</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v>
      </c>
      <c r="C676" s="73">
        <f t="shared" si="325"/>
        <v>15</v>
      </c>
      <c r="D676" s="74">
        <f t="shared" si="308"/>
        <v>0</v>
      </c>
      <c r="E676" s="75">
        <f t="shared" si="309"/>
        <v>52</v>
      </c>
      <c r="F676" s="79"/>
      <c r="G676" s="82"/>
      <c r="H676" s="68" t="str">
        <f t="shared" si="326"/>
        <v>Hyprev7_20211115_00_00</v>
      </c>
      <c r="I676" s="69">
        <f t="shared" si="328"/>
        <v>1</v>
      </c>
      <c r="J676" s="76" t="str">
        <f t="shared" si="328"/>
        <v>Hypericum</v>
      </c>
      <c r="K676" s="76" t="str">
        <f t="shared" si="328"/>
        <v>revolutum</v>
      </c>
      <c r="L676" s="77">
        <f t="shared" si="328"/>
        <v>7</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v>
      </c>
      <c r="C677" s="73">
        <f t="shared" si="325"/>
        <v>15</v>
      </c>
      <c r="D677" s="74">
        <f t="shared" si="308"/>
        <v>0</v>
      </c>
      <c r="E677" s="75">
        <f t="shared" si="309"/>
        <v>53</v>
      </c>
      <c r="F677" s="79"/>
      <c r="G677" s="82"/>
      <c r="H677" s="68" t="str">
        <f t="shared" si="326"/>
        <v>Hyprev7_20211115_00_00</v>
      </c>
      <c r="I677" s="69">
        <f t="shared" ref="I677:N692" si="329">I676</f>
        <v>1</v>
      </c>
      <c r="J677" s="76" t="str">
        <f t="shared" si="329"/>
        <v>Hypericum</v>
      </c>
      <c r="K677" s="76" t="str">
        <f t="shared" si="329"/>
        <v>revolutum</v>
      </c>
      <c r="L677" s="77">
        <f t="shared" si="329"/>
        <v>7</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v>
      </c>
      <c r="C678" s="73">
        <f t="shared" si="325"/>
        <v>15</v>
      </c>
      <c r="D678" s="74">
        <f t="shared" si="308"/>
        <v>0</v>
      </c>
      <c r="E678" s="75">
        <f t="shared" si="309"/>
        <v>54</v>
      </c>
      <c r="F678" s="79"/>
      <c r="G678" s="82"/>
      <c r="H678" s="68" t="str">
        <f t="shared" si="326"/>
        <v>Hyprev7_20211115_00_00</v>
      </c>
      <c r="I678" s="69">
        <f t="shared" si="329"/>
        <v>1</v>
      </c>
      <c r="J678" s="76" t="str">
        <f t="shared" si="329"/>
        <v>Hypericum</v>
      </c>
      <c r="K678" s="76" t="str">
        <f t="shared" si="329"/>
        <v>revolutum</v>
      </c>
      <c r="L678" s="77">
        <f t="shared" si="329"/>
        <v>7</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v>
      </c>
      <c r="C679" s="73">
        <f t="shared" si="325"/>
        <v>15</v>
      </c>
      <c r="D679" s="74">
        <f t="shared" si="308"/>
        <v>0</v>
      </c>
      <c r="E679" s="75">
        <f t="shared" si="309"/>
        <v>55</v>
      </c>
      <c r="F679" s="79"/>
      <c r="G679" s="82"/>
      <c r="H679" s="68" t="str">
        <f t="shared" si="326"/>
        <v>Hyprev7_20211115_00_00</v>
      </c>
      <c r="I679" s="69">
        <f t="shared" si="329"/>
        <v>1</v>
      </c>
      <c r="J679" s="76" t="str">
        <f t="shared" si="329"/>
        <v>Hypericum</v>
      </c>
      <c r="K679" s="76" t="str">
        <f t="shared" si="329"/>
        <v>revolutum</v>
      </c>
      <c r="L679" s="77">
        <f t="shared" si="329"/>
        <v>7</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v>
      </c>
      <c r="C680" s="73">
        <f t="shared" si="325"/>
        <v>15</v>
      </c>
      <c r="D680" s="74">
        <f t="shared" si="308"/>
        <v>0</v>
      </c>
      <c r="E680" s="75">
        <f t="shared" si="309"/>
        <v>56</v>
      </c>
      <c r="F680" s="79"/>
      <c r="G680" s="82"/>
      <c r="H680" s="68" t="str">
        <f t="shared" si="326"/>
        <v>Hyprev7_20211115_00_00</v>
      </c>
      <c r="I680" s="69">
        <f t="shared" si="329"/>
        <v>1</v>
      </c>
      <c r="J680" s="76" t="str">
        <f t="shared" si="329"/>
        <v>Hypericum</v>
      </c>
      <c r="K680" s="76" t="str">
        <f t="shared" si="329"/>
        <v>revolutum</v>
      </c>
      <c r="L680" s="77">
        <f t="shared" si="329"/>
        <v>7</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v>
      </c>
      <c r="C681" s="73">
        <f t="shared" si="325"/>
        <v>15</v>
      </c>
      <c r="D681" s="74">
        <f t="shared" si="308"/>
        <v>0</v>
      </c>
      <c r="E681" s="75">
        <f t="shared" si="309"/>
        <v>57</v>
      </c>
      <c r="F681" s="79"/>
      <c r="G681" s="82"/>
      <c r="H681" s="68" t="str">
        <f t="shared" si="326"/>
        <v>Hyprev7_20211115_00_00</v>
      </c>
      <c r="I681" s="69">
        <f t="shared" si="329"/>
        <v>1</v>
      </c>
      <c r="J681" s="76" t="str">
        <f t="shared" si="329"/>
        <v>Hypericum</v>
      </c>
      <c r="K681" s="76" t="str">
        <f t="shared" si="329"/>
        <v>revolutum</v>
      </c>
      <c r="L681" s="77">
        <f t="shared" si="329"/>
        <v>7</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v>
      </c>
      <c r="C682" s="73">
        <f t="shared" si="325"/>
        <v>15</v>
      </c>
      <c r="D682" s="74">
        <f t="shared" si="308"/>
        <v>0</v>
      </c>
      <c r="E682" s="75">
        <f t="shared" si="309"/>
        <v>58</v>
      </c>
      <c r="F682" s="79"/>
      <c r="G682" s="82"/>
      <c r="H682" s="68" t="str">
        <f t="shared" si="326"/>
        <v>Hyprev7_20211115_00_00</v>
      </c>
      <c r="I682" s="69">
        <f t="shared" si="329"/>
        <v>1</v>
      </c>
      <c r="J682" s="76" t="str">
        <f t="shared" si="329"/>
        <v>Hypericum</v>
      </c>
      <c r="K682" s="76" t="str">
        <f t="shared" si="329"/>
        <v>revolutum</v>
      </c>
      <c r="L682" s="77">
        <f t="shared" si="329"/>
        <v>7</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v>
      </c>
      <c r="C683" s="73">
        <f t="shared" si="325"/>
        <v>15</v>
      </c>
      <c r="D683" s="74">
        <f t="shared" si="308"/>
        <v>0</v>
      </c>
      <c r="E683" s="75">
        <f t="shared" si="309"/>
        <v>59</v>
      </c>
      <c r="F683" s="79"/>
      <c r="G683" s="82"/>
      <c r="H683" s="68" t="str">
        <f t="shared" si="326"/>
        <v>Hyprev7_20211115_00_00</v>
      </c>
      <c r="I683" s="69">
        <f t="shared" si="329"/>
        <v>1</v>
      </c>
      <c r="J683" s="76" t="str">
        <f t="shared" si="329"/>
        <v>Hypericum</v>
      </c>
      <c r="K683" s="76" t="str">
        <f t="shared" si="329"/>
        <v>revolutum</v>
      </c>
      <c r="L683" s="77">
        <f t="shared" si="329"/>
        <v>7</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v>
      </c>
      <c r="C684" s="73">
        <f t="shared" si="325"/>
        <v>15</v>
      </c>
      <c r="D684" s="74">
        <f t="shared" si="308"/>
        <v>1</v>
      </c>
      <c r="E684" s="75">
        <f t="shared" si="309"/>
        <v>0</v>
      </c>
      <c r="F684" s="79"/>
      <c r="G684" s="82"/>
      <c r="H684" s="68" t="str">
        <f t="shared" si="326"/>
        <v>Hyprev7_20211115_01_00</v>
      </c>
      <c r="I684" s="69">
        <f t="shared" si="329"/>
        <v>1</v>
      </c>
      <c r="J684" s="76" t="str">
        <f t="shared" si="329"/>
        <v>Hypericum</v>
      </c>
      <c r="K684" s="76" t="str">
        <f t="shared" si="329"/>
        <v>revolutum</v>
      </c>
      <c r="L684" s="77">
        <f t="shared" si="329"/>
        <v>7</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v>
      </c>
      <c r="C685" s="73">
        <f t="shared" si="325"/>
        <v>15</v>
      </c>
      <c r="D685" s="74">
        <f t="shared" si="308"/>
        <v>1</v>
      </c>
      <c r="E685" s="75">
        <f t="shared" si="309"/>
        <v>1</v>
      </c>
      <c r="F685" s="79"/>
      <c r="G685" s="82"/>
      <c r="H685" s="68" t="str">
        <f t="shared" si="326"/>
        <v>Hyprev7_20211115_01_00</v>
      </c>
      <c r="I685" s="69">
        <f t="shared" si="329"/>
        <v>1</v>
      </c>
      <c r="J685" s="76" t="str">
        <f t="shared" si="329"/>
        <v>Hypericum</v>
      </c>
      <c r="K685" s="76" t="str">
        <f t="shared" si="329"/>
        <v>revolutum</v>
      </c>
      <c r="L685" s="77">
        <f t="shared" si="329"/>
        <v>7</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v>
      </c>
      <c r="C686" s="73">
        <f t="shared" si="325"/>
        <v>15</v>
      </c>
      <c r="D686" s="74">
        <f t="shared" si="308"/>
        <v>1</v>
      </c>
      <c r="E686" s="75">
        <f t="shared" si="309"/>
        <v>2</v>
      </c>
      <c r="F686" s="79"/>
      <c r="G686" s="82"/>
      <c r="H686" s="68" t="str">
        <f t="shared" si="326"/>
        <v>Hyprev7_20211115_01_00</v>
      </c>
      <c r="I686" s="69">
        <f t="shared" si="329"/>
        <v>1</v>
      </c>
      <c r="J686" s="76" t="str">
        <f t="shared" si="329"/>
        <v>Hypericum</v>
      </c>
      <c r="K686" s="76" t="str">
        <f t="shared" si="329"/>
        <v>revolutum</v>
      </c>
      <c r="L686" s="77">
        <f t="shared" si="329"/>
        <v>7</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v>
      </c>
      <c r="C687" s="73">
        <f t="shared" si="325"/>
        <v>15</v>
      </c>
      <c r="D687" s="74">
        <f t="shared" si="308"/>
        <v>1</v>
      </c>
      <c r="E687" s="75">
        <f t="shared" si="309"/>
        <v>3</v>
      </c>
      <c r="F687" s="79"/>
      <c r="G687" s="82"/>
      <c r="H687" s="68" t="str">
        <f t="shared" si="326"/>
        <v>Hyprev7_20211115_01_00</v>
      </c>
      <c r="I687" s="69">
        <f t="shared" si="329"/>
        <v>1</v>
      </c>
      <c r="J687" s="76" t="str">
        <f t="shared" si="329"/>
        <v>Hypericum</v>
      </c>
      <c r="K687" s="76" t="str">
        <f t="shared" si="329"/>
        <v>revolutum</v>
      </c>
      <c r="L687" s="77">
        <f t="shared" si="329"/>
        <v>7</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v>
      </c>
      <c r="C688" s="73">
        <f t="shared" si="325"/>
        <v>15</v>
      </c>
      <c r="D688" s="74">
        <f t="shared" si="308"/>
        <v>1</v>
      </c>
      <c r="E688" s="75">
        <f t="shared" si="309"/>
        <v>4</v>
      </c>
      <c r="F688" s="79"/>
      <c r="G688" s="82"/>
      <c r="H688" s="68" t="str">
        <f t="shared" si="326"/>
        <v>Hyprev7_20211115_01_00</v>
      </c>
      <c r="I688" s="69">
        <f t="shared" si="329"/>
        <v>1</v>
      </c>
      <c r="J688" s="76" t="str">
        <f t="shared" si="329"/>
        <v>Hypericum</v>
      </c>
      <c r="K688" s="76" t="str">
        <f t="shared" si="329"/>
        <v>revolutum</v>
      </c>
      <c r="L688" s="77">
        <f t="shared" si="329"/>
        <v>7</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v>
      </c>
      <c r="C689" s="73">
        <f t="shared" si="325"/>
        <v>15</v>
      </c>
      <c r="D689" s="74">
        <f t="shared" si="308"/>
        <v>1</v>
      </c>
      <c r="E689" s="75">
        <f t="shared" si="309"/>
        <v>5</v>
      </c>
      <c r="F689" s="79"/>
      <c r="G689" s="82"/>
      <c r="H689" s="68" t="str">
        <f t="shared" si="326"/>
        <v>Hyprev7_20211115_01_00</v>
      </c>
      <c r="I689" s="69">
        <f t="shared" si="329"/>
        <v>1</v>
      </c>
      <c r="J689" s="76" t="str">
        <f t="shared" si="329"/>
        <v>Hypericum</v>
      </c>
      <c r="K689" s="76" t="str">
        <f t="shared" si="329"/>
        <v>revolutum</v>
      </c>
      <c r="L689" s="77">
        <f t="shared" si="329"/>
        <v>7</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v>
      </c>
      <c r="C690" s="73">
        <f t="shared" si="325"/>
        <v>15</v>
      </c>
      <c r="D690" s="74">
        <f t="shared" si="308"/>
        <v>1</v>
      </c>
      <c r="E690" s="75">
        <f t="shared" si="309"/>
        <v>6</v>
      </c>
      <c r="F690" s="79"/>
      <c r="G690" s="82"/>
      <c r="H690" s="68" t="str">
        <f t="shared" si="326"/>
        <v>Hyprev7_20211115_01_00</v>
      </c>
      <c r="I690" s="69">
        <f t="shared" si="329"/>
        <v>1</v>
      </c>
      <c r="J690" s="76" t="str">
        <f t="shared" si="329"/>
        <v>Hypericum</v>
      </c>
      <c r="K690" s="76" t="str">
        <f t="shared" si="329"/>
        <v>revolutum</v>
      </c>
      <c r="L690" s="77">
        <f t="shared" si="329"/>
        <v>7</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v>
      </c>
      <c r="C691" s="73">
        <f t="shared" si="325"/>
        <v>15</v>
      </c>
      <c r="D691" s="74">
        <f t="shared" si="308"/>
        <v>1</v>
      </c>
      <c r="E691" s="75">
        <f t="shared" si="309"/>
        <v>7</v>
      </c>
      <c r="F691" s="79"/>
      <c r="G691" s="82"/>
      <c r="H691" s="68" t="str">
        <f t="shared" si="326"/>
        <v>Hyprev7_20211115_01_00</v>
      </c>
      <c r="I691" s="69">
        <f t="shared" si="329"/>
        <v>1</v>
      </c>
      <c r="J691" s="76" t="str">
        <f t="shared" si="329"/>
        <v>Hypericum</v>
      </c>
      <c r="K691" s="76" t="str">
        <f t="shared" si="329"/>
        <v>revolutum</v>
      </c>
      <c r="L691" s="77">
        <f t="shared" si="329"/>
        <v>7</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v>
      </c>
      <c r="C692" s="73">
        <f t="shared" si="325"/>
        <v>15</v>
      </c>
      <c r="D692" s="74">
        <f t="shared" si="308"/>
        <v>1</v>
      </c>
      <c r="E692" s="75">
        <f t="shared" si="309"/>
        <v>8</v>
      </c>
      <c r="F692" s="79"/>
      <c r="G692" s="82"/>
      <c r="H692" s="68" t="str">
        <f t="shared" si="326"/>
        <v>Hyprev7_20211115_01_00</v>
      </c>
      <c r="I692" s="69">
        <f t="shared" si="329"/>
        <v>1</v>
      </c>
      <c r="J692" s="76" t="str">
        <f t="shared" si="329"/>
        <v>Hypericum</v>
      </c>
      <c r="K692" s="76" t="str">
        <f t="shared" si="329"/>
        <v>revolutum</v>
      </c>
      <c r="L692" s="77">
        <f t="shared" si="329"/>
        <v>7</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v>
      </c>
      <c r="C693" s="73">
        <f t="shared" si="325"/>
        <v>15</v>
      </c>
      <c r="D693" s="74">
        <f t="shared" si="308"/>
        <v>1</v>
      </c>
      <c r="E693" s="75">
        <f t="shared" si="309"/>
        <v>9</v>
      </c>
      <c r="F693" s="79"/>
      <c r="G693" s="82"/>
      <c r="H693" s="68" t="str">
        <f t="shared" si="326"/>
        <v>Hyprev7_20211115_01_00</v>
      </c>
      <c r="I693" s="69">
        <f t="shared" ref="I693:N708" si="330">I692</f>
        <v>1</v>
      </c>
      <c r="J693" s="76" t="str">
        <f t="shared" si="330"/>
        <v>Hypericum</v>
      </c>
      <c r="K693" s="76" t="str">
        <f t="shared" si="330"/>
        <v>revolutum</v>
      </c>
      <c r="L693" s="77">
        <f t="shared" si="330"/>
        <v>7</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v>
      </c>
      <c r="C694" s="73">
        <f t="shared" si="325"/>
        <v>15</v>
      </c>
      <c r="D694" s="74">
        <f t="shared" si="308"/>
        <v>1</v>
      </c>
      <c r="E694" s="75">
        <f t="shared" si="309"/>
        <v>10</v>
      </c>
      <c r="F694" s="79"/>
      <c r="G694" s="82"/>
      <c r="H694" s="68" t="str">
        <f t="shared" si="326"/>
        <v>Hyprev7_20211115_01_00</v>
      </c>
      <c r="I694" s="69">
        <f t="shared" si="330"/>
        <v>1</v>
      </c>
      <c r="J694" s="76" t="str">
        <f t="shared" si="330"/>
        <v>Hypericum</v>
      </c>
      <c r="K694" s="76" t="str">
        <f t="shared" si="330"/>
        <v>revolutum</v>
      </c>
      <c r="L694" s="77">
        <f t="shared" si="330"/>
        <v>7</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v>
      </c>
      <c r="C695" s="73">
        <f t="shared" si="325"/>
        <v>15</v>
      </c>
      <c r="D695" s="74">
        <f t="shared" si="308"/>
        <v>1</v>
      </c>
      <c r="E695" s="75">
        <f t="shared" si="309"/>
        <v>11</v>
      </c>
      <c r="F695" s="79"/>
      <c r="G695" s="82"/>
      <c r="H695" s="68" t="str">
        <f t="shared" si="326"/>
        <v>Hyprev7_20211115_01_00</v>
      </c>
      <c r="I695" s="69">
        <f t="shared" si="330"/>
        <v>1</v>
      </c>
      <c r="J695" s="76" t="str">
        <f t="shared" si="330"/>
        <v>Hypericum</v>
      </c>
      <c r="K695" s="76" t="str">
        <f t="shared" si="330"/>
        <v>revolutum</v>
      </c>
      <c r="L695" s="77">
        <f t="shared" si="330"/>
        <v>7</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v>
      </c>
      <c r="C696" s="73">
        <f t="shared" si="325"/>
        <v>15</v>
      </c>
      <c r="D696" s="74">
        <f t="shared" si="308"/>
        <v>1</v>
      </c>
      <c r="E696" s="75">
        <f t="shared" si="309"/>
        <v>12</v>
      </c>
      <c r="F696" s="79"/>
      <c r="G696" s="82"/>
      <c r="H696" s="68" t="str">
        <f t="shared" si="326"/>
        <v>Hyprev7_20211115_01_00</v>
      </c>
      <c r="I696" s="69">
        <f t="shared" si="330"/>
        <v>1</v>
      </c>
      <c r="J696" s="76" t="str">
        <f t="shared" si="330"/>
        <v>Hypericum</v>
      </c>
      <c r="K696" s="76" t="str">
        <f t="shared" si="330"/>
        <v>revolutum</v>
      </c>
      <c r="L696" s="77">
        <f t="shared" si="330"/>
        <v>7</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v>
      </c>
      <c r="C697" s="73">
        <f t="shared" si="325"/>
        <v>15</v>
      </c>
      <c r="D697" s="74">
        <f t="shared" si="308"/>
        <v>1</v>
      </c>
      <c r="E697" s="75">
        <f t="shared" si="309"/>
        <v>13</v>
      </c>
      <c r="F697" s="79"/>
      <c r="G697" s="82"/>
      <c r="H697" s="68" t="str">
        <f t="shared" si="326"/>
        <v>Hyprev7_20211115_01_00</v>
      </c>
      <c r="I697" s="69">
        <f t="shared" si="330"/>
        <v>1</v>
      </c>
      <c r="J697" s="76" t="str">
        <f t="shared" si="330"/>
        <v>Hypericum</v>
      </c>
      <c r="K697" s="76" t="str">
        <f t="shared" si="330"/>
        <v>revolutum</v>
      </c>
      <c r="L697" s="77">
        <f t="shared" si="330"/>
        <v>7</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v>
      </c>
      <c r="C698" s="73">
        <f t="shared" si="325"/>
        <v>15</v>
      </c>
      <c r="D698" s="74">
        <f t="shared" si="308"/>
        <v>1</v>
      </c>
      <c r="E698" s="75">
        <f t="shared" si="309"/>
        <v>14</v>
      </c>
      <c r="F698" s="79"/>
      <c r="G698" s="82"/>
      <c r="H698" s="68" t="str">
        <f t="shared" si="326"/>
        <v>Hyprev7_20211115_01_00</v>
      </c>
      <c r="I698" s="69">
        <f t="shared" si="330"/>
        <v>1</v>
      </c>
      <c r="J698" s="76" t="str">
        <f t="shared" si="330"/>
        <v>Hypericum</v>
      </c>
      <c r="K698" s="76" t="str">
        <f t="shared" si="330"/>
        <v>revolutum</v>
      </c>
      <c r="L698" s="77">
        <f t="shared" si="330"/>
        <v>7</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v>
      </c>
      <c r="C699" s="73">
        <f t="shared" si="325"/>
        <v>15</v>
      </c>
      <c r="D699" s="74">
        <f t="shared" si="308"/>
        <v>1</v>
      </c>
      <c r="E699" s="75">
        <f t="shared" si="309"/>
        <v>15</v>
      </c>
      <c r="F699" s="79"/>
      <c r="G699" s="82"/>
      <c r="H699" s="68" t="str">
        <f t="shared" si="326"/>
        <v>Hyprev7_20211115_01_00</v>
      </c>
      <c r="I699" s="69">
        <f t="shared" si="330"/>
        <v>1</v>
      </c>
      <c r="J699" s="76" t="str">
        <f t="shared" si="330"/>
        <v>Hypericum</v>
      </c>
      <c r="K699" s="76" t="str">
        <f t="shared" si="330"/>
        <v>revolutum</v>
      </c>
      <c r="L699" s="77">
        <f t="shared" si="330"/>
        <v>7</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v>
      </c>
      <c r="C700" s="73">
        <f t="shared" si="325"/>
        <v>15</v>
      </c>
      <c r="D700" s="74">
        <f t="shared" si="308"/>
        <v>1</v>
      </c>
      <c r="E700" s="75">
        <f t="shared" si="309"/>
        <v>16</v>
      </c>
      <c r="F700" s="79"/>
      <c r="G700" s="82"/>
      <c r="H700" s="68" t="str">
        <f t="shared" si="326"/>
        <v>Hyprev7_20211115_01_00</v>
      </c>
      <c r="I700" s="69">
        <f t="shared" si="330"/>
        <v>1</v>
      </c>
      <c r="J700" s="76" t="str">
        <f t="shared" si="330"/>
        <v>Hypericum</v>
      </c>
      <c r="K700" s="76" t="str">
        <f t="shared" si="330"/>
        <v>revolutum</v>
      </c>
      <c r="L700" s="77">
        <f t="shared" si="330"/>
        <v>7</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v>
      </c>
      <c r="C701" s="73">
        <f t="shared" si="325"/>
        <v>15</v>
      </c>
      <c r="D701" s="74">
        <f t="shared" si="308"/>
        <v>1</v>
      </c>
      <c r="E701" s="75">
        <f t="shared" si="309"/>
        <v>17</v>
      </c>
      <c r="F701" s="79"/>
      <c r="G701" s="82"/>
      <c r="H701" s="68" t="str">
        <f t="shared" si="326"/>
        <v>Hyprev7_20211115_01_00</v>
      </c>
      <c r="I701" s="69">
        <f t="shared" si="330"/>
        <v>1</v>
      </c>
      <c r="J701" s="76" t="str">
        <f t="shared" si="330"/>
        <v>Hypericum</v>
      </c>
      <c r="K701" s="76" t="str">
        <f t="shared" si="330"/>
        <v>revolutum</v>
      </c>
      <c r="L701" s="77">
        <f t="shared" si="330"/>
        <v>7</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v>
      </c>
      <c r="C702" s="73">
        <f t="shared" si="325"/>
        <v>15</v>
      </c>
      <c r="D702" s="74">
        <f t="shared" si="308"/>
        <v>1</v>
      </c>
      <c r="E702" s="75">
        <f t="shared" si="309"/>
        <v>18</v>
      </c>
      <c r="F702" s="79"/>
      <c r="G702" s="82"/>
      <c r="H702" s="68" t="str">
        <f t="shared" si="326"/>
        <v>Hyprev7_20211115_01_00</v>
      </c>
      <c r="I702" s="69">
        <f t="shared" si="330"/>
        <v>1</v>
      </c>
      <c r="J702" s="76" t="str">
        <f t="shared" si="330"/>
        <v>Hypericum</v>
      </c>
      <c r="K702" s="76" t="str">
        <f t="shared" si="330"/>
        <v>revolutum</v>
      </c>
      <c r="L702" s="77">
        <f t="shared" si="330"/>
        <v>7</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v>
      </c>
      <c r="C703" s="73">
        <f t="shared" si="325"/>
        <v>15</v>
      </c>
      <c r="D703" s="74">
        <f t="shared" si="308"/>
        <v>1</v>
      </c>
      <c r="E703" s="75">
        <f t="shared" si="309"/>
        <v>19</v>
      </c>
      <c r="F703" s="79"/>
      <c r="G703" s="82"/>
      <c r="H703" s="68" t="str">
        <f t="shared" si="326"/>
        <v>Hyprev7_20211115_01_00</v>
      </c>
      <c r="I703" s="69">
        <f t="shared" si="330"/>
        <v>1</v>
      </c>
      <c r="J703" s="76" t="str">
        <f t="shared" si="330"/>
        <v>Hypericum</v>
      </c>
      <c r="K703" s="76" t="str">
        <f t="shared" si="330"/>
        <v>revolutum</v>
      </c>
      <c r="L703" s="77">
        <f t="shared" si="330"/>
        <v>7</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v>
      </c>
      <c r="C704" s="73">
        <f t="shared" si="325"/>
        <v>15</v>
      </c>
      <c r="D704" s="74">
        <f t="shared" si="308"/>
        <v>1</v>
      </c>
      <c r="E704" s="75">
        <f t="shared" si="309"/>
        <v>20</v>
      </c>
      <c r="F704" s="79"/>
      <c r="G704" s="82"/>
      <c r="H704" s="68" t="str">
        <f t="shared" si="326"/>
        <v>Hyprev7_20211115_01_00</v>
      </c>
      <c r="I704" s="69">
        <f t="shared" si="330"/>
        <v>1</v>
      </c>
      <c r="J704" s="76" t="str">
        <f t="shared" si="330"/>
        <v>Hypericum</v>
      </c>
      <c r="K704" s="76" t="str">
        <f t="shared" si="330"/>
        <v>revolutum</v>
      </c>
      <c r="L704" s="77">
        <f t="shared" si="330"/>
        <v>7</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v>
      </c>
      <c r="C705" s="73">
        <f t="shared" si="325"/>
        <v>15</v>
      </c>
      <c r="D705" s="74">
        <f t="shared" si="308"/>
        <v>1</v>
      </c>
      <c r="E705" s="75">
        <f t="shared" si="309"/>
        <v>21</v>
      </c>
      <c r="F705" s="79"/>
      <c r="G705" s="82"/>
      <c r="H705" s="68" t="str">
        <f t="shared" si="326"/>
        <v>Hyprev7_20211115_01_00</v>
      </c>
      <c r="I705" s="69">
        <f t="shared" si="330"/>
        <v>1</v>
      </c>
      <c r="J705" s="76" t="str">
        <f t="shared" si="330"/>
        <v>Hypericum</v>
      </c>
      <c r="K705" s="76" t="str">
        <f t="shared" si="330"/>
        <v>revolutum</v>
      </c>
      <c r="L705" s="77">
        <f t="shared" si="330"/>
        <v>7</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v>
      </c>
      <c r="C706" s="73">
        <f t="shared" si="325"/>
        <v>15</v>
      </c>
      <c r="D706" s="74">
        <f t="shared" si="308"/>
        <v>1</v>
      </c>
      <c r="E706" s="75">
        <f t="shared" si="309"/>
        <v>22</v>
      </c>
      <c r="F706" s="79"/>
      <c r="G706" s="82"/>
      <c r="H706" s="68" t="str">
        <f t="shared" si="326"/>
        <v>Hyprev7_20211115_01_00</v>
      </c>
      <c r="I706" s="69">
        <f t="shared" si="330"/>
        <v>1</v>
      </c>
      <c r="J706" s="76" t="str">
        <f t="shared" si="330"/>
        <v>Hypericum</v>
      </c>
      <c r="K706" s="76" t="str">
        <f t="shared" si="330"/>
        <v>revolutum</v>
      </c>
      <c r="L706" s="77">
        <f t="shared" si="330"/>
        <v>7</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v>
      </c>
      <c r="C707" s="73">
        <f t="shared" si="325"/>
        <v>15</v>
      </c>
      <c r="D707" s="74">
        <f t="shared" si="308"/>
        <v>1</v>
      </c>
      <c r="E707" s="75">
        <f t="shared" si="309"/>
        <v>23</v>
      </c>
      <c r="F707" s="79"/>
      <c r="G707" s="82"/>
      <c r="H707" s="68" t="str">
        <f t="shared" si="326"/>
        <v>Hyprev7_20211115_01_00</v>
      </c>
      <c r="I707" s="69">
        <f t="shared" si="330"/>
        <v>1</v>
      </c>
      <c r="J707" s="76" t="str">
        <f t="shared" si="330"/>
        <v>Hypericum</v>
      </c>
      <c r="K707" s="76" t="str">
        <f t="shared" si="330"/>
        <v>revolutum</v>
      </c>
      <c r="L707" s="77">
        <f t="shared" si="330"/>
        <v>7</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v>
      </c>
      <c r="C708" s="73">
        <f t="shared" si="325"/>
        <v>15</v>
      </c>
      <c r="D708" s="74">
        <f t="shared" ref="D708:D771" si="338">IF(IF(E707=59,D707+1,D707)=24,0,IF(E707=59,D707+1,D707))</f>
        <v>1</v>
      </c>
      <c r="E708" s="75">
        <f t="shared" ref="E708:E771" si="339">IF(E707&lt;59,E707+1,0)</f>
        <v>24</v>
      </c>
      <c r="F708" s="79"/>
      <c r="G708" s="82"/>
      <c r="H708" s="68" t="str">
        <f t="shared" si="326"/>
        <v>Hyprev7_20211115_01_00</v>
      </c>
      <c r="I708" s="69">
        <f t="shared" si="330"/>
        <v>1</v>
      </c>
      <c r="J708" s="76" t="str">
        <f t="shared" si="330"/>
        <v>Hypericum</v>
      </c>
      <c r="K708" s="76" t="str">
        <f t="shared" si="330"/>
        <v>revolutum</v>
      </c>
      <c r="L708" s="77">
        <f t="shared" si="330"/>
        <v>7</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v>
      </c>
      <c r="C709" s="73">
        <f t="shared" ref="C709:C772" si="355">IF(AND(D709=0, E709=0), IF(TEXT(C708,"dd")=TEXT(EOMONTH(DATE(A708,MONTH(DATEVALUE(B708&amp;"1")),C708),0), "dd"), 1, C708+1), C708)</f>
        <v>15</v>
      </c>
      <c r="D709" s="74">
        <f t="shared" si="338"/>
        <v>1</v>
      </c>
      <c r="E709" s="75">
        <f t="shared" si="339"/>
        <v>25</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Hyprev7_20211115_01_00</v>
      </c>
      <c r="I709" s="69">
        <f t="shared" ref="I709:N724" si="357">I708</f>
        <v>1</v>
      </c>
      <c r="J709" s="76" t="str">
        <f t="shared" si="357"/>
        <v>Hypericum</v>
      </c>
      <c r="K709" s="76" t="str">
        <f t="shared" si="357"/>
        <v>revolutum</v>
      </c>
      <c r="L709" s="77">
        <f t="shared" si="357"/>
        <v>7</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v>
      </c>
      <c r="C710" s="73">
        <f t="shared" si="355"/>
        <v>15</v>
      </c>
      <c r="D710" s="74">
        <f t="shared" si="338"/>
        <v>1</v>
      </c>
      <c r="E710" s="75">
        <f t="shared" si="339"/>
        <v>26</v>
      </c>
      <c r="F710" s="79"/>
      <c r="G710" s="82"/>
      <c r="H710" s="68" t="str">
        <f t="shared" si="356"/>
        <v>Hyprev7_20211115_01_00</v>
      </c>
      <c r="I710" s="69">
        <f t="shared" si="357"/>
        <v>1</v>
      </c>
      <c r="J710" s="76" t="str">
        <f t="shared" si="357"/>
        <v>Hypericum</v>
      </c>
      <c r="K710" s="76" t="str">
        <f t="shared" si="357"/>
        <v>revolutum</v>
      </c>
      <c r="L710" s="77">
        <f t="shared" si="357"/>
        <v>7</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v>
      </c>
      <c r="C711" s="73">
        <f t="shared" si="355"/>
        <v>15</v>
      </c>
      <c r="D711" s="74">
        <f t="shared" si="338"/>
        <v>1</v>
      </c>
      <c r="E711" s="75">
        <f t="shared" si="339"/>
        <v>27</v>
      </c>
      <c r="F711" s="79"/>
      <c r="G711" s="82"/>
      <c r="H711" s="68" t="str">
        <f t="shared" si="356"/>
        <v>Hyprev7_20211115_01_00</v>
      </c>
      <c r="I711" s="69">
        <f t="shared" si="357"/>
        <v>1</v>
      </c>
      <c r="J711" s="76" t="str">
        <f t="shared" si="357"/>
        <v>Hypericum</v>
      </c>
      <c r="K711" s="76" t="str">
        <f t="shared" si="357"/>
        <v>revolutum</v>
      </c>
      <c r="L711" s="77">
        <f t="shared" si="357"/>
        <v>7</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v>
      </c>
      <c r="C712" s="73">
        <f t="shared" si="355"/>
        <v>15</v>
      </c>
      <c r="D712" s="74">
        <f t="shared" si="338"/>
        <v>1</v>
      </c>
      <c r="E712" s="75">
        <f t="shared" si="339"/>
        <v>28</v>
      </c>
      <c r="F712" s="79"/>
      <c r="G712" s="82"/>
      <c r="H712" s="68" t="str">
        <f t="shared" si="356"/>
        <v>Hyprev7_20211115_01_00</v>
      </c>
      <c r="I712" s="69">
        <f t="shared" si="357"/>
        <v>1</v>
      </c>
      <c r="J712" s="76" t="str">
        <f t="shared" si="357"/>
        <v>Hypericum</v>
      </c>
      <c r="K712" s="76" t="str">
        <f t="shared" si="357"/>
        <v>revolutum</v>
      </c>
      <c r="L712" s="77">
        <f t="shared" si="357"/>
        <v>7</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v>
      </c>
      <c r="C713" s="73">
        <f t="shared" si="355"/>
        <v>15</v>
      </c>
      <c r="D713" s="74">
        <f t="shared" si="338"/>
        <v>1</v>
      </c>
      <c r="E713" s="75">
        <f t="shared" si="339"/>
        <v>29</v>
      </c>
      <c r="F713" s="79"/>
      <c r="G713" s="82"/>
      <c r="H713" s="68" t="str">
        <f t="shared" si="356"/>
        <v>Hyprev7_20211115_01_00</v>
      </c>
      <c r="I713" s="69">
        <f t="shared" si="357"/>
        <v>1</v>
      </c>
      <c r="J713" s="76" t="str">
        <f t="shared" si="357"/>
        <v>Hypericum</v>
      </c>
      <c r="K713" s="76" t="str">
        <f t="shared" si="357"/>
        <v>revolutum</v>
      </c>
      <c r="L713" s="77">
        <f t="shared" si="357"/>
        <v>7</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v>
      </c>
      <c r="C714" s="73">
        <f t="shared" si="355"/>
        <v>15</v>
      </c>
      <c r="D714" s="74">
        <f t="shared" si="338"/>
        <v>1</v>
      </c>
      <c r="E714" s="75">
        <f t="shared" si="339"/>
        <v>30</v>
      </c>
      <c r="F714" s="79"/>
      <c r="G714" s="82"/>
      <c r="H714" s="68" t="str">
        <f t="shared" si="356"/>
        <v>Hyprev7_20211115_01_00</v>
      </c>
      <c r="I714" s="69">
        <f t="shared" si="357"/>
        <v>1</v>
      </c>
      <c r="J714" s="76" t="str">
        <f t="shared" si="357"/>
        <v>Hypericum</v>
      </c>
      <c r="K714" s="76" t="str">
        <f t="shared" si="357"/>
        <v>revolutum</v>
      </c>
      <c r="L714" s="77">
        <f t="shared" si="357"/>
        <v>7</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v>
      </c>
      <c r="C715" s="73">
        <f t="shared" si="355"/>
        <v>15</v>
      </c>
      <c r="D715" s="74">
        <f t="shared" si="338"/>
        <v>1</v>
      </c>
      <c r="E715" s="75">
        <f t="shared" si="339"/>
        <v>31</v>
      </c>
      <c r="F715" s="79"/>
      <c r="G715" s="82"/>
      <c r="H715" s="68" t="str">
        <f t="shared" si="356"/>
        <v>Hyprev7_20211115_01_00</v>
      </c>
      <c r="I715" s="69">
        <f t="shared" si="357"/>
        <v>1</v>
      </c>
      <c r="J715" s="76" t="str">
        <f t="shared" si="357"/>
        <v>Hypericum</v>
      </c>
      <c r="K715" s="76" t="str">
        <f t="shared" si="357"/>
        <v>revolutum</v>
      </c>
      <c r="L715" s="77">
        <f t="shared" si="357"/>
        <v>7</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v>
      </c>
      <c r="C716" s="73">
        <f t="shared" si="355"/>
        <v>15</v>
      </c>
      <c r="D716" s="74">
        <f t="shared" si="338"/>
        <v>1</v>
      </c>
      <c r="E716" s="75">
        <f t="shared" si="339"/>
        <v>32</v>
      </c>
      <c r="F716" s="79">
        <v>27</v>
      </c>
      <c r="G716" s="82"/>
      <c r="H716" s="68" t="str">
        <f t="shared" si="356"/>
        <v>Hyprev7_20211115_01_00</v>
      </c>
      <c r="I716" s="69">
        <f t="shared" si="357"/>
        <v>1</v>
      </c>
      <c r="J716" s="76" t="str">
        <f t="shared" si="357"/>
        <v>Hypericum</v>
      </c>
      <c r="K716" s="76" t="str">
        <f t="shared" si="357"/>
        <v>revolutum</v>
      </c>
      <c r="L716" s="77">
        <f t="shared" si="357"/>
        <v>7</v>
      </c>
      <c r="M716" s="77">
        <f t="shared" si="357"/>
        <v>2</v>
      </c>
      <c r="N716" s="71">
        <f t="shared" si="357"/>
        <v>0</v>
      </c>
      <c r="O716" s="44"/>
      <c r="P716" s="45">
        <f t="shared" si="340"/>
        <v>1</v>
      </c>
      <c r="Q716" s="46" t="str">
        <f t="shared" si="341"/>
        <v>01:32:27</v>
      </c>
      <c r="R716" s="47" t="str">
        <f t="shared" si="342"/>
        <v>32:27</v>
      </c>
      <c r="S716" s="48">
        <f t="shared" si="331"/>
        <v>597</v>
      </c>
      <c r="T716" s="47" t="str">
        <f t="shared" si="343"/>
        <v>01</v>
      </c>
      <c r="U716" s="49">
        <v>42</v>
      </c>
      <c r="V716" s="50">
        <v>24</v>
      </c>
      <c r="W716" s="51" t="str">
        <f t="shared" si="344"/>
        <v>42:24</v>
      </c>
      <c r="X716" s="52" t="s">
        <v>59</v>
      </c>
      <c r="Y716" s="124" t="s">
        <v>243</v>
      </c>
      <c r="Z716" s="124"/>
      <c r="AA716" s="47" t="s">
        <v>254</v>
      </c>
      <c r="AB716" s="47" t="str">
        <f t="shared" si="345"/>
        <v>NA</v>
      </c>
      <c r="AC716" s="53" t="str">
        <f t="shared" si="346"/>
        <v/>
      </c>
      <c r="AD716" s="54">
        <f t="shared" si="347"/>
        <v>1</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t="s">
        <v>158</v>
      </c>
      <c r="AT716" s="58"/>
      <c r="AU716" s="58"/>
      <c r="AV716" s="59"/>
      <c r="AW716" s="60">
        <f t="shared" si="332"/>
        <v>0</v>
      </c>
      <c r="AX716" s="61" t="str">
        <f t="shared" si="333"/>
        <v/>
      </c>
      <c r="AY716" s="60">
        <f t="shared" si="334"/>
        <v>0</v>
      </c>
      <c r="AZ716" s="61" t="str">
        <f t="shared" si="335"/>
        <v/>
      </c>
    </row>
    <row r="717" spans="1:52" s="3" customFormat="1" hidden="1" x14ac:dyDescent="0.35">
      <c r="A717" s="72">
        <f t="shared" si="336"/>
        <v>2021</v>
      </c>
      <c r="B717" s="72" t="str">
        <f t="shared" si="337"/>
        <v>Nov</v>
      </c>
      <c r="C717" s="73">
        <f t="shared" si="355"/>
        <v>15</v>
      </c>
      <c r="D717" s="74">
        <f t="shared" si="338"/>
        <v>1</v>
      </c>
      <c r="E717" s="75">
        <f t="shared" si="339"/>
        <v>33</v>
      </c>
      <c r="F717" s="79"/>
      <c r="G717" s="82"/>
      <c r="H717" s="68" t="str">
        <f t="shared" si="356"/>
        <v>Hyprev7_20211115_01_00</v>
      </c>
      <c r="I717" s="69">
        <f t="shared" si="357"/>
        <v>1</v>
      </c>
      <c r="J717" s="76" t="str">
        <f t="shared" si="357"/>
        <v>Hypericum</v>
      </c>
      <c r="K717" s="76" t="str">
        <f t="shared" si="357"/>
        <v>revolutum</v>
      </c>
      <c r="L717" s="77">
        <f t="shared" si="357"/>
        <v>7</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v>
      </c>
      <c r="C718" s="73">
        <f t="shared" si="355"/>
        <v>15</v>
      </c>
      <c r="D718" s="74">
        <f t="shared" si="338"/>
        <v>1</v>
      </c>
      <c r="E718" s="75">
        <f t="shared" si="339"/>
        <v>34</v>
      </c>
      <c r="F718" s="79"/>
      <c r="G718" s="82"/>
      <c r="H718" s="68" t="str">
        <f t="shared" si="356"/>
        <v>Hyprev7_20211115_01_00</v>
      </c>
      <c r="I718" s="69">
        <f t="shared" si="357"/>
        <v>1</v>
      </c>
      <c r="J718" s="76" t="str">
        <f t="shared" si="357"/>
        <v>Hypericum</v>
      </c>
      <c r="K718" s="76" t="str">
        <f t="shared" si="357"/>
        <v>revolutum</v>
      </c>
      <c r="L718" s="77">
        <f t="shared" si="357"/>
        <v>7</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v>
      </c>
      <c r="C719" s="73">
        <f t="shared" si="355"/>
        <v>15</v>
      </c>
      <c r="D719" s="74">
        <f t="shared" si="338"/>
        <v>1</v>
      </c>
      <c r="E719" s="75">
        <f t="shared" si="339"/>
        <v>35</v>
      </c>
      <c r="F719" s="79"/>
      <c r="G719" s="82"/>
      <c r="H719" s="68" t="str">
        <f t="shared" si="356"/>
        <v>Hyprev7_20211115_01_00</v>
      </c>
      <c r="I719" s="69">
        <f t="shared" si="357"/>
        <v>1</v>
      </c>
      <c r="J719" s="76" t="str">
        <f t="shared" si="357"/>
        <v>Hypericum</v>
      </c>
      <c r="K719" s="76" t="str">
        <f t="shared" si="357"/>
        <v>revolutum</v>
      </c>
      <c r="L719" s="77">
        <f t="shared" si="357"/>
        <v>7</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v>
      </c>
      <c r="C720" s="73">
        <f t="shared" si="355"/>
        <v>15</v>
      </c>
      <c r="D720" s="74">
        <f t="shared" si="338"/>
        <v>1</v>
      </c>
      <c r="E720" s="75">
        <f t="shared" si="339"/>
        <v>36</v>
      </c>
      <c r="F720" s="79"/>
      <c r="G720" s="82"/>
      <c r="H720" s="68" t="str">
        <f t="shared" si="356"/>
        <v>Hyprev7_20211115_01_00</v>
      </c>
      <c r="I720" s="69">
        <f t="shared" si="357"/>
        <v>1</v>
      </c>
      <c r="J720" s="76" t="str">
        <f t="shared" si="357"/>
        <v>Hypericum</v>
      </c>
      <c r="K720" s="76" t="str">
        <f t="shared" si="357"/>
        <v>revolutum</v>
      </c>
      <c r="L720" s="77">
        <f t="shared" si="357"/>
        <v>7</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v>
      </c>
      <c r="C721" s="73">
        <f t="shared" si="355"/>
        <v>15</v>
      </c>
      <c r="D721" s="74">
        <f t="shared" si="338"/>
        <v>1</v>
      </c>
      <c r="E721" s="75">
        <f t="shared" si="339"/>
        <v>37</v>
      </c>
      <c r="F721" s="79"/>
      <c r="G721" s="82"/>
      <c r="H721" s="68" t="str">
        <f t="shared" si="356"/>
        <v>Hyprev7_20211115_01_00</v>
      </c>
      <c r="I721" s="69">
        <f t="shared" si="357"/>
        <v>1</v>
      </c>
      <c r="J721" s="76" t="str">
        <f t="shared" si="357"/>
        <v>Hypericum</v>
      </c>
      <c r="K721" s="76" t="str">
        <f t="shared" si="357"/>
        <v>revolutum</v>
      </c>
      <c r="L721" s="77">
        <f t="shared" si="357"/>
        <v>7</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v>
      </c>
      <c r="C722" s="73">
        <f t="shared" si="355"/>
        <v>15</v>
      </c>
      <c r="D722" s="74">
        <f t="shared" si="338"/>
        <v>1</v>
      </c>
      <c r="E722" s="75">
        <f t="shared" si="339"/>
        <v>38</v>
      </c>
      <c r="F722" s="79"/>
      <c r="G722" s="82"/>
      <c r="H722" s="68" t="str">
        <f t="shared" si="356"/>
        <v>Hyprev7_20211115_01_00</v>
      </c>
      <c r="I722" s="69">
        <f t="shared" si="357"/>
        <v>1</v>
      </c>
      <c r="J722" s="76" t="str">
        <f t="shared" si="357"/>
        <v>Hypericum</v>
      </c>
      <c r="K722" s="76" t="str">
        <f t="shared" si="357"/>
        <v>revolutum</v>
      </c>
      <c r="L722" s="77">
        <f t="shared" si="357"/>
        <v>7</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v>
      </c>
      <c r="C723" s="73">
        <f t="shared" si="355"/>
        <v>15</v>
      </c>
      <c r="D723" s="74">
        <f t="shared" si="338"/>
        <v>1</v>
      </c>
      <c r="E723" s="75">
        <f t="shared" si="339"/>
        <v>39</v>
      </c>
      <c r="F723" s="79"/>
      <c r="G723" s="82"/>
      <c r="H723" s="68" t="str">
        <f t="shared" si="356"/>
        <v>Hyprev7_20211115_01_00</v>
      </c>
      <c r="I723" s="69">
        <f t="shared" si="357"/>
        <v>1</v>
      </c>
      <c r="J723" s="76" t="str">
        <f t="shared" si="357"/>
        <v>Hypericum</v>
      </c>
      <c r="K723" s="76" t="str">
        <f t="shared" si="357"/>
        <v>revolutum</v>
      </c>
      <c r="L723" s="77">
        <f t="shared" si="357"/>
        <v>7</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v>
      </c>
      <c r="C724" s="73">
        <f t="shared" si="355"/>
        <v>15</v>
      </c>
      <c r="D724" s="74">
        <f t="shared" si="338"/>
        <v>1</v>
      </c>
      <c r="E724" s="75">
        <f t="shared" si="339"/>
        <v>40</v>
      </c>
      <c r="F724" s="79"/>
      <c r="G724" s="82"/>
      <c r="H724" s="68" t="str">
        <f t="shared" si="356"/>
        <v>Hyprev7_20211115_01_00</v>
      </c>
      <c r="I724" s="69">
        <f t="shared" si="357"/>
        <v>1</v>
      </c>
      <c r="J724" s="76" t="str">
        <f t="shared" si="357"/>
        <v>Hypericum</v>
      </c>
      <c r="K724" s="76" t="str">
        <f t="shared" si="357"/>
        <v>revolutum</v>
      </c>
      <c r="L724" s="77">
        <f t="shared" si="357"/>
        <v>7</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v>
      </c>
      <c r="C725" s="73">
        <f t="shared" si="355"/>
        <v>15</v>
      </c>
      <c r="D725" s="74">
        <f t="shared" si="338"/>
        <v>1</v>
      </c>
      <c r="E725" s="75">
        <f t="shared" si="339"/>
        <v>41</v>
      </c>
      <c r="F725" s="79"/>
      <c r="G725" s="82"/>
      <c r="H725" s="68" t="str">
        <f t="shared" si="356"/>
        <v>Hyprev7_20211115_01_00</v>
      </c>
      <c r="I725" s="69">
        <f t="shared" ref="I725:N740" si="358">I724</f>
        <v>1</v>
      </c>
      <c r="J725" s="76" t="str">
        <f t="shared" si="358"/>
        <v>Hypericum</v>
      </c>
      <c r="K725" s="76" t="str">
        <f t="shared" si="358"/>
        <v>revolutum</v>
      </c>
      <c r="L725" s="77">
        <f t="shared" si="358"/>
        <v>7</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v>
      </c>
      <c r="C726" s="73">
        <f t="shared" si="355"/>
        <v>15</v>
      </c>
      <c r="D726" s="74">
        <f t="shared" si="338"/>
        <v>1</v>
      </c>
      <c r="E726" s="75">
        <f t="shared" si="339"/>
        <v>42</v>
      </c>
      <c r="F726" s="79"/>
      <c r="G726" s="82"/>
      <c r="H726" s="68" t="str">
        <f t="shared" si="356"/>
        <v>Hyprev7_20211115_01_00</v>
      </c>
      <c r="I726" s="69">
        <f t="shared" si="358"/>
        <v>1</v>
      </c>
      <c r="J726" s="76" t="str">
        <f t="shared" si="358"/>
        <v>Hypericum</v>
      </c>
      <c r="K726" s="76" t="str">
        <f t="shared" si="358"/>
        <v>revolutum</v>
      </c>
      <c r="L726" s="77">
        <f t="shared" si="358"/>
        <v>7</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v>
      </c>
      <c r="C727" s="73">
        <f t="shared" si="355"/>
        <v>15</v>
      </c>
      <c r="D727" s="74">
        <f t="shared" si="338"/>
        <v>1</v>
      </c>
      <c r="E727" s="75">
        <f t="shared" si="339"/>
        <v>43</v>
      </c>
      <c r="F727" s="79"/>
      <c r="G727" s="82"/>
      <c r="H727" s="68" t="str">
        <f t="shared" si="356"/>
        <v>Hyprev7_20211115_01_00</v>
      </c>
      <c r="I727" s="69">
        <f t="shared" si="358"/>
        <v>1</v>
      </c>
      <c r="J727" s="76" t="str">
        <f t="shared" si="358"/>
        <v>Hypericum</v>
      </c>
      <c r="K727" s="76" t="str">
        <f t="shared" si="358"/>
        <v>revolutum</v>
      </c>
      <c r="L727" s="77">
        <f t="shared" si="358"/>
        <v>7</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v>
      </c>
      <c r="C728" s="73">
        <f t="shared" si="355"/>
        <v>15</v>
      </c>
      <c r="D728" s="74">
        <f t="shared" si="338"/>
        <v>1</v>
      </c>
      <c r="E728" s="75">
        <f t="shared" si="339"/>
        <v>44</v>
      </c>
      <c r="F728" s="79"/>
      <c r="G728" s="82"/>
      <c r="H728" s="68" t="str">
        <f t="shared" si="356"/>
        <v>Hyprev7_20211115_01_00</v>
      </c>
      <c r="I728" s="69">
        <f t="shared" si="358"/>
        <v>1</v>
      </c>
      <c r="J728" s="76" t="str">
        <f t="shared" si="358"/>
        <v>Hypericum</v>
      </c>
      <c r="K728" s="76" t="str">
        <f t="shared" si="358"/>
        <v>revolutum</v>
      </c>
      <c r="L728" s="77">
        <f t="shared" si="358"/>
        <v>7</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v>
      </c>
      <c r="C729" s="73">
        <f t="shared" si="355"/>
        <v>15</v>
      </c>
      <c r="D729" s="74">
        <f t="shared" si="338"/>
        <v>1</v>
      </c>
      <c r="E729" s="75">
        <f t="shared" si="339"/>
        <v>45</v>
      </c>
      <c r="F729" s="79"/>
      <c r="G729" s="82"/>
      <c r="H729" s="68" t="str">
        <f t="shared" si="356"/>
        <v>Hyprev7_20211115_01_00</v>
      </c>
      <c r="I729" s="69">
        <f t="shared" si="358"/>
        <v>1</v>
      </c>
      <c r="J729" s="76" t="str">
        <f t="shared" si="358"/>
        <v>Hypericum</v>
      </c>
      <c r="K729" s="76" t="str">
        <f t="shared" si="358"/>
        <v>revolutum</v>
      </c>
      <c r="L729" s="77">
        <f t="shared" si="358"/>
        <v>7</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v>
      </c>
      <c r="C730" s="73">
        <f t="shared" si="355"/>
        <v>15</v>
      </c>
      <c r="D730" s="74">
        <f t="shared" si="338"/>
        <v>1</v>
      </c>
      <c r="E730" s="75">
        <f t="shared" si="339"/>
        <v>46</v>
      </c>
      <c r="F730" s="79"/>
      <c r="G730" s="82"/>
      <c r="H730" s="68" t="str">
        <f t="shared" si="356"/>
        <v>Hyprev7_20211115_01_00</v>
      </c>
      <c r="I730" s="69">
        <f t="shared" si="358"/>
        <v>1</v>
      </c>
      <c r="J730" s="76" t="str">
        <f t="shared" si="358"/>
        <v>Hypericum</v>
      </c>
      <c r="K730" s="76" t="str">
        <f t="shared" si="358"/>
        <v>revolutum</v>
      </c>
      <c r="L730" s="77">
        <f t="shared" si="358"/>
        <v>7</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v>
      </c>
      <c r="C731" s="73">
        <f t="shared" si="355"/>
        <v>15</v>
      </c>
      <c r="D731" s="74">
        <f t="shared" si="338"/>
        <v>1</v>
      </c>
      <c r="E731" s="75">
        <f t="shared" si="339"/>
        <v>47</v>
      </c>
      <c r="F731" s="79"/>
      <c r="G731" s="82"/>
      <c r="H731" s="68" t="str">
        <f t="shared" si="356"/>
        <v>Hyprev7_20211115_01_00</v>
      </c>
      <c r="I731" s="69">
        <f t="shared" si="358"/>
        <v>1</v>
      </c>
      <c r="J731" s="76" t="str">
        <f t="shared" si="358"/>
        <v>Hypericum</v>
      </c>
      <c r="K731" s="76" t="str">
        <f t="shared" si="358"/>
        <v>revolutum</v>
      </c>
      <c r="L731" s="77">
        <f t="shared" si="358"/>
        <v>7</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v>
      </c>
      <c r="C732" s="73">
        <f t="shared" si="355"/>
        <v>15</v>
      </c>
      <c r="D732" s="74">
        <f t="shared" si="338"/>
        <v>1</v>
      </c>
      <c r="E732" s="75">
        <f t="shared" si="339"/>
        <v>48</v>
      </c>
      <c r="F732" s="79"/>
      <c r="G732" s="82"/>
      <c r="H732" s="68" t="str">
        <f t="shared" si="356"/>
        <v>Hyprev7_20211115_01_00</v>
      </c>
      <c r="I732" s="69">
        <f t="shared" si="358"/>
        <v>1</v>
      </c>
      <c r="J732" s="76" t="str">
        <f t="shared" si="358"/>
        <v>Hypericum</v>
      </c>
      <c r="K732" s="76" t="str">
        <f t="shared" si="358"/>
        <v>revolutum</v>
      </c>
      <c r="L732" s="77">
        <f t="shared" si="358"/>
        <v>7</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v>
      </c>
      <c r="C733" s="73">
        <f t="shared" si="355"/>
        <v>15</v>
      </c>
      <c r="D733" s="74">
        <f t="shared" si="338"/>
        <v>1</v>
      </c>
      <c r="E733" s="75">
        <f t="shared" si="339"/>
        <v>49</v>
      </c>
      <c r="F733" s="79"/>
      <c r="G733" s="82"/>
      <c r="H733" s="68" t="str">
        <f t="shared" si="356"/>
        <v>Hyprev7_20211115_01_00</v>
      </c>
      <c r="I733" s="69">
        <f t="shared" si="358"/>
        <v>1</v>
      </c>
      <c r="J733" s="76" t="str">
        <f t="shared" si="358"/>
        <v>Hypericum</v>
      </c>
      <c r="K733" s="76" t="str">
        <f t="shared" si="358"/>
        <v>revolutum</v>
      </c>
      <c r="L733" s="77">
        <f t="shared" si="358"/>
        <v>7</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v>
      </c>
      <c r="C734" s="73">
        <f t="shared" si="355"/>
        <v>15</v>
      </c>
      <c r="D734" s="74">
        <f t="shared" si="338"/>
        <v>1</v>
      </c>
      <c r="E734" s="75">
        <f t="shared" si="339"/>
        <v>50</v>
      </c>
      <c r="F734" s="79"/>
      <c r="G734" s="82"/>
      <c r="H734" s="68" t="str">
        <f t="shared" si="356"/>
        <v>Hyprev7_20211115_01_00</v>
      </c>
      <c r="I734" s="69">
        <f t="shared" si="358"/>
        <v>1</v>
      </c>
      <c r="J734" s="76" t="str">
        <f t="shared" si="358"/>
        <v>Hypericum</v>
      </c>
      <c r="K734" s="76" t="str">
        <f t="shared" si="358"/>
        <v>revolutum</v>
      </c>
      <c r="L734" s="77">
        <f t="shared" si="358"/>
        <v>7</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v>
      </c>
      <c r="C735" s="73">
        <f t="shared" si="355"/>
        <v>15</v>
      </c>
      <c r="D735" s="74">
        <f t="shared" si="338"/>
        <v>1</v>
      </c>
      <c r="E735" s="75">
        <f t="shared" si="339"/>
        <v>51</v>
      </c>
      <c r="F735" s="79"/>
      <c r="G735" s="82"/>
      <c r="H735" s="68" t="str">
        <f t="shared" si="356"/>
        <v>Hyprev7_20211115_01_00</v>
      </c>
      <c r="I735" s="69">
        <f t="shared" si="358"/>
        <v>1</v>
      </c>
      <c r="J735" s="76" t="str">
        <f t="shared" si="358"/>
        <v>Hypericum</v>
      </c>
      <c r="K735" s="76" t="str">
        <f t="shared" si="358"/>
        <v>revolutum</v>
      </c>
      <c r="L735" s="77">
        <f t="shared" si="358"/>
        <v>7</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v>
      </c>
      <c r="C736" s="73">
        <f t="shared" si="355"/>
        <v>15</v>
      </c>
      <c r="D736" s="74">
        <f t="shared" si="338"/>
        <v>1</v>
      </c>
      <c r="E736" s="75">
        <f t="shared" si="339"/>
        <v>52</v>
      </c>
      <c r="F736" s="79"/>
      <c r="G736" s="82"/>
      <c r="H736" s="68" t="str">
        <f t="shared" si="356"/>
        <v>Hyprev7_20211115_01_00</v>
      </c>
      <c r="I736" s="69">
        <f t="shared" si="358"/>
        <v>1</v>
      </c>
      <c r="J736" s="76" t="str">
        <f t="shared" si="358"/>
        <v>Hypericum</v>
      </c>
      <c r="K736" s="76" t="str">
        <f t="shared" si="358"/>
        <v>revolutum</v>
      </c>
      <c r="L736" s="77">
        <f t="shared" si="358"/>
        <v>7</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v>
      </c>
      <c r="C737" s="73">
        <f t="shared" si="355"/>
        <v>15</v>
      </c>
      <c r="D737" s="74">
        <f t="shared" si="338"/>
        <v>1</v>
      </c>
      <c r="E737" s="75">
        <f t="shared" si="339"/>
        <v>53</v>
      </c>
      <c r="F737" s="79"/>
      <c r="G737" s="82"/>
      <c r="H737" s="68" t="str">
        <f t="shared" si="356"/>
        <v>Hyprev7_20211115_01_00</v>
      </c>
      <c r="I737" s="69">
        <f t="shared" si="358"/>
        <v>1</v>
      </c>
      <c r="J737" s="76" t="str">
        <f t="shared" si="358"/>
        <v>Hypericum</v>
      </c>
      <c r="K737" s="76" t="str">
        <f t="shared" si="358"/>
        <v>revolutum</v>
      </c>
      <c r="L737" s="77">
        <f t="shared" si="358"/>
        <v>7</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v>
      </c>
      <c r="C738" s="73">
        <f t="shared" si="355"/>
        <v>15</v>
      </c>
      <c r="D738" s="74">
        <f t="shared" si="338"/>
        <v>1</v>
      </c>
      <c r="E738" s="75">
        <f t="shared" si="339"/>
        <v>54</v>
      </c>
      <c r="F738" s="79"/>
      <c r="G738" s="82"/>
      <c r="H738" s="68" t="str">
        <f t="shared" si="356"/>
        <v>Hyprev7_20211115_01_00</v>
      </c>
      <c r="I738" s="69">
        <f t="shared" si="358"/>
        <v>1</v>
      </c>
      <c r="J738" s="76" t="str">
        <f t="shared" si="358"/>
        <v>Hypericum</v>
      </c>
      <c r="K738" s="76" t="str">
        <f t="shared" si="358"/>
        <v>revolutum</v>
      </c>
      <c r="L738" s="77">
        <f t="shared" si="358"/>
        <v>7</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v>
      </c>
      <c r="C739" s="73">
        <f t="shared" si="355"/>
        <v>15</v>
      </c>
      <c r="D739" s="74">
        <f t="shared" si="338"/>
        <v>1</v>
      </c>
      <c r="E739" s="75">
        <f t="shared" si="339"/>
        <v>55</v>
      </c>
      <c r="F739" s="79"/>
      <c r="G739" s="82"/>
      <c r="H739" s="68" t="str">
        <f t="shared" si="356"/>
        <v>Hyprev7_20211115_01_00</v>
      </c>
      <c r="I739" s="69">
        <f t="shared" si="358"/>
        <v>1</v>
      </c>
      <c r="J739" s="76" t="str">
        <f t="shared" si="358"/>
        <v>Hypericum</v>
      </c>
      <c r="K739" s="76" t="str">
        <f t="shared" si="358"/>
        <v>revolutum</v>
      </c>
      <c r="L739" s="77">
        <f t="shared" si="358"/>
        <v>7</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v>
      </c>
      <c r="C740" s="73">
        <f t="shared" si="355"/>
        <v>15</v>
      </c>
      <c r="D740" s="74">
        <f t="shared" si="338"/>
        <v>1</v>
      </c>
      <c r="E740" s="75">
        <f t="shared" si="339"/>
        <v>56</v>
      </c>
      <c r="F740" s="79"/>
      <c r="G740" s="82"/>
      <c r="H740" s="68" t="str">
        <f t="shared" si="356"/>
        <v>Hyprev7_20211115_01_00</v>
      </c>
      <c r="I740" s="69">
        <f t="shared" si="358"/>
        <v>1</v>
      </c>
      <c r="J740" s="76" t="str">
        <f t="shared" si="358"/>
        <v>Hypericum</v>
      </c>
      <c r="K740" s="76" t="str">
        <f t="shared" si="358"/>
        <v>revolutum</v>
      </c>
      <c r="L740" s="77">
        <f t="shared" si="358"/>
        <v>7</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v>
      </c>
      <c r="C741" s="73">
        <f t="shared" si="355"/>
        <v>15</v>
      </c>
      <c r="D741" s="74">
        <f t="shared" si="338"/>
        <v>1</v>
      </c>
      <c r="E741" s="75">
        <f t="shared" si="339"/>
        <v>57</v>
      </c>
      <c r="F741" s="79"/>
      <c r="G741" s="82"/>
      <c r="H741" s="68" t="str">
        <f t="shared" si="356"/>
        <v>Hyprev7_20211115_01_00</v>
      </c>
      <c r="I741" s="69">
        <f t="shared" ref="I741:N756" si="359">I740</f>
        <v>1</v>
      </c>
      <c r="J741" s="76" t="str">
        <f t="shared" si="359"/>
        <v>Hypericum</v>
      </c>
      <c r="K741" s="76" t="str">
        <f t="shared" si="359"/>
        <v>revolutum</v>
      </c>
      <c r="L741" s="77">
        <f t="shared" si="359"/>
        <v>7</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v>
      </c>
      <c r="C742" s="73">
        <f t="shared" si="355"/>
        <v>15</v>
      </c>
      <c r="D742" s="74">
        <f t="shared" si="338"/>
        <v>1</v>
      </c>
      <c r="E742" s="75">
        <f t="shared" si="339"/>
        <v>58</v>
      </c>
      <c r="F742" s="79"/>
      <c r="G742" s="82"/>
      <c r="H742" s="68" t="str">
        <f t="shared" si="356"/>
        <v>Hyprev7_20211115_01_00</v>
      </c>
      <c r="I742" s="69">
        <f t="shared" si="359"/>
        <v>1</v>
      </c>
      <c r="J742" s="76" t="str">
        <f t="shared" si="359"/>
        <v>Hypericum</v>
      </c>
      <c r="K742" s="76" t="str">
        <f t="shared" si="359"/>
        <v>revolutum</v>
      </c>
      <c r="L742" s="77">
        <f t="shared" si="359"/>
        <v>7</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v>
      </c>
      <c r="C743" s="73">
        <f t="shared" si="355"/>
        <v>15</v>
      </c>
      <c r="D743" s="74">
        <f t="shared" si="338"/>
        <v>1</v>
      </c>
      <c r="E743" s="75">
        <f t="shared" si="339"/>
        <v>59</v>
      </c>
      <c r="F743" s="79"/>
      <c r="G743" s="82"/>
      <c r="H743" s="68" t="str">
        <f t="shared" si="356"/>
        <v>Hyprev7_20211115_01_00</v>
      </c>
      <c r="I743" s="69">
        <f t="shared" si="359"/>
        <v>1</v>
      </c>
      <c r="J743" s="76" t="str">
        <f t="shared" si="359"/>
        <v>Hypericum</v>
      </c>
      <c r="K743" s="76" t="str">
        <f t="shared" si="359"/>
        <v>revolutum</v>
      </c>
      <c r="L743" s="77">
        <f t="shared" si="359"/>
        <v>7</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v>
      </c>
      <c r="C744" s="73">
        <f t="shared" si="355"/>
        <v>15</v>
      </c>
      <c r="D744" s="74">
        <f t="shared" si="338"/>
        <v>2</v>
      </c>
      <c r="E744" s="75">
        <f t="shared" si="339"/>
        <v>0</v>
      </c>
      <c r="F744" s="79"/>
      <c r="G744" s="82"/>
      <c r="H744" s="68" t="str">
        <f t="shared" si="356"/>
        <v>Hyprev7_20211115_02_00</v>
      </c>
      <c r="I744" s="69">
        <f t="shared" si="359"/>
        <v>1</v>
      </c>
      <c r="J744" s="76" t="str">
        <f t="shared" si="359"/>
        <v>Hypericum</v>
      </c>
      <c r="K744" s="76" t="str">
        <f t="shared" si="359"/>
        <v>revolutum</v>
      </c>
      <c r="L744" s="77">
        <f t="shared" si="359"/>
        <v>7</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v>
      </c>
      <c r="C745" s="73">
        <f t="shared" si="355"/>
        <v>15</v>
      </c>
      <c r="D745" s="74">
        <f t="shared" si="338"/>
        <v>2</v>
      </c>
      <c r="E745" s="75">
        <f t="shared" si="339"/>
        <v>1</v>
      </c>
      <c r="F745" s="79"/>
      <c r="G745" s="82"/>
      <c r="H745" s="68" t="str">
        <f t="shared" si="356"/>
        <v>Hyprev7_20211115_02_00</v>
      </c>
      <c r="I745" s="69">
        <f t="shared" si="359"/>
        <v>1</v>
      </c>
      <c r="J745" s="76" t="str">
        <f t="shared" si="359"/>
        <v>Hypericum</v>
      </c>
      <c r="K745" s="76" t="str">
        <f t="shared" si="359"/>
        <v>revolutum</v>
      </c>
      <c r="L745" s="77">
        <f t="shared" si="359"/>
        <v>7</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v>
      </c>
      <c r="C746" s="73">
        <f t="shared" si="355"/>
        <v>15</v>
      </c>
      <c r="D746" s="74">
        <f t="shared" si="338"/>
        <v>2</v>
      </c>
      <c r="E746" s="75">
        <f t="shared" si="339"/>
        <v>2</v>
      </c>
      <c r="F746" s="79"/>
      <c r="G746" s="82"/>
      <c r="H746" s="68" t="str">
        <f t="shared" si="356"/>
        <v>Hyprev7_20211115_02_00</v>
      </c>
      <c r="I746" s="69">
        <f t="shared" si="359"/>
        <v>1</v>
      </c>
      <c r="J746" s="76" t="str">
        <f t="shared" si="359"/>
        <v>Hypericum</v>
      </c>
      <c r="K746" s="76" t="str">
        <f t="shared" si="359"/>
        <v>revolutum</v>
      </c>
      <c r="L746" s="77">
        <f t="shared" si="359"/>
        <v>7</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v>
      </c>
      <c r="C747" s="73">
        <f t="shared" si="355"/>
        <v>15</v>
      </c>
      <c r="D747" s="74">
        <f t="shared" si="338"/>
        <v>2</v>
      </c>
      <c r="E747" s="75">
        <f t="shared" si="339"/>
        <v>3</v>
      </c>
      <c r="F747" s="79"/>
      <c r="G747" s="82"/>
      <c r="H747" s="68" t="str">
        <f t="shared" si="356"/>
        <v>Hyprev7_20211115_02_00</v>
      </c>
      <c r="I747" s="69">
        <f t="shared" si="359"/>
        <v>1</v>
      </c>
      <c r="J747" s="76" t="str">
        <f t="shared" si="359"/>
        <v>Hypericum</v>
      </c>
      <c r="K747" s="76" t="str">
        <f t="shared" si="359"/>
        <v>revolutum</v>
      </c>
      <c r="L747" s="77">
        <f t="shared" si="359"/>
        <v>7</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v>
      </c>
      <c r="C748" s="73">
        <f t="shared" si="355"/>
        <v>15</v>
      </c>
      <c r="D748" s="74">
        <f t="shared" si="338"/>
        <v>2</v>
      </c>
      <c r="E748" s="75">
        <f t="shared" si="339"/>
        <v>4</v>
      </c>
      <c r="F748" s="79"/>
      <c r="G748" s="82"/>
      <c r="H748" s="68" t="str">
        <f t="shared" si="356"/>
        <v>Hyprev7_20211115_02_00</v>
      </c>
      <c r="I748" s="69">
        <f t="shared" si="359"/>
        <v>1</v>
      </c>
      <c r="J748" s="76" t="str">
        <f t="shared" si="359"/>
        <v>Hypericum</v>
      </c>
      <c r="K748" s="76" t="str">
        <f t="shared" si="359"/>
        <v>revolutum</v>
      </c>
      <c r="L748" s="77">
        <f t="shared" si="359"/>
        <v>7</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v>
      </c>
      <c r="C749" s="73">
        <f t="shared" si="355"/>
        <v>15</v>
      </c>
      <c r="D749" s="74">
        <f t="shared" si="338"/>
        <v>2</v>
      </c>
      <c r="E749" s="75">
        <f t="shared" si="339"/>
        <v>5</v>
      </c>
      <c r="F749" s="79">
        <v>18</v>
      </c>
      <c r="G749" s="82"/>
      <c r="H749" s="68" t="str">
        <f t="shared" si="356"/>
        <v>Hyprev7_20211115_02_00</v>
      </c>
      <c r="I749" s="69">
        <f t="shared" si="359"/>
        <v>1</v>
      </c>
      <c r="J749" s="76" t="str">
        <f t="shared" si="359"/>
        <v>Hypericum</v>
      </c>
      <c r="K749" s="76" t="str">
        <f t="shared" si="359"/>
        <v>revolutum</v>
      </c>
      <c r="L749" s="77">
        <f t="shared" si="359"/>
        <v>7</v>
      </c>
      <c r="M749" s="77">
        <f t="shared" si="359"/>
        <v>2</v>
      </c>
      <c r="N749" s="71">
        <f t="shared" si="359"/>
        <v>0</v>
      </c>
      <c r="O749" s="44"/>
      <c r="P749" s="45">
        <f t="shared" si="340"/>
        <v>1</v>
      </c>
      <c r="Q749" s="46" t="str">
        <f t="shared" si="341"/>
        <v>02:05:18</v>
      </c>
      <c r="R749" s="47" t="str">
        <f t="shared" si="342"/>
        <v>05:18</v>
      </c>
      <c r="S749" s="48">
        <f t="shared" si="331"/>
        <v>446</v>
      </c>
      <c r="T749" s="47" t="str">
        <f t="shared" si="343"/>
        <v>02</v>
      </c>
      <c r="U749" s="49">
        <v>12</v>
      </c>
      <c r="V749" s="50">
        <v>44</v>
      </c>
      <c r="W749" s="51" t="str">
        <f t="shared" si="344"/>
        <v>12:44</v>
      </c>
      <c r="X749" s="52" t="s">
        <v>159</v>
      </c>
      <c r="Y749" s="124" t="s">
        <v>242</v>
      </c>
      <c r="Z749" s="124"/>
      <c r="AA749" s="47" t="s">
        <v>264</v>
      </c>
      <c r="AB749" s="47" t="str">
        <f t="shared" si="345"/>
        <v>NA</v>
      </c>
      <c r="AC749" s="53" t="str">
        <f t="shared" si="346"/>
        <v/>
      </c>
      <c r="AD749" s="54">
        <f t="shared" si="347"/>
        <v>1</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t="s">
        <v>160</v>
      </c>
      <c r="AT749" s="58"/>
      <c r="AU749" s="58"/>
      <c r="AV749" s="59"/>
      <c r="AW749" s="60">
        <f t="shared" si="332"/>
        <v>0</v>
      </c>
      <c r="AX749" s="61" t="str">
        <f t="shared" si="333"/>
        <v/>
      </c>
      <c r="AY749" s="60">
        <f t="shared" si="334"/>
        <v>0</v>
      </c>
      <c r="AZ749" s="61" t="str">
        <f t="shared" si="335"/>
        <v/>
      </c>
    </row>
    <row r="750" spans="1:52" s="3" customFormat="1" hidden="1" x14ac:dyDescent="0.35">
      <c r="A750" s="72">
        <f t="shared" si="336"/>
        <v>2021</v>
      </c>
      <c r="B750" s="72" t="str">
        <f t="shared" si="337"/>
        <v>Nov</v>
      </c>
      <c r="C750" s="73">
        <f t="shared" si="355"/>
        <v>15</v>
      </c>
      <c r="D750" s="74">
        <f t="shared" si="338"/>
        <v>2</v>
      </c>
      <c r="E750" s="75">
        <f t="shared" si="339"/>
        <v>6</v>
      </c>
      <c r="F750" s="79"/>
      <c r="G750" s="82"/>
      <c r="H750" s="68" t="str">
        <f t="shared" si="356"/>
        <v>Hyprev7_20211115_02_00</v>
      </c>
      <c r="I750" s="69">
        <f t="shared" si="359"/>
        <v>1</v>
      </c>
      <c r="J750" s="76" t="str">
        <f t="shared" si="359"/>
        <v>Hypericum</v>
      </c>
      <c r="K750" s="76" t="str">
        <f t="shared" si="359"/>
        <v>revolutum</v>
      </c>
      <c r="L750" s="77">
        <f t="shared" si="359"/>
        <v>7</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v>
      </c>
      <c r="C751" s="73">
        <f t="shared" si="355"/>
        <v>15</v>
      </c>
      <c r="D751" s="74">
        <f t="shared" si="338"/>
        <v>2</v>
      </c>
      <c r="E751" s="75">
        <f t="shared" si="339"/>
        <v>7</v>
      </c>
      <c r="F751" s="79"/>
      <c r="G751" s="82"/>
      <c r="H751" s="68" t="str">
        <f t="shared" si="356"/>
        <v>Hyprev7_20211115_02_00</v>
      </c>
      <c r="I751" s="69">
        <f t="shared" si="359"/>
        <v>1</v>
      </c>
      <c r="J751" s="76" t="str">
        <f t="shared" si="359"/>
        <v>Hypericum</v>
      </c>
      <c r="K751" s="76" t="str">
        <f t="shared" si="359"/>
        <v>revolutum</v>
      </c>
      <c r="L751" s="77">
        <f t="shared" si="359"/>
        <v>7</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v>
      </c>
      <c r="C752" s="73">
        <f t="shared" si="355"/>
        <v>15</v>
      </c>
      <c r="D752" s="74">
        <f t="shared" si="338"/>
        <v>2</v>
      </c>
      <c r="E752" s="75">
        <f t="shared" si="339"/>
        <v>8</v>
      </c>
      <c r="F752" s="79"/>
      <c r="G752" s="82"/>
      <c r="H752" s="68" t="str">
        <f t="shared" si="356"/>
        <v>Hyprev7_20211115_02_00</v>
      </c>
      <c r="I752" s="69">
        <f t="shared" si="359"/>
        <v>1</v>
      </c>
      <c r="J752" s="76" t="str">
        <f t="shared" si="359"/>
        <v>Hypericum</v>
      </c>
      <c r="K752" s="76" t="str">
        <f t="shared" si="359"/>
        <v>revolutum</v>
      </c>
      <c r="L752" s="77">
        <f t="shared" si="359"/>
        <v>7</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v>
      </c>
      <c r="C753" s="73">
        <f t="shared" si="355"/>
        <v>15</v>
      </c>
      <c r="D753" s="74">
        <f t="shared" si="338"/>
        <v>2</v>
      </c>
      <c r="E753" s="75">
        <f t="shared" si="339"/>
        <v>9</v>
      </c>
      <c r="F753" s="79"/>
      <c r="G753" s="82"/>
      <c r="H753" s="68" t="str">
        <f t="shared" si="356"/>
        <v>Hyprev7_20211115_02_00</v>
      </c>
      <c r="I753" s="69">
        <f t="shared" si="359"/>
        <v>1</v>
      </c>
      <c r="J753" s="76" t="str">
        <f t="shared" si="359"/>
        <v>Hypericum</v>
      </c>
      <c r="K753" s="76" t="str">
        <f t="shared" si="359"/>
        <v>revolutum</v>
      </c>
      <c r="L753" s="77">
        <f t="shared" si="359"/>
        <v>7</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v>
      </c>
      <c r="C754" s="73">
        <f t="shared" si="355"/>
        <v>15</v>
      </c>
      <c r="D754" s="74">
        <f t="shared" si="338"/>
        <v>2</v>
      </c>
      <c r="E754" s="75">
        <f t="shared" si="339"/>
        <v>10</v>
      </c>
      <c r="F754" s="79"/>
      <c r="G754" s="82"/>
      <c r="H754" s="68" t="str">
        <f t="shared" si="356"/>
        <v>Hyprev7_20211115_02_00</v>
      </c>
      <c r="I754" s="69">
        <f t="shared" si="359"/>
        <v>1</v>
      </c>
      <c r="J754" s="76" t="str">
        <f t="shared" si="359"/>
        <v>Hypericum</v>
      </c>
      <c r="K754" s="76" t="str">
        <f t="shared" si="359"/>
        <v>revolutum</v>
      </c>
      <c r="L754" s="77">
        <f t="shared" si="359"/>
        <v>7</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v>
      </c>
      <c r="C755" s="73">
        <f t="shared" si="355"/>
        <v>15</v>
      </c>
      <c r="D755" s="74">
        <f t="shared" si="338"/>
        <v>2</v>
      </c>
      <c r="E755" s="75">
        <f t="shared" si="339"/>
        <v>11</v>
      </c>
      <c r="F755" s="79"/>
      <c r="G755" s="82"/>
      <c r="H755" s="68" t="str">
        <f t="shared" si="356"/>
        <v>Hyprev7_20211115_02_00</v>
      </c>
      <c r="I755" s="69">
        <f t="shared" si="359"/>
        <v>1</v>
      </c>
      <c r="J755" s="76" t="str">
        <f t="shared" si="359"/>
        <v>Hypericum</v>
      </c>
      <c r="K755" s="76" t="str">
        <f t="shared" si="359"/>
        <v>revolutum</v>
      </c>
      <c r="L755" s="77">
        <f t="shared" si="359"/>
        <v>7</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v>
      </c>
      <c r="C756" s="73">
        <f t="shared" si="355"/>
        <v>15</v>
      </c>
      <c r="D756" s="74">
        <f t="shared" si="338"/>
        <v>2</v>
      </c>
      <c r="E756" s="75">
        <f t="shared" si="339"/>
        <v>12</v>
      </c>
      <c r="F756" s="79"/>
      <c r="G756" s="82"/>
      <c r="H756" s="68" t="str">
        <f t="shared" si="356"/>
        <v>Hyprev7_20211115_02_00</v>
      </c>
      <c r="I756" s="69">
        <f t="shared" si="359"/>
        <v>1</v>
      </c>
      <c r="J756" s="76" t="str">
        <f t="shared" si="359"/>
        <v>Hypericum</v>
      </c>
      <c r="K756" s="76" t="str">
        <f t="shared" si="359"/>
        <v>revolutum</v>
      </c>
      <c r="L756" s="77">
        <f t="shared" si="359"/>
        <v>7</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v>
      </c>
      <c r="C757" s="73">
        <f t="shared" si="355"/>
        <v>15</v>
      </c>
      <c r="D757" s="74">
        <f t="shared" si="338"/>
        <v>2</v>
      </c>
      <c r="E757" s="75">
        <f t="shared" si="339"/>
        <v>13</v>
      </c>
      <c r="F757" s="79"/>
      <c r="G757" s="82"/>
      <c r="H757" s="68" t="str">
        <f t="shared" si="356"/>
        <v>Hyprev7_20211115_02_00</v>
      </c>
      <c r="I757" s="69">
        <f t="shared" ref="I757:N772" si="360">I756</f>
        <v>1</v>
      </c>
      <c r="J757" s="76" t="str">
        <f t="shared" si="360"/>
        <v>Hypericum</v>
      </c>
      <c r="K757" s="76" t="str">
        <f t="shared" si="360"/>
        <v>revolutum</v>
      </c>
      <c r="L757" s="77">
        <f t="shared" si="360"/>
        <v>7</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v>
      </c>
      <c r="C758" s="73">
        <f t="shared" si="355"/>
        <v>15</v>
      </c>
      <c r="D758" s="74">
        <f t="shared" si="338"/>
        <v>2</v>
      </c>
      <c r="E758" s="75">
        <f t="shared" si="339"/>
        <v>14</v>
      </c>
      <c r="F758" s="79"/>
      <c r="G758" s="82"/>
      <c r="H758" s="68" t="str">
        <f t="shared" si="356"/>
        <v>Hyprev7_20211115_02_00</v>
      </c>
      <c r="I758" s="69">
        <f t="shared" si="360"/>
        <v>1</v>
      </c>
      <c r="J758" s="76" t="str">
        <f t="shared" si="360"/>
        <v>Hypericum</v>
      </c>
      <c r="K758" s="76" t="str">
        <f t="shared" si="360"/>
        <v>revolutum</v>
      </c>
      <c r="L758" s="77">
        <f t="shared" si="360"/>
        <v>7</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v>
      </c>
      <c r="C759" s="73">
        <f t="shared" si="355"/>
        <v>15</v>
      </c>
      <c r="D759" s="74">
        <f t="shared" si="338"/>
        <v>2</v>
      </c>
      <c r="E759" s="75">
        <f t="shared" si="339"/>
        <v>15</v>
      </c>
      <c r="F759" s="79"/>
      <c r="G759" s="82"/>
      <c r="H759" s="68" t="str">
        <f t="shared" si="356"/>
        <v>Hyprev7_20211115_02_00</v>
      </c>
      <c r="I759" s="69">
        <f t="shared" si="360"/>
        <v>1</v>
      </c>
      <c r="J759" s="76" t="str">
        <f t="shared" si="360"/>
        <v>Hypericum</v>
      </c>
      <c r="K759" s="76" t="str">
        <f t="shared" si="360"/>
        <v>revolutum</v>
      </c>
      <c r="L759" s="77">
        <f t="shared" si="360"/>
        <v>7</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v>
      </c>
      <c r="C760" s="73">
        <f t="shared" si="355"/>
        <v>15</v>
      </c>
      <c r="D760" s="74">
        <f t="shared" si="338"/>
        <v>2</v>
      </c>
      <c r="E760" s="75">
        <f t="shared" si="339"/>
        <v>16</v>
      </c>
      <c r="F760" s="79"/>
      <c r="G760" s="82"/>
      <c r="H760" s="68" t="str">
        <f t="shared" si="356"/>
        <v>Hyprev7_20211115_02_00</v>
      </c>
      <c r="I760" s="69">
        <f t="shared" si="360"/>
        <v>1</v>
      </c>
      <c r="J760" s="76" t="str">
        <f t="shared" si="360"/>
        <v>Hypericum</v>
      </c>
      <c r="K760" s="76" t="str">
        <f t="shared" si="360"/>
        <v>revolutum</v>
      </c>
      <c r="L760" s="77">
        <f t="shared" si="360"/>
        <v>7</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v>
      </c>
      <c r="C761" s="73">
        <f t="shared" si="355"/>
        <v>15</v>
      </c>
      <c r="D761" s="74">
        <f t="shared" si="338"/>
        <v>2</v>
      </c>
      <c r="E761" s="75">
        <f t="shared" si="339"/>
        <v>17</v>
      </c>
      <c r="F761" s="79"/>
      <c r="G761" s="82"/>
      <c r="H761" s="68" t="str">
        <f t="shared" si="356"/>
        <v>Hyprev7_20211115_02_00</v>
      </c>
      <c r="I761" s="69">
        <f t="shared" si="360"/>
        <v>1</v>
      </c>
      <c r="J761" s="76" t="str">
        <f t="shared" si="360"/>
        <v>Hypericum</v>
      </c>
      <c r="K761" s="76" t="str">
        <f t="shared" si="360"/>
        <v>revolutum</v>
      </c>
      <c r="L761" s="77">
        <f t="shared" si="360"/>
        <v>7</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v>
      </c>
      <c r="C762" s="73">
        <f t="shared" si="355"/>
        <v>15</v>
      </c>
      <c r="D762" s="74">
        <f t="shared" si="338"/>
        <v>2</v>
      </c>
      <c r="E762" s="75">
        <f t="shared" si="339"/>
        <v>18</v>
      </c>
      <c r="F762" s="79"/>
      <c r="G762" s="82"/>
      <c r="H762" s="68" t="str">
        <f t="shared" si="356"/>
        <v>Hyprev7_20211115_02_00</v>
      </c>
      <c r="I762" s="69">
        <f t="shared" si="360"/>
        <v>1</v>
      </c>
      <c r="J762" s="76" t="str">
        <f t="shared" si="360"/>
        <v>Hypericum</v>
      </c>
      <c r="K762" s="76" t="str">
        <f t="shared" si="360"/>
        <v>revolutum</v>
      </c>
      <c r="L762" s="77">
        <f t="shared" si="360"/>
        <v>7</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v>
      </c>
      <c r="C763" s="73">
        <f t="shared" si="355"/>
        <v>15</v>
      </c>
      <c r="D763" s="74">
        <f t="shared" si="338"/>
        <v>2</v>
      </c>
      <c r="E763" s="75">
        <f t="shared" si="339"/>
        <v>19</v>
      </c>
      <c r="F763" s="79"/>
      <c r="G763" s="82"/>
      <c r="H763" s="68" t="str">
        <f t="shared" si="356"/>
        <v>Hyprev7_20211115_02_00</v>
      </c>
      <c r="I763" s="69">
        <f t="shared" si="360"/>
        <v>1</v>
      </c>
      <c r="J763" s="76" t="str">
        <f t="shared" si="360"/>
        <v>Hypericum</v>
      </c>
      <c r="K763" s="76" t="str">
        <f t="shared" si="360"/>
        <v>revolutum</v>
      </c>
      <c r="L763" s="77">
        <f t="shared" si="360"/>
        <v>7</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v>
      </c>
      <c r="C764" s="73">
        <f t="shared" si="355"/>
        <v>15</v>
      </c>
      <c r="D764" s="74">
        <f t="shared" si="338"/>
        <v>2</v>
      </c>
      <c r="E764" s="75">
        <f t="shared" si="339"/>
        <v>20</v>
      </c>
      <c r="F764" s="79">
        <v>14</v>
      </c>
      <c r="G764" s="82"/>
      <c r="H764" s="68" t="str">
        <f t="shared" si="356"/>
        <v>Hyprev7_20211115_02_00</v>
      </c>
      <c r="I764" s="69">
        <f t="shared" si="360"/>
        <v>1</v>
      </c>
      <c r="J764" s="76" t="str">
        <f t="shared" si="360"/>
        <v>Hypericum</v>
      </c>
      <c r="K764" s="76" t="str">
        <f t="shared" si="360"/>
        <v>revolutum</v>
      </c>
      <c r="L764" s="77">
        <f t="shared" si="360"/>
        <v>7</v>
      </c>
      <c r="M764" s="77">
        <f t="shared" si="360"/>
        <v>2</v>
      </c>
      <c r="N764" s="71">
        <f t="shared" si="360"/>
        <v>0</v>
      </c>
      <c r="O764" s="44"/>
      <c r="P764" s="45">
        <f t="shared" si="340"/>
        <v>1</v>
      </c>
      <c r="Q764" s="46" t="str">
        <f t="shared" si="341"/>
        <v>02:20:14</v>
      </c>
      <c r="R764" s="47" t="str">
        <f t="shared" si="342"/>
        <v>20:14</v>
      </c>
      <c r="S764" s="48">
        <f t="shared" si="331"/>
        <v>49</v>
      </c>
      <c r="T764" s="47" t="str">
        <f t="shared" si="343"/>
        <v>02</v>
      </c>
      <c r="U764" s="49">
        <v>21</v>
      </c>
      <c r="V764" s="50">
        <v>3</v>
      </c>
      <c r="W764" s="51" t="str">
        <f t="shared" si="344"/>
        <v>21:03</v>
      </c>
      <c r="X764" s="52" t="s">
        <v>145</v>
      </c>
      <c r="Y764" s="124" t="s">
        <v>260</v>
      </c>
      <c r="Z764" s="124"/>
      <c r="AA764" s="47" t="s">
        <v>255</v>
      </c>
      <c r="AB764" s="47" t="str">
        <f t="shared" si="345"/>
        <v>NA</v>
      </c>
      <c r="AC764" s="53" t="str">
        <f t="shared" si="346"/>
        <v/>
      </c>
      <c r="AD764" s="54">
        <f t="shared" si="347"/>
        <v>1</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t="s">
        <v>102</v>
      </c>
      <c r="AT764" s="58"/>
      <c r="AU764" s="58"/>
      <c r="AV764" s="59"/>
      <c r="AW764" s="60">
        <f t="shared" si="332"/>
        <v>0</v>
      </c>
      <c r="AX764" s="61" t="str">
        <f t="shared" si="333"/>
        <v/>
      </c>
      <c r="AY764" s="60">
        <f t="shared" si="334"/>
        <v>0</v>
      </c>
      <c r="AZ764" s="61" t="str">
        <f t="shared" si="335"/>
        <v/>
      </c>
    </row>
    <row r="765" spans="1:52" s="3" customFormat="1" hidden="1" x14ac:dyDescent="0.35">
      <c r="A765" s="72">
        <f t="shared" si="336"/>
        <v>2021</v>
      </c>
      <c r="B765" s="72" t="str">
        <f t="shared" si="337"/>
        <v>Nov</v>
      </c>
      <c r="C765" s="73">
        <f t="shared" si="355"/>
        <v>15</v>
      </c>
      <c r="D765" s="74">
        <f t="shared" si="338"/>
        <v>2</v>
      </c>
      <c r="E765" s="75">
        <f t="shared" si="339"/>
        <v>21</v>
      </c>
      <c r="F765" s="79">
        <v>16</v>
      </c>
      <c r="G765" s="82"/>
      <c r="H765" s="68" t="str">
        <f t="shared" si="356"/>
        <v>Hyprev7_20211115_02_00</v>
      </c>
      <c r="I765" s="69">
        <f t="shared" si="360"/>
        <v>1</v>
      </c>
      <c r="J765" s="76" t="str">
        <f t="shared" si="360"/>
        <v>Hypericum</v>
      </c>
      <c r="K765" s="76" t="str">
        <f t="shared" si="360"/>
        <v>revolutum</v>
      </c>
      <c r="L765" s="77">
        <f t="shared" si="360"/>
        <v>7</v>
      </c>
      <c r="M765" s="77">
        <f t="shared" si="360"/>
        <v>2</v>
      </c>
      <c r="N765" s="71">
        <f t="shared" si="360"/>
        <v>0</v>
      </c>
      <c r="O765" s="44"/>
      <c r="P765" s="45">
        <f t="shared" si="340"/>
        <v>1</v>
      </c>
      <c r="Q765" s="46" t="str">
        <f t="shared" si="341"/>
        <v>02:21:16</v>
      </c>
      <c r="R765" s="47" t="str">
        <f t="shared" si="342"/>
        <v>21:16</v>
      </c>
      <c r="S765" s="48">
        <f t="shared" si="331"/>
        <v>14</v>
      </c>
      <c r="T765" s="47" t="str">
        <f t="shared" si="343"/>
        <v>02</v>
      </c>
      <c r="U765" s="49">
        <v>21</v>
      </c>
      <c r="V765" s="50">
        <v>30</v>
      </c>
      <c r="W765" s="51" t="str">
        <f t="shared" si="344"/>
        <v>21:30</v>
      </c>
      <c r="X765" s="52" t="s">
        <v>145</v>
      </c>
      <c r="Y765" s="124" t="s">
        <v>260</v>
      </c>
      <c r="Z765" s="124"/>
      <c r="AA765" s="47" t="s">
        <v>255</v>
      </c>
      <c r="AB765" s="47" t="str">
        <f t="shared" si="345"/>
        <v>NA</v>
      </c>
      <c r="AC765" s="53" t="str">
        <f t="shared" si="346"/>
        <v/>
      </c>
      <c r="AD765" s="54">
        <v>2</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t="s">
        <v>112</v>
      </c>
      <c r="AT765" s="58"/>
      <c r="AU765" s="58"/>
      <c r="AV765" s="59"/>
      <c r="AW765" s="60">
        <f t="shared" si="332"/>
        <v>0</v>
      </c>
      <c r="AX765" s="61" t="str">
        <f t="shared" si="333"/>
        <v/>
      </c>
      <c r="AY765" s="60">
        <f t="shared" si="334"/>
        <v>0</v>
      </c>
      <c r="AZ765" s="61" t="str">
        <f t="shared" si="335"/>
        <v/>
      </c>
    </row>
    <row r="766" spans="1:52" s="3" customFormat="1" hidden="1" x14ac:dyDescent="0.35">
      <c r="A766" s="72">
        <f t="shared" si="336"/>
        <v>2021</v>
      </c>
      <c r="B766" s="72" t="str">
        <f t="shared" si="337"/>
        <v>Nov</v>
      </c>
      <c r="C766" s="73">
        <f t="shared" si="355"/>
        <v>15</v>
      </c>
      <c r="D766" s="74">
        <f t="shared" si="338"/>
        <v>2</v>
      </c>
      <c r="E766" s="75">
        <v>21</v>
      </c>
      <c r="F766" s="79">
        <v>40</v>
      </c>
      <c r="G766" s="82"/>
      <c r="H766" s="68" t="str">
        <f t="shared" si="356"/>
        <v>Hyprev7_20211115_02_00</v>
      </c>
      <c r="I766" s="69">
        <f t="shared" si="360"/>
        <v>1</v>
      </c>
      <c r="J766" s="76" t="str">
        <f t="shared" si="360"/>
        <v>Hypericum</v>
      </c>
      <c r="K766" s="76" t="str">
        <f t="shared" si="360"/>
        <v>revolutum</v>
      </c>
      <c r="L766" s="77">
        <f t="shared" si="360"/>
        <v>7</v>
      </c>
      <c r="M766" s="77">
        <f t="shared" si="360"/>
        <v>2</v>
      </c>
      <c r="N766" s="71">
        <f t="shared" si="360"/>
        <v>0</v>
      </c>
      <c r="O766" s="44"/>
      <c r="P766" s="45">
        <f t="shared" si="340"/>
        <v>1</v>
      </c>
      <c r="Q766" s="46" t="str">
        <f t="shared" si="341"/>
        <v>02:21:40</v>
      </c>
      <c r="R766" s="47" t="str">
        <f t="shared" si="342"/>
        <v>21:40</v>
      </c>
      <c r="S766" s="48">
        <f t="shared" si="331"/>
        <v>1</v>
      </c>
      <c r="T766" s="47" t="str">
        <f t="shared" si="343"/>
        <v>02</v>
      </c>
      <c r="U766" s="49">
        <v>21</v>
      </c>
      <c r="V766" s="50">
        <v>41</v>
      </c>
      <c r="W766" s="51" t="str">
        <f t="shared" si="344"/>
        <v>21:41</v>
      </c>
      <c r="X766" s="52" t="s">
        <v>145</v>
      </c>
      <c r="Y766" s="124" t="s">
        <v>260</v>
      </c>
      <c r="Z766" s="124"/>
      <c r="AA766" s="47" t="s">
        <v>255</v>
      </c>
      <c r="AB766" s="47" t="str">
        <f t="shared" si="345"/>
        <v>NA</v>
      </c>
      <c r="AC766" s="53" t="str">
        <f t="shared" si="346"/>
        <v/>
      </c>
      <c r="AD766" s="54">
        <f t="shared" si="347"/>
        <v>1</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t="s">
        <v>161</v>
      </c>
      <c r="AT766" s="58"/>
      <c r="AU766" s="58"/>
      <c r="AV766" s="59"/>
      <c r="AW766" s="60">
        <f t="shared" si="332"/>
        <v>0</v>
      </c>
      <c r="AX766" s="61" t="str">
        <f t="shared" si="333"/>
        <v/>
      </c>
      <c r="AY766" s="60">
        <f t="shared" si="334"/>
        <v>0</v>
      </c>
      <c r="AZ766" s="61" t="str">
        <f t="shared" si="335"/>
        <v/>
      </c>
    </row>
    <row r="767" spans="1:52" s="3" customFormat="1" hidden="1" x14ac:dyDescent="0.35">
      <c r="A767" s="72">
        <f t="shared" si="336"/>
        <v>2021</v>
      </c>
      <c r="B767" s="72" t="str">
        <f t="shared" si="337"/>
        <v>Nov</v>
      </c>
      <c r="C767" s="73">
        <f t="shared" si="355"/>
        <v>15</v>
      </c>
      <c r="D767" s="74">
        <f t="shared" si="338"/>
        <v>2</v>
      </c>
      <c r="E767" s="75">
        <f t="shared" si="339"/>
        <v>22</v>
      </c>
      <c r="F767" s="79">
        <v>28</v>
      </c>
      <c r="G767" s="82"/>
      <c r="H767" s="68" t="str">
        <f t="shared" si="356"/>
        <v>Hyprev7_20211115_02_00</v>
      </c>
      <c r="I767" s="69">
        <f t="shared" si="360"/>
        <v>1</v>
      </c>
      <c r="J767" s="76" t="str">
        <f t="shared" si="360"/>
        <v>Hypericum</v>
      </c>
      <c r="K767" s="76" t="str">
        <f t="shared" si="360"/>
        <v>revolutum</v>
      </c>
      <c r="L767" s="77">
        <f t="shared" si="360"/>
        <v>7</v>
      </c>
      <c r="M767" s="77">
        <f t="shared" si="360"/>
        <v>2</v>
      </c>
      <c r="N767" s="71">
        <f t="shared" si="360"/>
        <v>0</v>
      </c>
      <c r="O767" s="44"/>
      <c r="P767" s="45">
        <f t="shared" si="340"/>
        <v>1</v>
      </c>
      <c r="Q767" s="46" t="str">
        <f t="shared" si="341"/>
        <v>02:22:28</v>
      </c>
      <c r="R767" s="47" t="str">
        <f t="shared" si="342"/>
        <v>22:28</v>
      </c>
      <c r="S767" s="48">
        <f t="shared" si="331"/>
        <v>4</v>
      </c>
      <c r="T767" s="47" t="str">
        <f t="shared" si="343"/>
        <v>02</v>
      </c>
      <c r="U767" s="49">
        <v>22</v>
      </c>
      <c r="V767" s="50">
        <v>32</v>
      </c>
      <c r="W767" s="51" t="str">
        <f t="shared" si="344"/>
        <v>22:32</v>
      </c>
      <c r="X767" s="52" t="s">
        <v>145</v>
      </c>
      <c r="Y767" s="124" t="s">
        <v>260</v>
      </c>
      <c r="Z767" s="124"/>
      <c r="AA767" s="47" t="s">
        <v>255</v>
      </c>
      <c r="AB767" s="47" t="str">
        <f t="shared" si="345"/>
        <v>NA</v>
      </c>
      <c r="AC767" s="53" t="str">
        <f t="shared" si="346"/>
        <v/>
      </c>
      <c r="AD767" s="54">
        <f t="shared" si="347"/>
        <v>1</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t="s">
        <v>121</v>
      </c>
      <c r="AT767" s="58"/>
      <c r="AU767" s="58"/>
      <c r="AV767" s="59"/>
      <c r="AW767" s="60">
        <f t="shared" si="332"/>
        <v>0</v>
      </c>
      <c r="AX767" s="61" t="str">
        <f t="shared" si="333"/>
        <v/>
      </c>
      <c r="AY767" s="60">
        <f t="shared" si="334"/>
        <v>0</v>
      </c>
      <c r="AZ767" s="61" t="str">
        <f t="shared" si="335"/>
        <v/>
      </c>
    </row>
    <row r="768" spans="1:52" s="3" customFormat="1" hidden="1" x14ac:dyDescent="0.35">
      <c r="A768" s="72">
        <f t="shared" si="336"/>
        <v>2021</v>
      </c>
      <c r="B768" s="72" t="str">
        <f t="shared" si="337"/>
        <v>Nov</v>
      </c>
      <c r="C768" s="73">
        <f t="shared" si="355"/>
        <v>15</v>
      </c>
      <c r="D768" s="74">
        <f t="shared" si="338"/>
        <v>2</v>
      </c>
      <c r="E768" s="75">
        <f t="shared" si="339"/>
        <v>23</v>
      </c>
      <c r="F768" s="79">
        <v>8</v>
      </c>
      <c r="G768" s="82"/>
      <c r="H768" s="68" t="str">
        <f t="shared" si="356"/>
        <v>Hyprev7_20211115_02_00</v>
      </c>
      <c r="I768" s="69">
        <f t="shared" si="360"/>
        <v>1</v>
      </c>
      <c r="J768" s="76" t="str">
        <f t="shared" si="360"/>
        <v>Hypericum</v>
      </c>
      <c r="K768" s="76" t="str">
        <f t="shared" si="360"/>
        <v>revolutum</v>
      </c>
      <c r="L768" s="77">
        <f t="shared" si="360"/>
        <v>7</v>
      </c>
      <c r="M768" s="77">
        <f t="shared" si="360"/>
        <v>2</v>
      </c>
      <c r="N768" s="71">
        <f t="shared" si="360"/>
        <v>0</v>
      </c>
      <c r="O768" s="44"/>
      <c r="P768" s="45">
        <f t="shared" si="340"/>
        <v>1</v>
      </c>
      <c r="Q768" s="46" t="str">
        <f t="shared" si="341"/>
        <v>02:23:08</v>
      </c>
      <c r="R768" s="47" t="str">
        <f t="shared" si="342"/>
        <v>23:08</v>
      </c>
      <c r="S768" s="48">
        <f t="shared" si="331"/>
        <v>2</v>
      </c>
      <c r="T768" s="47" t="str">
        <f t="shared" si="343"/>
        <v>02</v>
      </c>
      <c r="U768" s="49">
        <v>23</v>
      </c>
      <c r="V768" s="50">
        <v>10</v>
      </c>
      <c r="W768" s="51" t="str">
        <f t="shared" si="344"/>
        <v>23:10</v>
      </c>
      <c r="X768" s="52" t="s">
        <v>145</v>
      </c>
      <c r="Y768" s="124" t="s">
        <v>260</v>
      </c>
      <c r="Z768" s="124"/>
      <c r="AA768" s="47" t="s">
        <v>255</v>
      </c>
      <c r="AB768" s="47" t="str">
        <f t="shared" si="345"/>
        <v>NA</v>
      </c>
      <c r="AC768" s="53" t="str">
        <f t="shared" si="346"/>
        <v/>
      </c>
      <c r="AD768" s="54">
        <f t="shared" si="347"/>
        <v>1</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t="s">
        <v>62</v>
      </c>
      <c r="AT768" s="58"/>
      <c r="AU768" s="58"/>
      <c r="AV768" s="59"/>
      <c r="AW768" s="60">
        <f t="shared" si="332"/>
        <v>0</v>
      </c>
      <c r="AX768" s="61" t="str">
        <f t="shared" si="333"/>
        <v/>
      </c>
      <c r="AY768" s="60">
        <f t="shared" si="334"/>
        <v>0</v>
      </c>
      <c r="AZ768" s="61" t="str">
        <f t="shared" si="335"/>
        <v/>
      </c>
    </row>
    <row r="769" spans="1:52" s="3" customFormat="1" hidden="1" x14ac:dyDescent="0.35">
      <c r="A769" s="72">
        <f t="shared" si="336"/>
        <v>2021</v>
      </c>
      <c r="B769" s="72" t="str">
        <f t="shared" si="337"/>
        <v>Nov</v>
      </c>
      <c r="C769" s="73">
        <f t="shared" si="355"/>
        <v>15</v>
      </c>
      <c r="D769" s="74">
        <f t="shared" si="338"/>
        <v>2</v>
      </c>
      <c r="E769" s="75">
        <v>23</v>
      </c>
      <c r="F769" s="79">
        <v>14</v>
      </c>
      <c r="G769" s="82"/>
      <c r="H769" s="68" t="str">
        <f t="shared" si="356"/>
        <v>Hyprev7_20211115_02_00</v>
      </c>
      <c r="I769" s="69">
        <f t="shared" si="360"/>
        <v>1</v>
      </c>
      <c r="J769" s="76" t="str">
        <f t="shared" si="360"/>
        <v>Hypericum</v>
      </c>
      <c r="K769" s="76" t="str">
        <f t="shared" si="360"/>
        <v>revolutum</v>
      </c>
      <c r="L769" s="77">
        <f t="shared" si="360"/>
        <v>7</v>
      </c>
      <c r="M769" s="77">
        <f t="shared" si="360"/>
        <v>2</v>
      </c>
      <c r="N769" s="71">
        <f t="shared" si="360"/>
        <v>0</v>
      </c>
      <c r="O769" s="44"/>
      <c r="P769" s="45">
        <f t="shared" si="340"/>
        <v>1</v>
      </c>
      <c r="Q769" s="46" t="str">
        <f t="shared" si="341"/>
        <v>02:23:14</v>
      </c>
      <c r="R769" s="47" t="str">
        <f t="shared" si="342"/>
        <v>23:14</v>
      </c>
      <c r="S769" s="48">
        <f t="shared" si="331"/>
        <v>1</v>
      </c>
      <c r="T769" s="47" t="str">
        <f t="shared" si="343"/>
        <v>02</v>
      </c>
      <c r="U769" s="49">
        <v>23</v>
      </c>
      <c r="V769" s="50">
        <v>15</v>
      </c>
      <c r="W769" s="51" t="str">
        <f t="shared" si="344"/>
        <v>23:15</v>
      </c>
      <c r="X769" s="52" t="s">
        <v>128</v>
      </c>
      <c r="Y769" s="124" t="s">
        <v>248</v>
      </c>
      <c r="Z769" s="124"/>
      <c r="AA769" s="47" t="s">
        <v>255</v>
      </c>
      <c r="AB769" s="47" t="str">
        <f t="shared" si="345"/>
        <v>NA</v>
      </c>
      <c r="AC769" s="53" t="str">
        <f t="shared" si="346"/>
        <v/>
      </c>
      <c r="AD769" s="54">
        <f t="shared" si="347"/>
        <v>1</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t="s">
        <v>121</v>
      </c>
      <c r="AT769" s="58"/>
      <c r="AU769" s="58"/>
      <c r="AV769" s="59"/>
      <c r="AW769" s="60">
        <f t="shared" si="332"/>
        <v>0</v>
      </c>
      <c r="AX769" s="61" t="str">
        <f t="shared" si="333"/>
        <v/>
      </c>
      <c r="AY769" s="60">
        <f t="shared" si="334"/>
        <v>0</v>
      </c>
      <c r="AZ769" s="61" t="str">
        <f t="shared" si="335"/>
        <v/>
      </c>
    </row>
    <row r="770" spans="1:52" s="3" customFormat="1" hidden="1" x14ac:dyDescent="0.35">
      <c r="A770" s="72">
        <f t="shared" si="336"/>
        <v>2021</v>
      </c>
      <c r="B770" s="72" t="str">
        <f t="shared" si="337"/>
        <v>Nov</v>
      </c>
      <c r="C770" s="73">
        <f t="shared" si="355"/>
        <v>15</v>
      </c>
      <c r="D770" s="74">
        <f t="shared" si="338"/>
        <v>2</v>
      </c>
      <c r="E770" s="75">
        <f t="shared" si="339"/>
        <v>24</v>
      </c>
      <c r="F770" s="79"/>
      <c r="G770" s="82"/>
      <c r="H770" s="68" t="str">
        <f t="shared" si="356"/>
        <v>Hyprev7_20211115_02_00</v>
      </c>
      <c r="I770" s="69">
        <f t="shared" si="360"/>
        <v>1</v>
      </c>
      <c r="J770" s="76" t="str">
        <f t="shared" si="360"/>
        <v>Hypericum</v>
      </c>
      <c r="K770" s="76" t="str">
        <f t="shared" si="360"/>
        <v>revolutum</v>
      </c>
      <c r="L770" s="77">
        <f t="shared" si="360"/>
        <v>7</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v>
      </c>
      <c r="C771" s="73">
        <f t="shared" si="355"/>
        <v>15</v>
      </c>
      <c r="D771" s="74">
        <f t="shared" si="338"/>
        <v>2</v>
      </c>
      <c r="E771" s="75">
        <f t="shared" si="339"/>
        <v>25</v>
      </c>
      <c r="F771" s="79"/>
      <c r="G771" s="82"/>
      <c r="H771" s="68" t="str">
        <f t="shared" si="356"/>
        <v>Hyprev7_20211115_02_00</v>
      </c>
      <c r="I771" s="69">
        <f t="shared" si="360"/>
        <v>1</v>
      </c>
      <c r="J771" s="76" t="str">
        <f t="shared" si="360"/>
        <v>Hypericum</v>
      </c>
      <c r="K771" s="76" t="str">
        <f t="shared" si="360"/>
        <v>revolutum</v>
      </c>
      <c r="L771" s="77">
        <f t="shared" si="360"/>
        <v>7</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v>
      </c>
      <c r="C772" s="73">
        <f t="shared" si="355"/>
        <v>15</v>
      </c>
      <c r="D772" s="74">
        <f t="shared" ref="D772:D835" si="368">IF(IF(E771=59,D771+1,D771)=24,0,IF(E771=59,D771+1,D771))</f>
        <v>2</v>
      </c>
      <c r="E772" s="75">
        <f t="shared" ref="E772:E835" si="369">IF(E771&lt;59,E771+1,0)</f>
        <v>26</v>
      </c>
      <c r="F772" s="79"/>
      <c r="G772" s="82"/>
      <c r="H772" s="68" t="str">
        <f t="shared" si="356"/>
        <v>Hyprev7_20211115_02_00</v>
      </c>
      <c r="I772" s="69">
        <f t="shared" si="360"/>
        <v>1</v>
      </c>
      <c r="J772" s="76" t="str">
        <f t="shared" si="360"/>
        <v>Hypericum</v>
      </c>
      <c r="K772" s="76" t="str">
        <f t="shared" si="360"/>
        <v>revolutum</v>
      </c>
      <c r="L772" s="77">
        <f t="shared" si="360"/>
        <v>7</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v>
      </c>
      <c r="C773" s="73">
        <f t="shared" ref="C773:C836" si="385">IF(AND(D773=0, E773=0), IF(TEXT(C772,"dd")=TEXT(EOMONTH(DATE(A772,MONTH(DATEVALUE(B772&amp;"1")),C772),0), "dd"), 1, C772+1), C772)</f>
        <v>15</v>
      </c>
      <c r="D773" s="74">
        <f t="shared" si="368"/>
        <v>2</v>
      </c>
      <c r="E773" s="75">
        <f t="shared" si="369"/>
        <v>27</v>
      </c>
      <c r="F773" s="79">
        <v>25</v>
      </c>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Hyprev7_20211115_02_00</v>
      </c>
      <c r="I773" s="69">
        <f t="shared" ref="I773:N788" si="387">I772</f>
        <v>1</v>
      </c>
      <c r="J773" s="76" t="str">
        <f t="shared" si="387"/>
        <v>Hypericum</v>
      </c>
      <c r="K773" s="76" t="str">
        <f t="shared" si="387"/>
        <v>revolutum</v>
      </c>
      <c r="L773" s="77">
        <f t="shared" si="387"/>
        <v>7</v>
      </c>
      <c r="M773" s="77">
        <f t="shared" si="387"/>
        <v>2</v>
      </c>
      <c r="N773" s="71">
        <f t="shared" si="387"/>
        <v>0</v>
      </c>
      <c r="O773" s="44"/>
      <c r="P773" s="45">
        <f t="shared" si="370"/>
        <v>1</v>
      </c>
      <c r="Q773" s="46" t="str">
        <f t="shared" si="371"/>
        <v>02:27:25</v>
      </c>
      <c r="R773" s="47" t="str">
        <f t="shared" si="372"/>
        <v>27:25</v>
      </c>
      <c r="S773" s="48">
        <f t="shared" si="361"/>
        <v>10</v>
      </c>
      <c r="T773" s="47" t="str">
        <f t="shared" si="373"/>
        <v>02</v>
      </c>
      <c r="U773" s="49">
        <v>27</v>
      </c>
      <c r="V773" s="50">
        <v>35</v>
      </c>
      <c r="W773" s="51" t="str">
        <f t="shared" si="374"/>
        <v>27:35</v>
      </c>
      <c r="X773" s="52" t="s">
        <v>145</v>
      </c>
      <c r="Y773" s="124" t="s">
        <v>263</v>
      </c>
      <c r="Z773" s="124"/>
      <c r="AA773" s="47" t="s">
        <v>255</v>
      </c>
      <c r="AB773" s="47" t="str">
        <f t="shared" si="375"/>
        <v>NA</v>
      </c>
      <c r="AC773" s="53" t="str">
        <f t="shared" si="376"/>
        <v/>
      </c>
      <c r="AD773" s="54">
        <f t="shared" si="377"/>
        <v>1</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t="s">
        <v>112</v>
      </c>
      <c r="AT773" s="58"/>
      <c r="AU773" s="58"/>
      <c r="AV773" s="59"/>
      <c r="AW773" s="60">
        <f t="shared" si="362"/>
        <v>0</v>
      </c>
      <c r="AX773" s="61" t="str">
        <f t="shared" si="363"/>
        <v/>
      </c>
      <c r="AY773" s="60">
        <f t="shared" si="364"/>
        <v>0</v>
      </c>
      <c r="AZ773" s="61" t="str">
        <f t="shared" si="365"/>
        <v/>
      </c>
    </row>
    <row r="774" spans="1:52" s="3" customFormat="1" hidden="1" x14ac:dyDescent="0.35">
      <c r="A774" s="72">
        <f t="shared" si="366"/>
        <v>2021</v>
      </c>
      <c r="B774" s="72" t="str">
        <f t="shared" si="367"/>
        <v>Nov</v>
      </c>
      <c r="C774" s="73">
        <f t="shared" si="385"/>
        <v>15</v>
      </c>
      <c r="D774" s="74">
        <f t="shared" si="368"/>
        <v>2</v>
      </c>
      <c r="E774" s="75">
        <f t="shared" si="369"/>
        <v>28</v>
      </c>
      <c r="F774" s="79"/>
      <c r="G774" s="82"/>
      <c r="H774" s="68" t="str">
        <f t="shared" si="386"/>
        <v>Hyprev7_20211115_02_00</v>
      </c>
      <c r="I774" s="69">
        <f t="shared" si="387"/>
        <v>1</v>
      </c>
      <c r="J774" s="76" t="str">
        <f t="shared" si="387"/>
        <v>Hypericum</v>
      </c>
      <c r="K774" s="76" t="str">
        <f t="shared" si="387"/>
        <v>revolutum</v>
      </c>
      <c r="L774" s="77">
        <f t="shared" si="387"/>
        <v>7</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v>
      </c>
      <c r="C775" s="73">
        <f t="shared" si="385"/>
        <v>15</v>
      </c>
      <c r="D775" s="74">
        <f t="shared" si="368"/>
        <v>2</v>
      </c>
      <c r="E775" s="75">
        <f t="shared" si="369"/>
        <v>29</v>
      </c>
      <c r="F775" s="79"/>
      <c r="G775" s="82"/>
      <c r="H775" s="68" t="str">
        <f t="shared" si="386"/>
        <v>Hyprev7_20211115_02_00</v>
      </c>
      <c r="I775" s="69">
        <f t="shared" si="387"/>
        <v>1</v>
      </c>
      <c r="J775" s="76" t="str">
        <f t="shared" si="387"/>
        <v>Hypericum</v>
      </c>
      <c r="K775" s="76" t="str">
        <f t="shared" si="387"/>
        <v>revolutum</v>
      </c>
      <c r="L775" s="77">
        <f t="shared" si="387"/>
        <v>7</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v>
      </c>
      <c r="C776" s="73">
        <f t="shared" si="385"/>
        <v>15</v>
      </c>
      <c r="D776" s="74">
        <f t="shared" si="368"/>
        <v>2</v>
      </c>
      <c r="E776" s="75">
        <f t="shared" si="369"/>
        <v>30</v>
      </c>
      <c r="F776" s="79"/>
      <c r="G776" s="82"/>
      <c r="H776" s="68" t="str">
        <f t="shared" si="386"/>
        <v>Hyprev7_20211115_02_00</v>
      </c>
      <c r="I776" s="69">
        <f t="shared" si="387"/>
        <v>1</v>
      </c>
      <c r="J776" s="76" t="str">
        <f t="shared" si="387"/>
        <v>Hypericum</v>
      </c>
      <c r="K776" s="76" t="str">
        <f t="shared" si="387"/>
        <v>revolutum</v>
      </c>
      <c r="L776" s="77">
        <f t="shared" si="387"/>
        <v>7</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v>
      </c>
      <c r="C777" s="73">
        <f t="shared" si="385"/>
        <v>15</v>
      </c>
      <c r="D777" s="74">
        <f t="shared" si="368"/>
        <v>2</v>
      </c>
      <c r="E777" s="75">
        <f t="shared" si="369"/>
        <v>31</v>
      </c>
      <c r="F777" s="79"/>
      <c r="G777" s="82"/>
      <c r="H777" s="68" t="str">
        <f t="shared" si="386"/>
        <v>Hyprev7_20211115_02_00</v>
      </c>
      <c r="I777" s="69">
        <f t="shared" si="387"/>
        <v>1</v>
      </c>
      <c r="J777" s="76" t="str">
        <f t="shared" si="387"/>
        <v>Hypericum</v>
      </c>
      <c r="K777" s="76" t="str">
        <f t="shared" si="387"/>
        <v>revolutum</v>
      </c>
      <c r="L777" s="77">
        <f t="shared" si="387"/>
        <v>7</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v>
      </c>
      <c r="C778" s="73">
        <f t="shared" si="385"/>
        <v>15</v>
      </c>
      <c r="D778" s="74">
        <f t="shared" si="368"/>
        <v>2</v>
      </c>
      <c r="E778" s="75">
        <f t="shared" si="369"/>
        <v>32</v>
      </c>
      <c r="F778" s="79"/>
      <c r="G778" s="82"/>
      <c r="H778" s="68" t="str">
        <f t="shared" si="386"/>
        <v>Hyprev7_20211115_02_00</v>
      </c>
      <c r="I778" s="69">
        <f t="shared" si="387"/>
        <v>1</v>
      </c>
      <c r="J778" s="76" t="str">
        <f t="shared" si="387"/>
        <v>Hypericum</v>
      </c>
      <c r="K778" s="76" t="str">
        <f t="shared" si="387"/>
        <v>revolutum</v>
      </c>
      <c r="L778" s="77">
        <f t="shared" si="387"/>
        <v>7</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v>
      </c>
      <c r="C779" s="73">
        <f t="shared" si="385"/>
        <v>15</v>
      </c>
      <c r="D779" s="74">
        <f t="shared" si="368"/>
        <v>2</v>
      </c>
      <c r="E779" s="75">
        <f t="shared" si="369"/>
        <v>33</v>
      </c>
      <c r="F779" s="79"/>
      <c r="G779" s="82"/>
      <c r="H779" s="68" t="str">
        <f t="shared" si="386"/>
        <v>Hyprev7_20211115_02_00</v>
      </c>
      <c r="I779" s="69">
        <f t="shared" si="387"/>
        <v>1</v>
      </c>
      <c r="J779" s="76" t="str">
        <f t="shared" si="387"/>
        <v>Hypericum</v>
      </c>
      <c r="K779" s="76" t="str">
        <f t="shared" si="387"/>
        <v>revolutum</v>
      </c>
      <c r="L779" s="77">
        <f t="shared" si="387"/>
        <v>7</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v>
      </c>
      <c r="C780" s="73">
        <f t="shared" si="385"/>
        <v>15</v>
      </c>
      <c r="D780" s="74">
        <f t="shared" si="368"/>
        <v>2</v>
      </c>
      <c r="E780" s="75">
        <f t="shared" si="369"/>
        <v>34</v>
      </c>
      <c r="F780" s="79"/>
      <c r="G780" s="82"/>
      <c r="H780" s="68" t="str">
        <f t="shared" si="386"/>
        <v>Hyprev7_20211115_02_00</v>
      </c>
      <c r="I780" s="69">
        <f t="shared" si="387"/>
        <v>1</v>
      </c>
      <c r="J780" s="76" t="str">
        <f t="shared" si="387"/>
        <v>Hypericum</v>
      </c>
      <c r="K780" s="76" t="str">
        <f t="shared" si="387"/>
        <v>revolutum</v>
      </c>
      <c r="L780" s="77">
        <f t="shared" si="387"/>
        <v>7</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v>
      </c>
      <c r="C781" s="73">
        <f t="shared" si="385"/>
        <v>15</v>
      </c>
      <c r="D781" s="74">
        <f t="shared" si="368"/>
        <v>2</v>
      </c>
      <c r="E781" s="75">
        <f t="shared" si="369"/>
        <v>35</v>
      </c>
      <c r="F781" s="79"/>
      <c r="G781" s="82"/>
      <c r="H781" s="68" t="str">
        <f t="shared" si="386"/>
        <v>Hyprev7_20211115_02_00</v>
      </c>
      <c r="I781" s="69">
        <f t="shared" si="387"/>
        <v>1</v>
      </c>
      <c r="J781" s="76" t="str">
        <f t="shared" si="387"/>
        <v>Hypericum</v>
      </c>
      <c r="K781" s="76" t="str">
        <f t="shared" si="387"/>
        <v>revolutum</v>
      </c>
      <c r="L781" s="77">
        <f t="shared" si="387"/>
        <v>7</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v>
      </c>
      <c r="C782" s="73">
        <f t="shared" si="385"/>
        <v>15</v>
      </c>
      <c r="D782" s="74">
        <f t="shared" si="368"/>
        <v>2</v>
      </c>
      <c r="E782" s="75">
        <f t="shared" si="369"/>
        <v>36</v>
      </c>
      <c r="F782" s="79">
        <v>57</v>
      </c>
      <c r="G782" s="82"/>
      <c r="H782" s="68" t="str">
        <f t="shared" si="386"/>
        <v>Hyprev7_20211115_02_00</v>
      </c>
      <c r="I782" s="69">
        <f t="shared" si="387"/>
        <v>1</v>
      </c>
      <c r="J782" s="76" t="str">
        <f t="shared" si="387"/>
        <v>Hypericum</v>
      </c>
      <c r="K782" s="76" t="str">
        <f t="shared" si="387"/>
        <v>revolutum</v>
      </c>
      <c r="L782" s="77">
        <f t="shared" si="387"/>
        <v>7</v>
      </c>
      <c r="M782" s="77">
        <f t="shared" si="387"/>
        <v>2</v>
      </c>
      <c r="N782" s="71">
        <f t="shared" si="387"/>
        <v>0</v>
      </c>
      <c r="O782" s="44"/>
      <c r="P782" s="45">
        <f t="shared" si="370"/>
        <v>1</v>
      </c>
      <c r="Q782" s="46" t="str">
        <f t="shared" si="371"/>
        <v>02:36:57</v>
      </c>
      <c r="R782" s="47" t="str">
        <f t="shared" si="372"/>
        <v>36:57</v>
      </c>
      <c r="S782" s="48">
        <f t="shared" si="361"/>
        <v>25</v>
      </c>
      <c r="T782" s="47" t="str">
        <f t="shared" si="373"/>
        <v>02</v>
      </c>
      <c r="U782" s="49">
        <v>37</v>
      </c>
      <c r="V782" s="50">
        <v>22</v>
      </c>
      <c r="W782" s="51" t="str">
        <f t="shared" si="374"/>
        <v>37:22</v>
      </c>
      <c r="X782" s="52" t="s">
        <v>145</v>
      </c>
      <c r="Y782" s="124" t="s">
        <v>260</v>
      </c>
      <c r="Z782" s="124"/>
      <c r="AA782" s="47" t="s">
        <v>255</v>
      </c>
      <c r="AB782" s="47" t="str">
        <f t="shared" si="375"/>
        <v>NA</v>
      </c>
      <c r="AC782" s="53" t="str">
        <f t="shared" si="376"/>
        <v/>
      </c>
      <c r="AD782" s="54">
        <f t="shared" si="377"/>
        <v>1</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t="s">
        <v>162</v>
      </c>
      <c r="AT782" s="58"/>
      <c r="AU782" s="58"/>
      <c r="AV782" s="59"/>
      <c r="AW782" s="60">
        <f t="shared" si="362"/>
        <v>0</v>
      </c>
      <c r="AX782" s="61" t="str">
        <f t="shared" si="363"/>
        <v/>
      </c>
      <c r="AY782" s="60">
        <f t="shared" si="364"/>
        <v>0</v>
      </c>
      <c r="AZ782" s="61" t="str">
        <f t="shared" si="365"/>
        <v/>
      </c>
    </row>
    <row r="783" spans="1:52" s="3" customFormat="1" hidden="1" x14ac:dyDescent="0.35">
      <c r="A783" s="72">
        <f t="shared" si="366"/>
        <v>2021</v>
      </c>
      <c r="B783" s="72" t="str">
        <f t="shared" si="367"/>
        <v>Nov</v>
      </c>
      <c r="C783" s="73">
        <f t="shared" si="385"/>
        <v>15</v>
      </c>
      <c r="D783" s="74">
        <f t="shared" si="368"/>
        <v>2</v>
      </c>
      <c r="E783" s="75">
        <f t="shared" si="369"/>
        <v>37</v>
      </c>
      <c r="F783" s="79">
        <v>41</v>
      </c>
      <c r="G783" s="82"/>
      <c r="H783" s="68" t="str">
        <f t="shared" si="386"/>
        <v>Hyprev7_20211115_02_00</v>
      </c>
      <c r="I783" s="69">
        <f t="shared" si="387"/>
        <v>1</v>
      </c>
      <c r="J783" s="76" t="str">
        <f t="shared" si="387"/>
        <v>Hypericum</v>
      </c>
      <c r="K783" s="76" t="str">
        <f t="shared" si="387"/>
        <v>revolutum</v>
      </c>
      <c r="L783" s="77">
        <f t="shared" si="387"/>
        <v>7</v>
      </c>
      <c r="M783" s="77">
        <f t="shared" si="387"/>
        <v>2</v>
      </c>
      <c r="N783" s="71">
        <f t="shared" si="387"/>
        <v>0</v>
      </c>
      <c r="O783" s="44"/>
      <c r="P783" s="45">
        <f t="shared" si="370"/>
        <v>1</v>
      </c>
      <c r="Q783" s="46" t="str">
        <f t="shared" si="371"/>
        <v>02:37:41</v>
      </c>
      <c r="R783" s="47" t="str">
        <f t="shared" si="372"/>
        <v>37:41</v>
      </c>
      <c r="S783" s="48">
        <f t="shared" si="361"/>
        <v>0</v>
      </c>
      <c r="T783" s="47" t="str">
        <f t="shared" si="373"/>
        <v>02</v>
      </c>
      <c r="U783" s="49">
        <v>37</v>
      </c>
      <c r="V783" s="50">
        <v>41</v>
      </c>
      <c r="W783" s="51" t="str">
        <f t="shared" si="374"/>
        <v>37:41</v>
      </c>
      <c r="X783" s="52" t="s">
        <v>145</v>
      </c>
      <c r="Y783" s="124" t="s">
        <v>260</v>
      </c>
      <c r="Z783" s="124"/>
      <c r="AA783" s="47" t="s">
        <v>255</v>
      </c>
      <c r="AB783" s="47" t="str">
        <f t="shared" si="375"/>
        <v>NA</v>
      </c>
      <c r="AC783" s="53">
        <f t="shared" si="376"/>
        <v>0</v>
      </c>
      <c r="AD783" s="54">
        <f t="shared" si="377"/>
        <v>1</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t="s">
        <v>163</v>
      </c>
      <c r="AT783" s="58"/>
      <c r="AU783" s="58"/>
      <c r="AV783" s="59"/>
      <c r="AW783" s="60">
        <f t="shared" si="362"/>
        <v>0</v>
      </c>
      <c r="AX783" s="61" t="str">
        <f t="shared" si="363"/>
        <v/>
      </c>
      <c r="AY783" s="60">
        <f t="shared" si="364"/>
        <v>0</v>
      </c>
      <c r="AZ783" s="61" t="str">
        <f t="shared" si="365"/>
        <v/>
      </c>
    </row>
    <row r="784" spans="1:52" s="3" customFormat="1" hidden="1" x14ac:dyDescent="0.35">
      <c r="A784" s="72">
        <f t="shared" si="366"/>
        <v>2021</v>
      </c>
      <c r="B784" s="72" t="str">
        <f t="shared" si="367"/>
        <v>Nov</v>
      </c>
      <c r="C784" s="73">
        <f t="shared" si="385"/>
        <v>15</v>
      </c>
      <c r="D784" s="74">
        <f t="shared" si="368"/>
        <v>2</v>
      </c>
      <c r="E784" s="75">
        <f t="shared" si="369"/>
        <v>38</v>
      </c>
      <c r="F784" s="79"/>
      <c r="G784" s="82"/>
      <c r="H784" s="68" t="str">
        <f t="shared" si="386"/>
        <v>Hyprev7_20211115_02_00</v>
      </c>
      <c r="I784" s="69">
        <f t="shared" si="387"/>
        <v>1</v>
      </c>
      <c r="J784" s="76" t="str">
        <f t="shared" si="387"/>
        <v>Hypericum</v>
      </c>
      <c r="K784" s="76" t="str">
        <f t="shared" si="387"/>
        <v>revolutum</v>
      </c>
      <c r="L784" s="77">
        <f t="shared" si="387"/>
        <v>7</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v>
      </c>
      <c r="C785" s="73">
        <f t="shared" si="385"/>
        <v>15</v>
      </c>
      <c r="D785" s="74">
        <f t="shared" si="368"/>
        <v>2</v>
      </c>
      <c r="E785" s="75">
        <f t="shared" si="369"/>
        <v>39</v>
      </c>
      <c r="F785" s="79"/>
      <c r="G785" s="82"/>
      <c r="H785" s="68" t="str">
        <f t="shared" si="386"/>
        <v>Hyprev7_20211115_02_00</v>
      </c>
      <c r="I785" s="69">
        <f t="shared" si="387"/>
        <v>1</v>
      </c>
      <c r="J785" s="76" t="str">
        <f t="shared" si="387"/>
        <v>Hypericum</v>
      </c>
      <c r="K785" s="76" t="str">
        <f t="shared" si="387"/>
        <v>revolutum</v>
      </c>
      <c r="L785" s="77">
        <f t="shared" si="387"/>
        <v>7</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v>
      </c>
      <c r="C786" s="73">
        <f t="shared" si="385"/>
        <v>15</v>
      </c>
      <c r="D786" s="74">
        <f t="shared" si="368"/>
        <v>2</v>
      </c>
      <c r="E786" s="75">
        <f t="shared" si="369"/>
        <v>40</v>
      </c>
      <c r="F786" s="79"/>
      <c r="G786" s="82"/>
      <c r="H786" s="68" t="str">
        <f t="shared" si="386"/>
        <v>Hyprev7_20211115_02_00</v>
      </c>
      <c r="I786" s="69">
        <f t="shared" si="387"/>
        <v>1</v>
      </c>
      <c r="J786" s="76" t="str">
        <f t="shared" si="387"/>
        <v>Hypericum</v>
      </c>
      <c r="K786" s="76" t="str">
        <f t="shared" si="387"/>
        <v>revolutum</v>
      </c>
      <c r="L786" s="77">
        <f t="shared" si="387"/>
        <v>7</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v>
      </c>
      <c r="C787" s="73">
        <f t="shared" si="385"/>
        <v>15</v>
      </c>
      <c r="D787" s="74">
        <f t="shared" si="368"/>
        <v>2</v>
      </c>
      <c r="E787" s="75">
        <f t="shared" si="369"/>
        <v>41</v>
      </c>
      <c r="F787" s="79"/>
      <c r="G787" s="82"/>
      <c r="H787" s="68" t="str">
        <f t="shared" si="386"/>
        <v>Hyprev7_20211115_02_00</v>
      </c>
      <c r="I787" s="69">
        <f t="shared" si="387"/>
        <v>1</v>
      </c>
      <c r="J787" s="76" t="str">
        <f t="shared" si="387"/>
        <v>Hypericum</v>
      </c>
      <c r="K787" s="76" t="str">
        <f t="shared" si="387"/>
        <v>revolutum</v>
      </c>
      <c r="L787" s="77">
        <f t="shared" si="387"/>
        <v>7</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v>
      </c>
      <c r="C788" s="73">
        <f t="shared" si="385"/>
        <v>15</v>
      </c>
      <c r="D788" s="74">
        <f t="shared" si="368"/>
        <v>2</v>
      </c>
      <c r="E788" s="75">
        <f t="shared" si="369"/>
        <v>42</v>
      </c>
      <c r="F788" s="79"/>
      <c r="G788" s="82"/>
      <c r="H788" s="68" t="str">
        <f t="shared" si="386"/>
        <v>Hyprev7_20211115_02_00</v>
      </c>
      <c r="I788" s="69">
        <f t="shared" si="387"/>
        <v>1</v>
      </c>
      <c r="J788" s="76" t="str">
        <f t="shared" si="387"/>
        <v>Hypericum</v>
      </c>
      <c r="K788" s="76" t="str">
        <f t="shared" si="387"/>
        <v>revolutum</v>
      </c>
      <c r="L788" s="77">
        <f t="shared" si="387"/>
        <v>7</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v>
      </c>
      <c r="C789" s="73">
        <f t="shared" si="385"/>
        <v>15</v>
      </c>
      <c r="D789" s="74">
        <f t="shared" si="368"/>
        <v>2</v>
      </c>
      <c r="E789" s="75">
        <f t="shared" si="369"/>
        <v>43</v>
      </c>
      <c r="F789" s="79"/>
      <c r="G789" s="82"/>
      <c r="H789" s="68" t="str">
        <f t="shared" si="386"/>
        <v>Hyprev7_20211115_02_00</v>
      </c>
      <c r="I789" s="69">
        <f t="shared" ref="I789:N804" si="388">I788</f>
        <v>1</v>
      </c>
      <c r="J789" s="76" t="str">
        <f t="shared" si="388"/>
        <v>Hypericum</v>
      </c>
      <c r="K789" s="76" t="str">
        <f t="shared" si="388"/>
        <v>revolutum</v>
      </c>
      <c r="L789" s="77">
        <f t="shared" si="388"/>
        <v>7</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v>
      </c>
      <c r="C790" s="73">
        <f t="shared" si="385"/>
        <v>15</v>
      </c>
      <c r="D790" s="74">
        <f t="shared" si="368"/>
        <v>2</v>
      </c>
      <c r="E790" s="75">
        <f t="shared" si="369"/>
        <v>44</v>
      </c>
      <c r="F790" s="79"/>
      <c r="G790" s="82"/>
      <c r="H790" s="68" t="str">
        <f t="shared" si="386"/>
        <v>Hyprev7_20211115_02_00</v>
      </c>
      <c r="I790" s="69">
        <f t="shared" si="388"/>
        <v>1</v>
      </c>
      <c r="J790" s="76" t="str">
        <f t="shared" si="388"/>
        <v>Hypericum</v>
      </c>
      <c r="K790" s="76" t="str">
        <f t="shared" si="388"/>
        <v>revolutum</v>
      </c>
      <c r="L790" s="77">
        <f t="shared" si="388"/>
        <v>7</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v>
      </c>
      <c r="C791" s="73">
        <f t="shared" si="385"/>
        <v>15</v>
      </c>
      <c r="D791" s="74">
        <f t="shared" si="368"/>
        <v>2</v>
      </c>
      <c r="E791" s="75">
        <f t="shared" si="369"/>
        <v>45</v>
      </c>
      <c r="F791" s="79"/>
      <c r="G791" s="82"/>
      <c r="H791" s="68" t="str">
        <f t="shared" si="386"/>
        <v>Hyprev7_20211115_02_00</v>
      </c>
      <c r="I791" s="69">
        <f t="shared" si="388"/>
        <v>1</v>
      </c>
      <c r="J791" s="76" t="str">
        <f t="shared" si="388"/>
        <v>Hypericum</v>
      </c>
      <c r="K791" s="76" t="str">
        <f t="shared" si="388"/>
        <v>revolutum</v>
      </c>
      <c r="L791" s="77">
        <f t="shared" si="388"/>
        <v>7</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v>
      </c>
      <c r="C792" s="73">
        <f t="shared" si="385"/>
        <v>15</v>
      </c>
      <c r="D792" s="74">
        <f t="shared" si="368"/>
        <v>2</v>
      </c>
      <c r="E792" s="75">
        <f t="shared" si="369"/>
        <v>46</v>
      </c>
      <c r="F792" s="79"/>
      <c r="G792" s="82"/>
      <c r="H792" s="68" t="str">
        <f t="shared" si="386"/>
        <v>Hyprev7_20211115_02_00</v>
      </c>
      <c r="I792" s="69">
        <f t="shared" si="388"/>
        <v>1</v>
      </c>
      <c r="J792" s="76" t="str">
        <f t="shared" si="388"/>
        <v>Hypericum</v>
      </c>
      <c r="K792" s="76" t="str">
        <f t="shared" si="388"/>
        <v>revolutum</v>
      </c>
      <c r="L792" s="77">
        <f t="shared" si="388"/>
        <v>7</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v>
      </c>
      <c r="C793" s="73">
        <f t="shared" si="385"/>
        <v>15</v>
      </c>
      <c r="D793" s="74">
        <f t="shared" si="368"/>
        <v>2</v>
      </c>
      <c r="E793" s="75">
        <f t="shared" si="369"/>
        <v>47</v>
      </c>
      <c r="F793" s="79"/>
      <c r="G793" s="82"/>
      <c r="H793" s="68" t="str">
        <f t="shared" si="386"/>
        <v>Hyprev7_20211115_02_00</v>
      </c>
      <c r="I793" s="69">
        <f t="shared" si="388"/>
        <v>1</v>
      </c>
      <c r="J793" s="76" t="str">
        <f t="shared" si="388"/>
        <v>Hypericum</v>
      </c>
      <c r="K793" s="76" t="str">
        <f t="shared" si="388"/>
        <v>revolutum</v>
      </c>
      <c r="L793" s="77">
        <f t="shared" si="388"/>
        <v>7</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v>
      </c>
      <c r="C794" s="73">
        <f t="shared" si="385"/>
        <v>15</v>
      </c>
      <c r="D794" s="74">
        <f t="shared" si="368"/>
        <v>2</v>
      </c>
      <c r="E794" s="75">
        <f t="shared" si="369"/>
        <v>48</v>
      </c>
      <c r="F794" s="79"/>
      <c r="G794" s="82"/>
      <c r="H794" s="68" t="str">
        <f t="shared" si="386"/>
        <v>Hyprev7_20211115_02_00</v>
      </c>
      <c r="I794" s="69">
        <f t="shared" si="388"/>
        <v>1</v>
      </c>
      <c r="J794" s="76" t="str">
        <f t="shared" si="388"/>
        <v>Hypericum</v>
      </c>
      <c r="K794" s="76" t="str">
        <f t="shared" si="388"/>
        <v>revolutum</v>
      </c>
      <c r="L794" s="77">
        <f t="shared" si="388"/>
        <v>7</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v>
      </c>
      <c r="C795" s="73">
        <f t="shared" si="385"/>
        <v>15</v>
      </c>
      <c r="D795" s="74">
        <f t="shared" si="368"/>
        <v>2</v>
      </c>
      <c r="E795" s="75">
        <f t="shared" si="369"/>
        <v>49</v>
      </c>
      <c r="F795" s="79"/>
      <c r="G795" s="82"/>
      <c r="H795" s="68" t="str">
        <f t="shared" si="386"/>
        <v>Hyprev7_20211115_02_00</v>
      </c>
      <c r="I795" s="69">
        <f t="shared" si="388"/>
        <v>1</v>
      </c>
      <c r="J795" s="76" t="str">
        <f t="shared" si="388"/>
        <v>Hypericum</v>
      </c>
      <c r="K795" s="76" t="str">
        <f t="shared" si="388"/>
        <v>revolutum</v>
      </c>
      <c r="L795" s="77">
        <f t="shared" si="388"/>
        <v>7</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v>
      </c>
      <c r="C796" s="73">
        <f t="shared" si="385"/>
        <v>15</v>
      </c>
      <c r="D796" s="74">
        <f t="shared" si="368"/>
        <v>2</v>
      </c>
      <c r="E796" s="75">
        <f t="shared" si="369"/>
        <v>50</v>
      </c>
      <c r="F796" s="79"/>
      <c r="G796" s="82"/>
      <c r="H796" s="68" t="str">
        <f t="shared" si="386"/>
        <v>Hyprev7_20211115_02_00</v>
      </c>
      <c r="I796" s="69">
        <f t="shared" si="388"/>
        <v>1</v>
      </c>
      <c r="J796" s="76" t="str">
        <f t="shared" si="388"/>
        <v>Hypericum</v>
      </c>
      <c r="K796" s="76" t="str">
        <f t="shared" si="388"/>
        <v>revolutum</v>
      </c>
      <c r="L796" s="77">
        <f t="shared" si="388"/>
        <v>7</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v>
      </c>
      <c r="C797" s="73">
        <f t="shared" si="385"/>
        <v>15</v>
      </c>
      <c r="D797" s="74">
        <f t="shared" si="368"/>
        <v>2</v>
      </c>
      <c r="E797" s="75">
        <f t="shared" si="369"/>
        <v>51</v>
      </c>
      <c r="F797" s="79"/>
      <c r="G797" s="82"/>
      <c r="H797" s="68" t="str">
        <f t="shared" si="386"/>
        <v>Hyprev7_20211115_02_00</v>
      </c>
      <c r="I797" s="69">
        <f t="shared" si="388"/>
        <v>1</v>
      </c>
      <c r="J797" s="76" t="str">
        <f t="shared" si="388"/>
        <v>Hypericum</v>
      </c>
      <c r="K797" s="76" t="str">
        <f t="shared" si="388"/>
        <v>revolutum</v>
      </c>
      <c r="L797" s="77">
        <f t="shared" si="388"/>
        <v>7</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v>
      </c>
      <c r="C798" s="73">
        <f t="shared" si="385"/>
        <v>15</v>
      </c>
      <c r="D798" s="74">
        <f t="shared" si="368"/>
        <v>2</v>
      </c>
      <c r="E798" s="75">
        <f t="shared" si="369"/>
        <v>52</v>
      </c>
      <c r="F798" s="79"/>
      <c r="G798" s="82"/>
      <c r="H798" s="68" t="str">
        <f t="shared" si="386"/>
        <v>Hyprev7_20211115_02_00</v>
      </c>
      <c r="I798" s="69">
        <f t="shared" si="388"/>
        <v>1</v>
      </c>
      <c r="J798" s="76" t="str">
        <f t="shared" si="388"/>
        <v>Hypericum</v>
      </c>
      <c r="K798" s="76" t="str">
        <f t="shared" si="388"/>
        <v>revolutum</v>
      </c>
      <c r="L798" s="77">
        <f t="shared" si="388"/>
        <v>7</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v>
      </c>
      <c r="C799" s="73">
        <f t="shared" si="385"/>
        <v>15</v>
      </c>
      <c r="D799" s="74">
        <f t="shared" si="368"/>
        <v>2</v>
      </c>
      <c r="E799" s="75">
        <f t="shared" si="369"/>
        <v>53</v>
      </c>
      <c r="F799" s="79"/>
      <c r="G799" s="82"/>
      <c r="H799" s="68" t="str">
        <f t="shared" si="386"/>
        <v>Hyprev7_20211115_02_00</v>
      </c>
      <c r="I799" s="69">
        <f t="shared" si="388"/>
        <v>1</v>
      </c>
      <c r="J799" s="76" t="str">
        <f t="shared" si="388"/>
        <v>Hypericum</v>
      </c>
      <c r="K799" s="76" t="str">
        <f t="shared" si="388"/>
        <v>revolutum</v>
      </c>
      <c r="L799" s="77">
        <f t="shared" si="388"/>
        <v>7</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v>
      </c>
      <c r="C800" s="73">
        <f t="shared" si="385"/>
        <v>15</v>
      </c>
      <c r="D800" s="74">
        <f t="shared" si="368"/>
        <v>2</v>
      </c>
      <c r="E800" s="75">
        <f t="shared" si="369"/>
        <v>54</v>
      </c>
      <c r="F800" s="79"/>
      <c r="G800" s="82"/>
      <c r="H800" s="68" t="str">
        <f t="shared" si="386"/>
        <v>Hyprev7_20211115_02_00</v>
      </c>
      <c r="I800" s="69">
        <f t="shared" si="388"/>
        <v>1</v>
      </c>
      <c r="J800" s="76" t="str">
        <f t="shared" si="388"/>
        <v>Hypericum</v>
      </c>
      <c r="K800" s="76" t="str">
        <f t="shared" si="388"/>
        <v>revolutum</v>
      </c>
      <c r="L800" s="77">
        <f t="shared" si="388"/>
        <v>7</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v>
      </c>
      <c r="C801" s="73">
        <f t="shared" si="385"/>
        <v>15</v>
      </c>
      <c r="D801" s="74">
        <f t="shared" si="368"/>
        <v>2</v>
      </c>
      <c r="E801" s="75">
        <f t="shared" si="369"/>
        <v>55</v>
      </c>
      <c r="F801" s="79"/>
      <c r="G801" s="82"/>
      <c r="H801" s="68" t="str">
        <f t="shared" si="386"/>
        <v>Hyprev7_20211115_02_00</v>
      </c>
      <c r="I801" s="69">
        <f t="shared" si="388"/>
        <v>1</v>
      </c>
      <c r="J801" s="76" t="str">
        <f t="shared" si="388"/>
        <v>Hypericum</v>
      </c>
      <c r="K801" s="76" t="str">
        <f t="shared" si="388"/>
        <v>revolutum</v>
      </c>
      <c r="L801" s="77">
        <f t="shared" si="388"/>
        <v>7</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v>
      </c>
      <c r="C802" s="73">
        <f t="shared" si="385"/>
        <v>15</v>
      </c>
      <c r="D802" s="74">
        <f t="shared" si="368"/>
        <v>2</v>
      </c>
      <c r="E802" s="75">
        <f t="shared" si="369"/>
        <v>56</v>
      </c>
      <c r="F802" s="79"/>
      <c r="G802" s="82"/>
      <c r="H802" s="68" t="str">
        <f t="shared" si="386"/>
        <v>Hyprev7_20211115_02_00</v>
      </c>
      <c r="I802" s="69">
        <f t="shared" si="388"/>
        <v>1</v>
      </c>
      <c r="J802" s="76" t="str">
        <f t="shared" si="388"/>
        <v>Hypericum</v>
      </c>
      <c r="K802" s="76" t="str">
        <f t="shared" si="388"/>
        <v>revolutum</v>
      </c>
      <c r="L802" s="77">
        <f t="shared" si="388"/>
        <v>7</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v>
      </c>
      <c r="C803" s="73">
        <f t="shared" si="385"/>
        <v>15</v>
      </c>
      <c r="D803" s="74">
        <f t="shared" si="368"/>
        <v>2</v>
      </c>
      <c r="E803" s="75">
        <f t="shared" si="369"/>
        <v>57</v>
      </c>
      <c r="F803" s="79"/>
      <c r="G803" s="82"/>
      <c r="H803" s="68" t="str">
        <f t="shared" si="386"/>
        <v>Hyprev7_20211115_02_00</v>
      </c>
      <c r="I803" s="69">
        <f t="shared" si="388"/>
        <v>1</v>
      </c>
      <c r="J803" s="76" t="str">
        <f t="shared" si="388"/>
        <v>Hypericum</v>
      </c>
      <c r="K803" s="76" t="str">
        <f t="shared" si="388"/>
        <v>revolutum</v>
      </c>
      <c r="L803" s="77">
        <f t="shared" si="388"/>
        <v>7</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v>
      </c>
      <c r="C804" s="73">
        <f t="shared" si="385"/>
        <v>15</v>
      </c>
      <c r="D804" s="74">
        <f t="shared" si="368"/>
        <v>2</v>
      </c>
      <c r="E804" s="75">
        <f t="shared" si="369"/>
        <v>58</v>
      </c>
      <c r="F804" s="79"/>
      <c r="G804" s="82"/>
      <c r="H804" s="68" t="str">
        <f t="shared" si="386"/>
        <v>Hyprev7_20211115_02_00</v>
      </c>
      <c r="I804" s="69">
        <f t="shared" si="388"/>
        <v>1</v>
      </c>
      <c r="J804" s="76" t="str">
        <f t="shared" si="388"/>
        <v>Hypericum</v>
      </c>
      <c r="K804" s="76" t="str">
        <f t="shared" si="388"/>
        <v>revolutum</v>
      </c>
      <c r="L804" s="77">
        <f t="shared" si="388"/>
        <v>7</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v>
      </c>
      <c r="C805" s="73">
        <f t="shared" si="385"/>
        <v>15</v>
      </c>
      <c r="D805" s="74">
        <f t="shared" si="368"/>
        <v>2</v>
      </c>
      <c r="E805" s="75">
        <f t="shared" si="369"/>
        <v>59</v>
      </c>
      <c r="F805" s="79"/>
      <c r="G805" s="82"/>
      <c r="H805" s="68" t="str">
        <f t="shared" si="386"/>
        <v>Hyprev7_20211115_02_00</v>
      </c>
      <c r="I805" s="69">
        <f t="shared" ref="I805:N820" si="389">I804</f>
        <v>1</v>
      </c>
      <c r="J805" s="76" t="str">
        <f t="shared" si="389"/>
        <v>Hypericum</v>
      </c>
      <c r="K805" s="76" t="str">
        <f t="shared" si="389"/>
        <v>revolutum</v>
      </c>
      <c r="L805" s="77">
        <f t="shared" si="389"/>
        <v>7</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v>
      </c>
      <c r="C806" s="73">
        <f t="shared" si="385"/>
        <v>15</v>
      </c>
      <c r="D806" s="74">
        <f t="shared" si="368"/>
        <v>3</v>
      </c>
      <c r="E806" s="75">
        <f t="shared" si="369"/>
        <v>0</v>
      </c>
      <c r="F806" s="79"/>
      <c r="G806" s="82"/>
      <c r="H806" s="68" t="str">
        <f t="shared" si="386"/>
        <v>Hyprev7_20211115_03_00</v>
      </c>
      <c r="I806" s="69">
        <f t="shared" si="389"/>
        <v>1</v>
      </c>
      <c r="J806" s="76" t="str">
        <f t="shared" si="389"/>
        <v>Hypericum</v>
      </c>
      <c r="K806" s="76" t="str">
        <f t="shared" si="389"/>
        <v>revolutum</v>
      </c>
      <c r="L806" s="77">
        <f t="shared" si="389"/>
        <v>7</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v>
      </c>
      <c r="C807" s="73">
        <f t="shared" si="385"/>
        <v>15</v>
      </c>
      <c r="D807" s="74">
        <f t="shared" si="368"/>
        <v>3</v>
      </c>
      <c r="E807" s="75">
        <f t="shared" si="369"/>
        <v>1</v>
      </c>
      <c r="F807" s="79"/>
      <c r="G807" s="82"/>
      <c r="H807" s="68" t="str">
        <f t="shared" si="386"/>
        <v>Hyprev7_20211115_03_00</v>
      </c>
      <c r="I807" s="69">
        <f t="shared" si="389"/>
        <v>1</v>
      </c>
      <c r="J807" s="76" t="str">
        <f t="shared" si="389"/>
        <v>Hypericum</v>
      </c>
      <c r="K807" s="76" t="str">
        <f t="shared" si="389"/>
        <v>revolutum</v>
      </c>
      <c r="L807" s="77">
        <f t="shared" si="389"/>
        <v>7</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v>
      </c>
      <c r="C808" s="73">
        <f t="shared" si="385"/>
        <v>15</v>
      </c>
      <c r="D808" s="74">
        <f t="shared" si="368"/>
        <v>3</v>
      </c>
      <c r="E808" s="75">
        <f t="shared" si="369"/>
        <v>2</v>
      </c>
      <c r="F808" s="79"/>
      <c r="G808" s="82"/>
      <c r="H808" s="68" t="str">
        <f t="shared" si="386"/>
        <v>Hyprev7_20211115_03_00</v>
      </c>
      <c r="I808" s="69">
        <f t="shared" si="389"/>
        <v>1</v>
      </c>
      <c r="J808" s="76" t="str">
        <f t="shared" si="389"/>
        <v>Hypericum</v>
      </c>
      <c r="K808" s="76" t="str">
        <f t="shared" si="389"/>
        <v>revolutum</v>
      </c>
      <c r="L808" s="77">
        <f t="shared" si="389"/>
        <v>7</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v>
      </c>
      <c r="C809" s="73">
        <f t="shared" si="385"/>
        <v>15</v>
      </c>
      <c r="D809" s="74">
        <f t="shared" si="368"/>
        <v>3</v>
      </c>
      <c r="E809" s="75">
        <f t="shared" si="369"/>
        <v>3</v>
      </c>
      <c r="F809" s="79"/>
      <c r="G809" s="82"/>
      <c r="H809" s="68" t="str">
        <f t="shared" si="386"/>
        <v>Hyprev7_20211115_03_00</v>
      </c>
      <c r="I809" s="69">
        <f t="shared" si="389"/>
        <v>1</v>
      </c>
      <c r="J809" s="76" t="str">
        <f t="shared" si="389"/>
        <v>Hypericum</v>
      </c>
      <c r="K809" s="76" t="str">
        <f t="shared" si="389"/>
        <v>revolutum</v>
      </c>
      <c r="L809" s="77">
        <f t="shared" si="389"/>
        <v>7</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v>
      </c>
      <c r="C810" s="73">
        <f t="shared" si="385"/>
        <v>15</v>
      </c>
      <c r="D810" s="74">
        <f t="shared" si="368"/>
        <v>3</v>
      </c>
      <c r="E810" s="75">
        <f t="shared" si="369"/>
        <v>4</v>
      </c>
      <c r="F810" s="79"/>
      <c r="G810" s="82"/>
      <c r="H810" s="68" t="str">
        <f t="shared" si="386"/>
        <v>Hyprev7_20211115_03_00</v>
      </c>
      <c r="I810" s="69">
        <f t="shared" si="389"/>
        <v>1</v>
      </c>
      <c r="J810" s="76" t="str">
        <f t="shared" si="389"/>
        <v>Hypericum</v>
      </c>
      <c r="K810" s="76" t="str">
        <f t="shared" si="389"/>
        <v>revolutum</v>
      </c>
      <c r="L810" s="77">
        <f t="shared" si="389"/>
        <v>7</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v>
      </c>
      <c r="C811" s="73">
        <f t="shared" si="385"/>
        <v>15</v>
      </c>
      <c r="D811" s="74">
        <f t="shared" si="368"/>
        <v>3</v>
      </c>
      <c r="E811" s="75">
        <f t="shared" si="369"/>
        <v>5</v>
      </c>
      <c r="F811" s="79"/>
      <c r="G811" s="82"/>
      <c r="H811" s="68" t="str">
        <f t="shared" si="386"/>
        <v>Hyprev7_20211115_03_00</v>
      </c>
      <c r="I811" s="69">
        <f t="shared" si="389"/>
        <v>1</v>
      </c>
      <c r="J811" s="76" t="str">
        <f t="shared" si="389"/>
        <v>Hypericum</v>
      </c>
      <c r="K811" s="76" t="str">
        <f t="shared" si="389"/>
        <v>revolutum</v>
      </c>
      <c r="L811" s="77">
        <f t="shared" si="389"/>
        <v>7</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v>
      </c>
      <c r="C812" s="73">
        <f t="shared" si="385"/>
        <v>15</v>
      </c>
      <c r="D812" s="74">
        <f t="shared" si="368"/>
        <v>3</v>
      </c>
      <c r="E812" s="75">
        <f t="shared" si="369"/>
        <v>6</v>
      </c>
      <c r="F812" s="79"/>
      <c r="G812" s="82"/>
      <c r="H812" s="68" t="str">
        <f t="shared" si="386"/>
        <v>Hyprev7_20211115_03_00</v>
      </c>
      <c r="I812" s="69">
        <f t="shared" si="389"/>
        <v>1</v>
      </c>
      <c r="J812" s="76" t="str">
        <f t="shared" si="389"/>
        <v>Hypericum</v>
      </c>
      <c r="K812" s="76" t="str">
        <f t="shared" si="389"/>
        <v>revolutum</v>
      </c>
      <c r="L812" s="77">
        <f t="shared" si="389"/>
        <v>7</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v>
      </c>
      <c r="C813" s="73">
        <f t="shared" si="385"/>
        <v>15</v>
      </c>
      <c r="D813" s="74">
        <f t="shared" si="368"/>
        <v>3</v>
      </c>
      <c r="E813" s="75">
        <f t="shared" si="369"/>
        <v>7</v>
      </c>
      <c r="F813" s="79"/>
      <c r="G813" s="82"/>
      <c r="H813" s="68" t="str">
        <f t="shared" si="386"/>
        <v>Hyprev7_20211115_03_00</v>
      </c>
      <c r="I813" s="69">
        <f t="shared" si="389"/>
        <v>1</v>
      </c>
      <c r="J813" s="76" t="str">
        <f t="shared" si="389"/>
        <v>Hypericum</v>
      </c>
      <c r="K813" s="76" t="str">
        <f t="shared" si="389"/>
        <v>revolutum</v>
      </c>
      <c r="L813" s="77">
        <f t="shared" si="389"/>
        <v>7</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v>
      </c>
      <c r="C814" s="73">
        <f t="shared" si="385"/>
        <v>15</v>
      </c>
      <c r="D814" s="74">
        <f t="shared" si="368"/>
        <v>3</v>
      </c>
      <c r="E814" s="75">
        <f t="shared" si="369"/>
        <v>8</v>
      </c>
      <c r="F814" s="79"/>
      <c r="G814" s="82"/>
      <c r="H814" s="68" t="str">
        <f t="shared" si="386"/>
        <v>Hyprev7_20211115_03_00</v>
      </c>
      <c r="I814" s="69">
        <f t="shared" si="389"/>
        <v>1</v>
      </c>
      <c r="J814" s="76" t="str">
        <f t="shared" si="389"/>
        <v>Hypericum</v>
      </c>
      <c r="K814" s="76" t="str">
        <f t="shared" si="389"/>
        <v>revolutum</v>
      </c>
      <c r="L814" s="77">
        <f t="shared" si="389"/>
        <v>7</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v>
      </c>
      <c r="C815" s="73">
        <f t="shared" si="385"/>
        <v>15</v>
      </c>
      <c r="D815" s="74">
        <f t="shared" si="368"/>
        <v>3</v>
      </c>
      <c r="E815" s="75">
        <f t="shared" si="369"/>
        <v>9</v>
      </c>
      <c r="F815" s="79"/>
      <c r="G815" s="82"/>
      <c r="H815" s="68" t="str">
        <f t="shared" si="386"/>
        <v>Hyprev7_20211115_03_00</v>
      </c>
      <c r="I815" s="69">
        <f t="shared" si="389"/>
        <v>1</v>
      </c>
      <c r="J815" s="76" t="str">
        <f t="shared" si="389"/>
        <v>Hypericum</v>
      </c>
      <c r="K815" s="76" t="str">
        <f t="shared" si="389"/>
        <v>revolutum</v>
      </c>
      <c r="L815" s="77">
        <f t="shared" si="389"/>
        <v>7</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v>
      </c>
      <c r="C816" s="73">
        <f t="shared" si="385"/>
        <v>15</v>
      </c>
      <c r="D816" s="74">
        <f t="shared" si="368"/>
        <v>3</v>
      </c>
      <c r="E816" s="75">
        <f t="shared" si="369"/>
        <v>10</v>
      </c>
      <c r="F816" s="79"/>
      <c r="G816" s="82"/>
      <c r="H816" s="68" t="str">
        <f t="shared" si="386"/>
        <v>Hyprev7_20211115_03_00</v>
      </c>
      <c r="I816" s="69">
        <f t="shared" si="389"/>
        <v>1</v>
      </c>
      <c r="J816" s="76" t="str">
        <f t="shared" si="389"/>
        <v>Hypericum</v>
      </c>
      <c r="K816" s="76" t="str">
        <f t="shared" si="389"/>
        <v>revolutum</v>
      </c>
      <c r="L816" s="77">
        <f t="shared" si="389"/>
        <v>7</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v>
      </c>
      <c r="C817" s="73">
        <f t="shared" si="385"/>
        <v>15</v>
      </c>
      <c r="D817" s="74">
        <f t="shared" si="368"/>
        <v>3</v>
      </c>
      <c r="E817" s="75">
        <f t="shared" si="369"/>
        <v>11</v>
      </c>
      <c r="F817" s="79"/>
      <c r="G817" s="82"/>
      <c r="H817" s="68" t="str">
        <f t="shared" si="386"/>
        <v>Hyprev7_20211115_03_00</v>
      </c>
      <c r="I817" s="69">
        <f t="shared" si="389"/>
        <v>1</v>
      </c>
      <c r="J817" s="76" t="str">
        <f t="shared" si="389"/>
        <v>Hypericum</v>
      </c>
      <c r="K817" s="76" t="str">
        <f t="shared" si="389"/>
        <v>revolutum</v>
      </c>
      <c r="L817" s="77">
        <f t="shared" si="389"/>
        <v>7</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v>
      </c>
      <c r="C818" s="73">
        <f t="shared" si="385"/>
        <v>15</v>
      </c>
      <c r="D818" s="74">
        <f t="shared" si="368"/>
        <v>3</v>
      </c>
      <c r="E818" s="75">
        <f t="shared" si="369"/>
        <v>12</v>
      </c>
      <c r="F818" s="79"/>
      <c r="G818" s="82"/>
      <c r="H818" s="68" t="str">
        <f t="shared" si="386"/>
        <v>Hyprev7_20211115_03_00</v>
      </c>
      <c r="I818" s="69">
        <f t="shared" si="389"/>
        <v>1</v>
      </c>
      <c r="J818" s="76" t="str">
        <f t="shared" si="389"/>
        <v>Hypericum</v>
      </c>
      <c r="K818" s="76" t="str">
        <f t="shared" si="389"/>
        <v>revolutum</v>
      </c>
      <c r="L818" s="77">
        <f t="shared" si="389"/>
        <v>7</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v>
      </c>
      <c r="C819" s="73">
        <f t="shared" si="385"/>
        <v>15</v>
      </c>
      <c r="D819" s="74">
        <f t="shared" si="368"/>
        <v>3</v>
      </c>
      <c r="E819" s="75">
        <f t="shared" si="369"/>
        <v>13</v>
      </c>
      <c r="F819" s="79"/>
      <c r="G819" s="82"/>
      <c r="H819" s="68" t="str">
        <f t="shared" si="386"/>
        <v>Hyprev7_20211115_03_00</v>
      </c>
      <c r="I819" s="69">
        <f t="shared" si="389"/>
        <v>1</v>
      </c>
      <c r="J819" s="76" t="str">
        <f t="shared" si="389"/>
        <v>Hypericum</v>
      </c>
      <c r="K819" s="76" t="str">
        <f t="shared" si="389"/>
        <v>revolutum</v>
      </c>
      <c r="L819" s="77">
        <f t="shared" si="389"/>
        <v>7</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v>
      </c>
      <c r="C820" s="73">
        <f t="shared" si="385"/>
        <v>15</v>
      </c>
      <c r="D820" s="74">
        <f t="shared" si="368"/>
        <v>3</v>
      </c>
      <c r="E820" s="75">
        <f t="shared" si="369"/>
        <v>14</v>
      </c>
      <c r="F820" s="79"/>
      <c r="G820" s="82"/>
      <c r="H820" s="68" t="str">
        <f t="shared" si="386"/>
        <v>Hyprev7_20211115_03_00</v>
      </c>
      <c r="I820" s="69">
        <f t="shared" si="389"/>
        <v>1</v>
      </c>
      <c r="J820" s="76" t="str">
        <f t="shared" si="389"/>
        <v>Hypericum</v>
      </c>
      <c r="K820" s="76" t="str">
        <f t="shared" si="389"/>
        <v>revolutum</v>
      </c>
      <c r="L820" s="77">
        <f t="shared" si="389"/>
        <v>7</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v>
      </c>
      <c r="C821" s="73">
        <f t="shared" si="385"/>
        <v>15</v>
      </c>
      <c r="D821" s="74">
        <f t="shared" si="368"/>
        <v>3</v>
      </c>
      <c r="E821" s="75">
        <f t="shared" si="369"/>
        <v>15</v>
      </c>
      <c r="F821" s="79"/>
      <c r="G821" s="82"/>
      <c r="H821" s="68" t="str">
        <f t="shared" si="386"/>
        <v>Hyprev7_20211115_03_00</v>
      </c>
      <c r="I821" s="69">
        <f t="shared" ref="I821:N836" si="390">I820</f>
        <v>1</v>
      </c>
      <c r="J821" s="76" t="str">
        <f t="shared" si="390"/>
        <v>Hypericum</v>
      </c>
      <c r="K821" s="76" t="str">
        <f t="shared" si="390"/>
        <v>revolutum</v>
      </c>
      <c r="L821" s="77">
        <f t="shared" si="390"/>
        <v>7</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v>
      </c>
      <c r="C822" s="73">
        <f t="shared" si="385"/>
        <v>15</v>
      </c>
      <c r="D822" s="74">
        <f t="shared" si="368"/>
        <v>3</v>
      </c>
      <c r="E822" s="75">
        <f t="shared" si="369"/>
        <v>16</v>
      </c>
      <c r="F822" s="79"/>
      <c r="G822" s="82"/>
      <c r="H822" s="68" t="str">
        <f t="shared" si="386"/>
        <v>Hyprev7_20211115_03_00</v>
      </c>
      <c r="I822" s="69">
        <f t="shared" si="390"/>
        <v>1</v>
      </c>
      <c r="J822" s="76" t="str">
        <f t="shared" si="390"/>
        <v>Hypericum</v>
      </c>
      <c r="K822" s="76" t="str">
        <f t="shared" si="390"/>
        <v>revolutum</v>
      </c>
      <c r="L822" s="77">
        <f t="shared" si="390"/>
        <v>7</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v>
      </c>
      <c r="C823" s="73">
        <f t="shared" si="385"/>
        <v>15</v>
      </c>
      <c r="D823" s="74">
        <f t="shared" si="368"/>
        <v>3</v>
      </c>
      <c r="E823" s="75">
        <f t="shared" si="369"/>
        <v>17</v>
      </c>
      <c r="F823" s="79"/>
      <c r="G823" s="82"/>
      <c r="H823" s="68" t="str">
        <f t="shared" si="386"/>
        <v>Hyprev7_20211115_03_00</v>
      </c>
      <c r="I823" s="69">
        <f t="shared" si="390"/>
        <v>1</v>
      </c>
      <c r="J823" s="76" t="str">
        <f t="shared" si="390"/>
        <v>Hypericum</v>
      </c>
      <c r="K823" s="76" t="str">
        <f t="shared" si="390"/>
        <v>revolutum</v>
      </c>
      <c r="L823" s="77">
        <f t="shared" si="390"/>
        <v>7</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v>
      </c>
      <c r="C824" s="73">
        <f t="shared" si="385"/>
        <v>15</v>
      </c>
      <c r="D824" s="74">
        <f t="shared" si="368"/>
        <v>3</v>
      </c>
      <c r="E824" s="75">
        <f t="shared" si="369"/>
        <v>18</v>
      </c>
      <c r="F824" s="79"/>
      <c r="G824" s="82"/>
      <c r="H824" s="68" t="str">
        <f t="shared" si="386"/>
        <v>Hyprev7_20211115_03_00</v>
      </c>
      <c r="I824" s="69">
        <f t="shared" si="390"/>
        <v>1</v>
      </c>
      <c r="J824" s="76" t="str">
        <f t="shared" si="390"/>
        <v>Hypericum</v>
      </c>
      <c r="K824" s="76" t="str">
        <f t="shared" si="390"/>
        <v>revolutum</v>
      </c>
      <c r="L824" s="77">
        <f t="shared" si="390"/>
        <v>7</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v>
      </c>
      <c r="C825" s="73">
        <f t="shared" si="385"/>
        <v>15</v>
      </c>
      <c r="D825" s="74">
        <f t="shared" si="368"/>
        <v>3</v>
      </c>
      <c r="E825" s="75">
        <f t="shared" si="369"/>
        <v>19</v>
      </c>
      <c r="F825" s="79"/>
      <c r="G825" s="82"/>
      <c r="H825" s="68" t="str">
        <f t="shared" si="386"/>
        <v>Hyprev7_20211115_03_00</v>
      </c>
      <c r="I825" s="69">
        <f t="shared" si="390"/>
        <v>1</v>
      </c>
      <c r="J825" s="76" t="str">
        <f t="shared" si="390"/>
        <v>Hypericum</v>
      </c>
      <c r="K825" s="76" t="str">
        <f t="shared" si="390"/>
        <v>revolutum</v>
      </c>
      <c r="L825" s="77">
        <f t="shared" si="390"/>
        <v>7</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v>
      </c>
      <c r="C826" s="73">
        <f t="shared" si="385"/>
        <v>15</v>
      </c>
      <c r="D826" s="74">
        <f t="shared" si="368"/>
        <v>3</v>
      </c>
      <c r="E826" s="75">
        <f t="shared" si="369"/>
        <v>20</v>
      </c>
      <c r="F826" s="79"/>
      <c r="G826" s="82"/>
      <c r="H826" s="68" t="str">
        <f t="shared" si="386"/>
        <v>Hyprev7_20211115_03_00</v>
      </c>
      <c r="I826" s="69">
        <f t="shared" si="390"/>
        <v>1</v>
      </c>
      <c r="J826" s="76" t="str">
        <f t="shared" si="390"/>
        <v>Hypericum</v>
      </c>
      <c r="K826" s="76" t="str">
        <f t="shared" si="390"/>
        <v>revolutum</v>
      </c>
      <c r="L826" s="77">
        <f t="shared" si="390"/>
        <v>7</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v>
      </c>
      <c r="C827" s="73">
        <f t="shared" si="385"/>
        <v>15</v>
      </c>
      <c r="D827" s="74">
        <f t="shared" si="368"/>
        <v>3</v>
      </c>
      <c r="E827" s="75">
        <f t="shared" si="369"/>
        <v>21</v>
      </c>
      <c r="F827" s="79"/>
      <c r="G827" s="82"/>
      <c r="H827" s="68" t="str">
        <f t="shared" si="386"/>
        <v>Hyprev7_20211115_03_00</v>
      </c>
      <c r="I827" s="69">
        <f t="shared" si="390"/>
        <v>1</v>
      </c>
      <c r="J827" s="76" t="str">
        <f t="shared" si="390"/>
        <v>Hypericum</v>
      </c>
      <c r="K827" s="76" t="str">
        <f t="shared" si="390"/>
        <v>revolutum</v>
      </c>
      <c r="L827" s="77">
        <f t="shared" si="390"/>
        <v>7</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v>
      </c>
      <c r="C828" s="73">
        <f t="shared" si="385"/>
        <v>15</v>
      </c>
      <c r="D828" s="74">
        <f t="shared" si="368"/>
        <v>3</v>
      </c>
      <c r="E828" s="75">
        <f t="shared" si="369"/>
        <v>22</v>
      </c>
      <c r="F828" s="79"/>
      <c r="G828" s="82"/>
      <c r="H828" s="68" t="str">
        <f t="shared" si="386"/>
        <v>Hyprev7_20211115_03_00</v>
      </c>
      <c r="I828" s="69">
        <f t="shared" si="390"/>
        <v>1</v>
      </c>
      <c r="J828" s="76" t="str">
        <f t="shared" si="390"/>
        <v>Hypericum</v>
      </c>
      <c r="K828" s="76" t="str">
        <f t="shared" si="390"/>
        <v>revolutum</v>
      </c>
      <c r="L828" s="77">
        <f t="shared" si="390"/>
        <v>7</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v>
      </c>
      <c r="C829" s="73">
        <f t="shared" si="385"/>
        <v>15</v>
      </c>
      <c r="D829" s="74">
        <f t="shared" si="368"/>
        <v>3</v>
      </c>
      <c r="E829" s="75">
        <f t="shared" si="369"/>
        <v>23</v>
      </c>
      <c r="F829" s="79"/>
      <c r="G829" s="82"/>
      <c r="H829" s="68" t="str">
        <f t="shared" si="386"/>
        <v>Hyprev7_20211115_03_00</v>
      </c>
      <c r="I829" s="69">
        <f t="shared" si="390"/>
        <v>1</v>
      </c>
      <c r="J829" s="76" t="str">
        <f t="shared" si="390"/>
        <v>Hypericum</v>
      </c>
      <c r="K829" s="76" t="str">
        <f t="shared" si="390"/>
        <v>revolutum</v>
      </c>
      <c r="L829" s="77">
        <f t="shared" si="390"/>
        <v>7</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v>
      </c>
      <c r="C830" s="73">
        <f t="shared" si="385"/>
        <v>15</v>
      </c>
      <c r="D830" s="74">
        <f t="shared" si="368"/>
        <v>3</v>
      </c>
      <c r="E830" s="75">
        <f t="shared" si="369"/>
        <v>24</v>
      </c>
      <c r="F830" s="79"/>
      <c r="G830" s="82"/>
      <c r="H830" s="68" t="str">
        <f t="shared" si="386"/>
        <v>Hyprev7_20211115_03_00</v>
      </c>
      <c r="I830" s="69">
        <f t="shared" si="390"/>
        <v>1</v>
      </c>
      <c r="J830" s="76" t="str">
        <f t="shared" si="390"/>
        <v>Hypericum</v>
      </c>
      <c r="K830" s="76" t="str">
        <f t="shared" si="390"/>
        <v>revolutum</v>
      </c>
      <c r="L830" s="77">
        <f t="shared" si="390"/>
        <v>7</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v>
      </c>
      <c r="C831" s="73">
        <f t="shared" si="385"/>
        <v>15</v>
      </c>
      <c r="D831" s="74">
        <f t="shared" si="368"/>
        <v>3</v>
      </c>
      <c r="E831" s="75">
        <f t="shared" si="369"/>
        <v>25</v>
      </c>
      <c r="F831" s="79"/>
      <c r="G831" s="82"/>
      <c r="H831" s="68" t="str">
        <f t="shared" si="386"/>
        <v>Hyprev7_20211115_03_00</v>
      </c>
      <c r="I831" s="69">
        <f t="shared" si="390"/>
        <v>1</v>
      </c>
      <c r="J831" s="76" t="str">
        <f t="shared" si="390"/>
        <v>Hypericum</v>
      </c>
      <c r="K831" s="76" t="str">
        <f t="shared" si="390"/>
        <v>revolutum</v>
      </c>
      <c r="L831" s="77">
        <f t="shared" si="390"/>
        <v>7</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v>
      </c>
      <c r="C832" s="73">
        <f t="shared" si="385"/>
        <v>15</v>
      </c>
      <c r="D832" s="74">
        <f t="shared" si="368"/>
        <v>3</v>
      </c>
      <c r="E832" s="75">
        <f t="shared" si="369"/>
        <v>26</v>
      </c>
      <c r="F832" s="79"/>
      <c r="G832" s="82"/>
      <c r="H832" s="68" t="str">
        <f t="shared" si="386"/>
        <v>Hyprev7_20211115_03_00</v>
      </c>
      <c r="I832" s="69">
        <f t="shared" si="390"/>
        <v>1</v>
      </c>
      <c r="J832" s="76" t="str">
        <f t="shared" si="390"/>
        <v>Hypericum</v>
      </c>
      <c r="K832" s="76" t="str">
        <f t="shared" si="390"/>
        <v>revolutum</v>
      </c>
      <c r="L832" s="77">
        <f t="shared" si="390"/>
        <v>7</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v>
      </c>
      <c r="C833" s="73">
        <f t="shared" si="385"/>
        <v>15</v>
      </c>
      <c r="D833" s="74">
        <f t="shared" si="368"/>
        <v>3</v>
      </c>
      <c r="E833" s="75">
        <f t="shared" si="369"/>
        <v>27</v>
      </c>
      <c r="F833" s="79"/>
      <c r="G833" s="82"/>
      <c r="H833" s="68" t="str">
        <f t="shared" si="386"/>
        <v>Hyprev7_20211115_03_00</v>
      </c>
      <c r="I833" s="69">
        <f t="shared" si="390"/>
        <v>1</v>
      </c>
      <c r="J833" s="76" t="str">
        <f t="shared" si="390"/>
        <v>Hypericum</v>
      </c>
      <c r="K833" s="76" t="str">
        <f t="shared" si="390"/>
        <v>revolutum</v>
      </c>
      <c r="L833" s="77">
        <f t="shared" si="390"/>
        <v>7</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v>
      </c>
      <c r="C834" s="73">
        <f t="shared" si="385"/>
        <v>15</v>
      </c>
      <c r="D834" s="74">
        <f t="shared" si="368"/>
        <v>3</v>
      </c>
      <c r="E834" s="75">
        <f t="shared" si="369"/>
        <v>28</v>
      </c>
      <c r="F834" s="79"/>
      <c r="G834" s="82"/>
      <c r="H834" s="68" t="str">
        <f t="shared" si="386"/>
        <v>Hyprev7_20211115_03_00</v>
      </c>
      <c r="I834" s="69">
        <f t="shared" si="390"/>
        <v>1</v>
      </c>
      <c r="J834" s="76" t="str">
        <f t="shared" si="390"/>
        <v>Hypericum</v>
      </c>
      <c r="K834" s="76" t="str">
        <f t="shared" si="390"/>
        <v>revolutum</v>
      </c>
      <c r="L834" s="77">
        <f t="shared" si="390"/>
        <v>7</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v>
      </c>
      <c r="C835" s="73">
        <f t="shared" si="385"/>
        <v>15</v>
      </c>
      <c r="D835" s="74">
        <f t="shared" si="368"/>
        <v>3</v>
      </c>
      <c r="E835" s="75">
        <f t="shared" si="369"/>
        <v>29</v>
      </c>
      <c r="F835" s="79"/>
      <c r="G835" s="82"/>
      <c r="H835" s="68" t="str">
        <f t="shared" si="386"/>
        <v>Hyprev7_20211115_03_00</v>
      </c>
      <c r="I835" s="69">
        <f t="shared" si="390"/>
        <v>1</v>
      </c>
      <c r="J835" s="76" t="str">
        <f t="shared" si="390"/>
        <v>Hypericum</v>
      </c>
      <c r="K835" s="76" t="str">
        <f t="shared" si="390"/>
        <v>revolutum</v>
      </c>
      <c r="L835" s="77">
        <f t="shared" si="390"/>
        <v>7</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v>
      </c>
      <c r="C836" s="73">
        <f t="shared" si="385"/>
        <v>15</v>
      </c>
      <c r="D836" s="74">
        <f t="shared" ref="D836:D899" si="398">IF(IF(E835=59,D835+1,D835)=24,0,IF(E835=59,D835+1,D835))</f>
        <v>3</v>
      </c>
      <c r="E836" s="75">
        <f t="shared" ref="E836:E899" si="399">IF(E835&lt;59,E835+1,0)</f>
        <v>30</v>
      </c>
      <c r="F836" s="79"/>
      <c r="G836" s="82"/>
      <c r="H836" s="68" t="str">
        <f t="shared" si="386"/>
        <v>Hyprev7_20211115_03_00</v>
      </c>
      <c r="I836" s="69">
        <f t="shared" si="390"/>
        <v>1</v>
      </c>
      <c r="J836" s="76" t="str">
        <f t="shared" si="390"/>
        <v>Hypericum</v>
      </c>
      <c r="K836" s="76" t="str">
        <f t="shared" si="390"/>
        <v>revolutum</v>
      </c>
      <c r="L836" s="77">
        <f t="shared" si="390"/>
        <v>7</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v>
      </c>
      <c r="C837" s="73">
        <f t="shared" ref="C837:C900" si="415">IF(AND(D837=0, E837=0), IF(TEXT(C836,"dd")=TEXT(EOMONTH(DATE(A836,MONTH(DATEVALUE(B836&amp;"1")),C836),0), "dd"), 1, C836+1), C836)</f>
        <v>15</v>
      </c>
      <c r="D837" s="74">
        <f t="shared" si="398"/>
        <v>3</v>
      </c>
      <c r="E837" s="75">
        <f t="shared" si="399"/>
        <v>31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Hyprev7_20211115_03_00</v>
      </c>
      <c r="I837" s="69">
        <f t="shared" ref="I837:N852" si="417">I836</f>
        <v>1</v>
      </c>
      <c r="J837" s="76" t="str">
        <f t="shared" si="417"/>
        <v>Hypericum</v>
      </c>
      <c r="K837" s="76" t="str">
        <f t="shared" si="417"/>
        <v>revolutum</v>
      </c>
      <c r="L837" s="77">
        <f t="shared" si="417"/>
        <v>7</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v>
      </c>
      <c r="C838" s="73">
        <f t="shared" si="415"/>
        <v>15</v>
      </c>
      <c r="D838" s="74">
        <f t="shared" si="398"/>
        <v>3</v>
      </c>
      <c r="E838" s="75">
        <f t="shared" si="399"/>
        <v>32</v>
      </c>
      <c r="F838" s="79"/>
      <c r="G838" s="82"/>
      <c r="H838" s="68" t="str">
        <f t="shared" si="416"/>
        <v>Hyprev7_20211115_03_00</v>
      </c>
      <c r="I838" s="69">
        <f t="shared" si="417"/>
        <v>1</v>
      </c>
      <c r="J838" s="76" t="str">
        <f t="shared" si="417"/>
        <v>Hypericum</v>
      </c>
      <c r="K838" s="76" t="str">
        <f t="shared" si="417"/>
        <v>revolutum</v>
      </c>
      <c r="L838" s="77">
        <f t="shared" si="417"/>
        <v>7</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v>
      </c>
      <c r="C839" s="73">
        <f t="shared" si="415"/>
        <v>15</v>
      </c>
      <c r="D839" s="74">
        <f t="shared" si="398"/>
        <v>3</v>
      </c>
      <c r="E839" s="75">
        <f t="shared" si="399"/>
        <v>33</v>
      </c>
      <c r="F839" s="79"/>
      <c r="G839" s="82"/>
      <c r="H839" s="68" t="str">
        <f t="shared" si="416"/>
        <v>Hyprev7_20211115_03_00</v>
      </c>
      <c r="I839" s="69">
        <f t="shared" si="417"/>
        <v>1</v>
      </c>
      <c r="J839" s="76" t="str">
        <f t="shared" si="417"/>
        <v>Hypericum</v>
      </c>
      <c r="K839" s="76" t="str">
        <f t="shared" si="417"/>
        <v>revolutum</v>
      </c>
      <c r="L839" s="77">
        <f t="shared" si="417"/>
        <v>7</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v>
      </c>
      <c r="C840" s="73">
        <f t="shared" si="415"/>
        <v>15</v>
      </c>
      <c r="D840" s="74">
        <f t="shared" si="398"/>
        <v>3</v>
      </c>
      <c r="E840" s="75">
        <f t="shared" si="399"/>
        <v>34</v>
      </c>
      <c r="F840" s="79"/>
      <c r="G840" s="82"/>
      <c r="H840" s="68" t="str">
        <f t="shared" si="416"/>
        <v>Hyprev7_20211115_03_00</v>
      </c>
      <c r="I840" s="69">
        <f t="shared" si="417"/>
        <v>1</v>
      </c>
      <c r="J840" s="76" t="str">
        <f t="shared" si="417"/>
        <v>Hypericum</v>
      </c>
      <c r="K840" s="76" t="str">
        <f t="shared" si="417"/>
        <v>revolutum</v>
      </c>
      <c r="L840" s="77">
        <f t="shared" si="417"/>
        <v>7</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v>
      </c>
      <c r="C841" s="73">
        <f t="shared" si="415"/>
        <v>15</v>
      </c>
      <c r="D841" s="74">
        <f t="shared" si="398"/>
        <v>3</v>
      </c>
      <c r="E841" s="75">
        <f t="shared" si="399"/>
        <v>35</v>
      </c>
      <c r="F841" s="79"/>
      <c r="G841" s="82"/>
      <c r="H841" s="68" t="str">
        <f t="shared" si="416"/>
        <v>Hyprev7_20211115_03_00</v>
      </c>
      <c r="I841" s="69">
        <f t="shared" si="417"/>
        <v>1</v>
      </c>
      <c r="J841" s="76" t="str">
        <f t="shared" si="417"/>
        <v>Hypericum</v>
      </c>
      <c r="K841" s="76" t="str">
        <f t="shared" si="417"/>
        <v>revolutum</v>
      </c>
      <c r="L841" s="77">
        <f t="shared" si="417"/>
        <v>7</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v>
      </c>
      <c r="C842" s="73">
        <f t="shared" si="415"/>
        <v>15</v>
      </c>
      <c r="D842" s="74">
        <f t="shared" si="398"/>
        <v>3</v>
      </c>
      <c r="E842" s="75">
        <f t="shared" si="399"/>
        <v>36</v>
      </c>
      <c r="F842" s="79"/>
      <c r="G842" s="82"/>
      <c r="H842" s="68" t="str">
        <f t="shared" si="416"/>
        <v>Hyprev7_20211115_03_00</v>
      </c>
      <c r="I842" s="69">
        <f t="shared" si="417"/>
        <v>1</v>
      </c>
      <c r="J842" s="76" t="str">
        <f t="shared" si="417"/>
        <v>Hypericum</v>
      </c>
      <c r="K842" s="76" t="str">
        <f t="shared" si="417"/>
        <v>revolutum</v>
      </c>
      <c r="L842" s="77">
        <f t="shared" si="417"/>
        <v>7</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v>
      </c>
      <c r="C843" s="73">
        <f t="shared" si="415"/>
        <v>15</v>
      </c>
      <c r="D843" s="74">
        <f t="shared" si="398"/>
        <v>3</v>
      </c>
      <c r="E843" s="75">
        <f t="shared" si="399"/>
        <v>37</v>
      </c>
      <c r="F843" s="79"/>
      <c r="G843" s="82"/>
      <c r="H843" s="68" t="str">
        <f t="shared" si="416"/>
        <v>Hyprev7_20211115_03_00</v>
      </c>
      <c r="I843" s="69">
        <f t="shared" si="417"/>
        <v>1</v>
      </c>
      <c r="J843" s="76" t="str">
        <f t="shared" si="417"/>
        <v>Hypericum</v>
      </c>
      <c r="K843" s="76" t="str">
        <f t="shared" si="417"/>
        <v>revolutum</v>
      </c>
      <c r="L843" s="77">
        <f t="shared" si="417"/>
        <v>7</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v>
      </c>
      <c r="C844" s="73">
        <f t="shared" si="415"/>
        <v>15</v>
      </c>
      <c r="D844" s="74">
        <f t="shared" si="398"/>
        <v>3</v>
      </c>
      <c r="E844" s="75">
        <f t="shared" si="399"/>
        <v>38</v>
      </c>
      <c r="F844" s="79"/>
      <c r="G844" s="82"/>
      <c r="H844" s="68" t="str">
        <f t="shared" si="416"/>
        <v>Hyprev7_20211115_03_00</v>
      </c>
      <c r="I844" s="69">
        <f t="shared" si="417"/>
        <v>1</v>
      </c>
      <c r="J844" s="76" t="str">
        <f t="shared" si="417"/>
        <v>Hypericum</v>
      </c>
      <c r="K844" s="76" t="str">
        <f t="shared" si="417"/>
        <v>revolutum</v>
      </c>
      <c r="L844" s="77">
        <f t="shared" si="417"/>
        <v>7</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v>
      </c>
      <c r="C845" s="73">
        <f t="shared" si="415"/>
        <v>15</v>
      </c>
      <c r="D845" s="74">
        <f t="shared" si="398"/>
        <v>3</v>
      </c>
      <c r="E845" s="75">
        <f t="shared" si="399"/>
        <v>39</v>
      </c>
      <c r="F845" s="79"/>
      <c r="G845" s="82"/>
      <c r="H845" s="68" t="str">
        <f t="shared" si="416"/>
        <v>Hyprev7_20211115_03_00</v>
      </c>
      <c r="I845" s="69">
        <f t="shared" si="417"/>
        <v>1</v>
      </c>
      <c r="J845" s="76" t="str">
        <f t="shared" si="417"/>
        <v>Hypericum</v>
      </c>
      <c r="K845" s="76" t="str">
        <f t="shared" si="417"/>
        <v>revolutum</v>
      </c>
      <c r="L845" s="77">
        <f t="shared" si="417"/>
        <v>7</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v>
      </c>
      <c r="C846" s="73">
        <f t="shared" si="415"/>
        <v>15</v>
      </c>
      <c r="D846" s="74">
        <f t="shared" si="398"/>
        <v>3</v>
      </c>
      <c r="E846" s="75">
        <f t="shared" si="399"/>
        <v>40</v>
      </c>
      <c r="F846" s="79"/>
      <c r="G846" s="82"/>
      <c r="H846" s="68" t="str">
        <f t="shared" si="416"/>
        <v>Hyprev7_20211115_03_00</v>
      </c>
      <c r="I846" s="69">
        <f t="shared" si="417"/>
        <v>1</v>
      </c>
      <c r="J846" s="76" t="str">
        <f t="shared" si="417"/>
        <v>Hypericum</v>
      </c>
      <c r="K846" s="76" t="str">
        <f t="shared" si="417"/>
        <v>revolutum</v>
      </c>
      <c r="L846" s="77">
        <f t="shared" si="417"/>
        <v>7</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v>
      </c>
      <c r="C847" s="73">
        <f t="shared" si="415"/>
        <v>15</v>
      </c>
      <c r="D847" s="74">
        <f t="shared" si="398"/>
        <v>3</v>
      </c>
      <c r="E847" s="75">
        <f t="shared" si="399"/>
        <v>41</v>
      </c>
      <c r="F847" s="79"/>
      <c r="G847" s="82"/>
      <c r="H847" s="68" t="str">
        <f t="shared" si="416"/>
        <v>Hyprev7_20211115_03_00</v>
      </c>
      <c r="I847" s="69">
        <f t="shared" si="417"/>
        <v>1</v>
      </c>
      <c r="J847" s="76" t="str">
        <f t="shared" si="417"/>
        <v>Hypericum</v>
      </c>
      <c r="K847" s="76" t="str">
        <f t="shared" si="417"/>
        <v>revolutum</v>
      </c>
      <c r="L847" s="77">
        <f t="shared" si="417"/>
        <v>7</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v>
      </c>
      <c r="C848" s="73">
        <f t="shared" si="415"/>
        <v>15</v>
      </c>
      <c r="D848" s="74">
        <f t="shared" si="398"/>
        <v>3</v>
      </c>
      <c r="E848" s="75">
        <f t="shared" si="399"/>
        <v>42</v>
      </c>
      <c r="F848" s="79"/>
      <c r="G848" s="82"/>
      <c r="H848" s="68" t="str">
        <f t="shared" si="416"/>
        <v>Hyprev7_20211115_03_00</v>
      </c>
      <c r="I848" s="69">
        <f t="shared" si="417"/>
        <v>1</v>
      </c>
      <c r="J848" s="76" t="str">
        <f t="shared" si="417"/>
        <v>Hypericum</v>
      </c>
      <c r="K848" s="76" t="str">
        <f t="shared" si="417"/>
        <v>revolutum</v>
      </c>
      <c r="L848" s="77">
        <f t="shared" si="417"/>
        <v>7</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v>
      </c>
      <c r="C849" s="73">
        <f t="shared" si="415"/>
        <v>15</v>
      </c>
      <c r="D849" s="74">
        <f t="shared" si="398"/>
        <v>3</v>
      </c>
      <c r="E849" s="75">
        <f t="shared" si="399"/>
        <v>43</v>
      </c>
      <c r="F849" s="79"/>
      <c r="G849" s="82"/>
      <c r="H849" s="68" t="str">
        <f t="shared" si="416"/>
        <v>Hyprev7_20211115_03_00</v>
      </c>
      <c r="I849" s="69">
        <f t="shared" si="417"/>
        <v>1</v>
      </c>
      <c r="J849" s="76" t="str">
        <f t="shared" si="417"/>
        <v>Hypericum</v>
      </c>
      <c r="K849" s="76" t="str">
        <f t="shared" si="417"/>
        <v>revolutum</v>
      </c>
      <c r="L849" s="77">
        <f t="shared" si="417"/>
        <v>7</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v>
      </c>
      <c r="C850" s="73">
        <f t="shared" si="415"/>
        <v>15</v>
      </c>
      <c r="D850" s="74">
        <f t="shared" si="398"/>
        <v>3</v>
      </c>
      <c r="E850" s="75">
        <f t="shared" si="399"/>
        <v>44</v>
      </c>
      <c r="F850" s="79"/>
      <c r="G850" s="82"/>
      <c r="H850" s="68" t="str">
        <f t="shared" si="416"/>
        <v>Hyprev7_20211115_03_00</v>
      </c>
      <c r="I850" s="69">
        <f t="shared" si="417"/>
        <v>1</v>
      </c>
      <c r="J850" s="76" t="str">
        <f t="shared" si="417"/>
        <v>Hypericum</v>
      </c>
      <c r="K850" s="76" t="str">
        <f t="shared" si="417"/>
        <v>revolutum</v>
      </c>
      <c r="L850" s="77">
        <f t="shared" si="417"/>
        <v>7</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v>
      </c>
      <c r="C851" s="73">
        <f t="shared" si="415"/>
        <v>15</v>
      </c>
      <c r="D851" s="74">
        <f t="shared" si="398"/>
        <v>3</v>
      </c>
      <c r="E851" s="75">
        <f t="shared" si="399"/>
        <v>45</v>
      </c>
      <c r="F851" s="79"/>
      <c r="G851" s="82"/>
      <c r="H851" s="68" t="str">
        <f t="shared" si="416"/>
        <v>Hyprev7_20211115_03_00</v>
      </c>
      <c r="I851" s="69">
        <f t="shared" si="417"/>
        <v>1</v>
      </c>
      <c r="J851" s="76" t="str">
        <f t="shared" si="417"/>
        <v>Hypericum</v>
      </c>
      <c r="K851" s="76" t="str">
        <f t="shared" si="417"/>
        <v>revolutum</v>
      </c>
      <c r="L851" s="77">
        <f t="shared" si="417"/>
        <v>7</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v>
      </c>
      <c r="C852" s="73">
        <f t="shared" si="415"/>
        <v>15</v>
      </c>
      <c r="D852" s="74">
        <f t="shared" si="398"/>
        <v>3</v>
      </c>
      <c r="E852" s="75">
        <f t="shared" si="399"/>
        <v>46</v>
      </c>
      <c r="F852" s="79"/>
      <c r="G852" s="82"/>
      <c r="H852" s="68" t="str">
        <f t="shared" si="416"/>
        <v>Hyprev7_20211115_03_00</v>
      </c>
      <c r="I852" s="69">
        <f t="shared" si="417"/>
        <v>1</v>
      </c>
      <c r="J852" s="76" t="str">
        <f t="shared" si="417"/>
        <v>Hypericum</v>
      </c>
      <c r="K852" s="76" t="str">
        <f t="shared" si="417"/>
        <v>revolutum</v>
      </c>
      <c r="L852" s="77">
        <f t="shared" si="417"/>
        <v>7</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v>
      </c>
      <c r="C853" s="73">
        <f t="shared" si="415"/>
        <v>15</v>
      </c>
      <c r="D853" s="74">
        <f t="shared" si="398"/>
        <v>3</v>
      </c>
      <c r="E853" s="75">
        <f t="shared" si="399"/>
        <v>47</v>
      </c>
      <c r="F853" s="79"/>
      <c r="G853" s="82"/>
      <c r="H853" s="68" t="str">
        <f t="shared" si="416"/>
        <v>Hyprev7_20211115_03_00</v>
      </c>
      <c r="I853" s="69">
        <f t="shared" ref="I853:N868" si="418">I852</f>
        <v>1</v>
      </c>
      <c r="J853" s="76" t="str">
        <f t="shared" si="418"/>
        <v>Hypericum</v>
      </c>
      <c r="K853" s="76" t="str">
        <f t="shared" si="418"/>
        <v>revolutum</v>
      </c>
      <c r="L853" s="77">
        <f t="shared" si="418"/>
        <v>7</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v>
      </c>
      <c r="C854" s="73">
        <f t="shared" si="415"/>
        <v>15</v>
      </c>
      <c r="D854" s="74">
        <f t="shared" si="398"/>
        <v>3</v>
      </c>
      <c r="E854" s="75">
        <f t="shared" si="399"/>
        <v>48</v>
      </c>
      <c r="F854" s="79"/>
      <c r="G854" s="82"/>
      <c r="H854" s="68" t="str">
        <f t="shared" si="416"/>
        <v>Hyprev7_20211115_03_00</v>
      </c>
      <c r="I854" s="69">
        <f t="shared" si="418"/>
        <v>1</v>
      </c>
      <c r="J854" s="76" t="str">
        <f t="shared" si="418"/>
        <v>Hypericum</v>
      </c>
      <c r="K854" s="76" t="str">
        <f t="shared" si="418"/>
        <v>revolutum</v>
      </c>
      <c r="L854" s="77">
        <f t="shared" si="418"/>
        <v>7</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v>
      </c>
      <c r="C855" s="73">
        <f t="shared" si="415"/>
        <v>15</v>
      </c>
      <c r="D855" s="74">
        <f t="shared" si="398"/>
        <v>3</v>
      </c>
      <c r="E855" s="75">
        <f t="shared" si="399"/>
        <v>49</v>
      </c>
      <c r="F855" s="79"/>
      <c r="G855" s="82"/>
      <c r="H855" s="68" t="str">
        <f t="shared" si="416"/>
        <v>Hyprev7_20211115_03_00</v>
      </c>
      <c r="I855" s="69">
        <f t="shared" si="418"/>
        <v>1</v>
      </c>
      <c r="J855" s="76" t="str">
        <f t="shared" si="418"/>
        <v>Hypericum</v>
      </c>
      <c r="K855" s="76" t="str">
        <f t="shared" si="418"/>
        <v>revolutum</v>
      </c>
      <c r="L855" s="77">
        <f t="shared" si="418"/>
        <v>7</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v>
      </c>
      <c r="C856" s="73">
        <f t="shared" si="415"/>
        <v>15</v>
      </c>
      <c r="D856" s="74">
        <f t="shared" si="398"/>
        <v>3</v>
      </c>
      <c r="E856" s="75">
        <f t="shared" si="399"/>
        <v>50</v>
      </c>
      <c r="F856" s="79"/>
      <c r="G856" s="82"/>
      <c r="H856" s="68" t="str">
        <f t="shared" si="416"/>
        <v>Hyprev7_20211115_03_00</v>
      </c>
      <c r="I856" s="69">
        <f t="shared" si="418"/>
        <v>1</v>
      </c>
      <c r="J856" s="76" t="str">
        <f t="shared" si="418"/>
        <v>Hypericum</v>
      </c>
      <c r="K856" s="76" t="str">
        <f t="shared" si="418"/>
        <v>revolutum</v>
      </c>
      <c r="L856" s="77">
        <f t="shared" si="418"/>
        <v>7</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v>
      </c>
      <c r="C857" s="73">
        <f t="shared" si="415"/>
        <v>15</v>
      </c>
      <c r="D857" s="74">
        <f t="shared" si="398"/>
        <v>3</v>
      </c>
      <c r="E857" s="75">
        <f t="shared" si="399"/>
        <v>51</v>
      </c>
      <c r="F857" s="79"/>
      <c r="G857" s="82"/>
      <c r="H857" s="68" t="str">
        <f t="shared" si="416"/>
        <v>Hyprev7_20211115_03_00</v>
      </c>
      <c r="I857" s="69">
        <f t="shared" si="418"/>
        <v>1</v>
      </c>
      <c r="J857" s="76" t="str">
        <f t="shared" si="418"/>
        <v>Hypericum</v>
      </c>
      <c r="K857" s="76" t="str">
        <f t="shared" si="418"/>
        <v>revolutum</v>
      </c>
      <c r="L857" s="77">
        <f t="shared" si="418"/>
        <v>7</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v>
      </c>
      <c r="C858" s="73">
        <f t="shared" si="415"/>
        <v>15</v>
      </c>
      <c r="D858" s="74">
        <f t="shared" si="398"/>
        <v>3</v>
      </c>
      <c r="E858" s="75">
        <f t="shared" si="399"/>
        <v>52</v>
      </c>
      <c r="F858" s="79"/>
      <c r="G858" s="82"/>
      <c r="H858" s="68" t="str">
        <f t="shared" si="416"/>
        <v>Hyprev7_20211115_03_00</v>
      </c>
      <c r="I858" s="69">
        <f t="shared" si="418"/>
        <v>1</v>
      </c>
      <c r="J858" s="76" t="str">
        <f t="shared" si="418"/>
        <v>Hypericum</v>
      </c>
      <c r="K858" s="76" t="str">
        <f t="shared" si="418"/>
        <v>revolutum</v>
      </c>
      <c r="L858" s="77">
        <f t="shared" si="418"/>
        <v>7</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v>
      </c>
      <c r="C859" s="73">
        <f t="shared" si="415"/>
        <v>15</v>
      </c>
      <c r="D859" s="74">
        <f t="shared" si="398"/>
        <v>3</v>
      </c>
      <c r="E859" s="75">
        <f t="shared" si="399"/>
        <v>53</v>
      </c>
      <c r="F859" s="79"/>
      <c r="G859" s="82"/>
      <c r="H859" s="68" t="str">
        <f t="shared" si="416"/>
        <v>Hyprev7_20211115_03_00</v>
      </c>
      <c r="I859" s="69">
        <f t="shared" si="418"/>
        <v>1</v>
      </c>
      <c r="J859" s="76" t="str">
        <f t="shared" si="418"/>
        <v>Hypericum</v>
      </c>
      <c r="K859" s="76" t="str">
        <f t="shared" si="418"/>
        <v>revolutum</v>
      </c>
      <c r="L859" s="77">
        <f t="shared" si="418"/>
        <v>7</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v>
      </c>
      <c r="C860" s="73">
        <f t="shared" si="415"/>
        <v>15</v>
      </c>
      <c r="D860" s="74">
        <f t="shared" si="398"/>
        <v>3</v>
      </c>
      <c r="E860" s="75">
        <f t="shared" si="399"/>
        <v>54</v>
      </c>
      <c r="F860" s="79"/>
      <c r="G860" s="82"/>
      <c r="H860" s="68" t="str">
        <f t="shared" si="416"/>
        <v>Hyprev7_20211115_03_00</v>
      </c>
      <c r="I860" s="69">
        <f t="shared" si="418"/>
        <v>1</v>
      </c>
      <c r="J860" s="76" t="str">
        <f t="shared" si="418"/>
        <v>Hypericum</v>
      </c>
      <c r="K860" s="76" t="str">
        <f t="shared" si="418"/>
        <v>revolutum</v>
      </c>
      <c r="L860" s="77">
        <f t="shared" si="418"/>
        <v>7</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v>
      </c>
      <c r="C861" s="73">
        <f t="shared" si="415"/>
        <v>15</v>
      </c>
      <c r="D861" s="74">
        <f t="shared" si="398"/>
        <v>3</v>
      </c>
      <c r="E861" s="75">
        <f t="shared" si="399"/>
        <v>55</v>
      </c>
      <c r="F861" s="79"/>
      <c r="G861" s="82"/>
      <c r="H861" s="68" t="str">
        <f t="shared" si="416"/>
        <v>Hyprev7_20211115_03_00</v>
      </c>
      <c r="I861" s="69">
        <f t="shared" si="418"/>
        <v>1</v>
      </c>
      <c r="J861" s="76" t="str">
        <f t="shared" si="418"/>
        <v>Hypericum</v>
      </c>
      <c r="K861" s="76" t="str">
        <f t="shared" si="418"/>
        <v>revolutum</v>
      </c>
      <c r="L861" s="77">
        <f t="shared" si="418"/>
        <v>7</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v>
      </c>
      <c r="C862" s="73">
        <f t="shared" si="415"/>
        <v>15</v>
      </c>
      <c r="D862" s="74">
        <f t="shared" si="398"/>
        <v>3</v>
      </c>
      <c r="E862" s="75">
        <f t="shared" si="399"/>
        <v>56</v>
      </c>
      <c r="F862" s="79"/>
      <c r="G862" s="82"/>
      <c r="H862" s="68" t="str">
        <f t="shared" si="416"/>
        <v>Hyprev7_20211115_03_00</v>
      </c>
      <c r="I862" s="69">
        <f t="shared" si="418"/>
        <v>1</v>
      </c>
      <c r="J862" s="76" t="str">
        <f t="shared" si="418"/>
        <v>Hypericum</v>
      </c>
      <c r="K862" s="76" t="str">
        <f t="shared" si="418"/>
        <v>revolutum</v>
      </c>
      <c r="L862" s="77">
        <f t="shared" si="418"/>
        <v>7</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v>
      </c>
      <c r="C863" s="73">
        <f t="shared" si="415"/>
        <v>15</v>
      </c>
      <c r="D863" s="74">
        <f t="shared" si="398"/>
        <v>3</v>
      </c>
      <c r="E863" s="75">
        <f t="shared" si="399"/>
        <v>57</v>
      </c>
      <c r="F863" s="79"/>
      <c r="G863" s="82"/>
      <c r="H863" s="68" t="str">
        <f t="shared" si="416"/>
        <v>Hyprev7_20211115_03_00</v>
      </c>
      <c r="I863" s="69">
        <f t="shared" si="418"/>
        <v>1</v>
      </c>
      <c r="J863" s="76" t="str">
        <f t="shared" si="418"/>
        <v>Hypericum</v>
      </c>
      <c r="K863" s="76" t="str">
        <f t="shared" si="418"/>
        <v>revolutum</v>
      </c>
      <c r="L863" s="77">
        <f t="shared" si="418"/>
        <v>7</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v>
      </c>
      <c r="C864" s="73">
        <f t="shared" si="415"/>
        <v>15</v>
      </c>
      <c r="D864" s="74">
        <f t="shared" si="398"/>
        <v>3</v>
      </c>
      <c r="E864" s="75">
        <f t="shared" si="399"/>
        <v>58</v>
      </c>
      <c r="F864" s="79"/>
      <c r="G864" s="82"/>
      <c r="H864" s="68" t="str">
        <f t="shared" si="416"/>
        <v>Hyprev7_20211115_03_00</v>
      </c>
      <c r="I864" s="69">
        <f t="shared" si="418"/>
        <v>1</v>
      </c>
      <c r="J864" s="76" t="str">
        <f t="shared" si="418"/>
        <v>Hypericum</v>
      </c>
      <c r="K864" s="76" t="str">
        <f t="shared" si="418"/>
        <v>revolutum</v>
      </c>
      <c r="L864" s="77">
        <f t="shared" si="418"/>
        <v>7</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v>
      </c>
      <c r="C865" s="73">
        <f t="shared" si="415"/>
        <v>15</v>
      </c>
      <c r="D865" s="74">
        <f t="shared" si="398"/>
        <v>3</v>
      </c>
      <c r="E865" s="75">
        <f t="shared" si="399"/>
        <v>59</v>
      </c>
      <c r="F865" s="79"/>
      <c r="G865" s="82"/>
      <c r="H865" s="68" t="str">
        <f t="shared" si="416"/>
        <v>Hyprev7_20211115_03_00</v>
      </c>
      <c r="I865" s="69">
        <f t="shared" si="418"/>
        <v>1</v>
      </c>
      <c r="J865" s="76" t="str">
        <f t="shared" si="418"/>
        <v>Hypericum</v>
      </c>
      <c r="K865" s="76" t="str">
        <f t="shared" si="418"/>
        <v>revolutum</v>
      </c>
      <c r="L865" s="77">
        <f t="shared" si="418"/>
        <v>7</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v>
      </c>
      <c r="C866" s="73">
        <f t="shared" si="415"/>
        <v>15</v>
      </c>
      <c r="D866" s="74">
        <f t="shared" si="398"/>
        <v>4</v>
      </c>
      <c r="E866" s="75">
        <f t="shared" si="399"/>
        <v>0</v>
      </c>
      <c r="F866" s="79"/>
      <c r="G866" s="82"/>
      <c r="H866" s="68" t="str">
        <f t="shared" si="416"/>
        <v>Hyprev7_20211115_04_00</v>
      </c>
      <c r="I866" s="69">
        <f t="shared" si="418"/>
        <v>1</v>
      </c>
      <c r="J866" s="76" t="str">
        <f t="shared" si="418"/>
        <v>Hypericum</v>
      </c>
      <c r="K866" s="76" t="str">
        <f t="shared" si="418"/>
        <v>revolutum</v>
      </c>
      <c r="L866" s="77">
        <f t="shared" si="418"/>
        <v>7</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v>
      </c>
      <c r="C867" s="73">
        <f t="shared" si="415"/>
        <v>15</v>
      </c>
      <c r="D867" s="74">
        <f t="shared" si="398"/>
        <v>4</v>
      </c>
      <c r="E867" s="75">
        <f t="shared" si="399"/>
        <v>1</v>
      </c>
      <c r="F867" s="79"/>
      <c r="G867" s="82"/>
      <c r="H867" s="68" t="str">
        <f t="shared" si="416"/>
        <v>Hyprev7_20211115_04_00</v>
      </c>
      <c r="I867" s="69">
        <f t="shared" si="418"/>
        <v>1</v>
      </c>
      <c r="J867" s="76" t="str">
        <f t="shared" si="418"/>
        <v>Hypericum</v>
      </c>
      <c r="K867" s="76" t="str">
        <f t="shared" si="418"/>
        <v>revolutum</v>
      </c>
      <c r="L867" s="77">
        <f t="shared" si="418"/>
        <v>7</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v>
      </c>
      <c r="C868" s="73">
        <f t="shared" si="415"/>
        <v>15</v>
      </c>
      <c r="D868" s="74">
        <f t="shared" si="398"/>
        <v>4</v>
      </c>
      <c r="E868" s="75">
        <f t="shared" si="399"/>
        <v>2</v>
      </c>
      <c r="F868" s="79"/>
      <c r="G868" s="82"/>
      <c r="H868" s="68" t="str">
        <f t="shared" si="416"/>
        <v>Hyprev7_20211115_04_00</v>
      </c>
      <c r="I868" s="69">
        <f t="shared" si="418"/>
        <v>1</v>
      </c>
      <c r="J868" s="76" t="str">
        <f t="shared" si="418"/>
        <v>Hypericum</v>
      </c>
      <c r="K868" s="76" t="str">
        <f t="shared" si="418"/>
        <v>revolutum</v>
      </c>
      <c r="L868" s="77">
        <f t="shared" si="418"/>
        <v>7</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v>
      </c>
      <c r="C869" s="73">
        <f t="shared" si="415"/>
        <v>15</v>
      </c>
      <c r="D869" s="74">
        <f t="shared" si="398"/>
        <v>4</v>
      </c>
      <c r="E869" s="75">
        <f t="shared" si="399"/>
        <v>3</v>
      </c>
      <c r="F869" s="79"/>
      <c r="G869" s="82"/>
      <c r="H869" s="68" t="str">
        <f t="shared" si="416"/>
        <v>Hyprev7_20211115_04_00</v>
      </c>
      <c r="I869" s="69">
        <f t="shared" ref="I869:N884" si="419">I868</f>
        <v>1</v>
      </c>
      <c r="J869" s="76" t="str">
        <f t="shared" si="419"/>
        <v>Hypericum</v>
      </c>
      <c r="K869" s="76" t="str">
        <f t="shared" si="419"/>
        <v>revolutum</v>
      </c>
      <c r="L869" s="77">
        <f t="shared" si="419"/>
        <v>7</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v>
      </c>
      <c r="C870" s="73">
        <f t="shared" si="415"/>
        <v>15</v>
      </c>
      <c r="D870" s="74">
        <f t="shared" si="398"/>
        <v>4</v>
      </c>
      <c r="E870" s="75">
        <f t="shared" si="399"/>
        <v>4</v>
      </c>
      <c r="F870" s="79"/>
      <c r="G870" s="82"/>
      <c r="H870" s="68" t="str">
        <f t="shared" si="416"/>
        <v>Hyprev7_20211115_04_00</v>
      </c>
      <c r="I870" s="69">
        <f t="shared" si="419"/>
        <v>1</v>
      </c>
      <c r="J870" s="76" t="str">
        <f t="shared" si="419"/>
        <v>Hypericum</v>
      </c>
      <c r="K870" s="76" t="str">
        <f t="shared" si="419"/>
        <v>revolutum</v>
      </c>
      <c r="L870" s="77">
        <f t="shared" si="419"/>
        <v>7</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v>
      </c>
      <c r="C871" s="73">
        <f t="shared" si="415"/>
        <v>15</v>
      </c>
      <c r="D871" s="74">
        <f t="shared" si="398"/>
        <v>4</v>
      </c>
      <c r="E871" s="75">
        <f t="shared" si="399"/>
        <v>5</v>
      </c>
      <c r="F871" s="79"/>
      <c r="G871" s="82"/>
      <c r="H871" s="68" t="str">
        <f t="shared" si="416"/>
        <v>Hyprev7_20211115_04_00</v>
      </c>
      <c r="I871" s="69">
        <f t="shared" si="419"/>
        <v>1</v>
      </c>
      <c r="J871" s="76" t="str">
        <f t="shared" si="419"/>
        <v>Hypericum</v>
      </c>
      <c r="K871" s="76" t="str">
        <f t="shared" si="419"/>
        <v>revolutum</v>
      </c>
      <c r="L871" s="77">
        <f t="shared" si="419"/>
        <v>7</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v>
      </c>
      <c r="C872" s="73">
        <f t="shared" si="415"/>
        <v>15</v>
      </c>
      <c r="D872" s="74">
        <f t="shared" si="398"/>
        <v>4</v>
      </c>
      <c r="E872" s="75">
        <f t="shared" si="399"/>
        <v>6</v>
      </c>
      <c r="F872" s="79"/>
      <c r="G872" s="82"/>
      <c r="H872" s="68" t="str">
        <f t="shared" si="416"/>
        <v>Hyprev7_20211115_04_00</v>
      </c>
      <c r="I872" s="69">
        <f t="shared" si="419"/>
        <v>1</v>
      </c>
      <c r="J872" s="76" t="str">
        <f t="shared" si="419"/>
        <v>Hypericum</v>
      </c>
      <c r="K872" s="76" t="str">
        <f t="shared" si="419"/>
        <v>revolutum</v>
      </c>
      <c r="L872" s="77">
        <f t="shared" si="419"/>
        <v>7</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v>
      </c>
      <c r="C873" s="73">
        <f t="shared" si="415"/>
        <v>15</v>
      </c>
      <c r="D873" s="74">
        <f t="shared" si="398"/>
        <v>4</v>
      </c>
      <c r="E873" s="75">
        <f t="shared" si="399"/>
        <v>7</v>
      </c>
      <c r="F873" s="79"/>
      <c r="G873" s="82"/>
      <c r="H873" s="68" t="str">
        <f t="shared" si="416"/>
        <v>Hyprev7_20211115_04_00</v>
      </c>
      <c r="I873" s="69">
        <f t="shared" si="419"/>
        <v>1</v>
      </c>
      <c r="J873" s="76" t="str">
        <f t="shared" si="419"/>
        <v>Hypericum</v>
      </c>
      <c r="K873" s="76" t="str">
        <f t="shared" si="419"/>
        <v>revolutum</v>
      </c>
      <c r="L873" s="77">
        <f t="shared" si="419"/>
        <v>7</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v>
      </c>
      <c r="C874" s="73">
        <f t="shared" si="415"/>
        <v>15</v>
      </c>
      <c r="D874" s="74">
        <f t="shared" si="398"/>
        <v>4</v>
      </c>
      <c r="E874" s="75">
        <f t="shared" si="399"/>
        <v>8</v>
      </c>
      <c r="F874" s="79"/>
      <c r="G874" s="82"/>
      <c r="H874" s="68" t="str">
        <f t="shared" si="416"/>
        <v>Hyprev7_20211115_04_00</v>
      </c>
      <c r="I874" s="69">
        <f t="shared" si="419"/>
        <v>1</v>
      </c>
      <c r="J874" s="76" t="str">
        <f t="shared" si="419"/>
        <v>Hypericum</v>
      </c>
      <c r="K874" s="76" t="str">
        <f t="shared" si="419"/>
        <v>revolutum</v>
      </c>
      <c r="L874" s="77">
        <f t="shared" si="419"/>
        <v>7</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v>
      </c>
      <c r="C875" s="73">
        <f t="shared" si="415"/>
        <v>15</v>
      </c>
      <c r="D875" s="74">
        <f t="shared" si="398"/>
        <v>4</v>
      </c>
      <c r="E875" s="75">
        <f t="shared" si="399"/>
        <v>9</v>
      </c>
      <c r="F875" s="79"/>
      <c r="G875" s="82"/>
      <c r="H875" s="68" t="str">
        <f t="shared" si="416"/>
        <v>Hyprev7_20211115_04_00</v>
      </c>
      <c r="I875" s="69">
        <f t="shared" si="419"/>
        <v>1</v>
      </c>
      <c r="J875" s="76" t="str">
        <f t="shared" si="419"/>
        <v>Hypericum</v>
      </c>
      <c r="K875" s="76" t="str">
        <f t="shared" si="419"/>
        <v>revolutum</v>
      </c>
      <c r="L875" s="77">
        <f t="shared" si="419"/>
        <v>7</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v>
      </c>
      <c r="C876" s="73">
        <f t="shared" si="415"/>
        <v>15</v>
      </c>
      <c r="D876" s="74">
        <f t="shared" si="398"/>
        <v>4</v>
      </c>
      <c r="E876" s="75">
        <f t="shared" si="399"/>
        <v>10</v>
      </c>
      <c r="F876" s="79"/>
      <c r="G876" s="82"/>
      <c r="H876" s="68" t="str">
        <f t="shared" si="416"/>
        <v>Hyprev7_20211115_04_00</v>
      </c>
      <c r="I876" s="69">
        <f t="shared" si="419"/>
        <v>1</v>
      </c>
      <c r="J876" s="76" t="str">
        <f t="shared" si="419"/>
        <v>Hypericum</v>
      </c>
      <c r="K876" s="76" t="str">
        <f t="shared" si="419"/>
        <v>revolutum</v>
      </c>
      <c r="L876" s="77">
        <f t="shared" si="419"/>
        <v>7</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v>
      </c>
      <c r="C877" s="73">
        <f t="shared" si="415"/>
        <v>15</v>
      </c>
      <c r="D877" s="74">
        <f t="shared" si="398"/>
        <v>4</v>
      </c>
      <c r="E877" s="75">
        <f t="shared" si="399"/>
        <v>11</v>
      </c>
      <c r="F877" s="79"/>
      <c r="G877" s="82"/>
      <c r="H877" s="68" t="str">
        <f t="shared" si="416"/>
        <v>Hyprev7_20211115_04_00</v>
      </c>
      <c r="I877" s="69">
        <f t="shared" si="419"/>
        <v>1</v>
      </c>
      <c r="J877" s="76" t="str">
        <f t="shared" si="419"/>
        <v>Hypericum</v>
      </c>
      <c r="K877" s="76" t="str">
        <f t="shared" si="419"/>
        <v>revolutum</v>
      </c>
      <c r="L877" s="77">
        <f t="shared" si="419"/>
        <v>7</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v>
      </c>
      <c r="C878" s="73">
        <f t="shared" si="415"/>
        <v>15</v>
      </c>
      <c r="D878" s="74">
        <f t="shared" si="398"/>
        <v>4</v>
      </c>
      <c r="E878" s="75">
        <f t="shared" si="399"/>
        <v>12</v>
      </c>
      <c r="F878" s="79"/>
      <c r="G878" s="82"/>
      <c r="H878" s="68" t="str">
        <f t="shared" si="416"/>
        <v>Hyprev7_20211115_04_00</v>
      </c>
      <c r="I878" s="69">
        <f t="shared" si="419"/>
        <v>1</v>
      </c>
      <c r="J878" s="76" t="str">
        <f t="shared" si="419"/>
        <v>Hypericum</v>
      </c>
      <c r="K878" s="76" t="str">
        <f t="shared" si="419"/>
        <v>revolutum</v>
      </c>
      <c r="L878" s="77">
        <f t="shared" si="419"/>
        <v>7</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v>
      </c>
      <c r="C879" s="73">
        <f t="shared" si="415"/>
        <v>15</v>
      </c>
      <c r="D879" s="74">
        <f t="shared" si="398"/>
        <v>4</v>
      </c>
      <c r="E879" s="75">
        <f t="shared" si="399"/>
        <v>13</v>
      </c>
      <c r="F879" s="79"/>
      <c r="G879" s="82"/>
      <c r="H879" s="68" t="str">
        <f t="shared" si="416"/>
        <v>Hyprev7_20211115_04_00</v>
      </c>
      <c r="I879" s="69">
        <f t="shared" si="419"/>
        <v>1</v>
      </c>
      <c r="J879" s="76" t="str">
        <f t="shared" si="419"/>
        <v>Hypericum</v>
      </c>
      <c r="K879" s="76" t="str">
        <f t="shared" si="419"/>
        <v>revolutum</v>
      </c>
      <c r="L879" s="77">
        <f t="shared" si="419"/>
        <v>7</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v>
      </c>
      <c r="C880" s="73">
        <f t="shared" si="415"/>
        <v>15</v>
      </c>
      <c r="D880" s="74">
        <f t="shared" si="398"/>
        <v>4</v>
      </c>
      <c r="E880" s="75">
        <f t="shared" si="399"/>
        <v>14</v>
      </c>
      <c r="F880" s="79"/>
      <c r="G880" s="82"/>
      <c r="H880" s="68" t="str">
        <f t="shared" si="416"/>
        <v>Hyprev7_20211115_04_00</v>
      </c>
      <c r="I880" s="69">
        <f t="shared" si="419"/>
        <v>1</v>
      </c>
      <c r="J880" s="76" t="str">
        <f t="shared" si="419"/>
        <v>Hypericum</v>
      </c>
      <c r="K880" s="76" t="str">
        <f t="shared" si="419"/>
        <v>revolutum</v>
      </c>
      <c r="L880" s="77">
        <f t="shared" si="419"/>
        <v>7</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v>
      </c>
      <c r="C881" s="73">
        <f t="shared" si="415"/>
        <v>15</v>
      </c>
      <c r="D881" s="74">
        <f t="shared" si="398"/>
        <v>4</v>
      </c>
      <c r="E881" s="75">
        <f t="shared" si="399"/>
        <v>15</v>
      </c>
      <c r="F881" s="79"/>
      <c r="G881" s="82"/>
      <c r="H881" s="68" t="str">
        <f t="shared" si="416"/>
        <v>Hyprev7_20211115_04_00</v>
      </c>
      <c r="I881" s="69">
        <f t="shared" si="419"/>
        <v>1</v>
      </c>
      <c r="J881" s="76" t="str">
        <f t="shared" si="419"/>
        <v>Hypericum</v>
      </c>
      <c r="K881" s="76" t="str">
        <f t="shared" si="419"/>
        <v>revolutum</v>
      </c>
      <c r="L881" s="77">
        <f t="shared" si="419"/>
        <v>7</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v>
      </c>
      <c r="C882" s="73">
        <f t="shared" si="415"/>
        <v>15</v>
      </c>
      <c r="D882" s="74">
        <f t="shared" si="398"/>
        <v>4</v>
      </c>
      <c r="E882" s="75">
        <f t="shared" si="399"/>
        <v>16</v>
      </c>
      <c r="F882" s="79"/>
      <c r="G882" s="82"/>
      <c r="H882" s="68" t="str">
        <f t="shared" si="416"/>
        <v>Hyprev7_20211115_04_00</v>
      </c>
      <c r="I882" s="69">
        <f t="shared" si="419"/>
        <v>1</v>
      </c>
      <c r="J882" s="76" t="str">
        <f t="shared" si="419"/>
        <v>Hypericum</v>
      </c>
      <c r="K882" s="76" t="str">
        <f t="shared" si="419"/>
        <v>revolutum</v>
      </c>
      <c r="L882" s="77">
        <f t="shared" si="419"/>
        <v>7</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v>
      </c>
      <c r="C883" s="73">
        <f t="shared" si="415"/>
        <v>15</v>
      </c>
      <c r="D883" s="74">
        <f t="shared" si="398"/>
        <v>4</v>
      </c>
      <c r="E883" s="75">
        <f t="shared" si="399"/>
        <v>17</v>
      </c>
      <c r="F883" s="79"/>
      <c r="G883" s="82"/>
      <c r="H883" s="68" t="str">
        <f t="shared" si="416"/>
        <v>Hyprev7_20211115_04_00</v>
      </c>
      <c r="I883" s="69">
        <f t="shared" si="419"/>
        <v>1</v>
      </c>
      <c r="J883" s="76" t="str">
        <f t="shared" si="419"/>
        <v>Hypericum</v>
      </c>
      <c r="K883" s="76" t="str">
        <f t="shared" si="419"/>
        <v>revolutum</v>
      </c>
      <c r="L883" s="77">
        <f t="shared" si="419"/>
        <v>7</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v>
      </c>
      <c r="C884" s="73">
        <f t="shared" si="415"/>
        <v>15</v>
      </c>
      <c r="D884" s="74">
        <f t="shared" si="398"/>
        <v>4</v>
      </c>
      <c r="E884" s="75">
        <f t="shared" si="399"/>
        <v>18</v>
      </c>
      <c r="F884" s="79"/>
      <c r="G884" s="82"/>
      <c r="H884" s="68" t="str">
        <f t="shared" si="416"/>
        <v>Hyprev7_20211115_04_00</v>
      </c>
      <c r="I884" s="69">
        <f t="shared" si="419"/>
        <v>1</v>
      </c>
      <c r="J884" s="76" t="str">
        <f t="shared" si="419"/>
        <v>Hypericum</v>
      </c>
      <c r="K884" s="76" t="str">
        <f t="shared" si="419"/>
        <v>revolutum</v>
      </c>
      <c r="L884" s="77">
        <f t="shared" si="419"/>
        <v>7</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v>
      </c>
      <c r="C885" s="73">
        <f t="shared" si="415"/>
        <v>15</v>
      </c>
      <c r="D885" s="74">
        <f t="shared" si="398"/>
        <v>4</v>
      </c>
      <c r="E885" s="75">
        <f t="shared" si="399"/>
        <v>19</v>
      </c>
      <c r="F885" s="79"/>
      <c r="G885" s="82"/>
      <c r="H885" s="68" t="str">
        <f t="shared" si="416"/>
        <v>Hyprev7_20211115_04_00</v>
      </c>
      <c r="I885" s="69">
        <f t="shared" ref="I885:N900" si="420">I884</f>
        <v>1</v>
      </c>
      <c r="J885" s="76" t="str">
        <f t="shared" si="420"/>
        <v>Hypericum</v>
      </c>
      <c r="K885" s="76" t="str">
        <f t="shared" si="420"/>
        <v>revolutum</v>
      </c>
      <c r="L885" s="77">
        <f t="shared" si="420"/>
        <v>7</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v>
      </c>
      <c r="C886" s="73">
        <f t="shared" si="415"/>
        <v>15</v>
      </c>
      <c r="D886" s="74">
        <f t="shared" si="398"/>
        <v>4</v>
      </c>
      <c r="E886" s="75">
        <f t="shared" si="399"/>
        <v>20</v>
      </c>
      <c r="F886" s="79"/>
      <c r="G886" s="82"/>
      <c r="H886" s="68" t="str">
        <f t="shared" si="416"/>
        <v>Hyprev7_20211115_04_00</v>
      </c>
      <c r="I886" s="69">
        <f t="shared" si="420"/>
        <v>1</v>
      </c>
      <c r="J886" s="76" t="str">
        <f t="shared" si="420"/>
        <v>Hypericum</v>
      </c>
      <c r="K886" s="76" t="str">
        <f t="shared" si="420"/>
        <v>revolutum</v>
      </c>
      <c r="L886" s="77">
        <f t="shared" si="420"/>
        <v>7</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v>
      </c>
      <c r="C887" s="73">
        <f t="shared" si="415"/>
        <v>15</v>
      </c>
      <c r="D887" s="74">
        <f t="shared" si="398"/>
        <v>4</v>
      </c>
      <c r="E887" s="75">
        <f t="shared" si="399"/>
        <v>21</v>
      </c>
      <c r="F887" s="79"/>
      <c r="G887" s="82"/>
      <c r="H887" s="68" t="str">
        <f t="shared" si="416"/>
        <v>Hyprev7_20211115_04_00</v>
      </c>
      <c r="I887" s="69">
        <f t="shared" si="420"/>
        <v>1</v>
      </c>
      <c r="J887" s="76" t="str">
        <f t="shared" si="420"/>
        <v>Hypericum</v>
      </c>
      <c r="K887" s="76" t="str">
        <f t="shared" si="420"/>
        <v>revolutum</v>
      </c>
      <c r="L887" s="77">
        <f t="shared" si="420"/>
        <v>7</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v>
      </c>
      <c r="C888" s="73">
        <f t="shared" si="415"/>
        <v>15</v>
      </c>
      <c r="D888" s="74">
        <f t="shared" si="398"/>
        <v>4</v>
      </c>
      <c r="E888" s="75">
        <f t="shared" si="399"/>
        <v>22</v>
      </c>
      <c r="F888" s="79"/>
      <c r="G888" s="82"/>
      <c r="H888" s="68" t="str">
        <f t="shared" si="416"/>
        <v>Hyprev7_20211115_04_00</v>
      </c>
      <c r="I888" s="69">
        <f t="shared" si="420"/>
        <v>1</v>
      </c>
      <c r="J888" s="76" t="str">
        <f t="shared" si="420"/>
        <v>Hypericum</v>
      </c>
      <c r="K888" s="76" t="str">
        <f t="shared" si="420"/>
        <v>revolutum</v>
      </c>
      <c r="L888" s="77">
        <f t="shared" si="420"/>
        <v>7</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v>
      </c>
      <c r="C889" s="73">
        <f t="shared" si="415"/>
        <v>15</v>
      </c>
      <c r="D889" s="74">
        <f t="shared" si="398"/>
        <v>4</v>
      </c>
      <c r="E889" s="75">
        <f t="shared" si="399"/>
        <v>23</v>
      </c>
      <c r="F889" s="79"/>
      <c r="G889" s="82"/>
      <c r="H889" s="68" t="str">
        <f t="shared" si="416"/>
        <v>Hyprev7_20211115_04_00</v>
      </c>
      <c r="I889" s="69">
        <f t="shared" si="420"/>
        <v>1</v>
      </c>
      <c r="J889" s="76" t="str">
        <f t="shared" si="420"/>
        <v>Hypericum</v>
      </c>
      <c r="K889" s="76" t="str">
        <f t="shared" si="420"/>
        <v>revolutum</v>
      </c>
      <c r="L889" s="77">
        <f t="shared" si="420"/>
        <v>7</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v>
      </c>
      <c r="C890" s="73">
        <f t="shared" si="415"/>
        <v>15</v>
      </c>
      <c r="D890" s="74">
        <f t="shared" si="398"/>
        <v>4</v>
      </c>
      <c r="E890" s="75">
        <f t="shared" si="399"/>
        <v>24</v>
      </c>
      <c r="F890" s="79"/>
      <c r="G890" s="82"/>
      <c r="H890" s="68" t="str">
        <f t="shared" si="416"/>
        <v>Hyprev7_20211115_04_00</v>
      </c>
      <c r="I890" s="69">
        <f t="shared" si="420"/>
        <v>1</v>
      </c>
      <c r="J890" s="76" t="str">
        <f t="shared" si="420"/>
        <v>Hypericum</v>
      </c>
      <c r="K890" s="76" t="str">
        <f t="shared" si="420"/>
        <v>revolutum</v>
      </c>
      <c r="L890" s="77">
        <f t="shared" si="420"/>
        <v>7</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v>
      </c>
      <c r="C891" s="73">
        <f t="shared" si="415"/>
        <v>15</v>
      </c>
      <c r="D891" s="74">
        <f t="shared" si="398"/>
        <v>4</v>
      </c>
      <c r="E891" s="75">
        <f t="shared" si="399"/>
        <v>25</v>
      </c>
      <c r="F891" s="79"/>
      <c r="G891" s="82"/>
      <c r="H891" s="68" t="str">
        <f t="shared" si="416"/>
        <v>Hyprev7_20211115_04_00</v>
      </c>
      <c r="I891" s="69">
        <f t="shared" si="420"/>
        <v>1</v>
      </c>
      <c r="J891" s="76" t="str">
        <f t="shared" si="420"/>
        <v>Hypericum</v>
      </c>
      <c r="K891" s="76" t="str">
        <f t="shared" si="420"/>
        <v>revolutum</v>
      </c>
      <c r="L891" s="77">
        <f t="shared" si="420"/>
        <v>7</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v>
      </c>
      <c r="C892" s="73">
        <f t="shared" si="415"/>
        <v>15</v>
      </c>
      <c r="D892" s="74">
        <f t="shared" si="398"/>
        <v>4</v>
      </c>
      <c r="E892" s="75">
        <f t="shared" si="399"/>
        <v>26</v>
      </c>
      <c r="F892" s="79"/>
      <c r="G892" s="82"/>
      <c r="H892" s="68" t="str">
        <f t="shared" si="416"/>
        <v>Hyprev7_20211115_04_00</v>
      </c>
      <c r="I892" s="69">
        <f t="shared" si="420"/>
        <v>1</v>
      </c>
      <c r="J892" s="76" t="str">
        <f t="shared" si="420"/>
        <v>Hypericum</v>
      </c>
      <c r="K892" s="76" t="str">
        <f t="shared" si="420"/>
        <v>revolutum</v>
      </c>
      <c r="L892" s="77">
        <f t="shared" si="420"/>
        <v>7</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v>
      </c>
      <c r="C893" s="73">
        <f t="shared" si="415"/>
        <v>15</v>
      </c>
      <c r="D893" s="74">
        <f t="shared" si="398"/>
        <v>4</v>
      </c>
      <c r="E893" s="75">
        <f t="shared" si="399"/>
        <v>27</v>
      </c>
      <c r="F893" s="79"/>
      <c r="G893" s="82"/>
      <c r="H893" s="68" t="str">
        <f t="shared" si="416"/>
        <v>Hyprev7_20211115_04_00</v>
      </c>
      <c r="I893" s="69">
        <f t="shared" si="420"/>
        <v>1</v>
      </c>
      <c r="J893" s="76" t="str">
        <f t="shared" si="420"/>
        <v>Hypericum</v>
      </c>
      <c r="K893" s="76" t="str">
        <f t="shared" si="420"/>
        <v>revolutum</v>
      </c>
      <c r="L893" s="77">
        <f t="shared" si="420"/>
        <v>7</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v>
      </c>
      <c r="C894" s="73">
        <f t="shared" si="415"/>
        <v>15</v>
      </c>
      <c r="D894" s="74">
        <f t="shared" si="398"/>
        <v>4</v>
      </c>
      <c r="E894" s="75">
        <f t="shared" si="399"/>
        <v>28</v>
      </c>
      <c r="F894" s="79"/>
      <c r="G894" s="82"/>
      <c r="H894" s="68" t="str">
        <f t="shared" si="416"/>
        <v>Hyprev7_20211115_04_00</v>
      </c>
      <c r="I894" s="69">
        <f t="shared" si="420"/>
        <v>1</v>
      </c>
      <c r="J894" s="76" t="str">
        <f t="shared" si="420"/>
        <v>Hypericum</v>
      </c>
      <c r="K894" s="76" t="str">
        <f t="shared" si="420"/>
        <v>revolutum</v>
      </c>
      <c r="L894" s="77">
        <f t="shared" si="420"/>
        <v>7</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v>
      </c>
      <c r="C895" s="73">
        <f t="shared" si="415"/>
        <v>15</v>
      </c>
      <c r="D895" s="74">
        <f t="shared" si="398"/>
        <v>4</v>
      </c>
      <c r="E895" s="75">
        <f t="shared" si="399"/>
        <v>29</v>
      </c>
      <c r="F895" s="79"/>
      <c r="G895" s="82"/>
      <c r="H895" s="68" t="str">
        <f t="shared" si="416"/>
        <v>Hyprev7_20211115_04_00</v>
      </c>
      <c r="I895" s="69">
        <f t="shared" si="420"/>
        <v>1</v>
      </c>
      <c r="J895" s="76" t="str">
        <f t="shared" si="420"/>
        <v>Hypericum</v>
      </c>
      <c r="K895" s="76" t="str">
        <f t="shared" si="420"/>
        <v>revolutum</v>
      </c>
      <c r="L895" s="77">
        <f t="shared" si="420"/>
        <v>7</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v>
      </c>
      <c r="C896" s="73">
        <f t="shared" si="415"/>
        <v>15</v>
      </c>
      <c r="D896" s="74">
        <f t="shared" si="398"/>
        <v>4</v>
      </c>
      <c r="E896" s="75">
        <f t="shared" si="399"/>
        <v>30</v>
      </c>
      <c r="F896" s="79"/>
      <c r="G896" s="82"/>
      <c r="H896" s="68" t="str">
        <f t="shared" si="416"/>
        <v>Hyprev7_20211115_04_00</v>
      </c>
      <c r="I896" s="69">
        <f t="shared" si="420"/>
        <v>1</v>
      </c>
      <c r="J896" s="76" t="str">
        <f t="shared" si="420"/>
        <v>Hypericum</v>
      </c>
      <c r="K896" s="76" t="str">
        <f t="shared" si="420"/>
        <v>revolutum</v>
      </c>
      <c r="L896" s="77">
        <f t="shared" si="420"/>
        <v>7</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v>
      </c>
      <c r="C897" s="73">
        <f t="shared" si="415"/>
        <v>15</v>
      </c>
      <c r="D897" s="74">
        <f t="shared" si="398"/>
        <v>4</v>
      </c>
      <c r="E897" s="75">
        <f t="shared" si="399"/>
        <v>31</v>
      </c>
      <c r="F897" s="79"/>
      <c r="G897" s="82"/>
      <c r="H897" s="68" t="str">
        <f t="shared" si="416"/>
        <v>Hyprev7_20211115_04_00</v>
      </c>
      <c r="I897" s="69">
        <f t="shared" si="420"/>
        <v>1</v>
      </c>
      <c r="J897" s="76" t="str">
        <f t="shared" si="420"/>
        <v>Hypericum</v>
      </c>
      <c r="K897" s="76" t="str">
        <f t="shared" si="420"/>
        <v>revolutum</v>
      </c>
      <c r="L897" s="77">
        <f t="shared" si="420"/>
        <v>7</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2021</v>
      </c>
      <c r="B898" s="72" t="str">
        <f t="shared" si="397"/>
        <v>Nov</v>
      </c>
      <c r="C898" s="73">
        <f t="shared" si="415"/>
        <v>15</v>
      </c>
      <c r="D898" s="74">
        <f t="shared" si="398"/>
        <v>4</v>
      </c>
      <c r="E898" s="75">
        <f t="shared" si="399"/>
        <v>32</v>
      </c>
      <c r="F898" s="79">
        <v>53</v>
      </c>
      <c r="G898" s="82"/>
      <c r="H898" s="68" t="str">
        <f t="shared" si="416"/>
        <v>Hyprev7_20211115_04_00</v>
      </c>
      <c r="I898" s="69">
        <f t="shared" si="420"/>
        <v>1</v>
      </c>
      <c r="J898" s="76" t="str">
        <f t="shared" si="420"/>
        <v>Hypericum</v>
      </c>
      <c r="K898" s="76" t="str">
        <f t="shared" si="420"/>
        <v>revolutum</v>
      </c>
      <c r="L898" s="77">
        <f t="shared" si="420"/>
        <v>7</v>
      </c>
      <c r="M898" s="77">
        <f t="shared" si="420"/>
        <v>2</v>
      </c>
      <c r="N898" s="71">
        <f t="shared" si="420"/>
        <v>0</v>
      </c>
      <c r="O898" s="44"/>
      <c r="P898" s="45">
        <f t="shared" si="400"/>
        <v>1</v>
      </c>
      <c r="Q898" s="46" t="str">
        <f t="shared" si="401"/>
        <v>04:32:53</v>
      </c>
      <c r="R898" s="47" t="str">
        <f t="shared" si="402"/>
        <v>32:53</v>
      </c>
      <c r="S898" s="48">
        <f t="shared" si="391"/>
        <v>27</v>
      </c>
      <c r="T898" s="47" t="str">
        <f t="shared" si="403"/>
        <v>04</v>
      </c>
      <c r="U898" s="49">
        <v>33</v>
      </c>
      <c r="V898" s="50">
        <v>20</v>
      </c>
      <c r="W898" s="51" t="str">
        <f t="shared" si="404"/>
        <v>33:20</v>
      </c>
      <c r="X898" s="52" t="s">
        <v>128</v>
      </c>
      <c r="Y898" s="124" t="s">
        <v>248</v>
      </c>
      <c r="Z898" s="124"/>
      <c r="AA898" s="47" t="s">
        <v>255</v>
      </c>
      <c r="AB898" s="47" t="str">
        <f t="shared" si="405"/>
        <v>NA</v>
      </c>
      <c r="AC898" s="53" t="str">
        <f t="shared" si="406"/>
        <v/>
      </c>
      <c r="AD898" s="54">
        <v>2</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t="s">
        <v>112</v>
      </c>
      <c r="AT898" s="58"/>
      <c r="AU898" s="58"/>
      <c r="AV898" s="59"/>
      <c r="AW898" s="60">
        <f t="shared" si="392"/>
        <v>0</v>
      </c>
      <c r="AX898" s="61" t="str">
        <f t="shared" si="393"/>
        <v/>
      </c>
      <c r="AY898" s="60">
        <f t="shared" si="394"/>
        <v>0</v>
      </c>
      <c r="AZ898" s="61" t="str">
        <f t="shared" si="395"/>
        <v/>
      </c>
    </row>
    <row r="899" spans="1:52" s="3" customFormat="1" hidden="1" x14ac:dyDescent="0.35">
      <c r="A899" s="72">
        <f t="shared" si="396"/>
        <v>2021</v>
      </c>
      <c r="B899" s="72" t="str">
        <f t="shared" si="397"/>
        <v>Nov</v>
      </c>
      <c r="C899" s="73">
        <f t="shared" si="415"/>
        <v>15</v>
      </c>
      <c r="D899" s="74">
        <f t="shared" si="398"/>
        <v>4</v>
      </c>
      <c r="E899" s="75">
        <f t="shared" si="399"/>
        <v>33</v>
      </c>
      <c r="F899" s="79">
        <v>21</v>
      </c>
      <c r="G899" s="82"/>
      <c r="H899" s="68" t="str">
        <f t="shared" si="416"/>
        <v>Hyprev7_20211115_04_00</v>
      </c>
      <c r="I899" s="69">
        <f t="shared" si="420"/>
        <v>1</v>
      </c>
      <c r="J899" s="76" t="str">
        <f t="shared" si="420"/>
        <v>Hypericum</v>
      </c>
      <c r="K899" s="76" t="str">
        <f t="shared" si="420"/>
        <v>revolutum</v>
      </c>
      <c r="L899" s="77">
        <f t="shared" si="420"/>
        <v>7</v>
      </c>
      <c r="M899" s="77">
        <f t="shared" si="420"/>
        <v>2</v>
      </c>
      <c r="N899" s="71">
        <f t="shared" si="420"/>
        <v>0</v>
      </c>
      <c r="O899" s="44"/>
      <c r="P899" s="45">
        <f t="shared" si="400"/>
        <v>1</v>
      </c>
      <c r="Q899" s="46" t="str">
        <f t="shared" si="401"/>
        <v>04:33:21</v>
      </c>
      <c r="R899" s="47" t="str">
        <f t="shared" si="402"/>
        <v>33:21</v>
      </c>
      <c r="S899" s="48">
        <f t="shared" ref="S899:S962" si="421">IF(T899&lt;D899, (T899*3600+U899*60+V899)+((23*3600+59*60+60)-(D899*3600+E899*60+LEFT(F899,2))), (T899*3600+U899*60+V899)-(D899*3600+E899*60+LEFT(F899,2)))</f>
        <v>1</v>
      </c>
      <c r="T899" s="47" t="str">
        <f t="shared" si="403"/>
        <v>04</v>
      </c>
      <c r="U899" s="49">
        <v>33</v>
      </c>
      <c r="V899" s="50">
        <v>22</v>
      </c>
      <c r="W899" s="51" t="str">
        <f t="shared" si="404"/>
        <v>33:22</v>
      </c>
      <c r="X899" s="52" t="s">
        <v>128</v>
      </c>
      <c r="Y899" s="124" t="s">
        <v>248</v>
      </c>
      <c r="Z899" s="124"/>
      <c r="AA899" s="47" t="s">
        <v>255</v>
      </c>
      <c r="AB899" s="47" t="str">
        <f t="shared" si="405"/>
        <v>NA</v>
      </c>
      <c r="AC899" s="53" t="str">
        <f t="shared" si="406"/>
        <v/>
      </c>
      <c r="AD899" s="54">
        <f t="shared" si="407"/>
        <v>1</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t="s">
        <v>121</v>
      </c>
      <c r="AT899" s="58"/>
      <c r="AU899" s="58"/>
      <c r="AV899" s="59"/>
      <c r="AW899" s="60">
        <f t="shared" ref="AW899:AW962" si="422">IF(P899=1,0,"")</f>
        <v>0</v>
      </c>
      <c r="AX899" s="61" t="str">
        <f t="shared" ref="AX899:AX962" si="423">IF(AW899=1,AD899,"")</f>
        <v/>
      </c>
      <c r="AY899" s="60">
        <f t="shared" ref="AY899:AY962" si="424">IF(P899=1,0,"")</f>
        <v>0</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v>
      </c>
      <c r="C900" s="73">
        <f t="shared" si="415"/>
        <v>15</v>
      </c>
      <c r="D900" s="74">
        <f t="shared" ref="D900:D963" si="428">IF(IF(E899=59,D899+1,D899)=24,0,IF(E899=59,D899+1,D899))</f>
        <v>4</v>
      </c>
      <c r="E900" s="75">
        <v>33</v>
      </c>
      <c r="F900" s="79">
        <v>29</v>
      </c>
      <c r="G900" s="82"/>
      <c r="H900" s="68" t="str">
        <f t="shared" si="416"/>
        <v>Hyprev7_20211115_04_00</v>
      </c>
      <c r="I900" s="69">
        <f t="shared" si="420"/>
        <v>1</v>
      </c>
      <c r="J900" s="76" t="str">
        <f t="shared" si="420"/>
        <v>Hypericum</v>
      </c>
      <c r="K900" s="76" t="str">
        <f t="shared" si="420"/>
        <v>revolutum</v>
      </c>
      <c r="L900" s="77">
        <f t="shared" si="420"/>
        <v>7</v>
      </c>
      <c r="M900" s="77">
        <f t="shared" si="420"/>
        <v>2</v>
      </c>
      <c r="N900" s="71">
        <f t="shared" si="420"/>
        <v>0</v>
      </c>
      <c r="O900" s="44"/>
      <c r="P900" s="45">
        <f t="shared" ref="P900:P963" si="429">IF(F900="","",1)</f>
        <v>1</v>
      </c>
      <c r="Q900" s="46" t="str">
        <f t="shared" ref="Q900:Q963" si="430">TEXT(IF(P900=1,CONCATENATE($D900,":",$E900,":",(LEFT($F900,2))),""),"hh:mm:ss")</f>
        <v>04:33:29</v>
      </c>
      <c r="R900" s="47" t="str">
        <f t="shared" ref="R900:R963" si="431">TEXT(Q900-TIME(0,RIGHT($H900,2),$G$9)+(Q900&gt;TIME(0,RIGHT($H900,2),$G$9)),"mm:ss")</f>
        <v>33:29</v>
      </c>
      <c r="S900" s="48">
        <f t="shared" si="421"/>
        <v>3</v>
      </c>
      <c r="T900" s="47" t="str">
        <f t="shared" ref="T900:T963" si="432">TEXT(IF(P900=1,D900,""),"00")</f>
        <v>04</v>
      </c>
      <c r="U900" s="49">
        <v>33</v>
      </c>
      <c r="V900" s="50">
        <v>32</v>
      </c>
      <c r="W900" s="51" t="str">
        <f t="shared" ref="W900:W963" si="433">IF(O900=0,TEXT(TIME(T900,U900,V900)-TIME(D900,E900,RIGHT(F900,2))+TIME(0,LEFT(R900,2),RIGHT(R900,2)),"mm:ss"),TEXT(TIME(T900,U900,V900)-TIME(D900,E900,RIGHT(F900,2))+TIME(0,LEFT(R900,2),RIGHT(R900,2))-TIME(0,($G$10*O900),0),"mm:ss"))</f>
        <v>33:32</v>
      </c>
      <c r="X900" s="52" t="s">
        <v>128</v>
      </c>
      <c r="Y900" s="124" t="s">
        <v>248</v>
      </c>
      <c r="Z900" s="124"/>
      <c r="AA900" s="47" t="s">
        <v>255</v>
      </c>
      <c r="AB900" s="47" t="str">
        <f t="shared" ref="AB900:AB963" si="434">IF(AA900&lt;&gt;0,"NA","")</f>
        <v>NA</v>
      </c>
      <c r="AC900" s="53" t="str">
        <f t="shared" ref="AC900:AC963" si="435">IF(SUM(AH900,AJ900,AL900,AN900,AP900,AR900)=S900,,"")</f>
        <v/>
      </c>
      <c r="AD900" s="54">
        <v>2</v>
      </c>
      <c r="AE900" s="54"/>
      <c r="AF900" s="54"/>
      <c r="AG900" s="55" t="str">
        <f t="shared" ref="AG900:AG963" si="436">IF(OR(X900="Something small"),1,"")</f>
        <v/>
      </c>
      <c r="AH900" s="56" t="str">
        <f t="shared" ref="AH900:AH963" si="437">IF(AG900=1,$S900,"")</f>
        <v/>
      </c>
      <c r="AI900" s="55"/>
      <c r="AJ900" s="56" t="str">
        <f t="shared" ref="AJ900:AJ963" si="438">IF(AI900=1,$S900,"")</f>
        <v/>
      </c>
      <c r="AK900" s="55"/>
      <c r="AL900" s="56" t="str">
        <f t="shared" ref="AL900:AL963" si="439">IF(AK900=1,$S900,"")</f>
        <v/>
      </c>
      <c r="AM900" s="55"/>
      <c r="AN900" s="56" t="str">
        <f t="shared" ref="AN900:AN963" si="440">IF(AM900=1,$S900,"")</f>
        <v/>
      </c>
      <c r="AO900" s="55"/>
      <c r="AP900" s="56" t="str">
        <f t="shared" ref="AP900:AP963" si="441">IF(AO900=1,$S900,"")</f>
        <v/>
      </c>
      <c r="AQ900" s="55"/>
      <c r="AR900" s="56" t="str">
        <f t="shared" ref="AR900:AR963" si="442">IF(AQ900=1,$S900,"")</f>
        <v/>
      </c>
      <c r="AS900" s="57" t="s">
        <v>112</v>
      </c>
      <c r="AT900" s="58"/>
      <c r="AU900" s="58"/>
      <c r="AV900" s="59"/>
      <c r="AW900" s="60">
        <f t="shared" si="422"/>
        <v>0</v>
      </c>
      <c r="AX900" s="61" t="str">
        <f t="shared" si="423"/>
        <v/>
      </c>
      <c r="AY900" s="60">
        <f t="shared" si="424"/>
        <v>0</v>
      </c>
      <c r="AZ900" s="61" t="str">
        <f t="shared" si="425"/>
        <v/>
      </c>
    </row>
    <row r="901" spans="1:52" s="3" customFormat="1" hidden="1" x14ac:dyDescent="0.35">
      <c r="A901" s="72">
        <f t="shared" si="426"/>
        <v>2021</v>
      </c>
      <c r="B901" s="72" t="str">
        <f t="shared" si="427"/>
        <v>Nov</v>
      </c>
      <c r="C901" s="73">
        <f t="shared" ref="C901:C964" si="443">IF(AND(D901=0, E901=0), IF(TEXT(C900,"dd")=TEXT(EOMONTH(DATE(A900,MONTH(DATEVALUE(B900&amp;"1")),C900),0), "dd"), 1, C900+1), C900)</f>
        <v>15</v>
      </c>
      <c r="D901" s="74">
        <f t="shared" si="428"/>
        <v>4</v>
      </c>
      <c r="E901" s="75">
        <f t="shared" ref="E901:E963" si="444">IF(E900&lt;59,E900+1,0)</f>
        <v>34</v>
      </c>
      <c r="F901" s="79"/>
      <c r="G901" s="82"/>
      <c r="H901" s="68" t="str">
        <f t="shared" ref="H901:H964" si="445">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Hyprev7_20211115_04_00</v>
      </c>
      <c r="I901" s="69">
        <f t="shared" ref="I901:N916" si="446">I900</f>
        <v>1</v>
      </c>
      <c r="J901" s="76" t="str">
        <f t="shared" si="446"/>
        <v>Hypericum</v>
      </c>
      <c r="K901" s="76" t="str">
        <f t="shared" si="446"/>
        <v>revolutum</v>
      </c>
      <c r="L901" s="77">
        <f t="shared" si="446"/>
        <v>7</v>
      </c>
      <c r="M901" s="77">
        <f t="shared" si="446"/>
        <v>2</v>
      </c>
      <c r="N901" s="71">
        <f t="shared" si="446"/>
        <v>0</v>
      </c>
      <c r="O901" s="44"/>
      <c r="P901" s="45" t="str">
        <f t="shared" si="429"/>
        <v/>
      </c>
      <c r="Q901" s="46" t="str">
        <f t="shared" si="430"/>
        <v/>
      </c>
      <c r="R901" s="47" t="e">
        <f t="shared" si="431"/>
        <v>#VALUE!</v>
      </c>
      <c r="S901" s="48" t="e">
        <f t="shared" si="421"/>
        <v>#VALUE!</v>
      </c>
      <c r="T901" s="47" t="str">
        <f t="shared" si="432"/>
        <v/>
      </c>
      <c r="U901" s="49"/>
      <c r="V901" s="50"/>
      <c r="W901" s="51" t="e">
        <f t="shared" si="433"/>
        <v>#VALUE!</v>
      </c>
      <c r="X901" s="52"/>
      <c r="Y901" s="52"/>
      <c r="Z901" s="52"/>
      <c r="AA901" s="47" t="e">
        <f>INDEX(VISITORS[INSECT ORDER], MATCH(X901,VISITORS[NAME USED],0))</f>
        <v>#N/A</v>
      </c>
      <c r="AB901" s="47" t="e">
        <f t="shared" si="434"/>
        <v>#N/A</v>
      </c>
      <c r="AC901" s="53" t="e">
        <f t="shared" si="435"/>
        <v>#VALUE!</v>
      </c>
      <c r="AD901" s="54" t="str">
        <f t="shared" ref="AD901:AD963" si="447">IF(P901=1,1,"")</f>
        <v/>
      </c>
      <c r="AE901" s="54"/>
      <c r="AF901" s="54"/>
      <c r="AG901" s="55" t="str">
        <f t="shared" si="436"/>
        <v/>
      </c>
      <c r="AH901" s="56" t="str">
        <f t="shared" si="437"/>
        <v/>
      </c>
      <c r="AI901" s="55"/>
      <c r="AJ901" s="56" t="str">
        <f t="shared" si="438"/>
        <v/>
      </c>
      <c r="AK901" s="55"/>
      <c r="AL901" s="56" t="str">
        <f t="shared" si="439"/>
        <v/>
      </c>
      <c r="AM901" s="55"/>
      <c r="AN901" s="56" t="str">
        <f t="shared" si="440"/>
        <v/>
      </c>
      <c r="AO901" s="55"/>
      <c r="AP901" s="56" t="str">
        <f t="shared" si="441"/>
        <v/>
      </c>
      <c r="AQ901" s="55"/>
      <c r="AR901" s="56" t="str">
        <f t="shared" si="442"/>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v>
      </c>
      <c r="C902" s="73">
        <f t="shared" si="443"/>
        <v>15</v>
      </c>
      <c r="D902" s="74">
        <f t="shared" si="428"/>
        <v>4</v>
      </c>
      <c r="E902" s="75">
        <f t="shared" si="444"/>
        <v>35</v>
      </c>
      <c r="F902" s="79"/>
      <c r="G902" s="82"/>
      <c r="H902" s="68" t="str">
        <f t="shared" si="445"/>
        <v>Hyprev7_20211115_04_00</v>
      </c>
      <c r="I902" s="69">
        <f t="shared" si="446"/>
        <v>1</v>
      </c>
      <c r="J902" s="76" t="str">
        <f t="shared" si="446"/>
        <v>Hypericum</v>
      </c>
      <c r="K902" s="76" t="str">
        <f t="shared" si="446"/>
        <v>revolutum</v>
      </c>
      <c r="L902" s="77">
        <f t="shared" si="446"/>
        <v>7</v>
      </c>
      <c r="M902" s="77">
        <f t="shared" si="446"/>
        <v>2</v>
      </c>
      <c r="N902" s="71">
        <f t="shared" si="446"/>
        <v>0</v>
      </c>
      <c r="O902" s="44"/>
      <c r="P902" s="45" t="str">
        <f t="shared" si="429"/>
        <v/>
      </c>
      <c r="Q902" s="46" t="str">
        <f t="shared" si="430"/>
        <v/>
      </c>
      <c r="R902" s="47" t="e">
        <f t="shared" si="431"/>
        <v>#VALUE!</v>
      </c>
      <c r="S902" s="48" t="e">
        <f t="shared" si="421"/>
        <v>#VALUE!</v>
      </c>
      <c r="T902" s="47" t="str">
        <f t="shared" si="432"/>
        <v/>
      </c>
      <c r="U902" s="49"/>
      <c r="V902" s="50"/>
      <c r="W902" s="51" t="e">
        <f t="shared" si="433"/>
        <v>#VALUE!</v>
      </c>
      <c r="X902" s="52"/>
      <c r="Y902" s="52"/>
      <c r="Z902" s="52"/>
      <c r="AA902" s="47" t="e">
        <f>INDEX(VISITORS[INSECT ORDER], MATCH(X902,VISITORS[NAME USED],0))</f>
        <v>#N/A</v>
      </c>
      <c r="AB902" s="47" t="e">
        <f t="shared" si="434"/>
        <v>#N/A</v>
      </c>
      <c r="AC902" s="53" t="e">
        <f t="shared" si="435"/>
        <v>#VALUE!</v>
      </c>
      <c r="AD902" s="54" t="str">
        <f t="shared" si="447"/>
        <v/>
      </c>
      <c r="AE902" s="54"/>
      <c r="AF902" s="54"/>
      <c r="AG902" s="55" t="str">
        <f t="shared" si="436"/>
        <v/>
      </c>
      <c r="AH902" s="56" t="str">
        <f t="shared" si="437"/>
        <v/>
      </c>
      <c r="AI902" s="55"/>
      <c r="AJ902" s="56" t="str">
        <f t="shared" si="438"/>
        <v/>
      </c>
      <c r="AK902" s="55"/>
      <c r="AL902" s="56" t="str">
        <f t="shared" si="439"/>
        <v/>
      </c>
      <c r="AM902" s="55"/>
      <c r="AN902" s="56" t="str">
        <f t="shared" si="440"/>
        <v/>
      </c>
      <c r="AO902" s="55"/>
      <c r="AP902" s="56" t="str">
        <f t="shared" si="441"/>
        <v/>
      </c>
      <c r="AQ902" s="55"/>
      <c r="AR902" s="56" t="str">
        <f t="shared" si="442"/>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v>
      </c>
      <c r="C903" s="73">
        <f t="shared" si="443"/>
        <v>15</v>
      </c>
      <c r="D903" s="74">
        <f t="shared" si="428"/>
        <v>4</v>
      </c>
      <c r="E903" s="75">
        <f t="shared" si="444"/>
        <v>36</v>
      </c>
      <c r="F903" s="79"/>
      <c r="G903" s="82"/>
      <c r="H903" s="68" t="str">
        <f t="shared" si="445"/>
        <v>Hyprev7_20211115_04_00</v>
      </c>
      <c r="I903" s="69">
        <f t="shared" si="446"/>
        <v>1</v>
      </c>
      <c r="J903" s="76" t="str">
        <f t="shared" si="446"/>
        <v>Hypericum</v>
      </c>
      <c r="K903" s="76" t="str">
        <f t="shared" si="446"/>
        <v>revolutum</v>
      </c>
      <c r="L903" s="77">
        <f t="shared" si="446"/>
        <v>7</v>
      </c>
      <c r="M903" s="77">
        <f t="shared" si="446"/>
        <v>2</v>
      </c>
      <c r="N903" s="71">
        <f t="shared" si="446"/>
        <v>0</v>
      </c>
      <c r="O903" s="44"/>
      <c r="P903" s="45" t="str">
        <f t="shared" si="429"/>
        <v/>
      </c>
      <c r="Q903" s="46" t="str">
        <f t="shared" si="430"/>
        <v/>
      </c>
      <c r="R903" s="47" t="e">
        <f t="shared" si="431"/>
        <v>#VALUE!</v>
      </c>
      <c r="S903" s="48" t="e">
        <f t="shared" si="421"/>
        <v>#VALUE!</v>
      </c>
      <c r="T903" s="47" t="str">
        <f t="shared" si="432"/>
        <v/>
      </c>
      <c r="U903" s="49"/>
      <c r="V903" s="50"/>
      <c r="W903" s="51" t="e">
        <f t="shared" si="433"/>
        <v>#VALUE!</v>
      </c>
      <c r="X903" s="52"/>
      <c r="Y903" s="52"/>
      <c r="Z903" s="52"/>
      <c r="AA903" s="47" t="e">
        <f>INDEX(VISITORS[INSECT ORDER], MATCH(X903,VISITORS[NAME USED],0))</f>
        <v>#N/A</v>
      </c>
      <c r="AB903" s="47" t="e">
        <f t="shared" si="434"/>
        <v>#N/A</v>
      </c>
      <c r="AC903" s="53" t="e">
        <f t="shared" si="435"/>
        <v>#VALUE!</v>
      </c>
      <c r="AD903" s="54" t="str">
        <f t="shared" si="447"/>
        <v/>
      </c>
      <c r="AE903" s="54"/>
      <c r="AF903" s="54"/>
      <c r="AG903" s="55" t="str">
        <f t="shared" si="436"/>
        <v/>
      </c>
      <c r="AH903" s="56" t="str">
        <f t="shared" si="437"/>
        <v/>
      </c>
      <c r="AI903" s="55"/>
      <c r="AJ903" s="56" t="str">
        <f t="shared" si="438"/>
        <v/>
      </c>
      <c r="AK903" s="55"/>
      <c r="AL903" s="56" t="str">
        <f t="shared" si="439"/>
        <v/>
      </c>
      <c r="AM903" s="55"/>
      <c r="AN903" s="56" t="str">
        <f t="shared" si="440"/>
        <v/>
      </c>
      <c r="AO903" s="55"/>
      <c r="AP903" s="56" t="str">
        <f t="shared" si="441"/>
        <v/>
      </c>
      <c r="AQ903" s="55"/>
      <c r="AR903" s="56" t="str">
        <f t="shared" si="442"/>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v>
      </c>
      <c r="C904" s="73">
        <f t="shared" si="443"/>
        <v>15</v>
      </c>
      <c r="D904" s="74">
        <f t="shared" si="428"/>
        <v>4</v>
      </c>
      <c r="E904" s="75">
        <f t="shared" si="444"/>
        <v>37</v>
      </c>
      <c r="F904" s="79"/>
      <c r="G904" s="82"/>
      <c r="H904" s="68" t="str">
        <f t="shared" si="445"/>
        <v>Hyprev7_20211115_04_00</v>
      </c>
      <c r="I904" s="69">
        <f t="shared" si="446"/>
        <v>1</v>
      </c>
      <c r="J904" s="76" t="str">
        <f t="shared" si="446"/>
        <v>Hypericum</v>
      </c>
      <c r="K904" s="76" t="str">
        <f t="shared" si="446"/>
        <v>revolutum</v>
      </c>
      <c r="L904" s="77">
        <f t="shared" si="446"/>
        <v>7</v>
      </c>
      <c r="M904" s="77">
        <f t="shared" si="446"/>
        <v>2</v>
      </c>
      <c r="N904" s="71">
        <f t="shared" si="446"/>
        <v>0</v>
      </c>
      <c r="O904" s="44"/>
      <c r="P904" s="45" t="str">
        <f t="shared" si="429"/>
        <v/>
      </c>
      <c r="Q904" s="46" t="str">
        <f t="shared" si="430"/>
        <v/>
      </c>
      <c r="R904" s="47" t="e">
        <f t="shared" si="431"/>
        <v>#VALUE!</v>
      </c>
      <c r="S904" s="48" t="e">
        <f t="shared" si="421"/>
        <v>#VALUE!</v>
      </c>
      <c r="T904" s="47" t="str">
        <f t="shared" si="432"/>
        <v/>
      </c>
      <c r="U904" s="49"/>
      <c r="V904" s="50"/>
      <c r="W904" s="51" t="e">
        <f t="shared" si="433"/>
        <v>#VALUE!</v>
      </c>
      <c r="X904" s="52"/>
      <c r="Y904" s="52"/>
      <c r="Z904" s="52"/>
      <c r="AA904" s="47" t="e">
        <f>INDEX(VISITORS[INSECT ORDER], MATCH(X904,VISITORS[NAME USED],0))</f>
        <v>#N/A</v>
      </c>
      <c r="AB904" s="47" t="e">
        <f t="shared" si="434"/>
        <v>#N/A</v>
      </c>
      <c r="AC904" s="53" t="e">
        <f t="shared" si="435"/>
        <v>#VALUE!</v>
      </c>
      <c r="AD904" s="54" t="str">
        <f t="shared" si="447"/>
        <v/>
      </c>
      <c r="AE904" s="54"/>
      <c r="AF904" s="54"/>
      <c r="AG904" s="55" t="str">
        <f t="shared" si="436"/>
        <v/>
      </c>
      <c r="AH904" s="56" t="str">
        <f t="shared" si="437"/>
        <v/>
      </c>
      <c r="AI904" s="55"/>
      <c r="AJ904" s="56" t="str">
        <f t="shared" si="438"/>
        <v/>
      </c>
      <c r="AK904" s="55"/>
      <c r="AL904" s="56" t="str">
        <f t="shared" si="439"/>
        <v/>
      </c>
      <c r="AM904" s="55"/>
      <c r="AN904" s="56" t="str">
        <f t="shared" si="440"/>
        <v/>
      </c>
      <c r="AO904" s="55"/>
      <c r="AP904" s="56" t="str">
        <f t="shared" si="441"/>
        <v/>
      </c>
      <c r="AQ904" s="55"/>
      <c r="AR904" s="56" t="str">
        <f t="shared" si="442"/>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v>
      </c>
      <c r="C905" s="73">
        <f t="shared" si="443"/>
        <v>15</v>
      </c>
      <c r="D905" s="74">
        <f t="shared" si="428"/>
        <v>4</v>
      </c>
      <c r="E905" s="75">
        <f t="shared" si="444"/>
        <v>38</v>
      </c>
      <c r="F905" s="79"/>
      <c r="G905" s="82"/>
      <c r="H905" s="68" t="str">
        <f t="shared" si="445"/>
        <v>Hyprev7_20211115_04_00</v>
      </c>
      <c r="I905" s="69">
        <f t="shared" si="446"/>
        <v>1</v>
      </c>
      <c r="J905" s="76" t="str">
        <f t="shared" si="446"/>
        <v>Hypericum</v>
      </c>
      <c r="K905" s="76" t="str">
        <f t="shared" si="446"/>
        <v>revolutum</v>
      </c>
      <c r="L905" s="77">
        <f t="shared" si="446"/>
        <v>7</v>
      </c>
      <c r="M905" s="77">
        <f t="shared" si="446"/>
        <v>2</v>
      </c>
      <c r="N905" s="71">
        <f t="shared" si="446"/>
        <v>0</v>
      </c>
      <c r="O905" s="44"/>
      <c r="P905" s="45" t="str">
        <f t="shared" si="429"/>
        <v/>
      </c>
      <c r="Q905" s="46" t="str">
        <f t="shared" si="430"/>
        <v/>
      </c>
      <c r="R905" s="47" t="e">
        <f t="shared" si="431"/>
        <v>#VALUE!</v>
      </c>
      <c r="S905" s="48" t="e">
        <f t="shared" si="421"/>
        <v>#VALUE!</v>
      </c>
      <c r="T905" s="47" t="str">
        <f t="shared" si="432"/>
        <v/>
      </c>
      <c r="U905" s="49"/>
      <c r="V905" s="50"/>
      <c r="W905" s="51" t="e">
        <f t="shared" si="433"/>
        <v>#VALUE!</v>
      </c>
      <c r="X905" s="52"/>
      <c r="Y905" s="52"/>
      <c r="Z905" s="52"/>
      <c r="AA905" s="47" t="e">
        <f>INDEX(VISITORS[INSECT ORDER], MATCH(X905,VISITORS[NAME USED],0))</f>
        <v>#N/A</v>
      </c>
      <c r="AB905" s="47" t="e">
        <f t="shared" si="434"/>
        <v>#N/A</v>
      </c>
      <c r="AC905" s="53" t="e">
        <f t="shared" si="435"/>
        <v>#VALUE!</v>
      </c>
      <c r="AD905" s="54" t="str">
        <f t="shared" si="447"/>
        <v/>
      </c>
      <c r="AE905" s="54"/>
      <c r="AF905" s="54"/>
      <c r="AG905" s="55" t="str">
        <f t="shared" si="436"/>
        <v/>
      </c>
      <c r="AH905" s="56" t="str">
        <f t="shared" si="437"/>
        <v/>
      </c>
      <c r="AI905" s="55"/>
      <c r="AJ905" s="56" t="str">
        <f t="shared" si="438"/>
        <v/>
      </c>
      <c r="AK905" s="55"/>
      <c r="AL905" s="56" t="str">
        <f t="shared" si="439"/>
        <v/>
      </c>
      <c r="AM905" s="55"/>
      <c r="AN905" s="56" t="str">
        <f t="shared" si="440"/>
        <v/>
      </c>
      <c r="AO905" s="55"/>
      <c r="AP905" s="56" t="str">
        <f t="shared" si="441"/>
        <v/>
      </c>
      <c r="AQ905" s="55"/>
      <c r="AR905" s="56" t="str">
        <f t="shared" si="442"/>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v>
      </c>
      <c r="C906" s="73">
        <f t="shared" si="443"/>
        <v>15</v>
      </c>
      <c r="D906" s="74">
        <f t="shared" si="428"/>
        <v>4</v>
      </c>
      <c r="E906" s="75">
        <f t="shared" si="444"/>
        <v>39</v>
      </c>
      <c r="F906" s="79"/>
      <c r="G906" s="82"/>
      <c r="H906" s="68" t="str">
        <f t="shared" si="445"/>
        <v>Hyprev7_20211115_04_00</v>
      </c>
      <c r="I906" s="69">
        <f t="shared" si="446"/>
        <v>1</v>
      </c>
      <c r="J906" s="76" t="str">
        <f t="shared" si="446"/>
        <v>Hypericum</v>
      </c>
      <c r="K906" s="76" t="str">
        <f t="shared" si="446"/>
        <v>revolutum</v>
      </c>
      <c r="L906" s="77">
        <f t="shared" si="446"/>
        <v>7</v>
      </c>
      <c r="M906" s="77">
        <f t="shared" si="446"/>
        <v>2</v>
      </c>
      <c r="N906" s="71">
        <f t="shared" si="446"/>
        <v>0</v>
      </c>
      <c r="O906" s="44"/>
      <c r="P906" s="45" t="str">
        <f t="shared" si="429"/>
        <v/>
      </c>
      <c r="Q906" s="46" t="str">
        <f t="shared" si="430"/>
        <v/>
      </c>
      <c r="R906" s="47" t="e">
        <f t="shared" si="431"/>
        <v>#VALUE!</v>
      </c>
      <c r="S906" s="48" t="e">
        <f t="shared" si="421"/>
        <v>#VALUE!</v>
      </c>
      <c r="T906" s="47" t="str">
        <f t="shared" si="432"/>
        <v/>
      </c>
      <c r="U906" s="49"/>
      <c r="V906" s="50"/>
      <c r="W906" s="51" t="e">
        <f t="shared" si="433"/>
        <v>#VALUE!</v>
      </c>
      <c r="X906" s="52"/>
      <c r="Y906" s="52"/>
      <c r="Z906" s="52"/>
      <c r="AA906" s="47" t="e">
        <f>INDEX(VISITORS[INSECT ORDER], MATCH(X906,VISITORS[NAME USED],0))</f>
        <v>#N/A</v>
      </c>
      <c r="AB906" s="47" t="e">
        <f t="shared" si="434"/>
        <v>#N/A</v>
      </c>
      <c r="AC906" s="53" t="e">
        <f t="shared" si="435"/>
        <v>#VALUE!</v>
      </c>
      <c r="AD906" s="54" t="str">
        <f t="shared" si="447"/>
        <v/>
      </c>
      <c r="AE906" s="54"/>
      <c r="AF906" s="54"/>
      <c r="AG906" s="55" t="str">
        <f t="shared" si="436"/>
        <v/>
      </c>
      <c r="AH906" s="56" t="str">
        <f t="shared" si="437"/>
        <v/>
      </c>
      <c r="AI906" s="55"/>
      <c r="AJ906" s="56" t="str">
        <f t="shared" si="438"/>
        <v/>
      </c>
      <c r="AK906" s="55"/>
      <c r="AL906" s="56" t="str">
        <f t="shared" si="439"/>
        <v/>
      </c>
      <c r="AM906" s="55"/>
      <c r="AN906" s="56" t="str">
        <f t="shared" si="440"/>
        <v/>
      </c>
      <c r="AO906" s="55"/>
      <c r="AP906" s="56" t="str">
        <f t="shared" si="441"/>
        <v/>
      </c>
      <c r="AQ906" s="55"/>
      <c r="AR906" s="56" t="str">
        <f t="shared" si="442"/>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v>
      </c>
      <c r="C907" s="73">
        <f t="shared" si="443"/>
        <v>15</v>
      </c>
      <c r="D907" s="74">
        <f t="shared" si="428"/>
        <v>4</v>
      </c>
      <c r="E907" s="75">
        <f t="shared" si="444"/>
        <v>40</v>
      </c>
      <c r="F907" s="79"/>
      <c r="G907" s="82"/>
      <c r="H907" s="68" t="str">
        <f t="shared" si="445"/>
        <v>Hyprev7_20211115_04_00</v>
      </c>
      <c r="I907" s="69">
        <f t="shared" si="446"/>
        <v>1</v>
      </c>
      <c r="J907" s="76" t="str">
        <f t="shared" si="446"/>
        <v>Hypericum</v>
      </c>
      <c r="K907" s="76" t="str">
        <f t="shared" si="446"/>
        <v>revolutum</v>
      </c>
      <c r="L907" s="77">
        <f t="shared" si="446"/>
        <v>7</v>
      </c>
      <c r="M907" s="77">
        <f t="shared" si="446"/>
        <v>2</v>
      </c>
      <c r="N907" s="71">
        <f t="shared" si="446"/>
        <v>0</v>
      </c>
      <c r="O907" s="44"/>
      <c r="P907" s="45" t="str">
        <f t="shared" si="429"/>
        <v/>
      </c>
      <c r="Q907" s="46" t="str">
        <f t="shared" si="430"/>
        <v/>
      </c>
      <c r="R907" s="47" t="e">
        <f t="shared" si="431"/>
        <v>#VALUE!</v>
      </c>
      <c r="S907" s="48" t="e">
        <f t="shared" si="421"/>
        <v>#VALUE!</v>
      </c>
      <c r="T907" s="47" t="str">
        <f t="shared" si="432"/>
        <v/>
      </c>
      <c r="U907" s="49"/>
      <c r="V907" s="50"/>
      <c r="W907" s="51" t="e">
        <f t="shared" si="433"/>
        <v>#VALUE!</v>
      </c>
      <c r="X907" s="52"/>
      <c r="Y907" s="52"/>
      <c r="Z907" s="52"/>
      <c r="AA907" s="47" t="e">
        <f>INDEX(VISITORS[INSECT ORDER], MATCH(X907,VISITORS[NAME USED],0))</f>
        <v>#N/A</v>
      </c>
      <c r="AB907" s="47" t="e">
        <f t="shared" si="434"/>
        <v>#N/A</v>
      </c>
      <c r="AC907" s="53" t="e">
        <f t="shared" si="435"/>
        <v>#VALUE!</v>
      </c>
      <c r="AD907" s="54" t="str">
        <f t="shared" si="447"/>
        <v/>
      </c>
      <c r="AE907" s="54"/>
      <c r="AF907" s="54"/>
      <c r="AG907" s="55" t="str">
        <f t="shared" si="436"/>
        <v/>
      </c>
      <c r="AH907" s="56" t="str">
        <f t="shared" si="437"/>
        <v/>
      </c>
      <c r="AI907" s="55"/>
      <c r="AJ907" s="56" t="str">
        <f t="shared" si="438"/>
        <v/>
      </c>
      <c r="AK907" s="55"/>
      <c r="AL907" s="56" t="str">
        <f t="shared" si="439"/>
        <v/>
      </c>
      <c r="AM907" s="55"/>
      <c r="AN907" s="56" t="str">
        <f t="shared" si="440"/>
        <v/>
      </c>
      <c r="AO907" s="55"/>
      <c r="AP907" s="56" t="str">
        <f t="shared" si="441"/>
        <v/>
      </c>
      <c r="AQ907" s="55"/>
      <c r="AR907" s="56" t="str">
        <f t="shared" si="442"/>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v>
      </c>
      <c r="C908" s="73">
        <f t="shared" si="443"/>
        <v>15</v>
      </c>
      <c r="D908" s="74">
        <f t="shared" si="428"/>
        <v>4</v>
      </c>
      <c r="E908" s="75">
        <f t="shared" si="444"/>
        <v>41</v>
      </c>
      <c r="F908" s="79"/>
      <c r="G908" s="82"/>
      <c r="H908" s="68" t="str">
        <f t="shared" si="445"/>
        <v>Hyprev7_20211115_04_00</v>
      </c>
      <c r="I908" s="69">
        <f t="shared" si="446"/>
        <v>1</v>
      </c>
      <c r="J908" s="76" t="str">
        <f t="shared" si="446"/>
        <v>Hypericum</v>
      </c>
      <c r="K908" s="76" t="str">
        <f t="shared" si="446"/>
        <v>revolutum</v>
      </c>
      <c r="L908" s="77">
        <f t="shared" si="446"/>
        <v>7</v>
      </c>
      <c r="M908" s="77">
        <f t="shared" si="446"/>
        <v>2</v>
      </c>
      <c r="N908" s="71">
        <f t="shared" si="446"/>
        <v>0</v>
      </c>
      <c r="O908" s="44"/>
      <c r="P908" s="45" t="str">
        <f t="shared" si="429"/>
        <v/>
      </c>
      <c r="Q908" s="46" t="str">
        <f t="shared" si="430"/>
        <v/>
      </c>
      <c r="R908" s="47" t="e">
        <f t="shared" si="431"/>
        <v>#VALUE!</v>
      </c>
      <c r="S908" s="48" t="e">
        <f t="shared" si="421"/>
        <v>#VALUE!</v>
      </c>
      <c r="T908" s="47" t="str">
        <f t="shared" si="432"/>
        <v/>
      </c>
      <c r="U908" s="49"/>
      <c r="V908" s="50"/>
      <c r="W908" s="51" t="e">
        <f t="shared" si="433"/>
        <v>#VALUE!</v>
      </c>
      <c r="X908" s="52"/>
      <c r="Y908" s="52"/>
      <c r="Z908" s="52"/>
      <c r="AA908" s="47" t="e">
        <f>INDEX(VISITORS[INSECT ORDER], MATCH(X908,VISITORS[NAME USED],0))</f>
        <v>#N/A</v>
      </c>
      <c r="AB908" s="47" t="e">
        <f t="shared" si="434"/>
        <v>#N/A</v>
      </c>
      <c r="AC908" s="53" t="e">
        <f t="shared" si="435"/>
        <v>#VALUE!</v>
      </c>
      <c r="AD908" s="54" t="str">
        <f t="shared" si="447"/>
        <v/>
      </c>
      <c r="AE908" s="54"/>
      <c r="AF908" s="54"/>
      <c r="AG908" s="55" t="str">
        <f t="shared" si="436"/>
        <v/>
      </c>
      <c r="AH908" s="56" t="str">
        <f t="shared" si="437"/>
        <v/>
      </c>
      <c r="AI908" s="55"/>
      <c r="AJ908" s="56" t="str">
        <f t="shared" si="438"/>
        <v/>
      </c>
      <c r="AK908" s="55"/>
      <c r="AL908" s="56" t="str">
        <f t="shared" si="439"/>
        <v/>
      </c>
      <c r="AM908" s="55"/>
      <c r="AN908" s="56" t="str">
        <f t="shared" si="440"/>
        <v/>
      </c>
      <c r="AO908" s="55"/>
      <c r="AP908" s="56" t="str">
        <f t="shared" si="441"/>
        <v/>
      </c>
      <c r="AQ908" s="55"/>
      <c r="AR908" s="56" t="str">
        <f t="shared" si="442"/>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v>
      </c>
      <c r="C909" s="73">
        <f t="shared" si="443"/>
        <v>15</v>
      </c>
      <c r="D909" s="74">
        <f t="shared" si="428"/>
        <v>4</v>
      </c>
      <c r="E909" s="75">
        <f t="shared" si="444"/>
        <v>42</v>
      </c>
      <c r="F909" s="79"/>
      <c r="G909" s="82"/>
      <c r="H909" s="68" t="str">
        <f t="shared" si="445"/>
        <v>Hyprev7_20211115_04_00</v>
      </c>
      <c r="I909" s="69">
        <f t="shared" si="446"/>
        <v>1</v>
      </c>
      <c r="J909" s="76" t="str">
        <f t="shared" si="446"/>
        <v>Hypericum</v>
      </c>
      <c r="K909" s="76" t="str">
        <f t="shared" si="446"/>
        <v>revolutum</v>
      </c>
      <c r="L909" s="77">
        <f t="shared" si="446"/>
        <v>7</v>
      </c>
      <c r="M909" s="77">
        <f t="shared" si="446"/>
        <v>2</v>
      </c>
      <c r="N909" s="71">
        <f t="shared" si="446"/>
        <v>0</v>
      </c>
      <c r="O909" s="44"/>
      <c r="P909" s="45" t="str">
        <f t="shared" si="429"/>
        <v/>
      </c>
      <c r="Q909" s="46" t="str">
        <f t="shared" si="430"/>
        <v/>
      </c>
      <c r="R909" s="47" t="e">
        <f t="shared" si="431"/>
        <v>#VALUE!</v>
      </c>
      <c r="S909" s="48" t="e">
        <f t="shared" si="421"/>
        <v>#VALUE!</v>
      </c>
      <c r="T909" s="47" t="str">
        <f t="shared" si="432"/>
        <v/>
      </c>
      <c r="U909" s="49"/>
      <c r="V909" s="50"/>
      <c r="W909" s="51" t="e">
        <f t="shared" si="433"/>
        <v>#VALUE!</v>
      </c>
      <c r="X909" s="52"/>
      <c r="Y909" s="52"/>
      <c r="Z909" s="52"/>
      <c r="AA909" s="47" t="e">
        <f>INDEX(VISITORS[INSECT ORDER], MATCH(X909,VISITORS[NAME USED],0))</f>
        <v>#N/A</v>
      </c>
      <c r="AB909" s="47" t="e">
        <f t="shared" si="434"/>
        <v>#N/A</v>
      </c>
      <c r="AC909" s="53" t="e">
        <f t="shared" si="435"/>
        <v>#VALUE!</v>
      </c>
      <c r="AD909" s="54" t="str">
        <f t="shared" si="447"/>
        <v/>
      </c>
      <c r="AE909" s="54"/>
      <c r="AF909" s="54"/>
      <c r="AG909" s="55" t="str">
        <f t="shared" si="436"/>
        <v/>
      </c>
      <c r="AH909" s="56" t="str">
        <f t="shared" si="437"/>
        <v/>
      </c>
      <c r="AI909" s="55"/>
      <c r="AJ909" s="56" t="str">
        <f t="shared" si="438"/>
        <v/>
      </c>
      <c r="AK909" s="55"/>
      <c r="AL909" s="56" t="str">
        <f t="shared" si="439"/>
        <v/>
      </c>
      <c r="AM909" s="55"/>
      <c r="AN909" s="56" t="str">
        <f t="shared" si="440"/>
        <v/>
      </c>
      <c r="AO909" s="55"/>
      <c r="AP909" s="56" t="str">
        <f t="shared" si="441"/>
        <v/>
      </c>
      <c r="AQ909" s="55"/>
      <c r="AR909" s="56" t="str">
        <f t="shared" si="442"/>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v>
      </c>
      <c r="C910" s="73">
        <f t="shared" si="443"/>
        <v>15</v>
      </c>
      <c r="D910" s="74">
        <f t="shared" si="428"/>
        <v>4</v>
      </c>
      <c r="E910" s="75">
        <f t="shared" si="444"/>
        <v>43</v>
      </c>
      <c r="F910" s="79"/>
      <c r="G910" s="82"/>
      <c r="H910" s="68" t="str">
        <f t="shared" si="445"/>
        <v>Hyprev7_20211115_04_00</v>
      </c>
      <c r="I910" s="69">
        <f t="shared" si="446"/>
        <v>1</v>
      </c>
      <c r="J910" s="76" t="str">
        <f t="shared" si="446"/>
        <v>Hypericum</v>
      </c>
      <c r="K910" s="76" t="str">
        <f t="shared" si="446"/>
        <v>revolutum</v>
      </c>
      <c r="L910" s="77">
        <f t="shared" si="446"/>
        <v>7</v>
      </c>
      <c r="M910" s="77">
        <f t="shared" si="446"/>
        <v>2</v>
      </c>
      <c r="N910" s="71">
        <f t="shared" si="446"/>
        <v>0</v>
      </c>
      <c r="O910" s="44"/>
      <c r="P910" s="45" t="str">
        <f t="shared" si="429"/>
        <v/>
      </c>
      <c r="Q910" s="46" t="str">
        <f t="shared" si="430"/>
        <v/>
      </c>
      <c r="R910" s="47" t="e">
        <f t="shared" si="431"/>
        <v>#VALUE!</v>
      </c>
      <c r="S910" s="48" t="e">
        <f t="shared" si="421"/>
        <v>#VALUE!</v>
      </c>
      <c r="T910" s="47" t="str">
        <f t="shared" si="432"/>
        <v/>
      </c>
      <c r="U910" s="49"/>
      <c r="V910" s="50"/>
      <c r="W910" s="51" t="e">
        <f t="shared" si="433"/>
        <v>#VALUE!</v>
      </c>
      <c r="X910" s="52"/>
      <c r="Y910" s="52"/>
      <c r="Z910" s="52"/>
      <c r="AA910" s="47" t="e">
        <f>INDEX(VISITORS[INSECT ORDER], MATCH(X910,VISITORS[NAME USED],0))</f>
        <v>#N/A</v>
      </c>
      <c r="AB910" s="47" t="e">
        <f t="shared" si="434"/>
        <v>#N/A</v>
      </c>
      <c r="AC910" s="53" t="e">
        <f t="shared" si="435"/>
        <v>#VALUE!</v>
      </c>
      <c r="AD910" s="54" t="str">
        <f t="shared" si="447"/>
        <v/>
      </c>
      <c r="AE910" s="54"/>
      <c r="AF910" s="54"/>
      <c r="AG910" s="55" t="str">
        <f t="shared" si="436"/>
        <v/>
      </c>
      <c r="AH910" s="56" t="str">
        <f t="shared" si="437"/>
        <v/>
      </c>
      <c r="AI910" s="55"/>
      <c r="AJ910" s="56" t="str">
        <f t="shared" si="438"/>
        <v/>
      </c>
      <c r="AK910" s="55"/>
      <c r="AL910" s="56" t="str">
        <f t="shared" si="439"/>
        <v/>
      </c>
      <c r="AM910" s="55"/>
      <c r="AN910" s="56" t="str">
        <f t="shared" si="440"/>
        <v/>
      </c>
      <c r="AO910" s="55"/>
      <c r="AP910" s="56" t="str">
        <f t="shared" si="441"/>
        <v/>
      </c>
      <c r="AQ910" s="55"/>
      <c r="AR910" s="56" t="str">
        <f t="shared" si="442"/>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v>
      </c>
      <c r="C911" s="73">
        <f t="shared" si="443"/>
        <v>15</v>
      </c>
      <c r="D911" s="74">
        <f t="shared" si="428"/>
        <v>4</v>
      </c>
      <c r="E911" s="75">
        <f t="shared" si="444"/>
        <v>44</v>
      </c>
      <c r="F911" s="79"/>
      <c r="G911" s="82"/>
      <c r="H911" s="68" t="str">
        <f t="shared" si="445"/>
        <v>Hyprev7_20211115_04_00</v>
      </c>
      <c r="I911" s="69">
        <f t="shared" si="446"/>
        <v>1</v>
      </c>
      <c r="J911" s="76" t="str">
        <f t="shared" si="446"/>
        <v>Hypericum</v>
      </c>
      <c r="K911" s="76" t="str">
        <f t="shared" si="446"/>
        <v>revolutum</v>
      </c>
      <c r="L911" s="77">
        <f t="shared" si="446"/>
        <v>7</v>
      </c>
      <c r="M911" s="77">
        <f t="shared" si="446"/>
        <v>2</v>
      </c>
      <c r="N911" s="71">
        <f t="shared" si="446"/>
        <v>0</v>
      </c>
      <c r="O911" s="44"/>
      <c r="P911" s="45" t="str">
        <f t="shared" si="429"/>
        <v/>
      </c>
      <c r="Q911" s="46" t="str">
        <f t="shared" si="430"/>
        <v/>
      </c>
      <c r="R911" s="47" t="e">
        <f t="shared" si="431"/>
        <v>#VALUE!</v>
      </c>
      <c r="S911" s="48" t="e">
        <f t="shared" si="421"/>
        <v>#VALUE!</v>
      </c>
      <c r="T911" s="47" t="str">
        <f t="shared" si="432"/>
        <v/>
      </c>
      <c r="U911" s="49"/>
      <c r="V911" s="50"/>
      <c r="W911" s="51" t="e">
        <f t="shared" si="433"/>
        <v>#VALUE!</v>
      </c>
      <c r="X911" s="52"/>
      <c r="Y911" s="52"/>
      <c r="Z911" s="52"/>
      <c r="AA911" s="47" t="e">
        <f>INDEX(VISITORS[INSECT ORDER], MATCH(X911,VISITORS[NAME USED],0))</f>
        <v>#N/A</v>
      </c>
      <c r="AB911" s="47" t="e">
        <f t="shared" si="434"/>
        <v>#N/A</v>
      </c>
      <c r="AC911" s="53" t="e">
        <f t="shared" si="435"/>
        <v>#VALUE!</v>
      </c>
      <c r="AD911" s="54" t="str">
        <f t="shared" si="447"/>
        <v/>
      </c>
      <c r="AE911" s="54"/>
      <c r="AF911" s="54"/>
      <c r="AG911" s="55" t="str">
        <f t="shared" si="436"/>
        <v/>
      </c>
      <c r="AH911" s="56" t="str">
        <f t="shared" si="437"/>
        <v/>
      </c>
      <c r="AI911" s="55"/>
      <c r="AJ911" s="56" t="str">
        <f t="shared" si="438"/>
        <v/>
      </c>
      <c r="AK911" s="55"/>
      <c r="AL911" s="56" t="str">
        <f t="shared" si="439"/>
        <v/>
      </c>
      <c r="AM911" s="55"/>
      <c r="AN911" s="56" t="str">
        <f t="shared" si="440"/>
        <v/>
      </c>
      <c r="AO911" s="55"/>
      <c r="AP911" s="56" t="str">
        <f t="shared" si="441"/>
        <v/>
      </c>
      <c r="AQ911" s="55"/>
      <c r="AR911" s="56" t="str">
        <f t="shared" si="442"/>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v>
      </c>
      <c r="C912" s="73">
        <f t="shared" si="443"/>
        <v>15</v>
      </c>
      <c r="D912" s="74">
        <f t="shared" si="428"/>
        <v>4</v>
      </c>
      <c r="E912" s="75">
        <f t="shared" si="444"/>
        <v>45</v>
      </c>
      <c r="F912" s="79"/>
      <c r="G912" s="82"/>
      <c r="H912" s="68" t="str">
        <f t="shared" si="445"/>
        <v>Hyprev7_20211115_04_00</v>
      </c>
      <c r="I912" s="69">
        <f t="shared" si="446"/>
        <v>1</v>
      </c>
      <c r="J912" s="76" t="str">
        <f t="shared" si="446"/>
        <v>Hypericum</v>
      </c>
      <c r="K912" s="76" t="str">
        <f t="shared" si="446"/>
        <v>revolutum</v>
      </c>
      <c r="L912" s="77">
        <f t="shared" si="446"/>
        <v>7</v>
      </c>
      <c r="M912" s="77">
        <f t="shared" si="446"/>
        <v>2</v>
      </c>
      <c r="N912" s="71">
        <f t="shared" si="446"/>
        <v>0</v>
      </c>
      <c r="O912" s="44"/>
      <c r="P912" s="45" t="str">
        <f t="shared" si="429"/>
        <v/>
      </c>
      <c r="Q912" s="46" t="str">
        <f t="shared" si="430"/>
        <v/>
      </c>
      <c r="R912" s="47" t="e">
        <f t="shared" si="431"/>
        <v>#VALUE!</v>
      </c>
      <c r="S912" s="48" t="e">
        <f t="shared" si="421"/>
        <v>#VALUE!</v>
      </c>
      <c r="T912" s="47" t="str">
        <f t="shared" si="432"/>
        <v/>
      </c>
      <c r="U912" s="49"/>
      <c r="V912" s="50"/>
      <c r="W912" s="51" t="e">
        <f t="shared" si="433"/>
        <v>#VALUE!</v>
      </c>
      <c r="X912" s="52"/>
      <c r="Y912" s="52"/>
      <c r="Z912" s="52"/>
      <c r="AA912" s="47" t="e">
        <f>INDEX(VISITORS[INSECT ORDER], MATCH(X912,VISITORS[NAME USED],0))</f>
        <v>#N/A</v>
      </c>
      <c r="AB912" s="47" t="e">
        <f t="shared" si="434"/>
        <v>#N/A</v>
      </c>
      <c r="AC912" s="53" t="e">
        <f t="shared" si="435"/>
        <v>#VALUE!</v>
      </c>
      <c r="AD912" s="54" t="str">
        <f t="shared" si="447"/>
        <v/>
      </c>
      <c r="AE912" s="54"/>
      <c r="AF912" s="54"/>
      <c r="AG912" s="55" t="str">
        <f t="shared" si="436"/>
        <v/>
      </c>
      <c r="AH912" s="56" t="str">
        <f t="shared" si="437"/>
        <v/>
      </c>
      <c r="AI912" s="55"/>
      <c r="AJ912" s="56" t="str">
        <f t="shared" si="438"/>
        <v/>
      </c>
      <c r="AK912" s="55"/>
      <c r="AL912" s="56" t="str">
        <f t="shared" si="439"/>
        <v/>
      </c>
      <c r="AM912" s="55"/>
      <c r="AN912" s="56" t="str">
        <f t="shared" si="440"/>
        <v/>
      </c>
      <c r="AO912" s="55"/>
      <c r="AP912" s="56" t="str">
        <f t="shared" si="441"/>
        <v/>
      </c>
      <c r="AQ912" s="55"/>
      <c r="AR912" s="56" t="str">
        <f t="shared" si="442"/>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2021</v>
      </c>
      <c r="B913" s="72" t="str">
        <f t="shared" si="427"/>
        <v>Nov</v>
      </c>
      <c r="C913" s="73">
        <f t="shared" si="443"/>
        <v>15</v>
      </c>
      <c r="D913" s="74">
        <f t="shared" si="428"/>
        <v>4</v>
      </c>
      <c r="E913" s="75">
        <f t="shared" si="444"/>
        <v>46</v>
      </c>
      <c r="F913" s="79">
        <v>14</v>
      </c>
      <c r="G913" s="82"/>
      <c r="H913" s="68" t="str">
        <f t="shared" si="445"/>
        <v>Hyprev7_20211115_04_00</v>
      </c>
      <c r="I913" s="69">
        <f t="shared" si="446"/>
        <v>1</v>
      </c>
      <c r="J913" s="76" t="str">
        <f t="shared" si="446"/>
        <v>Hypericum</v>
      </c>
      <c r="K913" s="76" t="str">
        <f t="shared" si="446"/>
        <v>revolutum</v>
      </c>
      <c r="L913" s="77">
        <f t="shared" si="446"/>
        <v>7</v>
      </c>
      <c r="M913" s="77">
        <f t="shared" si="446"/>
        <v>2</v>
      </c>
      <c r="N913" s="71">
        <f t="shared" si="446"/>
        <v>0</v>
      </c>
      <c r="O913" s="44"/>
      <c r="P913" s="45">
        <f t="shared" si="429"/>
        <v>1</v>
      </c>
      <c r="Q913" s="46" t="str">
        <f t="shared" si="430"/>
        <v>04:46:14</v>
      </c>
      <c r="R913" s="47" t="str">
        <f t="shared" si="431"/>
        <v>46:14</v>
      </c>
      <c r="S913" s="48">
        <f t="shared" si="421"/>
        <v>4</v>
      </c>
      <c r="T913" s="47" t="str">
        <f t="shared" si="432"/>
        <v>04</v>
      </c>
      <c r="U913" s="49">
        <v>46</v>
      </c>
      <c r="V913" s="50">
        <v>18</v>
      </c>
      <c r="W913" s="51" t="str">
        <f t="shared" si="433"/>
        <v>46:18</v>
      </c>
      <c r="X913" s="52" t="s">
        <v>128</v>
      </c>
      <c r="Y913" s="124" t="s">
        <v>245</v>
      </c>
      <c r="Z913" s="124"/>
      <c r="AA913" s="47" t="s">
        <v>255</v>
      </c>
      <c r="AB913" s="47" t="str">
        <f t="shared" si="434"/>
        <v>NA</v>
      </c>
      <c r="AC913" s="53" t="str">
        <f t="shared" si="435"/>
        <v/>
      </c>
      <c r="AD913" s="54">
        <v>2</v>
      </c>
      <c r="AE913" s="54"/>
      <c r="AF913" s="54"/>
      <c r="AG913" s="55" t="str">
        <f t="shared" si="436"/>
        <v/>
      </c>
      <c r="AH913" s="56" t="str">
        <f t="shared" si="437"/>
        <v/>
      </c>
      <c r="AI913" s="55"/>
      <c r="AJ913" s="56" t="str">
        <f t="shared" si="438"/>
        <v/>
      </c>
      <c r="AK913" s="55"/>
      <c r="AL913" s="56" t="str">
        <f t="shared" si="439"/>
        <v/>
      </c>
      <c r="AM913" s="55"/>
      <c r="AN913" s="56" t="str">
        <f t="shared" si="440"/>
        <v/>
      </c>
      <c r="AO913" s="55"/>
      <c r="AP913" s="56" t="str">
        <f t="shared" si="441"/>
        <v/>
      </c>
      <c r="AQ913" s="55"/>
      <c r="AR913" s="56" t="str">
        <f t="shared" si="442"/>
        <v/>
      </c>
      <c r="AS913" s="57" t="s">
        <v>127</v>
      </c>
      <c r="AT913" s="58"/>
      <c r="AU913" s="58"/>
      <c r="AV913" s="59"/>
      <c r="AW913" s="60">
        <f t="shared" si="422"/>
        <v>0</v>
      </c>
      <c r="AX913" s="61" t="str">
        <f t="shared" si="423"/>
        <v/>
      </c>
      <c r="AY913" s="60">
        <f t="shared" si="424"/>
        <v>0</v>
      </c>
      <c r="AZ913" s="61" t="str">
        <f t="shared" si="425"/>
        <v/>
      </c>
    </row>
    <row r="914" spans="1:52" s="3" customFormat="1" hidden="1" x14ac:dyDescent="0.35">
      <c r="A914" s="72">
        <f t="shared" si="426"/>
        <v>2021</v>
      </c>
      <c r="B914" s="72" t="str">
        <f t="shared" si="427"/>
        <v>Nov</v>
      </c>
      <c r="C914" s="73">
        <f t="shared" si="443"/>
        <v>15</v>
      </c>
      <c r="D914" s="74">
        <f t="shared" si="428"/>
        <v>4</v>
      </c>
      <c r="E914" s="75">
        <f t="shared" si="444"/>
        <v>47</v>
      </c>
      <c r="F914" s="79"/>
      <c r="G914" s="82"/>
      <c r="H914" s="68" t="str">
        <f t="shared" si="445"/>
        <v>Hyprev7_20211115_04_00</v>
      </c>
      <c r="I914" s="69">
        <f t="shared" si="446"/>
        <v>1</v>
      </c>
      <c r="J914" s="76" t="str">
        <f t="shared" si="446"/>
        <v>Hypericum</v>
      </c>
      <c r="K914" s="76" t="str">
        <f t="shared" si="446"/>
        <v>revolutum</v>
      </c>
      <c r="L914" s="77">
        <f t="shared" si="446"/>
        <v>7</v>
      </c>
      <c r="M914" s="77">
        <f t="shared" si="446"/>
        <v>2</v>
      </c>
      <c r="N914" s="71">
        <f t="shared" si="446"/>
        <v>0</v>
      </c>
      <c r="O914" s="44"/>
      <c r="P914" s="45" t="str">
        <f t="shared" si="429"/>
        <v/>
      </c>
      <c r="Q914" s="46" t="str">
        <f t="shared" si="430"/>
        <v/>
      </c>
      <c r="R914" s="47" t="e">
        <f t="shared" si="431"/>
        <v>#VALUE!</v>
      </c>
      <c r="S914" s="48" t="e">
        <f t="shared" si="421"/>
        <v>#VALUE!</v>
      </c>
      <c r="T914" s="47" t="str">
        <f t="shared" si="432"/>
        <v/>
      </c>
      <c r="U914" s="49"/>
      <c r="V914" s="50"/>
      <c r="W914" s="51" t="e">
        <f t="shared" si="433"/>
        <v>#VALUE!</v>
      </c>
      <c r="X914" s="52"/>
      <c r="Y914" s="52"/>
      <c r="Z914" s="52"/>
      <c r="AA914" s="47" t="e">
        <f>INDEX(VISITORS[INSECT ORDER], MATCH(X914,VISITORS[NAME USED],0))</f>
        <v>#N/A</v>
      </c>
      <c r="AB914" s="47" t="e">
        <f t="shared" si="434"/>
        <v>#N/A</v>
      </c>
      <c r="AC914" s="53" t="e">
        <f t="shared" si="435"/>
        <v>#VALUE!</v>
      </c>
      <c r="AD914" s="54" t="str">
        <f t="shared" si="447"/>
        <v/>
      </c>
      <c r="AE914" s="54"/>
      <c r="AF914" s="54"/>
      <c r="AG914" s="55" t="str">
        <f t="shared" si="436"/>
        <v/>
      </c>
      <c r="AH914" s="56" t="str">
        <f t="shared" si="437"/>
        <v/>
      </c>
      <c r="AI914" s="55"/>
      <c r="AJ914" s="56" t="str">
        <f t="shared" si="438"/>
        <v/>
      </c>
      <c r="AK914" s="55"/>
      <c r="AL914" s="56" t="str">
        <f t="shared" si="439"/>
        <v/>
      </c>
      <c r="AM914" s="55"/>
      <c r="AN914" s="56" t="str">
        <f t="shared" si="440"/>
        <v/>
      </c>
      <c r="AO914" s="55"/>
      <c r="AP914" s="56" t="str">
        <f t="shared" si="441"/>
        <v/>
      </c>
      <c r="AQ914" s="55"/>
      <c r="AR914" s="56" t="str">
        <f t="shared" si="442"/>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v>
      </c>
      <c r="C915" s="73">
        <f t="shared" si="443"/>
        <v>15</v>
      </c>
      <c r="D915" s="74">
        <f t="shared" si="428"/>
        <v>4</v>
      </c>
      <c r="E915" s="75">
        <f t="shared" si="444"/>
        <v>48</v>
      </c>
      <c r="F915" s="79"/>
      <c r="G915" s="82"/>
      <c r="H915" s="68" t="str">
        <f t="shared" si="445"/>
        <v>Hyprev7_20211115_04_00</v>
      </c>
      <c r="I915" s="69">
        <f t="shared" si="446"/>
        <v>1</v>
      </c>
      <c r="J915" s="76" t="str">
        <f t="shared" si="446"/>
        <v>Hypericum</v>
      </c>
      <c r="K915" s="76" t="str">
        <f t="shared" si="446"/>
        <v>revolutum</v>
      </c>
      <c r="L915" s="77">
        <f t="shared" si="446"/>
        <v>7</v>
      </c>
      <c r="M915" s="77">
        <f t="shared" si="446"/>
        <v>2</v>
      </c>
      <c r="N915" s="71">
        <f t="shared" si="446"/>
        <v>0</v>
      </c>
      <c r="O915" s="44"/>
      <c r="P915" s="45" t="str">
        <f t="shared" si="429"/>
        <v/>
      </c>
      <c r="Q915" s="46" t="str">
        <f t="shared" si="430"/>
        <v/>
      </c>
      <c r="R915" s="47" t="e">
        <f t="shared" si="431"/>
        <v>#VALUE!</v>
      </c>
      <c r="S915" s="48" t="e">
        <f t="shared" si="421"/>
        <v>#VALUE!</v>
      </c>
      <c r="T915" s="47" t="str">
        <f t="shared" si="432"/>
        <v/>
      </c>
      <c r="U915" s="49"/>
      <c r="V915" s="50"/>
      <c r="W915" s="51" t="e">
        <f t="shared" si="433"/>
        <v>#VALUE!</v>
      </c>
      <c r="X915" s="52"/>
      <c r="Y915" s="52"/>
      <c r="Z915" s="52"/>
      <c r="AA915" s="47" t="e">
        <f>INDEX(VISITORS[INSECT ORDER], MATCH(X915,VISITORS[NAME USED],0))</f>
        <v>#N/A</v>
      </c>
      <c r="AB915" s="47" t="e">
        <f t="shared" si="434"/>
        <v>#N/A</v>
      </c>
      <c r="AC915" s="53" t="e">
        <f t="shared" si="435"/>
        <v>#VALUE!</v>
      </c>
      <c r="AD915" s="54" t="str">
        <f t="shared" si="447"/>
        <v/>
      </c>
      <c r="AE915" s="54"/>
      <c r="AF915" s="54"/>
      <c r="AG915" s="55" t="str">
        <f t="shared" si="436"/>
        <v/>
      </c>
      <c r="AH915" s="56" t="str">
        <f t="shared" si="437"/>
        <v/>
      </c>
      <c r="AI915" s="55"/>
      <c r="AJ915" s="56" t="str">
        <f t="shared" si="438"/>
        <v/>
      </c>
      <c r="AK915" s="55"/>
      <c r="AL915" s="56" t="str">
        <f t="shared" si="439"/>
        <v/>
      </c>
      <c r="AM915" s="55"/>
      <c r="AN915" s="56" t="str">
        <f t="shared" si="440"/>
        <v/>
      </c>
      <c r="AO915" s="55"/>
      <c r="AP915" s="56" t="str">
        <f t="shared" si="441"/>
        <v/>
      </c>
      <c r="AQ915" s="55"/>
      <c r="AR915" s="56" t="str">
        <f t="shared" si="442"/>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v>
      </c>
      <c r="C916" s="73">
        <f t="shared" si="443"/>
        <v>15</v>
      </c>
      <c r="D916" s="74">
        <f t="shared" si="428"/>
        <v>4</v>
      </c>
      <c r="E916" s="75">
        <f t="shared" si="444"/>
        <v>49</v>
      </c>
      <c r="F916" s="79"/>
      <c r="G916" s="82"/>
      <c r="H916" s="68" t="str">
        <f t="shared" si="445"/>
        <v>Hyprev7_20211115_04_00</v>
      </c>
      <c r="I916" s="69">
        <f t="shared" si="446"/>
        <v>1</v>
      </c>
      <c r="J916" s="76" t="str">
        <f t="shared" si="446"/>
        <v>Hypericum</v>
      </c>
      <c r="K916" s="76" t="str">
        <f t="shared" si="446"/>
        <v>revolutum</v>
      </c>
      <c r="L916" s="77">
        <f t="shared" si="446"/>
        <v>7</v>
      </c>
      <c r="M916" s="77">
        <f t="shared" si="446"/>
        <v>2</v>
      </c>
      <c r="N916" s="71">
        <f t="shared" si="446"/>
        <v>0</v>
      </c>
      <c r="O916" s="44"/>
      <c r="P916" s="45" t="str">
        <f t="shared" si="429"/>
        <v/>
      </c>
      <c r="Q916" s="46" t="str">
        <f t="shared" si="430"/>
        <v/>
      </c>
      <c r="R916" s="47" t="e">
        <f t="shared" si="431"/>
        <v>#VALUE!</v>
      </c>
      <c r="S916" s="48" t="e">
        <f t="shared" si="421"/>
        <v>#VALUE!</v>
      </c>
      <c r="T916" s="47" t="str">
        <f t="shared" si="432"/>
        <v/>
      </c>
      <c r="U916" s="49"/>
      <c r="V916" s="50"/>
      <c r="W916" s="51" t="e">
        <f t="shared" si="433"/>
        <v>#VALUE!</v>
      </c>
      <c r="X916" s="52"/>
      <c r="Y916" s="52"/>
      <c r="Z916" s="52"/>
      <c r="AA916" s="47" t="e">
        <f>INDEX(VISITORS[INSECT ORDER], MATCH(X916,VISITORS[NAME USED],0))</f>
        <v>#N/A</v>
      </c>
      <c r="AB916" s="47" t="e">
        <f t="shared" si="434"/>
        <v>#N/A</v>
      </c>
      <c r="AC916" s="53" t="e">
        <f t="shared" si="435"/>
        <v>#VALUE!</v>
      </c>
      <c r="AD916" s="54" t="str">
        <f t="shared" si="447"/>
        <v/>
      </c>
      <c r="AE916" s="54"/>
      <c r="AF916" s="54"/>
      <c r="AG916" s="55" t="str">
        <f t="shared" si="436"/>
        <v/>
      </c>
      <c r="AH916" s="56" t="str">
        <f t="shared" si="437"/>
        <v/>
      </c>
      <c r="AI916" s="55"/>
      <c r="AJ916" s="56" t="str">
        <f t="shared" si="438"/>
        <v/>
      </c>
      <c r="AK916" s="55"/>
      <c r="AL916" s="56" t="str">
        <f t="shared" si="439"/>
        <v/>
      </c>
      <c r="AM916" s="55"/>
      <c r="AN916" s="56" t="str">
        <f t="shared" si="440"/>
        <v/>
      </c>
      <c r="AO916" s="55"/>
      <c r="AP916" s="56" t="str">
        <f t="shared" si="441"/>
        <v/>
      </c>
      <c r="AQ916" s="55"/>
      <c r="AR916" s="56" t="str">
        <f t="shared" si="442"/>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2021</v>
      </c>
      <c r="B917" s="72" t="str">
        <f t="shared" si="427"/>
        <v>Nov</v>
      </c>
      <c r="C917" s="73">
        <f t="shared" si="443"/>
        <v>15</v>
      </c>
      <c r="D917" s="74">
        <f t="shared" si="428"/>
        <v>4</v>
      </c>
      <c r="E917" s="75">
        <f t="shared" si="444"/>
        <v>50</v>
      </c>
      <c r="F917" s="79"/>
      <c r="G917" s="82"/>
      <c r="H917" s="68" t="str">
        <f t="shared" si="445"/>
        <v>Hyprev7_20211115_04_00</v>
      </c>
      <c r="I917" s="69">
        <f t="shared" ref="I917:N932" si="448">I916</f>
        <v>1</v>
      </c>
      <c r="J917" s="76" t="str">
        <f t="shared" si="448"/>
        <v>Hypericum</v>
      </c>
      <c r="K917" s="76" t="str">
        <f t="shared" si="448"/>
        <v>revolutum</v>
      </c>
      <c r="L917" s="77">
        <f t="shared" si="448"/>
        <v>7</v>
      </c>
      <c r="M917" s="77">
        <f t="shared" si="448"/>
        <v>2</v>
      </c>
      <c r="N917" s="71">
        <f t="shared" si="448"/>
        <v>0</v>
      </c>
      <c r="O917" s="44"/>
      <c r="P917" s="45" t="str">
        <f t="shared" si="429"/>
        <v/>
      </c>
      <c r="Q917" s="46" t="str">
        <f t="shared" si="430"/>
        <v/>
      </c>
      <c r="R917" s="47" t="e">
        <f t="shared" si="431"/>
        <v>#VALUE!</v>
      </c>
      <c r="S917" s="48" t="e">
        <f t="shared" si="421"/>
        <v>#VALUE!</v>
      </c>
      <c r="T917" s="47" t="str">
        <f t="shared" si="432"/>
        <v/>
      </c>
      <c r="U917" s="49"/>
      <c r="V917" s="50"/>
      <c r="W917" s="51" t="e">
        <f t="shared" si="433"/>
        <v>#VALUE!</v>
      </c>
      <c r="X917" s="52"/>
      <c r="Y917" s="52"/>
      <c r="Z917" s="52"/>
      <c r="AA917" s="47" t="e">
        <f>INDEX(VISITORS[INSECT ORDER], MATCH(X917,VISITORS[NAME USED],0))</f>
        <v>#N/A</v>
      </c>
      <c r="AB917" s="47" t="e">
        <f t="shared" si="434"/>
        <v>#N/A</v>
      </c>
      <c r="AC917" s="53" t="e">
        <f t="shared" si="435"/>
        <v>#VALUE!</v>
      </c>
      <c r="AD917" s="54" t="str">
        <f t="shared" si="447"/>
        <v/>
      </c>
      <c r="AE917" s="54"/>
      <c r="AF917" s="54"/>
      <c r="AG917" s="55" t="str">
        <f t="shared" si="436"/>
        <v/>
      </c>
      <c r="AH917" s="56" t="str">
        <f t="shared" si="437"/>
        <v/>
      </c>
      <c r="AI917" s="55"/>
      <c r="AJ917" s="56" t="str">
        <f t="shared" si="438"/>
        <v/>
      </c>
      <c r="AK917" s="55"/>
      <c r="AL917" s="56" t="str">
        <f t="shared" si="439"/>
        <v/>
      </c>
      <c r="AM917" s="55"/>
      <c r="AN917" s="56" t="str">
        <f t="shared" si="440"/>
        <v/>
      </c>
      <c r="AO917" s="55"/>
      <c r="AP917" s="56" t="str">
        <f t="shared" si="441"/>
        <v/>
      </c>
      <c r="AQ917" s="55"/>
      <c r="AR917" s="56" t="str">
        <f t="shared" si="442"/>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v>
      </c>
      <c r="C918" s="73">
        <f t="shared" si="443"/>
        <v>15</v>
      </c>
      <c r="D918" s="74">
        <f t="shared" si="428"/>
        <v>4</v>
      </c>
      <c r="E918" s="75">
        <f t="shared" si="444"/>
        <v>51</v>
      </c>
      <c r="F918" s="79"/>
      <c r="G918" s="82"/>
      <c r="H918" s="68" t="str">
        <f t="shared" si="445"/>
        <v>Hyprev7_20211115_04_00</v>
      </c>
      <c r="I918" s="69">
        <f t="shared" si="448"/>
        <v>1</v>
      </c>
      <c r="J918" s="76" t="str">
        <f t="shared" si="448"/>
        <v>Hypericum</v>
      </c>
      <c r="K918" s="76" t="str">
        <f t="shared" si="448"/>
        <v>revolutum</v>
      </c>
      <c r="L918" s="77">
        <f t="shared" si="448"/>
        <v>7</v>
      </c>
      <c r="M918" s="77">
        <f t="shared" si="448"/>
        <v>2</v>
      </c>
      <c r="N918" s="71">
        <f t="shared" si="448"/>
        <v>0</v>
      </c>
      <c r="O918" s="44"/>
      <c r="P918" s="45" t="str">
        <f t="shared" si="429"/>
        <v/>
      </c>
      <c r="Q918" s="46" t="str">
        <f t="shared" si="430"/>
        <v/>
      </c>
      <c r="R918" s="47" t="e">
        <f t="shared" si="431"/>
        <v>#VALUE!</v>
      </c>
      <c r="S918" s="48" t="e">
        <f t="shared" si="421"/>
        <v>#VALUE!</v>
      </c>
      <c r="T918" s="47" t="str">
        <f t="shared" si="432"/>
        <v/>
      </c>
      <c r="U918" s="49"/>
      <c r="V918" s="50"/>
      <c r="W918" s="51" t="e">
        <f t="shared" si="433"/>
        <v>#VALUE!</v>
      </c>
      <c r="X918" s="52"/>
      <c r="Y918" s="52"/>
      <c r="Z918" s="52"/>
      <c r="AA918" s="47" t="e">
        <f>INDEX(VISITORS[INSECT ORDER], MATCH(X918,VISITORS[NAME USED],0))</f>
        <v>#N/A</v>
      </c>
      <c r="AB918" s="47" t="e">
        <f t="shared" si="434"/>
        <v>#N/A</v>
      </c>
      <c r="AC918" s="53" t="e">
        <f t="shared" si="435"/>
        <v>#VALUE!</v>
      </c>
      <c r="AD918" s="54" t="str">
        <f t="shared" si="447"/>
        <v/>
      </c>
      <c r="AE918" s="54"/>
      <c r="AF918" s="54"/>
      <c r="AG918" s="55" t="str">
        <f t="shared" si="436"/>
        <v/>
      </c>
      <c r="AH918" s="56" t="str">
        <f t="shared" si="437"/>
        <v/>
      </c>
      <c r="AI918" s="55"/>
      <c r="AJ918" s="56" t="str">
        <f t="shared" si="438"/>
        <v/>
      </c>
      <c r="AK918" s="55"/>
      <c r="AL918" s="56" t="str">
        <f t="shared" si="439"/>
        <v/>
      </c>
      <c r="AM918" s="55"/>
      <c r="AN918" s="56" t="str">
        <f t="shared" si="440"/>
        <v/>
      </c>
      <c r="AO918" s="55"/>
      <c r="AP918" s="56" t="str">
        <f t="shared" si="441"/>
        <v/>
      </c>
      <c r="AQ918" s="55"/>
      <c r="AR918" s="56" t="str">
        <f t="shared" si="442"/>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v>
      </c>
      <c r="C919" s="73">
        <f t="shared" si="443"/>
        <v>15</v>
      </c>
      <c r="D919" s="74">
        <f t="shared" si="428"/>
        <v>4</v>
      </c>
      <c r="E919" s="75">
        <f t="shared" si="444"/>
        <v>52</v>
      </c>
      <c r="F919" s="79"/>
      <c r="G919" s="82"/>
      <c r="H919" s="68" t="str">
        <f t="shared" si="445"/>
        <v>Hyprev7_20211115_04_00</v>
      </c>
      <c r="I919" s="69">
        <f t="shared" si="448"/>
        <v>1</v>
      </c>
      <c r="J919" s="76" t="str">
        <f t="shared" si="448"/>
        <v>Hypericum</v>
      </c>
      <c r="K919" s="76" t="str">
        <f t="shared" si="448"/>
        <v>revolutum</v>
      </c>
      <c r="L919" s="77">
        <f t="shared" si="448"/>
        <v>7</v>
      </c>
      <c r="M919" s="77">
        <f t="shared" si="448"/>
        <v>2</v>
      </c>
      <c r="N919" s="71">
        <f t="shared" si="448"/>
        <v>0</v>
      </c>
      <c r="O919" s="44"/>
      <c r="P919" s="45" t="str">
        <f t="shared" si="429"/>
        <v/>
      </c>
      <c r="Q919" s="46" t="str">
        <f t="shared" si="430"/>
        <v/>
      </c>
      <c r="R919" s="47" t="e">
        <f t="shared" si="431"/>
        <v>#VALUE!</v>
      </c>
      <c r="S919" s="48" t="e">
        <f t="shared" si="421"/>
        <v>#VALUE!</v>
      </c>
      <c r="T919" s="47" t="str">
        <f t="shared" si="432"/>
        <v/>
      </c>
      <c r="U919" s="49"/>
      <c r="V919" s="50"/>
      <c r="W919" s="51" t="e">
        <f t="shared" si="433"/>
        <v>#VALUE!</v>
      </c>
      <c r="X919" s="52"/>
      <c r="Y919" s="52"/>
      <c r="Z919" s="52"/>
      <c r="AA919" s="47" t="e">
        <f>INDEX(VISITORS[INSECT ORDER], MATCH(X919,VISITORS[NAME USED],0))</f>
        <v>#N/A</v>
      </c>
      <c r="AB919" s="47" t="e">
        <f t="shared" si="434"/>
        <v>#N/A</v>
      </c>
      <c r="AC919" s="53" t="e">
        <f t="shared" si="435"/>
        <v>#VALUE!</v>
      </c>
      <c r="AD919" s="54" t="str">
        <f t="shared" si="447"/>
        <v/>
      </c>
      <c r="AE919" s="54"/>
      <c r="AF919" s="54"/>
      <c r="AG919" s="55" t="str">
        <f t="shared" si="436"/>
        <v/>
      </c>
      <c r="AH919" s="56" t="str">
        <f t="shared" si="437"/>
        <v/>
      </c>
      <c r="AI919" s="55"/>
      <c r="AJ919" s="56" t="str">
        <f t="shared" si="438"/>
        <v/>
      </c>
      <c r="AK919" s="55"/>
      <c r="AL919" s="56" t="str">
        <f t="shared" si="439"/>
        <v/>
      </c>
      <c r="AM919" s="55"/>
      <c r="AN919" s="56" t="str">
        <f t="shared" si="440"/>
        <v/>
      </c>
      <c r="AO919" s="55"/>
      <c r="AP919" s="56" t="str">
        <f t="shared" si="441"/>
        <v/>
      </c>
      <c r="AQ919" s="55"/>
      <c r="AR919" s="56" t="str">
        <f t="shared" si="442"/>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v>
      </c>
      <c r="C920" s="73">
        <f t="shared" si="443"/>
        <v>15</v>
      </c>
      <c r="D920" s="74">
        <f t="shared" si="428"/>
        <v>4</v>
      </c>
      <c r="E920" s="75">
        <f t="shared" si="444"/>
        <v>53</v>
      </c>
      <c r="F920" s="79"/>
      <c r="G920" s="82"/>
      <c r="H920" s="68" t="str">
        <f t="shared" si="445"/>
        <v>Hyprev7_20211115_04_00</v>
      </c>
      <c r="I920" s="69">
        <f t="shared" si="448"/>
        <v>1</v>
      </c>
      <c r="J920" s="76" t="str">
        <f t="shared" si="448"/>
        <v>Hypericum</v>
      </c>
      <c r="K920" s="76" t="str">
        <f t="shared" si="448"/>
        <v>revolutum</v>
      </c>
      <c r="L920" s="77">
        <f t="shared" si="448"/>
        <v>7</v>
      </c>
      <c r="M920" s="77">
        <f t="shared" si="448"/>
        <v>2</v>
      </c>
      <c r="N920" s="71">
        <f t="shared" si="448"/>
        <v>0</v>
      </c>
      <c r="O920" s="44"/>
      <c r="P920" s="45" t="str">
        <f t="shared" si="429"/>
        <v/>
      </c>
      <c r="Q920" s="46" t="str">
        <f t="shared" si="430"/>
        <v/>
      </c>
      <c r="R920" s="47" t="e">
        <f t="shared" si="431"/>
        <v>#VALUE!</v>
      </c>
      <c r="S920" s="48" t="e">
        <f t="shared" si="421"/>
        <v>#VALUE!</v>
      </c>
      <c r="T920" s="47" t="str">
        <f t="shared" si="432"/>
        <v/>
      </c>
      <c r="U920" s="49"/>
      <c r="V920" s="50"/>
      <c r="W920" s="51" t="e">
        <f t="shared" si="433"/>
        <v>#VALUE!</v>
      </c>
      <c r="X920" s="52"/>
      <c r="Y920" s="52"/>
      <c r="Z920" s="52"/>
      <c r="AA920" s="47" t="e">
        <f>INDEX(VISITORS[INSECT ORDER], MATCH(X920,VISITORS[NAME USED],0))</f>
        <v>#N/A</v>
      </c>
      <c r="AB920" s="47" t="e">
        <f t="shared" si="434"/>
        <v>#N/A</v>
      </c>
      <c r="AC920" s="53" t="e">
        <f t="shared" si="435"/>
        <v>#VALUE!</v>
      </c>
      <c r="AD920" s="54" t="str">
        <f t="shared" si="447"/>
        <v/>
      </c>
      <c r="AE920" s="54"/>
      <c r="AF920" s="54"/>
      <c r="AG920" s="55" t="str">
        <f t="shared" si="436"/>
        <v/>
      </c>
      <c r="AH920" s="56" t="str">
        <f t="shared" si="437"/>
        <v/>
      </c>
      <c r="AI920" s="55"/>
      <c r="AJ920" s="56" t="str">
        <f t="shared" si="438"/>
        <v/>
      </c>
      <c r="AK920" s="55"/>
      <c r="AL920" s="56" t="str">
        <f t="shared" si="439"/>
        <v/>
      </c>
      <c r="AM920" s="55"/>
      <c r="AN920" s="56" t="str">
        <f t="shared" si="440"/>
        <v/>
      </c>
      <c r="AO920" s="55"/>
      <c r="AP920" s="56" t="str">
        <f t="shared" si="441"/>
        <v/>
      </c>
      <c r="AQ920" s="55"/>
      <c r="AR920" s="56" t="str">
        <f t="shared" si="442"/>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v>
      </c>
      <c r="C921" s="73">
        <f t="shared" si="443"/>
        <v>15</v>
      </c>
      <c r="D921" s="74">
        <f t="shared" si="428"/>
        <v>4</v>
      </c>
      <c r="E921" s="75">
        <f t="shared" si="444"/>
        <v>54</v>
      </c>
      <c r="F921" s="79"/>
      <c r="G921" s="82"/>
      <c r="H921" s="68" t="str">
        <f t="shared" si="445"/>
        <v>Hyprev7_20211115_04_00</v>
      </c>
      <c r="I921" s="69">
        <f t="shared" si="448"/>
        <v>1</v>
      </c>
      <c r="J921" s="76" t="str">
        <f t="shared" si="448"/>
        <v>Hypericum</v>
      </c>
      <c r="K921" s="76" t="str">
        <f t="shared" si="448"/>
        <v>revolutum</v>
      </c>
      <c r="L921" s="77">
        <f t="shared" si="448"/>
        <v>7</v>
      </c>
      <c r="M921" s="77">
        <f t="shared" si="448"/>
        <v>2</v>
      </c>
      <c r="N921" s="71">
        <f t="shared" si="448"/>
        <v>0</v>
      </c>
      <c r="O921" s="44"/>
      <c r="P921" s="45" t="str">
        <f t="shared" si="429"/>
        <v/>
      </c>
      <c r="Q921" s="46" t="str">
        <f t="shared" si="430"/>
        <v/>
      </c>
      <c r="R921" s="47" t="e">
        <f t="shared" si="431"/>
        <v>#VALUE!</v>
      </c>
      <c r="S921" s="48" t="e">
        <f t="shared" si="421"/>
        <v>#VALUE!</v>
      </c>
      <c r="T921" s="47" t="str">
        <f t="shared" si="432"/>
        <v/>
      </c>
      <c r="U921" s="49"/>
      <c r="V921" s="50"/>
      <c r="W921" s="51" t="e">
        <f t="shared" si="433"/>
        <v>#VALUE!</v>
      </c>
      <c r="X921" s="52"/>
      <c r="Y921" s="52"/>
      <c r="Z921" s="52"/>
      <c r="AA921" s="47" t="e">
        <f>INDEX(VISITORS[INSECT ORDER], MATCH(X921,VISITORS[NAME USED],0))</f>
        <v>#N/A</v>
      </c>
      <c r="AB921" s="47" t="e">
        <f t="shared" si="434"/>
        <v>#N/A</v>
      </c>
      <c r="AC921" s="53" t="e">
        <f t="shared" si="435"/>
        <v>#VALUE!</v>
      </c>
      <c r="AD921" s="54" t="str">
        <f t="shared" si="447"/>
        <v/>
      </c>
      <c r="AE921" s="54"/>
      <c r="AF921" s="54"/>
      <c r="AG921" s="55" t="str">
        <f t="shared" si="436"/>
        <v/>
      </c>
      <c r="AH921" s="56" t="str">
        <f t="shared" si="437"/>
        <v/>
      </c>
      <c r="AI921" s="55"/>
      <c r="AJ921" s="56" t="str">
        <f t="shared" si="438"/>
        <v/>
      </c>
      <c r="AK921" s="55"/>
      <c r="AL921" s="56" t="str">
        <f t="shared" si="439"/>
        <v/>
      </c>
      <c r="AM921" s="55"/>
      <c r="AN921" s="56" t="str">
        <f t="shared" si="440"/>
        <v/>
      </c>
      <c r="AO921" s="55"/>
      <c r="AP921" s="56" t="str">
        <f t="shared" si="441"/>
        <v/>
      </c>
      <c r="AQ921" s="55"/>
      <c r="AR921" s="56" t="str">
        <f t="shared" si="442"/>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v>
      </c>
      <c r="C922" s="73">
        <f t="shared" si="443"/>
        <v>15</v>
      </c>
      <c r="D922" s="74">
        <f t="shared" si="428"/>
        <v>4</v>
      </c>
      <c r="E922" s="75">
        <f t="shared" si="444"/>
        <v>55</v>
      </c>
      <c r="F922" s="79"/>
      <c r="G922" s="82"/>
      <c r="H922" s="68" t="str">
        <f t="shared" si="445"/>
        <v>Hyprev7_20211115_04_00</v>
      </c>
      <c r="I922" s="69">
        <f t="shared" si="448"/>
        <v>1</v>
      </c>
      <c r="J922" s="76" t="str">
        <f t="shared" si="448"/>
        <v>Hypericum</v>
      </c>
      <c r="K922" s="76" t="str">
        <f t="shared" si="448"/>
        <v>revolutum</v>
      </c>
      <c r="L922" s="77">
        <f t="shared" si="448"/>
        <v>7</v>
      </c>
      <c r="M922" s="77">
        <f t="shared" si="448"/>
        <v>2</v>
      </c>
      <c r="N922" s="71">
        <f t="shared" si="448"/>
        <v>0</v>
      </c>
      <c r="O922" s="44"/>
      <c r="P922" s="45" t="str">
        <f t="shared" si="429"/>
        <v/>
      </c>
      <c r="Q922" s="46" t="str">
        <f t="shared" si="430"/>
        <v/>
      </c>
      <c r="R922" s="47" t="e">
        <f t="shared" si="431"/>
        <v>#VALUE!</v>
      </c>
      <c r="S922" s="48" t="e">
        <f t="shared" si="421"/>
        <v>#VALUE!</v>
      </c>
      <c r="T922" s="47" t="str">
        <f t="shared" si="432"/>
        <v/>
      </c>
      <c r="U922" s="49"/>
      <c r="V922" s="50"/>
      <c r="W922" s="51" t="e">
        <f t="shared" si="433"/>
        <v>#VALUE!</v>
      </c>
      <c r="X922" s="52"/>
      <c r="Y922" s="52"/>
      <c r="Z922" s="52"/>
      <c r="AA922" s="47" t="e">
        <f>INDEX(VISITORS[INSECT ORDER], MATCH(X922,VISITORS[NAME USED],0))</f>
        <v>#N/A</v>
      </c>
      <c r="AB922" s="47" t="e">
        <f t="shared" si="434"/>
        <v>#N/A</v>
      </c>
      <c r="AC922" s="53" t="e">
        <f t="shared" si="435"/>
        <v>#VALUE!</v>
      </c>
      <c r="AD922" s="54" t="str">
        <f t="shared" si="447"/>
        <v/>
      </c>
      <c r="AE922" s="54"/>
      <c r="AF922" s="54"/>
      <c r="AG922" s="55" t="str">
        <f t="shared" si="436"/>
        <v/>
      </c>
      <c r="AH922" s="56" t="str">
        <f t="shared" si="437"/>
        <v/>
      </c>
      <c r="AI922" s="55"/>
      <c r="AJ922" s="56" t="str">
        <f t="shared" si="438"/>
        <v/>
      </c>
      <c r="AK922" s="55"/>
      <c r="AL922" s="56" t="str">
        <f t="shared" si="439"/>
        <v/>
      </c>
      <c r="AM922" s="55"/>
      <c r="AN922" s="56" t="str">
        <f t="shared" si="440"/>
        <v/>
      </c>
      <c r="AO922" s="55"/>
      <c r="AP922" s="56" t="str">
        <f t="shared" si="441"/>
        <v/>
      </c>
      <c r="AQ922" s="55"/>
      <c r="AR922" s="56" t="str">
        <f t="shared" si="442"/>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v>
      </c>
      <c r="C923" s="73">
        <f t="shared" si="443"/>
        <v>15</v>
      </c>
      <c r="D923" s="74">
        <f t="shared" si="428"/>
        <v>4</v>
      </c>
      <c r="E923" s="75">
        <f t="shared" si="444"/>
        <v>56</v>
      </c>
      <c r="F923" s="79"/>
      <c r="G923" s="82"/>
      <c r="H923" s="68" t="str">
        <f t="shared" si="445"/>
        <v>Hyprev7_20211115_04_00</v>
      </c>
      <c r="I923" s="69">
        <f t="shared" si="448"/>
        <v>1</v>
      </c>
      <c r="J923" s="76" t="str">
        <f t="shared" si="448"/>
        <v>Hypericum</v>
      </c>
      <c r="K923" s="76" t="str">
        <f t="shared" si="448"/>
        <v>revolutum</v>
      </c>
      <c r="L923" s="77">
        <f t="shared" si="448"/>
        <v>7</v>
      </c>
      <c r="M923" s="77">
        <f t="shared" si="448"/>
        <v>2</v>
      </c>
      <c r="N923" s="71">
        <f t="shared" si="448"/>
        <v>0</v>
      </c>
      <c r="O923" s="44"/>
      <c r="P923" s="45" t="str">
        <f t="shared" si="429"/>
        <v/>
      </c>
      <c r="Q923" s="46" t="str">
        <f t="shared" si="430"/>
        <v/>
      </c>
      <c r="R923" s="47" t="e">
        <f t="shared" si="431"/>
        <v>#VALUE!</v>
      </c>
      <c r="S923" s="48" t="e">
        <f t="shared" si="421"/>
        <v>#VALUE!</v>
      </c>
      <c r="T923" s="47" t="str">
        <f t="shared" si="432"/>
        <v/>
      </c>
      <c r="U923" s="49"/>
      <c r="V923" s="50"/>
      <c r="W923" s="51" t="e">
        <f t="shared" si="433"/>
        <v>#VALUE!</v>
      </c>
      <c r="X923" s="52"/>
      <c r="Y923" s="52"/>
      <c r="Z923" s="52"/>
      <c r="AA923" s="47" t="e">
        <f>INDEX(VISITORS[INSECT ORDER], MATCH(X923,VISITORS[NAME USED],0))</f>
        <v>#N/A</v>
      </c>
      <c r="AB923" s="47" t="e">
        <f t="shared" si="434"/>
        <v>#N/A</v>
      </c>
      <c r="AC923" s="53" t="e">
        <f t="shared" si="435"/>
        <v>#VALUE!</v>
      </c>
      <c r="AD923" s="54" t="str">
        <f t="shared" si="447"/>
        <v/>
      </c>
      <c r="AE923" s="54"/>
      <c r="AF923" s="54"/>
      <c r="AG923" s="55" t="str">
        <f t="shared" si="436"/>
        <v/>
      </c>
      <c r="AH923" s="56" t="str">
        <f t="shared" si="437"/>
        <v/>
      </c>
      <c r="AI923" s="55"/>
      <c r="AJ923" s="56" t="str">
        <f t="shared" si="438"/>
        <v/>
      </c>
      <c r="AK923" s="55"/>
      <c r="AL923" s="56" t="str">
        <f t="shared" si="439"/>
        <v/>
      </c>
      <c r="AM923" s="55"/>
      <c r="AN923" s="56" t="str">
        <f t="shared" si="440"/>
        <v/>
      </c>
      <c r="AO923" s="55"/>
      <c r="AP923" s="56" t="str">
        <f t="shared" si="441"/>
        <v/>
      </c>
      <c r="AQ923" s="55"/>
      <c r="AR923" s="56" t="str">
        <f t="shared" si="442"/>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v>
      </c>
      <c r="C924" s="73">
        <f t="shared" si="443"/>
        <v>15</v>
      </c>
      <c r="D924" s="74">
        <f t="shared" si="428"/>
        <v>4</v>
      </c>
      <c r="E924" s="75">
        <f t="shared" si="444"/>
        <v>57</v>
      </c>
      <c r="F924" s="79"/>
      <c r="G924" s="82"/>
      <c r="H924" s="68" t="str">
        <f t="shared" si="445"/>
        <v>Hyprev7_20211115_04_00</v>
      </c>
      <c r="I924" s="69">
        <f t="shared" si="448"/>
        <v>1</v>
      </c>
      <c r="J924" s="76" t="str">
        <f t="shared" si="448"/>
        <v>Hypericum</v>
      </c>
      <c r="K924" s="76" t="str">
        <f t="shared" si="448"/>
        <v>revolutum</v>
      </c>
      <c r="L924" s="77">
        <f t="shared" si="448"/>
        <v>7</v>
      </c>
      <c r="M924" s="77">
        <f t="shared" si="448"/>
        <v>2</v>
      </c>
      <c r="N924" s="71">
        <f t="shared" si="448"/>
        <v>0</v>
      </c>
      <c r="O924" s="44"/>
      <c r="P924" s="45" t="str">
        <f t="shared" si="429"/>
        <v/>
      </c>
      <c r="Q924" s="46" t="str">
        <f t="shared" si="430"/>
        <v/>
      </c>
      <c r="R924" s="47" t="e">
        <f t="shared" si="431"/>
        <v>#VALUE!</v>
      </c>
      <c r="S924" s="48" t="e">
        <f t="shared" si="421"/>
        <v>#VALUE!</v>
      </c>
      <c r="T924" s="47" t="str">
        <f t="shared" si="432"/>
        <v/>
      </c>
      <c r="U924" s="49"/>
      <c r="V924" s="50"/>
      <c r="W924" s="51" t="e">
        <f t="shared" si="433"/>
        <v>#VALUE!</v>
      </c>
      <c r="X924" s="52"/>
      <c r="Y924" s="52"/>
      <c r="Z924" s="52"/>
      <c r="AA924" s="47" t="e">
        <f>INDEX(VISITORS[INSECT ORDER], MATCH(X924,VISITORS[NAME USED],0))</f>
        <v>#N/A</v>
      </c>
      <c r="AB924" s="47" t="e">
        <f t="shared" si="434"/>
        <v>#N/A</v>
      </c>
      <c r="AC924" s="53" t="e">
        <f t="shared" si="435"/>
        <v>#VALUE!</v>
      </c>
      <c r="AD924" s="54" t="str">
        <f t="shared" si="447"/>
        <v/>
      </c>
      <c r="AE924" s="54"/>
      <c r="AF924" s="54"/>
      <c r="AG924" s="55" t="str">
        <f t="shared" si="436"/>
        <v/>
      </c>
      <c r="AH924" s="56" t="str">
        <f t="shared" si="437"/>
        <v/>
      </c>
      <c r="AI924" s="55"/>
      <c r="AJ924" s="56" t="str">
        <f t="shared" si="438"/>
        <v/>
      </c>
      <c r="AK924" s="55"/>
      <c r="AL924" s="56" t="str">
        <f t="shared" si="439"/>
        <v/>
      </c>
      <c r="AM924" s="55"/>
      <c r="AN924" s="56" t="str">
        <f t="shared" si="440"/>
        <v/>
      </c>
      <c r="AO924" s="55"/>
      <c r="AP924" s="56" t="str">
        <f t="shared" si="441"/>
        <v/>
      </c>
      <c r="AQ924" s="55"/>
      <c r="AR924" s="56" t="str">
        <f t="shared" si="442"/>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v>
      </c>
      <c r="C925" s="73">
        <f t="shared" si="443"/>
        <v>15</v>
      </c>
      <c r="D925" s="74">
        <f t="shared" si="428"/>
        <v>4</v>
      </c>
      <c r="E925" s="75">
        <f t="shared" si="444"/>
        <v>58</v>
      </c>
      <c r="F925" s="79">
        <v>32</v>
      </c>
      <c r="G925" s="82"/>
      <c r="H925" s="68" t="str">
        <f t="shared" si="445"/>
        <v>Hyprev7_20211115_04_00</v>
      </c>
      <c r="I925" s="69">
        <f t="shared" si="448"/>
        <v>1</v>
      </c>
      <c r="J925" s="76" t="str">
        <f t="shared" si="448"/>
        <v>Hypericum</v>
      </c>
      <c r="K925" s="76" t="str">
        <f t="shared" si="448"/>
        <v>revolutum</v>
      </c>
      <c r="L925" s="77">
        <f t="shared" si="448"/>
        <v>7</v>
      </c>
      <c r="M925" s="77">
        <f t="shared" si="448"/>
        <v>2</v>
      </c>
      <c r="N925" s="71">
        <f t="shared" si="448"/>
        <v>0</v>
      </c>
      <c r="O925" s="44"/>
      <c r="P925" s="45">
        <f t="shared" si="429"/>
        <v>1</v>
      </c>
      <c r="Q925" s="46" t="str">
        <f t="shared" si="430"/>
        <v>04:58:32</v>
      </c>
      <c r="R925" s="47" t="str">
        <f t="shared" si="431"/>
        <v>58:32</v>
      </c>
      <c r="S925" s="48">
        <f t="shared" si="421"/>
        <v>452</v>
      </c>
      <c r="T925" s="47">
        <v>5</v>
      </c>
      <c r="U925" s="49">
        <v>6</v>
      </c>
      <c r="V925" s="50">
        <v>4</v>
      </c>
      <c r="W925" s="51" t="str">
        <f t="shared" si="433"/>
        <v>06:04</v>
      </c>
      <c r="X925" s="52" t="s">
        <v>159</v>
      </c>
      <c r="Y925" s="124" t="s">
        <v>242</v>
      </c>
      <c r="Z925" s="124"/>
      <c r="AA925" s="47" t="s">
        <v>264</v>
      </c>
      <c r="AB925" s="47" t="str">
        <f t="shared" si="434"/>
        <v>NA</v>
      </c>
      <c r="AC925" s="53" t="str">
        <f t="shared" si="435"/>
        <v/>
      </c>
      <c r="AD925" s="54">
        <f t="shared" si="447"/>
        <v>1</v>
      </c>
      <c r="AE925" s="54"/>
      <c r="AF925" s="54"/>
      <c r="AG925" s="55" t="str">
        <f t="shared" si="436"/>
        <v/>
      </c>
      <c r="AH925" s="56" t="str">
        <f t="shared" si="437"/>
        <v/>
      </c>
      <c r="AI925" s="55"/>
      <c r="AJ925" s="56" t="str">
        <f t="shared" si="438"/>
        <v/>
      </c>
      <c r="AK925" s="55"/>
      <c r="AL925" s="56" t="str">
        <f t="shared" si="439"/>
        <v/>
      </c>
      <c r="AM925" s="55"/>
      <c r="AN925" s="56" t="str">
        <f t="shared" si="440"/>
        <v/>
      </c>
      <c r="AO925" s="55"/>
      <c r="AP925" s="56" t="str">
        <f t="shared" si="441"/>
        <v/>
      </c>
      <c r="AQ925" s="55"/>
      <c r="AR925" s="56" t="str">
        <f t="shared" si="442"/>
        <v/>
      </c>
      <c r="AS925" s="57" t="s">
        <v>164</v>
      </c>
      <c r="AT925" s="58"/>
      <c r="AU925" s="58"/>
      <c r="AV925" s="59"/>
      <c r="AW925" s="60">
        <f t="shared" si="422"/>
        <v>0</v>
      </c>
      <c r="AX925" s="61" t="str">
        <f t="shared" si="423"/>
        <v/>
      </c>
      <c r="AY925" s="60">
        <f t="shared" si="424"/>
        <v>0</v>
      </c>
      <c r="AZ925" s="61" t="str">
        <f t="shared" si="425"/>
        <v/>
      </c>
    </row>
    <row r="926" spans="1:52" s="3" customFormat="1" hidden="1" x14ac:dyDescent="0.35">
      <c r="A926" s="72">
        <f t="shared" si="426"/>
        <v>2021</v>
      </c>
      <c r="B926" s="72" t="str">
        <f t="shared" si="427"/>
        <v>Nov</v>
      </c>
      <c r="C926" s="73">
        <f t="shared" si="443"/>
        <v>15</v>
      </c>
      <c r="D926" s="74">
        <f t="shared" si="428"/>
        <v>4</v>
      </c>
      <c r="E926" s="75">
        <f t="shared" si="444"/>
        <v>59</v>
      </c>
      <c r="F926" s="79"/>
      <c r="G926" s="82"/>
      <c r="H926" s="68" t="str">
        <f t="shared" si="445"/>
        <v>Hyprev7_20211115_04_00</v>
      </c>
      <c r="I926" s="69">
        <f t="shared" si="448"/>
        <v>1</v>
      </c>
      <c r="J926" s="76" t="str">
        <f t="shared" si="448"/>
        <v>Hypericum</v>
      </c>
      <c r="K926" s="76" t="str">
        <f t="shared" si="448"/>
        <v>revolutum</v>
      </c>
      <c r="L926" s="77">
        <f t="shared" si="448"/>
        <v>7</v>
      </c>
      <c r="M926" s="77">
        <f t="shared" si="448"/>
        <v>2</v>
      </c>
      <c r="N926" s="71">
        <f t="shared" si="448"/>
        <v>0</v>
      </c>
      <c r="O926" s="44"/>
      <c r="P926" s="45" t="str">
        <f t="shared" si="429"/>
        <v/>
      </c>
      <c r="Q926" s="46" t="str">
        <f t="shared" si="430"/>
        <v/>
      </c>
      <c r="R926" s="47" t="e">
        <f t="shared" si="431"/>
        <v>#VALUE!</v>
      </c>
      <c r="S926" s="48" t="e">
        <f t="shared" si="421"/>
        <v>#VALUE!</v>
      </c>
      <c r="T926" s="47" t="str">
        <f t="shared" si="432"/>
        <v/>
      </c>
      <c r="U926" s="49"/>
      <c r="V926" s="50"/>
      <c r="W926" s="51" t="e">
        <f t="shared" si="433"/>
        <v>#VALUE!</v>
      </c>
      <c r="X926" s="52"/>
      <c r="Y926" s="52"/>
      <c r="Z926" s="52"/>
      <c r="AA926" s="47" t="e">
        <f>INDEX(VISITORS[INSECT ORDER], MATCH(X926,VISITORS[NAME USED],0))</f>
        <v>#N/A</v>
      </c>
      <c r="AB926" s="47" t="e">
        <f t="shared" si="434"/>
        <v>#N/A</v>
      </c>
      <c r="AC926" s="53" t="e">
        <f t="shared" si="435"/>
        <v>#VALUE!</v>
      </c>
      <c r="AD926" s="54" t="str">
        <f t="shared" si="447"/>
        <v/>
      </c>
      <c r="AE926" s="54"/>
      <c r="AF926" s="54"/>
      <c r="AG926" s="55" t="str">
        <f t="shared" si="436"/>
        <v/>
      </c>
      <c r="AH926" s="56" t="str">
        <f t="shared" si="437"/>
        <v/>
      </c>
      <c r="AI926" s="55"/>
      <c r="AJ926" s="56" t="str">
        <f t="shared" si="438"/>
        <v/>
      </c>
      <c r="AK926" s="55"/>
      <c r="AL926" s="56" t="str">
        <f t="shared" si="439"/>
        <v/>
      </c>
      <c r="AM926" s="55"/>
      <c r="AN926" s="56" t="str">
        <f t="shared" si="440"/>
        <v/>
      </c>
      <c r="AO926" s="55"/>
      <c r="AP926" s="56" t="str">
        <f t="shared" si="441"/>
        <v/>
      </c>
      <c r="AQ926" s="55"/>
      <c r="AR926" s="56" t="str">
        <f t="shared" si="442"/>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v>
      </c>
      <c r="C927" s="73">
        <f t="shared" si="443"/>
        <v>15</v>
      </c>
      <c r="D927" s="74">
        <f t="shared" si="428"/>
        <v>5</v>
      </c>
      <c r="E927" s="75">
        <f t="shared" si="444"/>
        <v>0</v>
      </c>
      <c r="F927" s="79"/>
      <c r="G927" s="82"/>
      <c r="H927" s="68" t="str">
        <f t="shared" si="445"/>
        <v>Hyprev7_20211115_05_00</v>
      </c>
      <c r="I927" s="69">
        <f t="shared" si="448"/>
        <v>1</v>
      </c>
      <c r="J927" s="76" t="str">
        <f t="shared" si="448"/>
        <v>Hypericum</v>
      </c>
      <c r="K927" s="76" t="str">
        <f t="shared" si="448"/>
        <v>revolutum</v>
      </c>
      <c r="L927" s="77">
        <f t="shared" si="448"/>
        <v>7</v>
      </c>
      <c r="M927" s="77">
        <f t="shared" si="448"/>
        <v>2</v>
      </c>
      <c r="N927" s="71">
        <f t="shared" si="448"/>
        <v>0</v>
      </c>
      <c r="O927" s="44"/>
      <c r="P927" s="45" t="str">
        <f t="shared" si="429"/>
        <v/>
      </c>
      <c r="Q927" s="46" t="str">
        <f t="shared" si="430"/>
        <v/>
      </c>
      <c r="R927" s="47" t="e">
        <f t="shared" si="431"/>
        <v>#VALUE!</v>
      </c>
      <c r="S927" s="48" t="e">
        <f t="shared" si="421"/>
        <v>#VALUE!</v>
      </c>
      <c r="T927" s="47" t="str">
        <f t="shared" si="432"/>
        <v/>
      </c>
      <c r="U927" s="49"/>
      <c r="V927" s="50"/>
      <c r="W927" s="51" t="e">
        <f t="shared" si="433"/>
        <v>#VALUE!</v>
      </c>
      <c r="X927" s="52"/>
      <c r="Y927" s="52"/>
      <c r="Z927" s="52"/>
      <c r="AA927" s="47" t="e">
        <f>INDEX(VISITORS[INSECT ORDER], MATCH(X927,VISITORS[NAME USED],0))</f>
        <v>#N/A</v>
      </c>
      <c r="AB927" s="47" t="e">
        <f t="shared" si="434"/>
        <v>#N/A</v>
      </c>
      <c r="AC927" s="53" t="e">
        <f t="shared" si="435"/>
        <v>#VALUE!</v>
      </c>
      <c r="AD927" s="54" t="str">
        <f t="shared" si="447"/>
        <v/>
      </c>
      <c r="AE927" s="54"/>
      <c r="AF927" s="54"/>
      <c r="AG927" s="55" t="str">
        <f t="shared" si="436"/>
        <v/>
      </c>
      <c r="AH927" s="56" t="str">
        <f t="shared" si="437"/>
        <v/>
      </c>
      <c r="AI927" s="55"/>
      <c r="AJ927" s="56" t="str">
        <f t="shared" si="438"/>
        <v/>
      </c>
      <c r="AK927" s="55"/>
      <c r="AL927" s="56" t="str">
        <f t="shared" si="439"/>
        <v/>
      </c>
      <c r="AM927" s="55"/>
      <c r="AN927" s="56" t="str">
        <f t="shared" si="440"/>
        <v/>
      </c>
      <c r="AO927" s="55"/>
      <c r="AP927" s="56" t="str">
        <f t="shared" si="441"/>
        <v/>
      </c>
      <c r="AQ927" s="55"/>
      <c r="AR927" s="56" t="str">
        <f t="shared" si="442"/>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v>
      </c>
      <c r="C928" s="73">
        <f t="shared" si="443"/>
        <v>15</v>
      </c>
      <c r="D928" s="74">
        <f t="shared" si="428"/>
        <v>5</v>
      </c>
      <c r="E928" s="75">
        <f t="shared" si="444"/>
        <v>1</v>
      </c>
      <c r="F928" s="79"/>
      <c r="G928" s="82"/>
      <c r="H928" s="68" t="str">
        <f t="shared" si="445"/>
        <v>Hyprev7_20211115_05_00</v>
      </c>
      <c r="I928" s="69">
        <f t="shared" si="448"/>
        <v>1</v>
      </c>
      <c r="J928" s="76" t="str">
        <f t="shared" si="448"/>
        <v>Hypericum</v>
      </c>
      <c r="K928" s="76" t="str">
        <f t="shared" si="448"/>
        <v>revolutum</v>
      </c>
      <c r="L928" s="77">
        <f t="shared" si="448"/>
        <v>7</v>
      </c>
      <c r="M928" s="77">
        <f t="shared" si="448"/>
        <v>2</v>
      </c>
      <c r="N928" s="71">
        <f t="shared" si="448"/>
        <v>0</v>
      </c>
      <c r="O928" s="44"/>
      <c r="P928" s="45" t="str">
        <f t="shared" si="429"/>
        <v/>
      </c>
      <c r="Q928" s="46" t="str">
        <f t="shared" si="430"/>
        <v/>
      </c>
      <c r="R928" s="47" t="e">
        <f t="shared" si="431"/>
        <v>#VALUE!</v>
      </c>
      <c r="S928" s="48" t="e">
        <f t="shared" si="421"/>
        <v>#VALUE!</v>
      </c>
      <c r="T928" s="47" t="str">
        <f t="shared" si="432"/>
        <v/>
      </c>
      <c r="U928" s="49"/>
      <c r="V928" s="50"/>
      <c r="W928" s="51" t="e">
        <f t="shared" si="433"/>
        <v>#VALUE!</v>
      </c>
      <c r="X928" s="52"/>
      <c r="Y928" s="52"/>
      <c r="Z928" s="52"/>
      <c r="AA928" s="47" t="e">
        <f>INDEX(VISITORS[INSECT ORDER], MATCH(X928,VISITORS[NAME USED],0))</f>
        <v>#N/A</v>
      </c>
      <c r="AB928" s="47" t="e">
        <f t="shared" si="434"/>
        <v>#N/A</v>
      </c>
      <c r="AC928" s="53" t="e">
        <f t="shared" si="435"/>
        <v>#VALUE!</v>
      </c>
      <c r="AD928" s="54" t="str">
        <f t="shared" si="447"/>
        <v/>
      </c>
      <c r="AE928" s="54"/>
      <c r="AF928" s="54"/>
      <c r="AG928" s="55" t="str">
        <f t="shared" si="436"/>
        <v/>
      </c>
      <c r="AH928" s="56" t="str">
        <f t="shared" si="437"/>
        <v/>
      </c>
      <c r="AI928" s="55"/>
      <c r="AJ928" s="56" t="str">
        <f t="shared" si="438"/>
        <v/>
      </c>
      <c r="AK928" s="55"/>
      <c r="AL928" s="56" t="str">
        <f t="shared" si="439"/>
        <v/>
      </c>
      <c r="AM928" s="55"/>
      <c r="AN928" s="56" t="str">
        <f t="shared" si="440"/>
        <v/>
      </c>
      <c r="AO928" s="55"/>
      <c r="AP928" s="56" t="str">
        <f t="shared" si="441"/>
        <v/>
      </c>
      <c r="AQ928" s="55"/>
      <c r="AR928" s="56" t="str">
        <f t="shared" si="442"/>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v>
      </c>
      <c r="C929" s="73">
        <f t="shared" si="443"/>
        <v>15</v>
      </c>
      <c r="D929" s="74">
        <f t="shared" si="428"/>
        <v>5</v>
      </c>
      <c r="E929" s="75">
        <f t="shared" si="444"/>
        <v>2</v>
      </c>
      <c r="F929" s="79"/>
      <c r="G929" s="82"/>
      <c r="H929" s="68" t="str">
        <f t="shared" si="445"/>
        <v>Hyprev7_20211115_05_00</v>
      </c>
      <c r="I929" s="69">
        <f t="shared" si="448"/>
        <v>1</v>
      </c>
      <c r="J929" s="76" t="str">
        <f t="shared" si="448"/>
        <v>Hypericum</v>
      </c>
      <c r="K929" s="76" t="str">
        <f t="shared" si="448"/>
        <v>revolutum</v>
      </c>
      <c r="L929" s="77">
        <f t="shared" si="448"/>
        <v>7</v>
      </c>
      <c r="M929" s="77">
        <f t="shared" si="448"/>
        <v>2</v>
      </c>
      <c r="N929" s="71">
        <f t="shared" si="448"/>
        <v>0</v>
      </c>
      <c r="O929" s="44"/>
      <c r="P929" s="45" t="str">
        <f t="shared" si="429"/>
        <v/>
      </c>
      <c r="Q929" s="46" t="str">
        <f t="shared" si="430"/>
        <v/>
      </c>
      <c r="R929" s="47" t="e">
        <f t="shared" si="431"/>
        <v>#VALUE!</v>
      </c>
      <c r="S929" s="48" t="e">
        <f t="shared" si="421"/>
        <v>#VALUE!</v>
      </c>
      <c r="T929" s="47" t="str">
        <f t="shared" si="432"/>
        <v/>
      </c>
      <c r="U929" s="49"/>
      <c r="V929" s="50"/>
      <c r="W929" s="51" t="e">
        <f t="shared" si="433"/>
        <v>#VALUE!</v>
      </c>
      <c r="X929" s="52"/>
      <c r="Y929" s="52"/>
      <c r="Z929" s="52"/>
      <c r="AA929" s="47" t="e">
        <f>INDEX(VISITORS[INSECT ORDER], MATCH(X929,VISITORS[NAME USED],0))</f>
        <v>#N/A</v>
      </c>
      <c r="AB929" s="47" t="e">
        <f t="shared" si="434"/>
        <v>#N/A</v>
      </c>
      <c r="AC929" s="53" t="e">
        <f t="shared" si="435"/>
        <v>#VALUE!</v>
      </c>
      <c r="AD929" s="54" t="str">
        <f t="shared" si="447"/>
        <v/>
      </c>
      <c r="AE929" s="54"/>
      <c r="AF929" s="54"/>
      <c r="AG929" s="55" t="str">
        <f t="shared" si="436"/>
        <v/>
      </c>
      <c r="AH929" s="56" t="str">
        <f t="shared" si="437"/>
        <v/>
      </c>
      <c r="AI929" s="55"/>
      <c r="AJ929" s="56" t="str">
        <f t="shared" si="438"/>
        <v/>
      </c>
      <c r="AK929" s="55"/>
      <c r="AL929" s="56" t="str">
        <f t="shared" si="439"/>
        <v/>
      </c>
      <c r="AM929" s="55"/>
      <c r="AN929" s="56" t="str">
        <f t="shared" si="440"/>
        <v/>
      </c>
      <c r="AO929" s="55"/>
      <c r="AP929" s="56" t="str">
        <f t="shared" si="441"/>
        <v/>
      </c>
      <c r="AQ929" s="55"/>
      <c r="AR929" s="56" t="str">
        <f t="shared" si="442"/>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v>
      </c>
      <c r="C930" s="73">
        <f t="shared" si="443"/>
        <v>15</v>
      </c>
      <c r="D930" s="74">
        <f t="shared" si="428"/>
        <v>5</v>
      </c>
      <c r="E930" s="75">
        <f t="shared" si="444"/>
        <v>3</v>
      </c>
      <c r="F930" s="79"/>
      <c r="G930" s="82"/>
      <c r="H930" s="68" t="str">
        <f t="shared" si="445"/>
        <v>Hyprev7_20211115_05_00</v>
      </c>
      <c r="I930" s="69">
        <f t="shared" si="448"/>
        <v>1</v>
      </c>
      <c r="J930" s="76" t="str">
        <f t="shared" si="448"/>
        <v>Hypericum</v>
      </c>
      <c r="K930" s="76" t="str">
        <f t="shared" si="448"/>
        <v>revolutum</v>
      </c>
      <c r="L930" s="77">
        <f t="shared" si="448"/>
        <v>7</v>
      </c>
      <c r="M930" s="77">
        <f t="shared" si="448"/>
        <v>2</v>
      </c>
      <c r="N930" s="71">
        <f t="shared" si="448"/>
        <v>0</v>
      </c>
      <c r="O930" s="44"/>
      <c r="P930" s="45" t="str">
        <f t="shared" si="429"/>
        <v/>
      </c>
      <c r="Q930" s="46" t="str">
        <f t="shared" si="430"/>
        <v/>
      </c>
      <c r="R930" s="47" t="e">
        <f t="shared" si="431"/>
        <v>#VALUE!</v>
      </c>
      <c r="S930" s="48" t="e">
        <f t="shared" si="421"/>
        <v>#VALUE!</v>
      </c>
      <c r="T930" s="47" t="str">
        <f t="shared" si="432"/>
        <v/>
      </c>
      <c r="U930" s="49"/>
      <c r="V930" s="50"/>
      <c r="W930" s="51" t="e">
        <f t="shared" si="433"/>
        <v>#VALUE!</v>
      </c>
      <c r="X930" s="52"/>
      <c r="Y930" s="52"/>
      <c r="Z930" s="52"/>
      <c r="AA930" s="47" t="e">
        <f>INDEX(VISITORS[INSECT ORDER], MATCH(X930,VISITORS[NAME USED],0))</f>
        <v>#N/A</v>
      </c>
      <c r="AB930" s="47" t="e">
        <f t="shared" si="434"/>
        <v>#N/A</v>
      </c>
      <c r="AC930" s="53" t="e">
        <f t="shared" si="435"/>
        <v>#VALUE!</v>
      </c>
      <c r="AD930" s="54" t="str">
        <f t="shared" si="447"/>
        <v/>
      </c>
      <c r="AE930" s="54"/>
      <c r="AF930" s="54"/>
      <c r="AG930" s="55" t="str">
        <f t="shared" si="436"/>
        <v/>
      </c>
      <c r="AH930" s="56" t="str">
        <f t="shared" si="437"/>
        <v/>
      </c>
      <c r="AI930" s="55"/>
      <c r="AJ930" s="56" t="str">
        <f t="shared" si="438"/>
        <v/>
      </c>
      <c r="AK930" s="55"/>
      <c r="AL930" s="56" t="str">
        <f t="shared" si="439"/>
        <v/>
      </c>
      <c r="AM930" s="55"/>
      <c r="AN930" s="56" t="str">
        <f t="shared" si="440"/>
        <v/>
      </c>
      <c r="AO930" s="55"/>
      <c r="AP930" s="56" t="str">
        <f t="shared" si="441"/>
        <v/>
      </c>
      <c r="AQ930" s="55"/>
      <c r="AR930" s="56" t="str">
        <f t="shared" si="442"/>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v>
      </c>
      <c r="C931" s="73">
        <f t="shared" si="443"/>
        <v>15</v>
      </c>
      <c r="D931" s="74">
        <f t="shared" si="428"/>
        <v>5</v>
      </c>
      <c r="E931" s="75">
        <f t="shared" si="444"/>
        <v>4</v>
      </c>
      <c r="F931" s="79"/>
      <c r="G931" s="82"/>
      <c r="H931" s="68" t="str">
        <f t="shared" si="445"/>
        <v>Hyprev7_20211115_05_00</v>
      </c>
      <c r="I931" s="69">
        <f t="shared" si="448"/>
        <v>1</v>
      </c>
      <c r="J931" s="76" t="str">
        <f t="shared" si="448"/>
        <v>Hypericum</v>
      </c>
      <c r="K931" s="76" t="str">
        <f t="shared" si="448"/>
        <v>revolutum</v>
      </c>
      <c r="L931" s="77">
        <f t="shared" si="448"/>
        <v>7</v>
      </c>
      <c r="M931" s="77">
        <f t="shared" si="448"/>
        <v>2</v>
      </c>
      <c r="N931" s="71">
        <f t="shared" si="448"/>
        <v>0</v>
      </c>
      <c r="O931" s="44"/>
      <c r="P931" s="45" t="str">
        <f t="shared" si="429"/>
        <v/>
      </c>
      <c r="Q931" s="46" t="str">
        <f t="shared" si="430"/>
        <v/>
      </c>
      <c r="R931" s="47" t="e">
        <f t="shared" si="431"/>
        <v>#VALUE!</v>
      </c>
      <c r="S931" s="48" t="e">
        <f t="shared" si="421"/>
        <v>#VALUE!</v>
      </c>
      <c r="T931" s="47" t="str">
        <f t="shared" si="432"/>
        <v/>
      </c>
      <c r="U931" s="49"/>
      <c r="V931" s="50"/>
      <c r="W931" s="51" t="e">
        <f t="shared" si="433"/>
        <v>#VALUE!</v>
      </c>
      <c r="X931" s="52"/>
      <c r="Y931" s="52"/>
      <c r="Z931" s="52"/>
      <c r="AA931" s="47" t="e">
        <f>INDEX(VISITORS[INSECT ORDER], MATCH(X931,VISITORS[NAME USED],0))</f>
        <v>#N/A</v>
      </c>
      <c r="AB931" s="47" t="e">
        <f t="shared" si="434"/>
        <v>#N/A</v>
      </c>
      <c r="AC931" s="53" t="e">
        <f t="shared" si="435"/>
        <v>#VALUE!</v>
      </c>
      <c r="AD931" s="54" t="str">
        <f t="shared" si="447"/>
        <v/>
      </c>
      <c r="AE931" s="54"/>
      <c r="AF931" s="54"/>
      <c r="AG931" s="55" t="str">
        <f t="shared" si="436"/>
        <v/>
      </c>
      <c r="AH931" s="56" t="str">
        <f t="shared" si="437"/>
        <v/>
      </c>
      <c r="AI931" s="55"/>
      <c r="AJ931" s="56" t="str">
        <f t="shared" si="438"/>
        <v/>
      </c>
      <c r="AK931" s="55"/>
      <c r="AL931" s="56" t="str">
        <f t="shared" si="439"/>
        <v/>
      </c>
      <c r="AM931" s="55"/>
      <c r="AN931" s="56" t="str">
        <f t="shared" si="440"/>
        <v/>
      </c>
      <c r="AO931" s="55"/>
      <c r="AP931" s="56" t="str">
        <f t="shared" si="441"/>
        <v/>
      </c>
      <c r="AQ931" s="55"/>
      <c r="AR931" s="56" t="str">
        <f t="shared" si="442"/>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v>
      </c>
      <c r="C932" s="73">
        <f t="shared" si="443"/>
        <v>15</v>
      </c>
      <c r="D932" s="74">
        <f t="shared" si="428"/>
        <v>5</v>
      </c>
      <c r="E932" s="75">
        <f t="shared" si="444"/>
        <v>5</v>
      </c>
      <c r="F932" s="79"/>
      <c r="G932" s="82"/>
      <c r="H932" s="68" t="str">
        <f t="shared" si="445"/>
        <v>Hyprev7_20211115_05_00</v>
      </c>
      <c r="I932" s="69">
        <f t="shared" si="448"/>
        <v>1</v>
      </c>
      <c r="J932" s="76" t="str">
        <f t="shared" si="448"/>
        <v>Hypericum</v>
      </c>
      <c r="K932" s="76" t="str">
        <f t="shared" si="448"/>
        <v>revolutum</v>
      </c>
      <c r="L932" s="77">
        <f t="shared" si="448"/>
        <v>7</v>
      </c>
      <c r="M932" s="77">
        <f t="shared" si="448"/>
        <v>2</v>
      </c>
      <c r="N932" s="71">
        <f t="shared" si="448"/>
        <v>0</v>
      </c>
      <c r="O932" s="44"/>
      <c r="P932" s="45" t="str">
        <f t="shared" si="429"/>
        <v/>
      </c>
      <c r="Q932" s="46" t="str">
        <f t="shared" si="430"/>
        <v/>
      </c>
      <c r="R932" s="47" t="e">
        <f t="shared" si="431"/>
        <v>#VALUE!</v>
      </c>
      <c r="S932" s="48" t="e">
        <f t="shared" si="421"/>
        <v>#VALUE!</v>
      </c>
      <c r="T932" s="47" t="str">
        <f t="shared" si="432"/>
        <v/>
      </c>
      <c r="U932" s="49"/>
      <c r="V932" s="50"/>
      <c r="W932" s="51" t="e">
        <f t="shared" si="433"/>
        <v>#VALUE!</v>
      </c>
      <c r="X932" s="52"/>
      <c r="Y932" s="52"/>
      <c r="Z932" s="52"/>
      <c r="AA932" s="47" t="e">
        <f>INDEX(VISITORS[INSECT ORDER], MATCH(X932,VISITORS[NAME USED],0))</f>
        <v>#N/A</v>
      </c>
      <c r="AB932" s="47" t="e">
        <f t="shared" si="434"/>
        <v>#N/A</v>
      </c>
      <c r="AC932" s="53" t="e">
        <f t="shared" si="435"/>
        <v>#VALUE!</v>
      </c>
      <c r="AD932" s="54" t="str">
        <f t="shared" si="447"/>
        <v/>
      </c>
      <c r="AE932" s="54"/>
      <c r="AF932" s="54"/>
      <c r="AG932" s="55" t="str">
        <f t="shared" si="436"/>
        <v/>
      </c>
      <c r="AH932" s="56" t="str">
        <f t="shared" si="437"/>
        <v/>
      </c>
      <c r="AI932" s="55"/>
      <c r="AJ932" s="56" t="str">
        <f t="shared" si="438"/>
        <v/>
      </c>
      <c r="AK932" s="55"/>
      <c r="AL932" s="56" t="str">
        <f t="shared" si="439"/>
        <v/>
      </c>
      <c r="AM932" s="55"/>
      <c r="AN932" s="56" t="str">
        <f t="shared" si="440"/>
        <v/>
      </c>
      <c r="AO932" s="55"/>
      <c r="AP932" s="56" t="str">
        <f t="shared" si="441"/>
        <v/>
      </c>
      <c r="AQ932" s="55"/>
      <c r="AR932" s="56" t="str">
        <f t="shared" si="442"/>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v>
      </c>
      <c r="C933" s="73">
        <f t="shared" si="443"/>
        <v>15</v>
      </c>
      <c r="D933" s="74">
        <f t="shared" si="428"/>
        <v>5</v>
      </c>
      <c r="E933" s="75">
        <f t="shared" si="444"/>
        <v>6</v>
      </c>
      <c r="F933" s="79"/>
      <c r="G933" s="82"/>
      <c r="H933" s="68" t="str">
        <f t="shared" si="445"/>
        <v>Hyprev7_20211115_05_00</v>
      </c>
      <c r="I933" s="69">
        <f t="shared" ref="I933:N948" si="449">I932</f>
        <v>1</v>
      </c>
      <c r="J933" s="76" t="str">
        <f t="shared" si="449"/>
        <v>Hypericum</v>
      </c>
      <c r="K933" s="76" t="str">
        <f t="shared" si="449"/>
        <v>revolutum</v>
      </c>
      <c r="L933" s="77">
        <f t="shared" si="449"/>
        <v>7</v>
      </c>
      <c r="M933" s="77">
        <f t="shared" si="449"/>
        <v>2</v>
      </c>
      <c r="N933" s="71">
        <f t="shared" si="449"/>
        <v>0</v>
      </c>
      <c r="O933" s="44"/>
      <c r="P933" s="45" t="str">
        <f t="shared" si="429"/>
        <v/>
      </c>
      <c r="Q933" s="46" t="str">
        <f t="shared" si="430"/>
        <v/>
      </c>
      <c r="R933" s="47" t="e">
        <f t="shared" si="431"/>
        <v>#VALUE!</v>
      </c>
      <c r="S933" s="48" t="e">
        <f t="shared" si="421"/>
        <v>#VALUE!</v>
      </c>
      <c r="T933" s="47" t="str">
        <f t="shared" si="432"/>
        <v/>
      </c>
      <c r="U933" s="49"/>
      <c r="V933" s="50"/>
      <c r="W933" s="51" t="e">
        <f t="shared" si="433"/>
        <v>#VALUE!</v>
      </c>
      <c r="X933" s="52"/>
      <c r="Y933" s="52"/>
      <c r="Z933" s="52"/>
      <c r="AA933" s="47" t="e">
        <f>INDEX(VISITORS[INSECT ORDER], MATCH(X933,VISITORS[NAME USED],0))</f>
        <v>#N/A</v>
      </c>
      <c r="AB933" s="47" t="e">
        <f t="shared" si="434"/>
        <v>#N/A</v>
      </c>
      <c r="AC933" s="53" t="e">
        <f t="shared" si="435"/>
        <v>#VALUE!</v>
      </c>
      <c r="AD933" s="54" t="str">
        <f t="shared" si="447"/>
        <v/>
      </c>
      <c r="AE933" s="54"/>
      <c r="AF933" s="54"/>
      <c r="AG933" s="55" t="str">
        <f t="shared" si="436"/>
        <v/>
      </c>
      <c r="AH933" s="56" t="str">
        <f t="shared" si="437"/>
        <v/>
      </c>
      <c r="AI933" s="55"/>
      <c r="AJ933" s="56" t="str">
        <f t="shared" si="438"/>
        <v/>
      </c>
      <c r="AK933" s="55"/>
      <c r="AL933" s="56" t="str">
        <f t="shared" si="439"/>
        <v/>
      </c>
      <c r="AM933" s="55"/>
      <c r="AN933" s="56" t="str">
        <f t="shared" si="440"/>
        <v/>
      </c>
      <c r="AO933" s="55"/>
      <c r="AP933" s="56" t="str">
        <f t="shared" si="441"/>
        <v/>
      </c>
      <c r="AQ933" s="55"/>
      <c r="AR933" s="56" t="str">
        <f t="shared" si="442"/>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v>
      </c>
      <c r="C934" s="73">
        <f t="shared" si="443"/>
        <v>15</v>
      </c>
      <c r="D934" s="74">
        <f t="shared" si="428"/>
        <v>5</v>
      </c>
      <c r="E934" s="75">
        <f t="shared" si="444"/>
        <v>7</v>
      </c>
      <c r="F934" s="79">
        <v>46</v>
      </c>
      <c r="G934" s="82"/>
      <c r="H934" s="68" t="str">
        <f t="shared" si="445"/>
        <v>Hyprev7_20211115_05_00</v>
      </c>
      <c r="I934" s="69">
        <f t="shared" si="449"/>
        <v>1</v>
      </c>
      <c r="J934" s="76" t="str">
        <f t="shared" si="449"/>
        <v>Hypericum</v>
      </c>
      <c r="K934" s="76" t="str">
        <f t="shared" si="449"/>
        <v>revolutum</v>
      </c>
      <c r="L934" s="77">
        <f t="shared" si="449"/>
        <v>7</v>
      </c>
      <c r="M934" s="77">
        <f t="shared" si="449"/>
        <v>2</v>
      </c>
      <c r="N934" s="71">
        <f t="shared" si="449"/>
        <v>0</v>
      </c>
      <c r="O934" s="44"/>
      <c r="P934" s="45">
        <f t="shared" si="429"/>
        <v>1</v>
      </c>
      <c r="Q934" s="46" t="str">
        <f t="shared" si="430"/>
        <v>05:07:46</v>
      </c>
      <c r="R934" s="47" t="str">
        <f t="shared" si="431"/>
        <v>07:46</v>
      </c>
      <c r="S934" s="48">
        <f t="shared" si="421"/>
        <v>73</v>
      </c>
      <c r="T934" s="47" t="str">
        <f t="shared" si="432"/>
        <v>05</v>
      </c>
      <c r="U934" s="49">
        <v>8</v>
      </c>
      <c r="V934" s="50">
        <v>59</v>
      </c>
      <c r="W934" s="51" t="str">
        <f t="shared" si="433"/>
        <v>08:59</v>
      </c>
      <c r="X934" s="52" t="s">
        <v>128</v>
      </c>
      <c r="Y934" s="124" t="s">
        <v>245</v>
      </c>
      <c r="Z934" s="124"/>
      <c r="AA934" s="47" t="s">
        <v>255</v>
      </c>
      <c r="AB934" s="47" t="str">
        <f t="shared" si="434"/>
        <v>NA</v>
      </c>
      <c r="AC934" s="53" t="str">
        <f t="shared" si="435"/>
        <v/>
      </c>
      <c r="AD934" s="54">
        <v>2</v>
      </c>
      <c r="AE934" s="54"/>
      <c r="AF934" s="54"/>
      <c r="AG934" s="55" t="str">
        <f t="shared" si="436"/>
        <v/>
      </c>
      <c r="AH934" s="56" t="str">
        <f t="shared" si="437"/>
        <v/>
      </c>
      <c r="AI934" s="55"/>
      <c r="AJ934" s="56" t="str">
        <f t="shared" si="438"/>
        <v/>
      </c>
      <c r="AK934" s="55"/>
      <c r="AL934" s="56" t="str">
        <f t="shared" si="439"/>
        <v/>
      </c>
      <c r="AM934" s="55"/>
      <c r="AN934" s="56" t="str">
        <f t="shared" si="440"/>
        <v/>
      </c>
      <c r="AO934" s="55"/>
      <c r="AP934" s="56" t="str">
        <f t="shared" si="441"/>
        <v/>
      </c>
      <c r="AQ934" s="55"/>
      <c r="AR934" s="56" t="str">
        <f t="shared" si="442"/>
        <v/>
      </c>
      <c r="AS934" s="57" t="s">
        <v>121</v>
      </c>
      <c r="AT934" s="58"/>
      <c r="AU934" s="58"/>
      <c r="AV934" s="59"/>
      <c r="AW934" s="60">
        <f t="shared" si="422"/>
        <v>0</v>
      </c>
      <c r="AX934" s="61" t="str">
        <f t="shared" si="423"/>
        <v/>
      </c>
      <c r="AY934" s="60">
        <f t="shared" si="424"/>
        <v>0</v>
      </c>
      <c r="AZ934" s="61" t="str">
        <f t="shared" si="425"/>
        <v/>
      </c>
    </row>
    <row r="935" spans="1:52" s="3" customFormat="1" hidden="1" x14ac:dyDescent="0.35">
      <c r="A935" s="72">
        <f t="shared" si="426"/>
        <v>2021</v>
      </c>
      <c r="B935" s="72" t="str">
        <f t="shared" si="427"/>
        <v>Nov</v>
      </c>
      <c r="C935" s="73">
        <f t="shared" si="443"/>
        <v>15</v>
      </c>
      <c r="D935" s="74">
        <f t="shared" si="428"/>
        <v>5</v>
      </c>
      <c r="E935" s="75">
        <f t="shared" si="444"/>
        <v>8</v>
      </c>
      <c r="F935" s="79">
        <v>27</v>
      </c>
      <c r="G935" s="82"/>
      <c r="H935" s="68" t="str">
        <f t="shared" si="445"/>
        <v>Hyprev7_20211115_05_00</v>
      </c>
      <c r="I935" s="69">
        <f t="shared" si="449"/>
        <v>1</v>
      </c>
      <c r="J935" s="76" t="str">
        <f t="shared" si="449"/>
        <v>Hypericum</v>
      </c>
      <c r="K935" s="76" t="str">
        <f t="shared" si="449"/>
        <v>revolutum</v>
      </c>
      <c r="L935" s="77">
        <f t="shared" si="449"/>
        <v>7</v>
      </c>
      <c r="M935" s="77">
        <f t="shared" si="449"/>
        <v>2</v>
      </c>
      <c r="N935" s="71">
        <f t="shared" si="449"/>
        <v>0</v>
      </c>
      <c r="O935" s="44"/>
      <c r="P935" s="45">
        <f t="shared" si="429"/>
        <v>1</v>
      </c>
      <c r="Q935" s="46" t="str">
        <f t="shared" si="430"/>
        <v>05:08:27</v>
      </c>
      <c r="R935" s="47" t="str">
        <f t="shared" si="431"/>
        <v>08:27</v>
      </c>
      <c r="S935" s="48">
        <f t="shared" si="421"/>
        <v>6</v>
      </c>
      <c r="T935" s="47" t="str">
        <f t="shared" si="432"/>
        <v>05</v>
      </c>
      <c r="U935" s="49">
        <v>8</v>
      </c>
      <c r="V935" s="50">
        <v>33</v>
      </c>
      <c r="W935" s="51" t="str">
        <f t="shared" si="433"/>
        <v>08:33</v>
      </c>
      <c r="X935" s="52" t="s">
        <v>128</v>
      </c>
      <c r="Y935" s="124" t="s">
        <v>245</v>
      </c>
      <c r="Z935" s="124"/>
      <c r="AA935" s="47" t="s">
        <v>255</v>
      </c>
      <c r="AB935" s="47" t="str">
        <f t="shared" si="434"/>
        <v>NA</v>
      </c>
      <c r="AC935" s="53" t="str">
        <f t="shared" si="435"/>
        <v/>
      </c>
      <c r="AD935" s="54">
        <v>2</v>
      </c>
      <c r="AE935" s="54"/>
      <c r="AF935" s="54"/>
      <c r="AG935" s="55" t="str">
        <f t="shared" si="436"/>
        <v/>
      </c>
      <c r="AH935" s="56" t="str">
        <f t="shared" si="437"/>
        <v/>
      </c>
      <c r="AI935" s="55"/>
      <c r="AJ935" s="56" t="str">
        <f t="shared" si="438"/>
        <v/>
      </c>
      <c r="AK935" s="55"/>
      <c r="AL935" s="56" t="str">
        <f t="shared" si="439"/>
        <v/>
      </c>
      <c r="AM935" s="55"/>
      <c r="AN935" s="56" t="str">
        <f t="shared" si="440"/>
        <v/>
      </c>
      <c r="AO935" s="55"/>
      <c r="AP935" s="56" t="str">
        <f t="shared" si="441"/>
        <v/>
      </c>
      <c r="AQ935" s="55"/>
      <c r="AR935" s="56" t="str">
        <f t="shared" si="442"/>
        <v/>
      </c>
      <c r="AS935" s="57" t="s">
        <v>121</v>
      </c>
      <c r="AT935" s="58"/>
      <c r="AU935" s="58"/>
      <c r="AV935" s="59"/>
      <c r="AW935" s="60">
        <f t="shared" si="422"/>
        <v>0</v>
      </c>
      <c r="AX935" s="61" t="str">
        <f t="shared" si="423"/>
        <v/>
      </c>
      <c r="AY935" s="60">
        <f t="shared" si="424"/>
        <v>0</v>
      </c>
      <c r="AZ935" s="61" t="str">
        <f t="shared" si="425"/>
        <v/>
      </c>
    </row>
    <row r="936" spans="1:52" s="3" customFormat="1" hidden="1" x14ac:dyDescent="0.35">
      <c r="A936" s="72">
        <f t="shared" si="426"/>
        <v>2021</v>
      </c>
      <c r="B936" s="72" t="str">
        <f t="shared" si="427"/>
        <v>Nov</v>
      </c>
      <c r="C936" s="73">
        <f t="shared" si="443"/>
        <v>15</v>
      </c>
      <c r="D936" s="74">
        <f t="shared" si="428"/>
        <v>5</v>
      </c>
      <c r="E936" s="75">
        <v>8</v>
      </c>
      <c r="F936" s="79">
        <v>43</v>
      </c>
      <c r="G936" s="82"/>
      <c r="H936" s="68" t="str">
        <f t="shared" si="445"/>
        <v>Hyprev7_20211115_05_00</v>
      </c>
      <c r="I936" s="69">
        <f t="shared" si="449"/>
        <v>1</v>
      </c>
      <c r="J936" s="76" t="str">
        <f t="shared" si="449"/>
        <v>Hypericum</v>
      </c>
      <c r="K936" s="76" t="str">
        <f t="shared" si="449"/>
        <v>revolutum</v>
      </c>
      <c r="L936" s="77">
        <f t="shared" si="449"/>
        <v>7</v>
      </c>
      <c r="M936" s="77">
        <f t="shared" si="449"/>
        <v>2</v>
      </c>
      <c r="N936" s="71">
        <f t="shared" si="449"/>
        <v>0</v>
      </c>
      <c r="O936" s="44"/>
      <c r="P936" s="45">
        <f t="shared" si="429"/>
        <v>1</v>
      </c>
      <c r="Q936" s="46" t="str">
        <f t="shared" si="430"/>
        <v>05:08:43</v>
      </c>
      <c r="R936" s="47" t="str">
        <f t="shared" si="431"/>
        <v>08:43</v>
      </c>
      <c r="S936" s="48">
        <f t="shared" si="421"/>
        <v>3</v>
      </c>
      <c r="T936" s="47" t="str">
        <f t="shared" si="432"/>
        <v>05</v>
      </c>
      <c r="U936" s="49">
        <v>8</v>
      </c>
      <c r="V936" s="50">
        <v>46</v>
      </c>
      <c r="W936" s="51" t="str">
        <f t="shared" si="433"/>
        <v>08:46</v>
      </c>
      <c r="X936" s="52" t="s">
        <v>128</v>
      </c>
      <c r="Y936" s="124" t="s">
        <v>245</v>
      </c>
      <c r="Z936" s="124"/>
      <c r="AA936" s="47" t="s">
        <v>255</v>
      </c>
      <c r="AB936" s="47" t="str">
        <f t="shared" si="434"/>
        <v>NA</v>
      </c>
      <c r="AC936" s="53" t="str">
        <f t="shared" si="435"/>
        <v/>
      </c>
      <c r="AD936" s="54">
        <f t="shared" si="447"/>
        <v>1</v>
      </c>
      <c r="AE936" s="54"/>
      <c r="AF936" s="54"/>
      <c r="AG936" s="55" t="str">
        <f t="shared" si="436"/>
        <v/>
      </c>
      <c r="AH936" s="56" t="str">
        <f t="shared" si="437"/>
        <v/>
      </c>
      <c r="AI936" s="55"/>
      <c r="AJ936" s="56" t="str">
        <f t="shared" si="438"/>
        <v/>
      </c>
      <c r="AK936" s="55"/>
      <c r="AL936" s="56" t="str">
        <f t="shared" si="439"/>
        <v/>
      </c>
      <c r="AM936" s="55"/>
      <c r="AN936" s="56" t="str">
        <f t="shared" si="440"/>
        <v/>
      </c>
      <c r="AO936" s="55"/>
      <c r="AP936" s="56" t="str">
        <f t="shared" si="441"/>
        <v/>
      </c>
      <c r="AQ936" s="55"/>
      <c r="AR936" s="56" t="str">
        <f t="shared" si="442"/>
        <v/>
      </c>
      <c r="AS936" s="57" t="s">
        <v>120</v>
      </c>
      <c r="AT936" s="58"/>
      <c r="AU936" s="58"/>
      <c r="AV936" s="59"/>
      <c r="AW936" s="60">
        <f t="shared" si="422"/>
        <v>0</v>
      </c>
      <c r="AX936" s="61" t="str">
        <f t="shared" si="423"/>
        <v/>
      </c>
      <c r="AY936" s="60">
        <f t="shared" si="424"/>
        <v>0</v>
      </c>
      <c r="AZ936" s="61" t="str">
        <f t="shared" si="425"/>
        <v/>
      </c>
    </row>
    <row r="937" spans="1:52" s="3" customFormat="1" hidden="1" x14ac:dyDescent="0.35">
      <c r="A937" s="72">
        <f t="shared" si="426"/>
        <v>2021</v>
      </c>
      <c r="B937" s="72" t="str">
        <f t="shared" si="427"/>
        <v>Nov</v>
      </c>
      <c r="C937" s="73">
        <f t="shared" si="443"/>
        <v>15</v>
      </c>
      <c r="D937" s="74">
        <f t="shared" si="428"/>
        <v>5</v>
      </c>
      <c r="E937" s="75">
        <v>9</v>
      </c>
      <c r="F937" s="79">
        <v>13</v>
      </c>
      <c r="G937" s="82"/>
      <c r="H937" s="68" t="str">
        <f t="shared" si="445"/>
        <v>Hyprev7_20211115_05_00</v>
      </c>
      <c r="I937" s="69">
        <f t="shared" si="449"/>
        <v>1</v>
      </c>
      <c r="J937" s="76" t="str">
        <f t="shared" si="449"/>
        <v>Hypericum</v>
      </c>
      <c r="K937" s="76" t="str">
        <f t="shared" si="449"/>
        <v>revolutum</v>
      </c>
      <c r="L937" s="77">
        <f t="shared" si="449"/>
        <v>7</v>
      </c>
      <c r="M937" s="77">
        <f t="shared" si="449"/>
        <v>2</v>
      </c>
      <c r="N937" s="71">
        <f t="shared" si="449"/>
        <v>0</v>
      </c>
      <c r="O937" s="44"/>
      <c r="P937" s="45">
        <f t="shared" si="429"/>
        <v>1</v>
      </c>
      <c r="Q937" s="46" t="str">
        <f t="shared" si="430"/>
        <v>05:09:13</v>
      </c>
      <c r="R937" s="47" t="str">
        <f t="shared" si="431"/>
        <v>09:13</v>
      </c>
      <c r="S937" s="48">
        <f t="shared" si="421"/>
        <v>3</v>
      </c>
      <c r="T937" s="47" t="str">
        <f t="shared" si="432"/>
        <v>05</v>
      </c>
      <c r="U937" s="49">
        <v>9</v>
      </c>
      <c r="V937" s="50">
        <v>16</v>
      </c>
      <c r="W937" s="51" t="str">
        <f t="shared" si="433"/>
        <v>09:16</v>
      </c>
      <c r="X937" s="52" t="s">
        <v>145</v>
      </c>
      <c r="Y937" s="124" t="s">
        <v>259</v>
      </c>
      <c r="Z937" s="124"/>
      <c r="AA937" s="47" t="s">
        <v>255</v>
      </c>
      <c r="AB937" s="47" t="str">
        <f t="shared" si="434"/>
        <v>NA</v>
      </c>
      <c r="AC937" s="53" t="str">
        <f t="shared" si="435"/>
        <v/>
      </c>
      <c r="AD937" s="54">
        <f t="shared" si="447"/>
        <v>1</v>
      </c>
      <c r="AE937" s="54"/>
      <c r="AF937" s="54"/>
      <c r="AG937" s="55" t="str">
        <f t="shared" si="436"/>
        <v/>
      </c>
      <c r="AH937" s="56" t="str">
        <f t="shared" si="437"/>
        <v/>
      </c>
      <c r="AI937" s="55"/>
      <c r="AJ937" s="56" t="str">
        <f t="shared" si="438"/>
        <v/>
      </c>
      <c r="AK937" s="55"/>
      <c r="AL937" s="56" t="str">
        <f t="shared" si="439"/>
        <v/>
      </c>
      <c r="AM937" s="55"/>
      <c r="AN937" s="56" t="str">
        <f t="shared" si="440"/>
        <v/>
      </c>
      <c r="AO937" s="55"/>
      <c r="AP937" s="56" t="str">
        <f t="shared" si="441"/>
        <v/>
      </c>
      <c r="AQ937" s="55"/>
      <c r="AR937" s="56" t="str">
        <f t="shared" si="442"/>
        <v/>
      </c>
      <c r="AS937" s="57" t="s">
        <v>165</v>
      </c>
      <c r="AT937" s="58"/>
      <c r="AU937" s="58"/>
      <c r="AV937" s="59"/>
      <c r="AW937" s="60">
        <f t="shared" si="422"/>
        <v>0</v>
      </c>
      <c r="AX937" s="61" t="str">
        <f t="shared" si="423"/>
        <v/>
      </c>
      <c r="AY937" s="60">
        <f t="shared" si="424"/>
        <v>0</v>
      </c>
      <c r="AZ937" s="61" t="str">
        <f t="shared" si="425"/>
        <v/>
      </c>
    </row>
    <row r="938" spans="1:52" s="3" customFormat="1" hidden="1" x14ac:dyDescent="0.35">
      <c r="A938" s="72">
        <f t="shared" si="426"/>
        <v>2021</v>
      </c>
      <c r="B938" s="72" t="str">
        <f t="shared" si="427"/>
        <v>Nov</v>
      </c>
      <c r="C938" s="73">
        <f t="shared" si="443"/>
        <v>15</v>
      </c>
      <c r="D938" s="74">
        <f t="shared" si="428"/>
        <v>5</v>
      </c>
      <c r="E938" s="75">
        <v>9</v>
      </c>
      <c r="F938" s="79">
        <v>17</v>
      </c>
      <c r="G938" s="82"/>
      <c r="H938" s="68" t="str">
        <f t="shared" si="445"/>
        <v>Hyprev7_20211115_05_00</v>
      </c>
      <c r="I938" s="69">
        <f t="shared" si="449"/>
        <v>1</v>
      </c>
      <c r="J938" s="76" t="str">
        <f t="shared" si="449"/>
        <v>Hypericum</v>
      </c>
      <c r="K938" s="76" t="str">
        <f t="shared" si="449"/>
        <v>revolutum</v>
      </c>
      <c r="L938" s="77">
        <f t="shared" si="449"/>
        <v>7</v>
      </c>
      <c r="M938" s="77">
        <f t="shared" si="449"/>
        <v>2</v>
      </c>
      <c r="N938" s="71">
        <f t="shared" si="449"/>
        <v>0</v>
      </c>
      <c r="O938" s="44"/>
      <c r="P938" s="45">
        <f t="shared" si="429"/>
        <v>1</v>
      </c>
      <c r="Q938" s="46" t="str">
        <f t="shared" si="430"/>
        <v>05:09:17</v>
      </c>
      <c r="R938" s="47" t="str">
        <f t="shared" si="431"/>
        <v>09:17</v>
      </c>
      <c r="S938" s="48">
        <f t="shared" si="421"/>
        <v>4</v>
      </c>
      <c r="T938" s="47" t="str">
        <f t="shared" si="432"/>
        <v>05</v>
      </c>
      <c r="U938" s="49">
        <v>9</v>
      </c>
      <c r="V938" s="50">
        <v>21</v>
      </c>
      <c r="W938" s="51" t="str">
        <f t="shared" si="433"/>
        <v>09:21</v>
      </c>
      <c r="X938" s="52" t="s">
        <v>116</v>
      </c>
      <c r="Y938" s="124" t="s">
        <v>259</v>
      </c>
      <c r="Z938" s="124"/>
      <c r="AA938" s="47" t="s">
        <v>255</v>
      </c>
      <c r="AB938" s="47" t="str">
        <f t="shared" si="434"/>
        <v>NA</v>
      </c>
      <c r="AC938" s="53" t="str">
        <f t="shared" si="435"/>
        <v/>
      </c>
      <c r="AD938" s="54">
        <f t="shared" si="447"/>
        <v>1</v>
      </c>
      <c r="AE938" s="54"/>
      <c r="AF938" s="54"/>
      <c r="AG938" s="55" t="str">
        <f t="shared" si="436"/>
        <v/>
      </c>
      <c r="AH938" s="56" t="str">
        <f t="shared" si="437"/>
        <v/>
      </c>
      <c r="AI938" s="55"/>
      <c r="AJ938" s="56" t="str">
        <f t="shared" si="438"/>
        <v/>
      </c>
      <c r="AK938" s="55"/>
      <c r="AL938" s="56" t="str">
        <f t="shared" si="439"/>
        <v/>
      </c>
      <c r="AM938" s="55"/>
      <c r="AN938" s="56" t="str">
        <f t="shared" si="440"/>
        <v/>
      </c>
      <c r="AO938" s="55"/>
      <c r="AP938" s="56" t="str">
        <f t="shared" si="441"/>
        <v/>
      </c>
      <c r="AQ938" s="55"/>
      <c r="AR938" s="56" t="str">
        <f t="shared" si="442"/>
        <v/>
      </c>
      <c r="AS938" s="57" t="s">
        <v>102</v>
      </c>
      <c r="AT938" s="58"/>
      <c r="AU938" s="58"/>
      <c r="AV938" s="59"/>
      <c r="AW938" s="60">
        <f t="shared" si="422"/>
        <v>0</v>
      </c>
      <c r="AX938" s="61" t="str">
        <f t="shared" si="423"/>
        <v/>
      </c>
      <c r="AY938" s="60">
        <f t="shared" si="424"/>
        <v>0</v>
      </c>
      <c r="AZ938" s="61" t="str">
        <f t="shared" si="425"/>
        <v/>
      </c>
    </row>
    <row r="939" spans="1:52" s="3" customFormat="1" hidden="1" x14ac:dyDescent="0.35">
      <c r="A939" s="72">
        <f t="shared" si="426"/>
        <v>2021</v>
      </c>
      <c r="B939" s="72" t="str">
        <f t="shared" si="427"/>
        <v>Nov</v>
      </c>
      <c r="C939" s="73">
        <f t="shared" si="443"/>
        <v>15</v>
      </c>
      <c r="D939" s="74">
        <f t="shared" si="428"/>
        <v>5</v>
      </c>
      <c r="E939" s="75">
        <f t="shared" si="444"/>
        <v>10</v>
      </c>
      <c r="F939" s="79"/>
      <c r="G939" s="82"/>
      <c r="H939" s="68" t="str">
        <f t="shared" si="445"/>
        <v>Hyprev7_20211115_05_00</v>
      </c>
      <c r="I939" s="69">
        <f t="shared" si="449"/>
        <v>1</v>
      </c>
      <c r="J939" s="76" t="str">
        <f t="shared" si="449"/>
        <v>Hypericum</v>
      </c>
      <c r="K939" s="76" t="str">
        <f t="shared" si="449"/>
        <v>revolutum</v>
      </c>
      <c r="L939" s="77">
        <f t="shared" si="449"/>
        <v>7</v>
      </c>
      <c r="M939" s="77">
        <f t="shared" si="449"/>
        <v>2</v>
      </c>
      <c r="N939" s="71">
        <f t="shared" si="449"/>
        <v>0</v>
      </c>
      <c r="O939" s="44"/>
      <c r="P939" s="45" t="str">
        <f t="shared" si="429"/>
        <v/>
      </c>
      <c r="Q939" s="46" t="str">
        <f t="shared" si="430"/>
        <v/>
      </c>
      <c r="R939" s="47" t="e">
        <f t="shared" si="431"/>
        <v>#VALUE!</v>
      </c>
      <c r="S939" s="48" t="e">
        <f t="shared" si="421"/>
        <v>#VALUE!</v>
      </c>
      <c r="T939" s="47" t="str">
        <f t="shared" si="432"/>
        <v/>
      </c>
      <c r="U939" s="49"/>
      <c r="V939" s="50"/>
      <c r="W939" s="51" t="e">
        <f t="shared" si="433"/>
        <v>#VALUE!</v>
      </c>
      <c r="X939" s="52"/>
      <c r="Y939" s="52"/>
      <c r="Z939" s="52"/>
      <c r="AA939" s="47" t="e">
        <f>INDEX(VISITORS[INSECT ORDER], MATCH(X939,VISITORS[NAME USED],0))</f>
        <v>#N/A</v>
      </c>
      <c r="AB939" s="47" t="e">
        <f t="shared" si="434"/>
        <v>#N/A</v>
      </c>
      <c r="AC939" s="53" t="e">
        <f t="shared" si="435"/>
        <v>#VALUE!</v>
      </c>
      <c r="AD939" s="54" t="str">
        <f t="shared" si="447"/>
        <v/>
      </c>
      <c r="AE939" s="54"/>
      <c r="AF939" s="54"/>
      <c r="AG939" s="55" t="str">
        <f t="shared" si="436"/>
        <v/>
      </c>
      <c r="AH939" s="56" t="str">
        <f t="shared" si="437"/>
        <v/>
      </c>
      <c r="AI939" s="55"/>
      <c r="AJ939" s="56" t="str">
        <f t="shared" si="438"/>
        <v/>
      </c>
      <c r="AK939" s="55"/>
      <c r="AL939" s="56" t="str">
        <f t="shared" si="439"/>
        <v/>
      </c>
      <c r="AM939" s="55"/>
      <c r="AN939" s="56" t="str">
        <f t="shared" si="440"/>
        <v/>
      </c>
      <c r="AO939" s="55"/>
      <c r="AP939" s="56" t="str">
        <f t="shared" si="441"/>
        <v/>
      </c>
      <c r="AQ939" s="55"/>
      <c r="AR939" s="56" t="str">
        <f t="shared" si="442"/>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v>
      </c>
      <c r="C940" s="73">
        <f t="shared" si="443"/>
        <v>15</v>
      </c>
      <c r="D940" s="74">
        <f t="shared" si="428"/>
        <v>5</v>
      </c>
      <c r="E940" s="75">
        <f t="shared" si="444"/>
        <v>11</v>
      </c>
      <c r="F940" s="79"/>
      <c r="G940" s="82"/>
      <c r="H940" s="68" t="str">
        <f t="shared" si="445"/>
        <v>Hyprev7_20211115_05_00</v>
      </c>
      <c r="I940" s="69">
        <f t="shared" si="449"/>
        <v>1</v>
      </c>
      <c r="J940" s="76" t="str">
        <f t="shared" si="449"/>
        <v>Hypericum</v>
      </c>
      <c r="K940" s="76" t="str">
        <f t="shared" si="449"/>
        <v>revolutum</v>
      </c>
      <c r="L940" s="77">
        <f t="shared" si="449"/>
        <v>7</v>
      </c>
      <c r="M940" s="77">
        <f t="shared" si="449"/>
        <v>2</v>
      </c>
      <c r="N940" s="71">
        <f t="shared" si="449"/>
        <v>0</v>
      </c>
      <c r="O940" s="44"/>
      <c r="P940" s="45" t="str">
        <f t="shared" si="429"/>
        <v/>
      </c>
      <c r="Q940" s="46" t="str">
        <f t="shared" si="430"/>
        <v/>
      </c>
      <c r="R940" s="47" t="e">
        <f t="shared" si="431"/>
        <v>#VALUE!</v>
      </c>
      <c r="S940" s="48" t="e">
        <f t="shared" si="421"/>
        <v>#VALUE!</v>
      </c>
      <c r="T940" s="47" t="str">
        <f t="shared" si="432"/>
        <v/>
      </c>
      <c r="U940" s="49"/>
      <c r="V940" s="50"/>
      <c r="W940" s="51" t="e">
        <f t="shared" si="433"/>
        <v>#VALUE!</v>
      </c>
      <c r="X940" s="52"/>
      <c r="Y940" s="52"/>
      <c r="Z940" s="52"/>
      <c r="AA940" s="47" t="e">
        <f>INDEX(VISITORS[INSECT ORDER], MATCH(X940,VISITORS[NAME USED],0))</f>
        <v>#N/A</v>
      </c>
      <c r="AB940" s="47" t="e">
        <f t="shared" si="434"/>
        <v>#N/A</v>
      </c>
      <c r="AC940" s="53" t="e">
        <f t="shared" si="435"/>
        <v>#VALUE!</v>
      </c>
      <c r="AD940" s="54" t="str">
        <f t="shared" si="447"/>
        <v/>
      </c>
      <c r="AE940" s="54"/>
      <c r="AF940" s="54"/>
      <c r="AG940" s="55" t="str">
        <f t="shared" si="436"/>
        <v/>
      </c>
      <c r="AH940" s="56" t="str">
        <f t="shared" si="437"/>
        <v/>
      </c>
      <c r="AI940" s="55"/>
      <c r="AJ940" s="56" t="str">
        <f t="shared" si="438"/>
        <v/>
      </c>
      <c r="AK940" s="55"/>
      <c r="AL940" s="56" t="str">
        <f t="shared" si="439"/>
        <v/>
      </c>
      <c r="AM940" s="55"/>
      <c r="AN940" s="56" t="str">
        <f t="shared" si="440"/>
        <v/>
      </c>
      <c r="AO940" s="55"/>
      <c r="AP940" s="56" t="str">
        <f t="shared" si="441"/>
        <v/>
      </c>
      <c r="AQ940" s="55"/>
      <c r="AR940" s="56" t="str">
        <f t="shared" si="442"/>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v>
      </c>
      <c r="C941" s="73">
        <f t="shared" si="443"/>
        <v>15</v>
      </c>
      <c r="D941" s="74">
        <f t="shared" si="428"/>
        <v>5</v>
      </c>
      <c r="E941" s="75">
        <f t="shared" si="444"/>
        <v>12</v>
      </c>
      <c r="F941" s="79"/>
      <c r="G941" s="82"/>
      <c r="H941" s="68" t="str">
        <f t="shared" si="445"/>
        <v>Hyprev7_20211115_05_00</v>
      </c>
      <c r="I941" s="69">
        <f t="shared" si="449"/>
        <v>1</v>
      </c>
      <c r="J941" s="76" t="str">
        <f t="shared" si="449"/>
        <v>Hypericum</v>
      </c>
      <c r="K941" s="76" t="str">
        <f t="shared" si="449"/>
        <v>revolutum</v>
      </c>
      <c r="L941" s="77">
        <f t="shared" si="449"/>
        <v>7</v>
      </c>
      <c r="M941" s="77">
        <f t="shared" si="449"/>
        <v>2</v>
      </c>
      <c r="N941" s="71">
        <f t="shared" si="449"/>
        <v>0</v>
      </c>
      <c r="O941" s="44"/>
      <c r="P941" s="45" t="str">
        <f t="shared" si="429"/>
        <v/>
      </c>
      <c r="Q941" s="46" t="str">
        <f t="shared" si="430"/>
        <v/>
      </c>
      <c r="R941" s="47" t="e">
        <f t="shared" si="431"/>
        <v>#VALUE!</v>
      </c>
      <c r="S941" s="48" t="e">
        <f t="shared" si="421"/>
        <v>#VALUE!</v>
      </c>
      <c r="T941" s="47" t="str">
        <f t="shared" si="432"/>
        <v/>
      </c>
      <c r="U941" s="49"/>
      <c r="V941" s="50"/>
      <c r="W941" s="51" t="e">
        <f t="shared" si="433"/>
        <v>#VALUE!</v>
      </c>
      <c r="X941" s="52"/>
      <c r="Y941" s="52"/>
      <c r="Z941" s="52"/>
      <c r="AA941" s="47" t="e">
        <f>INDEX(VISITORS[INSECT ORDER], MATCH(X941,VISITORS[NAME USED],0))</f>
        <v>#N/A</v>
      </c>
      <c r="AB941" s="47" t="e">
        <f t="shared" si="434"/>
        <v>#N/A</v>
      </c>
      <c r="AC941" s="53" t="e">
        <f t="shared" si="435"/>
        <v>#VALUE!</v>
      </c>
      <c r="AD941" s="54" t="str">
        <f t="shared" si="447"/>
        <v/>
      </c>
      <c r="AE941" s="54"/>
      <c r="AF941" s="54"/>
      <c r="AG941" s="55" t="str">
        <f t="shared" si="436"/>
        <v/>
      </c>
      <c r="AH941" s="56" t="str">
        <f t="shared" si="437"/>
        <v/>
      </c>
      <c r="AI941" s="55"/>
      <c r="AJ941" s="56" t="str">
        <f t="shared" si="438"/>
        <v/>
      </c>
      <c r="AK941" s="55"/>
      <c r="AL941" s="56" t="str">
        <f t="shared" si="439"/>
        <v/>
      </c>
      <c r="AM941" s="55"/>
      <c r="AN941" s="56" t="str">
        <f t="shared" si="440"/>
        <v/>
      </c>
      <c r="AO941" s="55"/>
      <c r="AP941" s="56" t="str">
        <f t="shared" si="441"/>
        <v/>
      </c>
      <c r="AQ941" s="55"/>
      <c r="AR941" s="56" t="str">
        <f t="shared" si="442"/>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v>
      </c>
      <c r="C942" s="73">
        <f t="shared" si="443"/>
        <v>15</v>
      </c>
      <c r="D942" s="74">
        <f t="shared" si="428"/>
        <v>5</v>
      </c>
      <c r="E942" s="75">
        <f t="shared" si="444"/>
        <v>13</v>
      </c>
      <c r="F942" s="79"/>
      <c r="G942" s="82"/>
      <c r="H942" s="68" t="str">
        <f t="shared" si="445"/>
        <v>Hyprev7_20211115_05_00</v>
      </c>
      <c r="I942" s="69">
        <f t="shared" si="449"/>
        <v>1</v>
      </c>
      <c r="J942" s="76" t="str">
        <f t="shared" si="449"/>
        <v>Hypericum</v>
      </c>
      <c r="K942" s="76" t="str">
        <f t="shared" si="449"/>
        <v>revolutum</v>
      </c>
      <c r="L942" s="77">
        <f t="shared" si="449"/>
        <v>7</v>
      </c>
      <c r="M942" s="77">
        <f t="shared" si="449"/>
        <v>2</v>
      </c>
      <c r="N942" s="71">
        <f t="shared" si="449"/>
        <v>0</v>
      </c>
      <c r="O942" s="44"/>
      <c r="P942" s="45" t="str">
        <f t="shared" si="429"/>
        <v/>
      </c>
      <c r="Q942" s="46" t="str">
        <f t="shared" si="430"/>
        <v/>
      </c>
      <c r="R942" s="47" t="e">
        <f t="shared" si="431"/>
        <v>#VALUE!</v>
      </c>
      <c r="S942" s="48" t="e">
        <f t="shared" si="421"/>
        <v>#VALUE!</v>
      </c>
      <c r="T942" s="47" t="str">
        <f t="shared" si="432"/>
        <v/>
      </c>
      <c r="U942" s="49"/>
      <c r="V942" s="50"/>
      <c r="W942" s="51" t="e">
        <f t="shared" si="433"/>
        <v>#VALUE!</v>
      </c>
      <c r="X942" s="52"/>
      <c r="Y942" s="52"/>
      <c r="Z942" s="52"/>
      <c r="AA942" s="47" t="e">
        <f>INDEX(VISITORS[INSECT ORDER], MATCH(X942,VISITORS[NAME USED],0))</f>
        <v>#N/A</v>
      </c>
      <c r="AB942" s="47" t="e">
        <f t="shared" si="434"/>
        <v>#N/A</v>
      </c>
      <c r="AC942" s="53" t="e">
        <f t="shared" si="435"/>
        <v>#VALUE!</v>
      </c>
      <c r="AD942" s="54" t="str">
        <f t="shared" si="447"/>
        <v/>
      </c>
      <c r="AE942" s="54"/>
      <c r="AF942" s="54"/>
      <c r="AG942" s="55" t="str">
        <f t="shared" si="436"/>
        <v/>
      </c>
      <c r="AH942" s="56" t="str">
        <f t="shared" si="437"/>
        <v/>
      </c>
      <c r="AI942" s="55"/>
      <c r="AJ942" s="56" t="str">
        <f t="shared" si="438"/>
        <v/>
      </c>
      <c r="AK942" s="55"/>
      <c r="AL942" s="56" t="str">
        <f t="shared" si="439"/>
        <v/>
      </c>
      <c r="AM942" s="55"/>
      <c r="AN942" s="56" t="str">
        <f t="shared" si="440"/>
        <v/>
      </c>
      <c r="AO942" s="55"/>
      <c r="AP942" s="56" t="str">
        <f t="shared" si="441"/>
        <v/>
      </c>
      <c r="AQ942" s="55"/>
      <c r="AR942" s="56" t="str">
        <f t="shared" si="442"/>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v>
      </c>
      <c r="C943" s="73">
        <f t="shared" si="443"/>
        <v>15</v>
      </c>
      <c r="D943" s="74">
        <f t="shared" si="428"/>
        <v>5</v>
      </c>
      <c r="E943" s="75">
        <f t="shared" si="444"/>
        <v>14</v>
      </c>
      <c r="F943" s="79"/>
      <c r="G943" s="82"/>
      <c r="H943" s="68" t="str">
        <f t="shared" si="445"/>
        <v>Hyprev7_20211115_05_00</v>
      </c>
      <c r="I943" s="69">
        <f t="shared" si="449"/>
        <v>1</v>
      </c>
      <c r="J943" s="76" t="str">
        <f t="shared" si="449"/>
        <v>Hypericum</v>
      </c>
      <c r="K943" s="76" t="str">
        <f t="shared" si="449"/>
        <v>revolutum</v>
      </c>
      <c r="L943" s="77">
        <f t="shared" si="449"/>
        <v>7</v>
      </c>
      <c r="M943" s="77">
        <f t="shared" si="449"/>
        <v>2</v>
      </c>
      <c r="N943" s="71">
        <f t="shared" si="449"/>
        <v>0</v>
      </c>
      <c r="O943" s="44"/>
      <c r="P943" s="45" t="str">
        <f t="shared" si="429"/>
        <v/>
      </c>
      <c r="Q943" s="46" t="str">
        <f t="shared" si="430"/>
        <v/>
      </c>
      <c r="R943" s="47" t="e">
        <f t="shared" si="431"/>
        <v>#VALUE!</v>
      </c>
      <c r="S943" s="48" t="e">
        <f t="shared" si="421"/>
        <v>#VALUE!</v>
      </c>
      <c r="T943" s="47" t="str">
        <f t="shared" si="432"/>
        <v/>
      </c>
      <c r="U943" s="49"/>
      <c r="V943" s="50"/>
      <c r="W943" s="51" t="e">
        <f t="shared" si="433"/>
        <v>#VALUE!</v>
      </c>
      <c r="X943" s="52"/>
      <c r="Y943" s="52"/>
      <c r="Z943" s="52"/>
      <c r="AA943" s="47" t="e">
        <f>INDEX(VISITORS[INSECT ORDER], MATCH(X943,VISITORS[NAME USED],0))</f>
        <v>#N/A</v>
      </c>
      <c r="AB943" s="47" t="e">
        <f t="shared" si="434"/>
        <v>#N/A</v>
      </c>
      <c r="AC943" s="53" t="e">
        <f t="shared" si="435"/>
        <v>#VALUE!</v>
      </c>
      <c r="AD943" s="54" t="str">
        <f t="shared" si="447"/>
        <v/>
      </c>
      <c r="AE943" s="54"/>
      <c r="AF943" s="54"/>
      <c r="AG943" s="55" t="str">
        <f t="shared" si="436"/>
        <v/>
      </c>
      <c r="AH943" s="56" t="str">
        <f t="shared" si="437"/>
        <v/>
      </c>
      <c r="AI943" s="55"/>
      <c r="AJ943" s="56" t="str">
        <f t="shared" si="438"/>
        <v/>
      </c>
      <c r="AK943" s="55"/>
      <c r="AL943" s="56" t="str">
        <f t="shared" si="439"/>
        <v/>
      </c>
      <c r="AM943" s="55"/>
      <c r="AN943" s="56" t="str">
        <f t="shared" si="440"/>
        <v/>
      </c>
      <c r="AO943" s="55"/>
      <c r="AP943" s="56" t="str">
        <f t="shared" si="441"/>
        <v/>
      </c>
      <c r="AQ943" s="55"/>
      <c r="AR943" s="56" t="str">
        <f t="shared" si="442"/>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v>
      </c>
      <c r="C944" s="73">
        <f t="shared" si="443"/>
        <v>15</v>
      </c>
      <c r="D944" s="74">
        <f t="shared" si="428"/>
        <v>5</v>
      </c>
      <c r="E944" s="75">
        <f t="shared" si="444"/>
        <v>15</v>
      </c>
      <c r="F944" s="79">
        <v>20</v>
      </c>
      <c r="G944" s="82"/>
      <c r="H944" s="68" t="str">
        <f t="shared" si="445"/>
        <v>Hyprev7_20211115_05_00</v>
      </c>
      <c r="I944" s="69">
        <f t="shared" si="449"/>
        <v>1</v>
      </c>
      <c r="J944" s="76" t="str">
        <f t="shared" si="449"/>
        <v>Hypericum</v>
      </c>
      <c r="K944" s="76" t="str">
        <f t="shared" si="449"/>
        <v>revolutum</v>
      </c>
      <c r="L944" s="77">
        <f t="shared" si="449"/>
        <v>7</v>
      </c>
      <c r="M944" s="77">
        <f t="shared" si="449"/>
        <v>2</v>
      </c>
      <c r="N944" s="71">
        <f t="shared" si="449"/>
        <v>0</v>
      </c>
      <c r="O944" s="44"/>
      <c r="P944" s="45">
        <f t="shared" si="429"/>
        <v>1</v>
      </c>
      <c r="Q944" s="46" t="str">
        <f t="shared" si="430"/>
        <v>05:15:20</v>
      </c>
      <c r="R944" s="47" t="str">
        <f t="shared" si="431"/>
        <v>15:20</v>
      </c>
      <c r="S944" s="48">
        <f t="shared" si="421"/>
        <v>9</v>
      </c>
      <c r="T944" s="47" t="str">
        <f t="shared" si="432"/>
        <v>05</v>
      </c>
      <c r="U944" s="49">
        <v>15</v>
      </c>
      <c r="V944" s="50">
        <v>29</v>
      </c>
      <c r="W944" s="51" t="str">
        <f t="shared" si="433"/>
        <v>15:29</v>
      </c>
      <c r="X944" s="52" t="s">
        <v>116</v>
      </c>
      <c r="Y944" s="124" t="s">
        <v>260</v>
      </c>
      <c r="Z944" s="124"/>
      <c r="AA944" s="47" t="s">
        <v>255</v>
      </c>
      <c r="AB944" s="47" t="str">
        <f t="shared" si="434"/>
        <v>NA</v>
      </c>
      <c r="AC944" s="53" t="str">
        <f t="shared" si="435"/>
        <v/>
      </c>
      <c r="AD944" s="54">
        <f t="shared" si="447"/>
        <v>1</v>
      </c>
      <c r="AE944" s="54"/>
      <c r="AF944" s="54"/>
      <c r="AG944" s="55" t="str">
        <f t="shared" si="436"/>
        <v/>
      </c>
      <c r="AH944" s="56" t="str">
        <f t="shared" si="437"/>
        <v/>
      </c>
      <c r="AI944" s="55"/>
      <c r="AJ944" s="56" t="str">
        <f t="shared" si="438"/>
        <v/>
      </c>
      <c r="AK944" s="55"/>
      <c r="AL944" s="56" t="str">
        <f t="shared" si="439"/>
        <v/>
      </c>
      <c r="AM944" s="55"/>
      <c r="AN944" s="56" t="str">
        <f t="shared" si="440"/>
        <v/>
      </c>
      <c r="AO944" s="55"/>
      <c r="AP944" s="56" t="str">
        <f t="shared" si="441"/>
        <v/>
      </c>
      <c r="AQ944" s="55"/>
      <c r="AR944" s="56" t="str">
        <f t="shared" si="442"/>
        <v/>
      </c>
      <c r="AS944" s="57" t="s">
        <v>112</v>
      </c>
      <c r="AT944" s="58"/>
      <c r="AU944" s="58"/>
      <c r="AV944" s="59"/>
      <c r="AW944" s="60">
        <f t="shared" si="422"/>
        <v>0</v>
      </c>
      <c r="AX944" s="61" t="str">
        <f t="shared" si="423"/>
        <v/>
      </c>
      <c r="AY944" s="60">
        <f t="shared" si="424"/>
        <v>0</v>
      </c>
      <c r="AZ944" s="61" t="str">
        <f t="shared" si="425"/>
        <v/>
      </c>
    </row>
    <row r="945" spans="1:52" s="3" customFormat="1" hidden="1" x14ac:dyDescent="0.35">
      <c r="A945" s="72">
        <f t="shared" si="426"/>
        <v>2021</v>
      </c>
      <c r="B945" s="72" t="str">
        <f t="shared" si="427"/>
        <v>Nov</v>
      </c>
      <c r="C945" s="73">
        <f t="shared" si="443"/>
        <v>15</v>
      </c>
      <c r="D945" s="74">
        <f t="shared" si="428"/>
        <v>5</v>
      </c>
      <c r="E945" s="75">
        <f t="shared" si="444"/>
        <v>16</v>
      </c>
      <c r="F945" s="79">
        <v>13</v>
      </c>
      <c r="G945" s="82"/>
      <c r="H945" s="68" t="str">
        <f t="shared" si="445"/>
        <v>Hyprev7_20211115_05_00</v>
      </c>
      <c r="I945" s="69">
        <f t="shared" si="449"/>
        <v>1</v>
      </c>
      <c r="J945" s="76" t="str">
        <f t="shared" si="449"/>
        <v>Hypericum</v>
      </c>
      <c r="K945" s="76" t="str">
        <f t="shared" si="449"/>
        <v>revolutum</v>
      </c>
      <c r="L945" s="77">
        <f t="shared" si="449"/>
        <v>7</v>
      </c>
      <c r="M945" s="77">
        <f t="shared" si="449"/>
        <v>2</v>
      </c>
      <c r="N945" s="71">
        <f t="shared" si="449"/>
        <v>0</v>
      </c>
      <c r="O945" s="44"/>
      <c r="P945" s="45">
        <f t="shared" si="429"/>
        <v>1</v>
      </c>
      <c r="Q945" s="46" t="str">
        <f t="shared" si="430"/>
        <v>05:16:13</v>
      </c>
      <c r="R945" s="47" t="str">
        <f t="shared" si="431"/>
        <v>16:13</v>
      </c>
      <c r="S945" s="48">
        <f t="shared" si="421"/>
        <v>8</v>
      </c>
      <c r="T945" s="47" t="str">
        <f t="shared" si="432"/>
        <v>05</v>
      </c>
      <c r="U945" s="49">
        <v>16</v>
      </c>
      <c r="V945" s="50">
        <v>21</v>
      </c>
      <c r="W945" s="51" t="str">
        <f t="shared" si="433"/>
        <v>16:21</v>
      </c>
      <c r="X945" s="52" t="s">
        <v>145</v>
      </c>
      <c r="Y945" s="124" t="s">
        <v>260</v>
      </c>
      <c r="Z945" s="124"/>
      <c r="AA945" s="47" t="s">
        <v>255</v>
      </c>
      <c r="AB945" s="47" t="str">
        <f t="shared" si="434"/>
        <v>NA</v>
      </c>
      <c r="AC945" s="53" t="str">
        <f t="shared" si="435"/>
        <v/>
      </c>
      <c r="AD945" s="54">
        <f t="shared" si="447"/>
        <v>1</v>
      </c>
      <c r="AE945" s="54"/>
      <c r="AF945" s="54"/>
      <c r="AG945" s="55" t="str">
        <f t="shared" si="436"/>
        <v/>
      </c>
      <c r="AH945" s="56" t="str">
        <f t="shared" si="437"/>
        <v/>
      </c>
      <c r="AI945" s="55"/>
      <c r="AJ945" s="56" t="str">
        <f t="shared" si="438"/>
        <v/>
      </c>
      <c r="AK945" s="55"/>
      <c r="AL945" s="56" t="str">
        <f t="shared" si="439"/>
        <v/>
      </c>
      <c r="AM945" s="55"/>
      <c r="AN945" s="56" t="str">
        <f t="shared" si="440"/>
        <v/>
      </c>
      <c r="AO945" s="55"/>
      <c r="AP945" s="56" t="str">
        <f t="shared" si="441"/>
        <v/>
      </c>
      <c r="AQ945" s="55"/>
      <c r="AR945" s="56" t="str">
        <f t="shared" si="442"/>
        <v/>
      </c>
      <c r="AS945" s="57" t="s">
        <v>102</v>
      </c>
      <c r="AT945" s="58"/>
      <c r="AU945" s="58"/>
      <c r="AV945" s="59"/>
      <c r="AW945" s="60">
        <f t="shared" si="422"/>
        <v>0</v>
      </c>
      <c r="AX945" s="61" t="str">
        <f t="shared" si="423"/>
        <v/>
      </c>
      <c r="AY945" s="60">
        <f t="shared" si="424"/>
        <v>0</v>
      </c>
      <c r="AZ945" s="61" t="str">
        <f t="shared" si="425"/>
        <v/>
      </c>
    </row>
    <row r="946" spans="1:52" s="3" customFormat="1" hidden="1" x14ac:dyDescent="0.35">
      <c r="A946" s="72">
        <f t="shared" si="426"/>
        <v>2021</v>
      </c>
      <c r="B946" s="72" t="str">
        <f t="shared" si="427"/>
        <v>Nov</v>
      </c>
      <c r="C946" s="73">
        <f t="shared" si="443"/>
        <v>15</v>
      </c>
      <c r="D946" s="74">
        <f t="shared" si="428"/>
        <v>5</v>
      </c>
      <c r="E946" s="75">
        <f t="shared" si="444"/>
        <v>17</v>
      </c>
      <c r="F946" s="79"/>
      <c r="G946" s="82"/>
      <c r="H946" s="68" t="str">
        <f t="shared" si="445"/>
        <v>Hyprev7_20211115_05_00</v>
      </c>
      <c r="I946" s="69">
        <f t="shared" si="449"/>
        <v>1</v>
      </c>
      <c r="J946" s="76" t="str">
        <f t="shared" si="449"/>
        <v>Hypericum</v>
      </c>
      <c r="K946" s="76" t="str">
        <f t="shared" si="449"/>
        <v>revolutum</v>
      </c>
      <c r="L946" s="77">
        <f t="shared" si="449"/>
        <v>7</v>
      </c>
      <c r="M946" s="77">
        <f t="shared" si="449"/>
        <v>2</v>
      </c>
      <c r="N946" s="71">
        <f t="shared" si="449"/>
        <v>0</v>
      </c>
      <c r="O946" s="44"/>
      <c r="P946" s="45" t="str">
        <f t="shared" si="429"/>
        <v/>
      </c>
      <c r="Q946" s="46" t="str">
        <f t="shared" si="430"/>
        <v/>
      </c>
      <c r="R946" s="47" t="e">
        <f t="shared" si="431"/>
        <v>#VALUE!</v>
      </c>
      <c r="S946" s="48" t="e">
        <f t="shared" si="421"/>
        <v>#VALUE!</v>
      </c>
      <c r="T946" s="47" t="str">
        <f t="shared" si="432"/>
        <v/>
      </c>
      <c r="U946" s="49"/>
      <c r="V946" s="50"/>
      <c r="W946" s="51" t="e">
        <f t="shared" si="433"/>
        <v>#VALUE!</v>
      </c>
      <c r="X946" s="52"/>
      <c r="Y946" s="52"/>
      <c r="Z946" s="52"/>
      <c r="AA946" s="47" t="e">
        <f>INDEX(VISITORS[INSECT ORDER], MATCH(X946,VISITORS[NAME USED],0))</f>
        <v>#N/A</v>
      </c>
      <c r="AB946" s="47" t="e">
        <f t="shared" si="434"/>
        <v>#N/A</v>
      </c>
      <c r="AC946" s="53" t="e">
        <f t="shared" si="435"/>
        <v>#VALUE!</v>
      </c>
      <c r="AD946" s="54" t="str">
        <f t="shared" si="447"/>
        <v/>
      </c>
      <c r="AE946" s="54"/>
      <c r="AF946" s="54"/>
      <c r="AG946" s="55" t="str">
        <f t="shared" si="436"/>
        <v/>
      </c>
      <c r="AH946" s="56" t="str">
        <f t="shared" si="437"/>
        <v/>
      </c>
      <c r="AI946" s="55"/>
      <c r="AJ946" s="56" t="str">
        <f t="shared" si="438"/>
        <v/>
      </c>
      <c r="AK946" s="55"/>
      <c r="AL946" s="56" t="str">
        <f t="shared" si="439"/>
        <v/>
      </c>
      <c r="AM946" s="55"/>
      <c r="AN946" s="56" t="str">
        <f t="shared" si="440"/>
        <v/>
      </c>
      <c r="AO946" s="55"/>
      <c r="AP946" s="56" t="str">
        <f t="shared" si="441"/>
        <v/>
      </c>
      <c r="AQ946" s="55"/>
      <c r="AR946" s="56" t="str">
        <f t="shared" si="442"/>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v>
      </c>
      <c r="C947" s="73">
        <f t="shared" si="443"/>
        <v>15</v>
      </c>
      <c r="D947" s="74">
        <f t="shared" si="428"/>
        <v>5</v>
      </c>
      <c r="E947" s="75">
        <f t="shared" si="444"/>
        <v>18</v>
      </c>
      <c r="F947" s="79"/>
      <c r="G947" s="82"/>
      <c r="H947" s="68" t="str">
        <f t="shared" si="445"/>
        <v>Hyprev7_20211115_05_00</v>
      </c>
      <c r="I947" s="69">
        <f t="shared" si="449"/>
        <v>1</v>
      </c>
      <c r="J947" s="76" t="str">
        <f t="shared" si="449"/>
        <v>Hypericum</v>
      </c>
      <c r="K947" s="76" t="str">
        <f t="shared" si="449"/>
        <v>revolutum</v>
      </c>
      <c r="L947" s="77">
        <f t="shared" si="449"/>
        <v>7</v>
      </c>
      <c r="M947" s="77">
        <f t="shared" si="449"/>
        <v>2</v>
      </c>
      <c r="N947" s="71">
        <f t="shared" si="449"/>
        <v>0</v>
      </c>
      <c r="O947" s="44"/>
      <c r="P947" s="45" t="str">
        <f t="shared" si="429"/>
        <v/>
      </c>
      <c r="Q947" s="46" t="str">
        <f t="shared" si="430"/>
        <v/>
      </c>
      <c r="R947" s="47" t="e">
        <f t="shared" si="431"/>
        <v>#VALUE!</v>
      </c>
      <c r="S947" s="48" t="e">
        <f t="shared" si="421"/>
        <v>#VALUE!</v>
      </c>
      <c r="T947" s="47" t="str">
        <f t="shared" si="432"/>
        <v/>
      </c>
      <c r="U947" s="49"/>
      <c r="V947" s="50"/>
      <c r="W947" s="51" t="e">
        <f t="shared" si="433"/>
        <v>#VALUE!</v>
      </c>
      <c r="X947" s="52"/>
      <c r="Y947" s="52"/>
      <c r="Z947" s="52"/>
      <c r="AA947" s="47" t="e">
        <f>INDEX(VISITORS[INSECT ORDER], MATCH(X947,VISITORS[NAME USED],0))</f>
        <v>#N/A</v>
      </c>
      <c r="AB947" s="47" t="e">
        <f t="shared" si="434"/>
        <v>#N/A</v>
      </c>
      <c r="AC947" s="53" t="e">
        <f t="shared" si="435"/>
        <v>#VALUE!</v>
      </c>
      <c r="AD947" s="54" t="str">
        <f t="shared" si="447"/>
        <v/>
      </c>
      <c r="AE947" s="54"/>
      <c r="AF947" s="54"/>
      <c r="AG947" s="55" t="str">
        <f t="shared" si="436"/>
        <v/>
      </c>
      <c r="AH947" s="56" t="str">
        <f t="shared" si="437"/>
        <v/>
      </c>
      <c r="AI947" s="55"/>
      <c r="AJ947" s="56" t="str">
        <f t="shared" si="438"/>
        <v/>
      </c>
      <c r="AK947" s="55"/>
      <c r="AL947" s="56" t="str">
        <f t="shared" si="439"/>
        <v/>
      </c>
      <c r="AM947" s="55"/>
      <c r="AN947" s="56" t="str">
        <f t="shared" si="440"/>
        <v/>
      </c>
      <c r="AO947" s="55"/>
      <c r="AP947" s="56" t="str">
        <f t="shared" si="441"/>
        <v/>
      </c>
      <c r="AQ947" s="55"/>
      <c r="AR947" s="56" t="str">
        <f t="shared" si="442"/>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v>
      </c>
      <c r="C948" s="73">
        <f t="shared" si="443"/>
        <v>15</v>
      </c>
      <c r="D948" s="74">
        <f t="shared" si="428"/>
        <v>5</v>
      </c>
      <c r="E948" s="75">
        <f t="shared" si="444"/>
        <v>19</v>
      </c>
      <c r="F948" s="79"/>
      <c r="G948" s="82"/>
      <c r="H948" s="68" t="str">
        <f t="shared" si="445"/>
        <v>Hyprev7_20211115_05_00</v>
      </c>
      <c r="I948" s="69">
        <f t="shared" si="449"/>
        <v>1</v>
      </c>
      <c r="J948" s="76" t="str">
        <f t="shared" si="449"/>
        <v>Hypericum</v>
      </c>
      <c r="K948" s="76" t="str">
        <f t="shared" si="449"/>
        <v>revolutum</v>
      </c>
      <c r="L948" s="77">
        <f t="shared" si="449"/>
        <v>7</v>
      </c>
      <c r="M948" s="77">
        <f t="shared" si="449"/>
        <v>2</v>
      </c>
      <c r="N948" s="71">
        <f t="shared" si="449"/>
        <v>0</v>
      </c>
      <c r="O948" s="44"/>
      <c r="P948" s="45" t="str">
        <f t="shared" si="429"/>
        <v/>
      </c>
      <c r="Q948" s="46" t="str">
        <f t="shared" si="430"/>
        <v/>
      </c>
      <c r="R948" s="47" t="e">
        <f t="shared" si="431"/>
        <v>#VALUE!</v>
      </c>
      <c r="S948" s="48" t="e">
        <f t="shared" si="421"/>
        <v>#VALUE!</v>
      </c>
      <c r="T948" s="47" t="str">
        <f t="shared" si="432"/>
        <v/>
      </c>
      <c r="U948" s="49"/>
      <c r="V948" s="50"/>
      <c r="W948" s="51" t="e">
        <f t="shared" si="433"/>
        <v>#VALUE!</v>
      </c>
      <c r="X948" s="52"/>
      <c r="Y948" s="52"/>
      <c r="Z948" s="52"/>
      <c r="AA948" s="47" t="e">
        <f>INDEX(VISITORS[INSECT ORDER], MATCH(X948,VISITORS[NAME USED],0))</f>
        <v>#N/A</v>
      </c>
      <c r="AB948" s="47" t="e">
        <f t="shared" si="434"/>
        <v>#N/A</v>
      </c>
      <c r="AC948" s="53" t="e">
        <f t="shared" si="435"/>
        <v>#VALUE!</v>
      </c>
      <c r="AD948" s="54" t="str">
        <f t="shared" si="447"/>
        <v/>
      </c>
      <c r="AE948" s="54"/>
      <c r="AF948" s="54"/>
      <c r="AG948" s="55" t="str">
        <f t="shared" si="436"/>
        <v/>
      </c>
      <c r="AH948" s="56" t="str">
        <f t="shared" si="437"/>
        <v/>
      </c>
      <c r="AI948" s="55"/>
      <c r="AJ948" s="56" t="str">
        <f t="shared" si="438"/>
        <v/>
      </c>
      <c r="AK948" s="55"/>
      <c r="AL948" s="56" t="str">
        <f t="shared" si="439"/>
        <v/>
      </c>
      <c r="AM948" s="55"/>
      <c r="AN948" s="56" t="str">
        <f t="shared" si="440"/>
        <v/>
      </c>
      <c r="AO948" s="55"/>
      <c r="AP948" s="56" t="str">
        <f t="shared" si="441"/>
        <v/>
      </c>
      <c r="AQ948" s="55"/>
      <c r="AR948" s="56" t="str">
        <f t="shared" si="442"/>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v>
      </c>
      <c r="C949" s="73">
        <f t="shared" si="443"/>
        <v>15</v>
      </c>
      <c r="D949" s="74">
        <f t="shared" si="428"/>
        <v>5</v>
      </c>
      <c r="E949" s="75">
        <f t="shared" si="444"/>
        <v>20</v>
      </c>
      <c r="F949" s="79"/>
      <c r="G949" s="82"/>
      <c r="H949" s="68" t="str">
        <f t="shared" si="445"/>
        <v>Hyprev7_20211115_05_00</v>
      </c>
      <c r="I949" s="69">
        <f t="shared" ref="I949:N964" si="450">I948</f>
        <v>1</v>
      </c>
      <c r="J949" s="76" t="str">
        <f t="shared" si="450"/>
        <v>Hypericum</v>
      </c>
      <c r="K949" s="76" t="str">
        <f t="shared" si="450"/>
        <v>revolutum</v>
      </c>
      <c r="L949" s="77">
        <f t="shared" si="450"/>
        <v>7</v>
      </c>
      <c r="M949" s="77">
        <f t="shared" si="450"/>
        <v>2</v>
      </c>
      <c r="N949" s="71">
        <f t="shared" si="450"/>
        <v>0</v>
      </c>
      <c r="O949" s="44"/>
      <c r="P949" s="45" t="str">
        <f t="shared" si="429"/>
        <v/>
      </c>
      <c r="Q949" s="46" t="str">
        <f t="shared" si="430"/>
        <v/>
      </c>
      <c r="R949" s="47" t="e">
        <f t="shared" si="431"/>
        <v>#VALUE!</v>
      </c>
      <c r="S949" s="48" t="e">
        <f t="shared" si="421"/>
        <v>#VALUE!</v>
      </c>
      <c r="T949" s="47" t="str">
        <f t="shared" si="432"/>
        <v/>
      </c>
      <c r="U949" s="49"/>
      <c r="V949" s="50"/>
      <c r="W949" s="51" t="e">
        <f t="shared" si="433"/>
        <v>#VALUE!</v>
      </c>
      <c r="X949" s="52"/>
      <c r="Y949" s="52"/>
      <c r="Z949" s="52"/>
      <c r="AA949" s="47" t="e">
        <f>INDEX(VISITORS[INSECT ORDER], MATCH(X949,VISITORS[NAME USED],0))</f>
        <v>#N/A</v>
      </c>
      <c r="AB949" s="47" t="e">
        <f t="shared" si="434"/>
        <v>#N/A</v>
      </c>
      <c r="AC949" s="53" t="e">
        <f t="shared" si="435"/>
        <v>#VALUE!</v>
      </c>
      <c r="AD949" s="54" t="str">
        <f t="shared" si="447"/>
        <v/>
      </c>
      <c r="AE949" s="54"/>
      <c r="AF949" s="54"/>
      <c r="AG949" s="55" t="str">
        <f t="shared" si="436"/>
        <v/>
      </c>
      <c r="AH949" s="56" t="str">
        <f t="shared" si="437"/>
        <v/>
      </c>
      <c r="AI949" s="55"/>
      <c r="AJ949" s="56" t="str">
        <f t="shared" si="438"/>
        <v/>
      </c>
      <c r="AK949" s="55"/>
      <c r="AL949" s="56" t="str">
        <f t="shared" si="439"/>
        <v/>
      </c>
      <c r="AM949" s="55"/>
      <c r="AN949" s="56" t="str">
        <f t="shared" si="440"/>
        <v/>
      </c>
      <c r="AO949" s="55"/>
      <c r="AP949" s="56" t="str">
        <f t="shared" si="441"/>
        <v/>
      </c>
      <c r="AQ949" s="55"/>
      <c r="AR949" s="56" t="str">
        <f t="shared" si="442"/>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v>
      </c>
      <c r="C950" s="73">
        <f t="shared" si="443"/>
        <v>15</v>
      </c>
      <c r="D950" s="74">
        <f t="shared" si="428"/>
        <v>5</v>
      </c>
      <c r="E950" s="75">
        <f t="shared" si="444"/>
        <v>21</v>
      </c>
      <c r="F950" s="79"/>
      <c r="G950" s="82"/>
      <c r="H950" s="68" t="str">
        <f t="shared" si="445"/>
        <v>Hyprev7_20211115_05_00</v>
      </c>
      <c r="I950" s="69">
        <f t="shared" si="450"/>
        <v>1</v>
      </c>
      <c r="J950" s="76" t="str">
        <f t="shared" si="450"/>
        <v>Hypericum</v>
      </c>
      <c r="K950" s="76" t="str">
        <f t="shared" si="450"/>
        <v>revolutum</v>
      </c>
      <c r="L950" s="77">
        <f t="shared" si="450"/>
        <v>7</v>
      </c>
      <c r="M950" s="77">
        <f t="shared" si="450"/>
        <v>2</v>
      </c>
      <c r="N950" s="71">
        <f t="shared" si="450"/>
        <v>0</v>
      </c>
      <c r="O950" s="44"/>
      <c r="P950" s="45" t="str">
        <f t="shared" si="429"/>
        <v/>
      </c>
      <c r="Q950" s="46" t="str">
        <f t="shared" si="430"/>
        <v/>
      </c>
      <c r="R950" s="47" t="e">
        <f t="shared" si="431"/>
        <v>#VALUE!</v>
      </c>
      <c r="S950" s="48" t="e">
        <f t="shared" si="421"/>
        <v>#VALUE!</v>
      </c>
      <c r="T950" s="47" t="str">
        <f t="shared" si="432"/>
        <v/>
      </c>
      <c r="U950" s="49"/>
      <c r="V950" s="50"/>
      <c r="W950" s="51" t="e">
        <f t="shared" si="433"/>
        <v>#VALUE!</v>
      </c>
      <c r="X950" s="52"/>
      <c r="Y950" s="52"/>
      <c r="Z950" s="52"/>
      <c r="AA950" s="47" t="e">
        <f>INDEX(VISITORS[INSECT ORDER], MATCH(X950,VISITORS[NAME USED],0))</f>
        <v>#N/A</v>
      </c>
      <c r="AB950" s="47" t="e">
        <f t="shared" si="434"/>
        <v>#N/A</v>
      </c>
      <c r="AC950" s="53" t="e">
        <f t="shared" si="435"/>
        <v>#VALUE!</v>
      </c>
      <c r="AD950" s="54" t="str">
        <f t="shared" si="447"/>
        <v/>
      </c>
      <c r="AE950" s="54"/>
      <c r="AF950" s="54"/>
      <c r="AG950" s="55" t="str">
        <f t="shared" si="436"/>
        <v/>
      </c>
      <c r="AH950" s="56" t="str">
        <f t="shared" si="437"/>
        <v/>
      </c>
      <c r="AI950" s="55"/>
      <c r="AJ950" s="56" t="str">
        <f t="shared" si="438"/>
        <v/>
      </c>
      <c r="AK950" s="55"/>
      <c r="AL950" s="56" t="str">
        <f t="shared" si="439"/>
        <v/>
      </c>
      <c r="AM950" s="55"/>
      <c r="AN950" s="56" t="str">
        <f t="shared" si="440"/>
        <v/>
      </c>
      <c r="AO950" s="55"/>
      <c r="AP950" s="56" t="str">
        <f t="shared" si="441"/>
        <v/>
      </c>
      <c r="AQ950" s="55"/>
      <c r="AR950" s="56" t="str">
        <f t="shared" si="442"/>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v>
      </c>
      <c r="C951" s="73">
        <f t="shared" si="443"/>
        <v>15</v>
      </c>
      <c r="D951" s="74">
        <f t="shared" si="428"/>
        <v>5</v>
      </c>
      <c r="E951" s="75">
        <f t="shared" si="444"/>
        <v>22</v>
      </c>
      <c r="F951" s="79"/>
      <c r="G951" s="82"/>
      <c r="H951" s="68" t="str">
        <f t="shared" si="445"/>
        <v>Hyprev7_20211115_05_00</v>
      </c>
      <c r="I951" s="69">
        <f t="shared" si="450"/>
        <v>1</v>
      </c>
      <c r="J951" s="76" t="str">
        <f t="shared" si="450"/>
        <v>Hypericum</v>
      </c>
      <c r="K951" s="76" t="str">
        <f t="shared" si="450"/>
        <v>revolutum</v>
      </c>
      <c r="L951" s="77">
        <f t="shared" si="450"/>
        <v>7</v>
      </c>
      <c r="M951" s="77">
        <f t="shared" si="450"/>
        <v>2</v>
      </c>
      <c r="N951" s="71">
        <f t="shared" si="450"/>
        <v>0</v>
      </c>
      <c r="O951" s="44"/>
      <c r="P951" s="45" t="str">
        <f t="shared" si="429"/>
        <v/>
      </c>
      <c r="Q951" s="46" t="str">
        <f t="shared" si="430"/>
        <v/>
      </c>
      <c r="R951" s="47" t="e">
        <f t="shared" si="431"/>
        <v>#VALUE!</v>
      </c>
      <c r="S951" s="48" t="e">
        <f t="shared" si="421"/>
        <v>#VALUE!</v>
      </c>
      <c r="T951" s="47" t="str">
        <f t="shared" si="432"/>
        <v/>
      </c>
      <c r="U951" s="49"/>
      <c r="V951" s="50"/>
      <c r="W951" s="51" t="e">
        <f t="shared" si="433"/>
        <v>#VALUE!</v>
      </c>
      <c r="X951" s="52"/>
      <c r="Y951" s="52"/>
      <c r="Z951" s="52"/>
      <c r="AA951" s="47" t="e">
        <f>INDEX(VISITORS[INSECT ORDER], MATCH(X951,VISITORS[NAME USED],0))</f>
        <v>#N/A</v>
      </c>
      <c r="AB951" s="47" t="e">
        <f t="shared" si="434"/>
        <v>#N/A</v>
      </c>
      <c r="AC951" s="53" t="e">
        <f t="shared" si="435"/>
        <v>#VALUE!</v>
      </c>
      <c r="AD951" s="54" t="str">
        <f t="shared" si="447"/>
        <v/>
      </c>
      <c r="AE951" s="54"/>
      <c r="AF951" s="54"/>
      <c r="AG951" s="55" t="str">
        <f t="shared" si="436"/>
        <v/>
      </c>
      <c r="AH951" s="56" t="str">
        <f t="shared" si="437"/>
        <v/>
      </c>
      <c r="AI951" s="55"/>
      <c r="AJ951" s="56" t="str">
        <f t="shared" si="438"/>
        <v/>
      </c>
      <c r="AK951" s="55"/>
      <c r="AL951" s="56" t="str">
        <f t="shared" si="439"/>
        <v/>
      </c>
      <c r="AM951" s="55"/>
      <c r="AN951" s="56" t="str">
        <f t="shared" si="440"/>
        <v/>
      </c>
      <c r="AO951" s="55"/>
      <c r="AP951" s="56" t="str">
        <f t="shared" si="441"/>
        <v/>
      </c>
      <c r="AQ951" s="55"/>
      <c r="AR951" s="56" t="str">
        <f t="shared" si="442"/>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v>
      </c>
      <c r="C952" s="73">
        <f t="shared" si="443"/>
        <v>15</v>
      </c>
      <c r="D952" s="74">
        <f t="shared" si="428"/>
        <v>5</v>
      </c>
      <c r="E952" s="75">
        <f t="shared" si="444"/>
        <v>23</v>
      </c>
      <c r="F952" s="79"/>
      <c r="G952" s="82"/>
      <c r="H952" s="68" t="str">
        <f t="shared" si="445"/>
        <v>Hyprev7_20211115_05_00</v>
      </c>
      <c r="I952" s="69">
        <f t="shared" si="450"/>
        <v>1</v>
      </c>
      <c r="J952" s="76" t="str">
        <f t="shared" si="450"/>
        <v>Hypericum</v>
      </c>
      <c r="K952" s="76" t="str">
        <f t="shared" si="450"/>
        <v>revolutum</v>
      </c>
      <c r="L952" s="77">
        <f t="shared" si="450"/>
        <v>7</v>
      </c>
      <c r="M952" s="77">
        <f t="shared" si="450"/>
        <v>2</v>
      </c>
      <c r="N952" s="71">
        <f t="shared" si="450"/>
        <v>0</v>
      </c>
      <c r="O952" s="44"/>
      <c r="P952" s="45" t="str">
        <f t="shared" si="429"/>
        <v/>
      </c>
      <c r="Q952" s="46" t="str">
        <f t="shared" si="430"/>
        <v/>
      </c>
      <c r="R952" s="47" t="e">
        <f t="shared" si="431"/>
        <v>#VALUE!</v>
      </c>
      <c r="S952" s="48" t="e">
        <f t="shared" si="421"/>
        <v>#VALUE!</v>
      </c>
      <c r="T952" s="47" t="str">
        <f t="shared" si="432"/>
        <v/>
      </c>
      <c r="U952" s="49"/>
      <c r="V952" s="50"/>
      <c r="W952" s="51" t="e">
        <f t="shared" si="433"/>
        <v>#VALUE!</v>
      </c>
      <c r="X952" s="52"/>
      <c r="Y952" s="52"/>
      <c r="Z952" s="52"/>
      <c r="AA952" s="47" t="e">
        <f>INDEX(VISITORS[INSECT ORDER], MATCH(X952,VISITORS[NAME USED],0))</f>
        <v>#N/A</v>
      </c>
      <c r="AB952" s="47" t="e">
        <f t="shared" si="434"/>
        <v>#N/A</v>
      </c>
      <c r="AC952" s="53" t="e">
        <f t="shared" si="435"/>
        <v>#VALUE!</v>
      </c>
      <c r="AD952" s="54" t="str">
        <f t="shared" si="447"/>
        <v/>
      </c>
      <c r="AE952" s="54"/>
      <c r="AF952" s="54"/>
      <c r="AG952" s="55" t="str">
        <f t="shared" si="436"/>
        <v/>
      </c>
      <c r="AH952" s="56" t="str">
        <f t="shared" si="437"/>
        <v/>
      </c>
      <c r="AI952" s="55"/>
      <c r="AJ952" s="56" t="str">
        <f t="shared" si="438"/>
        <v/>
      </c>
      <c r="AK952" s="55"/>
      <c r="AL952" s="56" t="str">
        <f t="shared" si="439"/>
        <v/>
      </c>
      <c r="AM952" s="55"/>
      <c r="AN952" s="56" t="str">
        <f t="shared" si="440"/>
        <v/>
      </c>
      <c r="AO952" s="55"/>
      <c r="AP952" s="56" t="str">
        <f t="shared" si="441"/>
        <v/>
      </c>
      <c r="AQ952" s="55"/>
      <c r="AR952" s="56" t="str">
        <f t="shared" si="442"/>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2021</v>
      </c>
      <c r="B953" s="72" t="str">
        <f t="shared" si="427"/>
        <v>Nov</v>
      </c>
      <c r="C953" s="73">
        <f t="shared" si="443"/>
        <v>15</v>
      </c>
      <c r="D953" s="74">
        <f t="shared" si="428"/>
        <v>5</v>
      </c>
      <c r="E953" s="75">
        <f t="shared" si="444"/>
        <v>24</v>
      </c>
      <c r="F953" s="79">
        <v>45</v>
      </c>
      <c r="G953" s="82"/>
      <c r="H953" s="68" t="str">
        <f t="shared" si="445"/>
        <v>Hyprev7_20211115_05_00</v>
      </c>
      <c r="I953" s="69">
        <f t="shared" si="450"/>
        <v>1</v>
      </c>
      <c r="J953" s="76" t="str">
        <f t="shared" si="450"/>
        <v>Hypericum</v>
      </c>
      <c r="K953" s="76" t="str">
        <f t="shared" si="450"/>
        <v>revolutum</v>
      </c>
      <c r="L953" s="77">
        <f t="shared" si="450"/>
        <v>7</v>
      </c>
      <c r="M953" s="77">
        <f t="shared" si="450"/>
        <v>2</v>
      </c>
      <c r="N953" s="71">
        <f t="shared" si="450"/>
        <v>0</v>
      </c>
      <c r="O953" s="44"/>
      <c r="P953" s="45">
        <f t="shared" si="429"/>
        <v>1</v>
      </c>
      <c r="Q953" s="46" t="str">
        <f t="shared" si="430"/>
        <v>05:24:45</v>
      </c>
      <c r="R953" s="47" t="str">
        <f t="shared" si="431"/>
        <v>24:45</v>
      </c>
      <c r="S953" s="48">
        <f t="shared" si="421"/>
        <v>15</v>
      </c>
      <c r="T953" s="47" t="str">
        <f t="shared" si="432"/>
        <v>05</v>
      </c>
      <c r="U953" s="49">
        <v>25</v>
      </c>
      <c r="V953" s="50">
        <v>0</v>
      </c>
      <c r="W953" s="51" t="str">
        <f t="shared" si="433"/>
        <v>25:00</v>
      </c>
      <c r="X953" s="52" t="s">
        <v>145</v>
      </c>
      <c r="Y953" s="124" t="s">
        <v>260</v>
      </c>
      <c r="Z953" s="124"/>
      <c r="AA953" s="47" t="s">
        <v>255</v>
      </c>
      <c r="AB953" s="47" t="str">
        <f t="shared" si="434"/>
        <v>NA</v>
      </c>
      <c r="AC953" s="53" t="str">
        <f t="shared" si="435"/>
        <v/>
      </c>
      <c r="AD953" s="54">
        <f t="shared" si="447"/>
        <v>1</v>
      </c>
      <c r="AE953" s="54"/>
      <c r="AF953" s="54"/>
      <c r="AG953" s="55" t="str">
        <f t="shared" si="436"/>
        <v/>
      </c>
      <c r="AH953" s="56" t="str">
        <f t="shared" si="437"/>
        <v/>
      </c>
      <c r="AI953" s="55"/>
      <c r="AJ953" s="56" t="str">
        <f t="shared" si="438"/>
        <v/>
      </c>
      <c r="AK953" s="55"/>
      <c r="AL953" s="56" t="str">
        <f t="shared" si="439"/>
        <v/>
      </c>
      <c r="AM953" s="55"/>
      <c r="AN953" s="56" t="str">
        <f t="shared" si="440"/>
        <v/>
      </c>
      <c r="AO953" s="55"/>
      <c r="AP953" s="56" t="str">
        <f t="shared" si="441"/>
        <v/>
      </c>
      <c r="AQ953" s="55"/>
      <c r="AR953" s="56" t="str">
        <f t="shared" si="442"/>
        <v/>
      </c>
      <c r="AS953" s="57" t="s">
        <v>68</v>
      </c>
      <c r="AT953" s="58"/>
      <c r="AU953" s="58"/>
      <c r="AV953" s="59"/>
      <c r="AW953" s="60">
        <f t="shared" si="422"/>
        <v>0</v>
      </c>
      <c r="AX953" s="61" t="str">
        <f t="shared" si="423"/>
        <v/>
      </c>
      <c r="AY953" s="60">
        <f t="shared" si="424"/>
        <v>0</v>
      </c>
      <c r="AZ953" s="61" t="str">
        <f t="shared" si="425"/>
        <v/>
      </c>
    </row>
    <row r="954" spans="1:52" s="3" customFormat="1" hidden="1" x14ac:dyDescent="0.35">
      <c r="A954" s="72">
        <f t="shared" si="426"/>
        <v>2021</v>
      </c>
      <c r="B954" s="72" t="str">
        <f t="shared" si="427"/>
        <v>Nov</v>
      </c>
      <c r="C954" s="73">
        <f t="shared" si="443"/>
        <v>15</v>
      </c>
      <c r="D954" s="74">
        <f t="shared" si="428"/>
        <v>5</v>
      </c>
      <c r="E954" s="75">
        <f t="shared" si="444"/>
        <v>25</v>
      </c>
      <c r="F954" s="79"/>
      <c r="G954" s="82"/>
      <c r="H954" s="68" t="str">
        <f t="shared" si="445"/>
        <v>Hyprev7_20211115_05_00</v>
      </c>
      <c r="I954" s="69">
        <f t="shared" si="450"/>
        <v>1</v>
      </c>
      <c r="J954" s="76" t="str">
        <f t="shared" si="450"/>
        <v>Hypericum</v>
      </c>
      <c r="K954" s="76" t="str">
        <f t="shared" si="450"/>
        <v>revolutum</v>
      </c>
      <c r="L954" s="77">
        <f t="shared" si="450"/>
        <v>7</v>
      </c>
      <c r="M954" s="77">
        <f t="shared" si="450"/>
        <v>2</v>
      </c>
      <c r="N954" s="71">
        <f t="shared" si="450"/>
        <v>0</v>
      </c>
      <c r="O954" s="44"/>
      <c r="P954" s="45" t="str">
        <f t="shared" si="429"/>
        <v/>
      </c>
      <c r="Q954" s="46" t="str">
        <f t="shared" si="430"/>
        <v/>
      </c>
      <c r="R954" s="47" t="e">
        <f t="shared" si="431"/>
        <v>#VALUE!</v>
      </c>
      <c r="S954" s="48" t="e">
        <f t="shared" si="421"/>
        <v>#VALUE!</v>
      </c>
      <c r="T954" s="47" t="str">
        <f t="shared" si="432"/>
        <v/>
      </c>
      <c r="U954" s="49"/>
      <c r="V954" s="50"/>
      <c r="W954" s="51" t="e">
        <f t="shared" si="433"/>
        <v>#VALUE!</v>
      </c>
      <c r="X954" s="52"/>
      <c r="Y954" s="52"/>
      <c r="Z954" s="52"/>
      <c r="AA954" s="47" t="e">
        <f>INDEX(VISITORS[INSECT ORDER], MATCH(X954,VISITORS[NAME USED],0))</f>
        <v>#N/A</v>
      </c>
      <c r="AB954" s="47" t="e">
        <f t="shared" si="434"/>
        <v>#N/A</v>
      </c>
      <c r="AC954" s="53" t="e">
        <f t="shared" si="435"/>
        <v>#VALUE!</v>
      </c>
      <c r="AD954" s="54" t="str">
        <f t="shared" si="447"/>
        <v/>
      </c>
      <c r="AE954" s="54"/>
      <c r="AF954" s="54"/>
      <c r="AG954" s="55" t="str">
        <f t="shared" si="436"/>
        <v/>
      </c>
      <c r="AH954" s="56" t="str">
        <f t="shared" si="437"/>
        <v/>
      </c>
      <c r="AI954" s="55"/>
      <c r="AJ954" s="56" t="str">
        <f t="shared" si="438"/>
        <v/>
      </c>
      <c r="AK954" s="55"/>
      <c r="AL954" s="56" t="str">
        <f t="shared" si="439"/>
        <v/>
      </c>
      <c r="AM954" s="55"/>
      <c r="AN954" s="56" t="str">
        <f t="shared" si="440"/>
        <v/>
      </c>
      <c r="AO954" s="55"/>
      <c r="AP954" s="56" t="str">
        <f t="shared" si="441"/>
        <v/>
      </c>
      <c r="AQ954" s="55"/>
      <c r="AR954" s="56" t="str">
        <f t="shared" si="442"/>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2021</v>
      </c>
      <c r="B955" s="72" t="str">
        <f t="shared" si="427"/>
        <v>Nov</v>
      </c>
      <c r="C955" s="73">
        <f t="shared" si="443"/>
        <v>15</v>
      </c>
      <c r="D955" s="74">
        <f t="shared" si="428"/>
        <v>5</v>
      </c>
      <c r="E955" s="75">
        <f t="shared" si="444"/>
        <v>26</v>
      </c>
      <c r="F955" s="79"/>
      <c r="G955" s="82"/>
      <c r="H955" s="68" t="str">
        <f t="shared" si="445"/>
        <v>Hyprev7_20211115_05_00</v>
      </c>
      <c r="I955" s="69">
        <f t="shared" si="450"/>
        <v>1</v>
      </c>
      <c r="J955" s="76" t="str">
        <f t="shared" si="450"/>
        <v>Hypericum</v>
      </c>
      <c r="K955" s="76" t="str">
        <f t="shared" si="450"/>
        <v>revolutum</v>
      </c>
      <c r="L955" s="77">
        <f t="shared" si="450"/>
        <v>7</v>
      </c>
      <c r="M955" s="77">
        <f t="shared" si="450"/>
        <v>2</v>
      </c>
      <c r="N955" s="71">
        <f t="shared" si="450"/>
        <v>0</v>
      </c>
      <c r="O955" s="44"/>
      <c r="P955" s="45" t="str">
        <f t="shared" si="429"/>
        <v/>
      </c>
      <c r="Q955" s="46" t="str">
        <f t="shared" si="430"/>
        <v/>
      </c>
      <c r="R955" s="47" t="e">
        <f t="shared" si="431"/>
        <v>#VALUE!</v>
      </c>
      <c r="S955" s="48" t="e">
        <f t="shared" si="421"/>
        <v>#VALUE!</v>
      </c>
      <c r="T955" s="47" t="str">
        <f t="shared" si="432"/>
        <v/>
      </c>
      <c r="U955" s="49"/>
      <c r="V955" s="50"/>
      <c r="W955" s="51" t="e">
        <f t="shared" si="433"/>
        <v>#VALUE!</v>
      </c>
      <c r="X955" s="52"/>
      <c r="Y955" s="52"/>
      <c r="Z955" s="52"/>
      <c r="AA955" s="47" t="e">
        <f>INDEX(VISITORS[INSECT ORDER], MATCH(X955,VISITORS[NAME USED],0))</f>
        <v>#N/A</v>
      </c>
      <c r="AB955" s="47" t="e">
        <f t="shared" si="434"/>
        <v>#N/A</v>
      </c>
      <c r="AC955" s="53" t="e">
        <f t="shared" si="435"/>
        <v>#VALUE!</v>
      </c>
      <c r="AD955" s="54" t="str">
        <f t="shared" si="447"/>
        <v/>
      </c>
      <c r="AE955" s="54"/>
      <c r="AF955" s="54"/>
      <c r="AG955" s="55" t="str">
        <f t="shared" si="436"/>
        <v/>
      </c>
      <c r="AH955" s="56" t="str">
        <f t="shared" si="437"/>
        <v/>
      </c>
      <c r="AI955" s="55"/>
      <c r="AJ955" s="56" t="str">
        <f t="shared" si="438"/>
        <v/>
      </c>
      <c r="AK955" s="55"/>
      <c r="AL955" s="56" t="str">
        <f t="shared" si="439"/>
        <v/>
      </c>
      <c r="AM955" s="55"/>
      <c r="AN955" s="56" t="str">
        <f t="shared" si="440"/>
        <v/>
      </c>
      <c r="AO955" s="55"/>
      <c r="AP955" s="56" t="str">
        <f t="shared" si="441"/>
        <v/>
      </c>
      <c r="AQ955" s="55"/>
      <c r="AR955" s="56" t="str">
        <f t="shared" si="442"/>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2021</v>
      </c>
      <c r="B956" s="72" t="str">
        <f t="shared" si="427"/>
        <v>Nov</v>
      </c>
      <c r="C956" s="73">
        <f t="shared" si="443"/>
        <v>15</v>
      </c>
      <c r="D956" s="74">
        <f t="shared" si="428"/>
        <v>5</v>
      </c>
      <c r="E956" s="75">
        <f t="shared" si="444"/>
        <v>27</v>
      </c>
      <c r="F956" s="79"/>
      <c r="G956" s="82"/>
      <c r="H956" s="68" t="str">
        <f t="shared" si="445"/>
        <v>Hyprev7_20211115_05_00</v>
      </c>
      <c r="I956" s="69">
        <f t="shared" si="450"/>
        <v>1</v>
      </c>
      <c r="J956" s="76" t="str">
        <f t="shared" si="450"/>
        <v>Hypericum</v>
      </c>
      <c r="K956" s="76" t="str">
        <f t="shared" si="450"/>
        <v>revolutum</v>
      </c>
      <c r="L956" s="77">
        <f t="shared" si="450"/>
        <v>7</v>
      </c>
      <c r="M956" s="77">
        <f t="shared" si="450"/>
        <v>2</v>
      </c>
      <c r="N956" s="71">
        <f t="shared" si="450"/>
        <v>0</v>
      </c>
      <c r="O956" s="44"/>
      <c r="P956" s="45" t="str">
        <f t="shared" si="429"/>
        <v/>
      </c>
      <c r="Q956" s="46" t="str">
        <f t="shared" si="430"/>
        <v/>
      </c>
      <c r="R956" s="47" t="e">
        <f t="shared" si="431"/>
        <v>#VALUE!</v>
      </c>
      <c r="S956" s="48" t="e">
        <f t="shared" si="421"/>
        <v>#VALUE!</v>
      </c>
      <c r="T956" s="47" t="str">
        <f t="shared" si="432"/>
        <v/>
      </c>
      <c r="U956" s="49"/>
      <c r="V956" s="50"/>
      <c r="W956" s="51" t="e">
        <f t="shared" si="433"/>
        <v>#VALUE!</v>
      </c>
      <c r="X956" s="52"/>
      <c r="Y956" s="52"/>
      <c r="Z956" s="52"/>
      <c r="AA956" s="47" t="e">
        <f>INDEX(VISITORS[INSECT ORDER], MATCH(X956,VISITORS[NAME USED],0))</f>
        <v>#N/A</v>
      </c>
      <c r="AB956" s="47" t="e">
        <f t="shared" si="434"/>
        <v>#N/A</v>
      </c>
      <c r="AC956" s="53" t="e">
        <f t="shared" si="435"/>
        <v>#VALUE!</v>
      </c>
      <c r="AD956" s="54" t="str">
        <f t="shared" si="447"/>
        <v/>
      </c>
      <c r="AE956" s="54"/>
      <c r="AF956" s="54"/>
      <c r="AG956" s="55" t="str">
        <f t="shared" si="436"/>
        <v/>
      </c>
      <c r="AH956" s="56" t="str">
        <f t="shared" si="437"/>
        <v/>
      </c>
      <c r="AI956" s="55"/>
      <c r="AJ956" s="56" t="str">
        <f t="shared" si="438"/>
        <v/>
      </c>
      <c r="AK956" s="55"/>
      <c r="AL956" s="56" t="str">
        <f t="shared" si="439"/>
        <v/>
      </c>
      <c r="AM956" s="55"/>
      <c r="AN956" s="56" t="str">
        <f t="shared" si="440"/>
        <v/>
      </c>
      <c r="AO956" s="55"/>
      <c r="AP956" s="56" t="str">
        <f t="shared" si="441"/>
        <v/>
      </c>
      <c r="AQ956" s="55"/>
      <c r="AR956" s="56" t="str">
        <f t="shared" si="442"/>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v>
      </c>
      <c r="C957" s="73">
        <f t="shared" si="443"/>
        <v>15</v>
      </c>
      <c r="D957" s="74">
        <f t="shared" si="428"/>
        <v>5</v>
      </c>
      <c r="E957" s="75">
        <f t="shared" si="444"/>
        <v>28</v>
      </c>
      <c r="F957" s="79"/>
      <c r="G957" s="82"/>
      <c r="H957" s="68" t="str">
        <f t="shared" si="445"/>
        <v>Hyprev7_20211115_05_00</v>
      </c>
      <c r="I957" s="69">
        <f t="shared" si="450"/>
        <v>1</v>
      </c>
      <c r="J957" s="76" t="str">
        <f t="shared" si="450"/>
        <v>Hypericum</v>
      </c>
      <c r="K957" s="76" t="str">
        <f t="shared" si="450"/>
        <v>revolutum</v>
      </c>
      <c r="L957" s="77">
        <f t="shared" si="450"/>
        <v>7</v>
      </c>
      <c r="M957" s="77">
        <f t="shared" si="450"/>
        <v>2</v>
      </c>
      <c r="N957" s="71">
        <f t="shared" si="450"/>
        <v>0</v>
      </c>
      <c r="O957" s="44"/>
      <c r="P957" s="45" t="str">
        <f t="shared" si="429"/>
        <v/>
      </c>
      <c r="Q957" s="46" t="str">
        <f t="shared" si="430"/>
        <v/>
      </c>
      <c r="R957" s="47" t="e">
        <f t="shared" si="431"/>
        <v>#VALUE!</v>
      </c>
      <c r="S957" s="48" t="e">
        <f t="shared" si="421"/>
        <v>#VALUE!</v>
      </c>
      <c r="T957" s="47" t="str">
        <f t="shared" si="432"/>
        <v/>
      </c>
      <c r="U957" s="49"/>
      <c r="V957" s="50"/>
      <c r="W957" s="51" t="e">
        <f t="shared" si="433"/>
        <v>#VALUE!</v>
      </c>
      <c r="X957" s="52"/>
      <c r="Y957" s="52"/>
      <c r="Z957" s="52"/>
      <c r="AA957" s="47" t="e">
        <f>INDEX(VISITORS[INSECT ORDER], MATCH(X957,VISITORS[NAME USED],0))</f>
        <v>#N/A</v>
      </c>
      <c r="AB957" s="47" t="e">
        <f t="shared" si="434"/>
        <v>#N/A</v>
      </c>
      <c r="AC957" s="53" t="e">
        <f t="shared" si="435"/>
        <v>#VALUE!</v>
      </c>
      <c r="AD957" s="54" t="str">
        <f t="shared" si="447"/>
        <v/>
      </c>
      <c r="AE957" s="54"/>
      <c r="AF957" s="54"/>
      <c r="AG957" s="55" t="str">
        <f t="shared" si="436"/>
        <v/>
      </c>
      <c r="AH957" s="56" t="str">
        <f t="shared" si="437"/>
        <v/>
      </c>
      <c r="AI957" s="55"/>
      <c r="AJ957" s="56" t="str">
        <f t="shared" si="438"/>
        <v/>
      </c>
      <c r="AK957" s="55"/>
      <c r="AL957" s="56" t="str">
        <f t="shared" si="439"/>
        <v/>
      </c>
      <c r="AM957" s="55"/>
      <c r="AN957" s="56" t="str">
        <f t="shared" si="440"/>
        <v/>
      </c>
      <c r="AO957" s="55"/>
      <c r="AP957" s="56" t="str">
        <f t="shared" si="441"/>
        <v/>
      </c>
      <c r="AQ957" s="55"/>
      <c r="AR957" s="56" t="str">
        <f t="shared" si="442"/>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v>
      </c>
      <c r="C958" s="73">
        <f t="shared" si="443"/>
        <v>15</v>
      </c>
      <c r="D958" s="74">
        <f t="shared" si="428"/>
        <v>5</v>
      </c>
      <c r="E958" s="75">
        <f t="shared" si="444"/>
        <v>29</v>
      </c>
      <c r="F958" s="79"/>
      <c r="G958" s="82"/>
      <c r="H958" s="68" t="str">
        <f t="shared" si="445"/>
        <v>Hyprev7_20211115_05_00</v>
      </c>
      <c r="I958" s="69">
        <f t="shared" si="450"/>
        <v>1</v>
      </c>
      <c r="J958" s="76" t="str">
        <f t="shared" si="450"/>
        <v>Hypericum</v>
      </c>
      <c r="K958" s="76" t="str">
        <f t="shared" si="450"/>
        <v>revolutum</v>
      </c>
      <c r="L958" s="77">
        <f t="shared" si="450"/>
        <v>7</v>
      </c>
      <c r="M958" s="77">
        <f t="shared" si="450"/>
        <v>2</v>
      </c>
      <c r="N958" s="71">
        <f t="shared" si="450"/>
        <v>0</v>
      </c>
      <c r="O958" s="44"/>
      <c r="P958" s="45" t="str">
        <f t="shared" si="429"/>
        <v/>
      </c>
      <c r="Q958" s="46" t="str">
        <f t="shared" si="430"/>
        <v/>
      </c>
      <c r="R958" s="47" t="e">
        <f t="shared" si="431"/>
        <v>#VALUE!</v>
      </c>
      <c r="S958" s="48" t="e">
        <f t="shared" si="421"/>
        <v>#VALUE!</v>
      </c>
      <c r="T958" s="47" t="str">
        <f t="shared" si="432"/>
        <v/>
      </c>
      <c r="U958" s="49"/>
      <c r="V958" s="50"/>
      <c r="W958" s="51" t="e">
        <f t="shared" si="433"/>
        <v>#VALUE!</v>
      </c>
      <c r="X958" s="52"/>
      <c r="Y958" s="52"/>
      <c r="Z958" s="52"/>
      <c r="AA958" s="47" t="e">
        <f>INDEX(VISITORS[INSECT ORDER], MATCH(X958,VISITORS[NAME USED],0))</f>
        <v>#N/A</v>
      </c>
      <c r="AB958" s="47" t="e">
        <f t="shared" si="434"/>
        <v>#N/A</v>
      </c>
      <c r="AC958" s="53" t="e">
        <f t="shared" si="435"/>
        <v>#VALUE!</v>
      </c>
      <c r="AD958" s="54" t="str">
        <f t="shared" si="447"/>
        <v/>
      </c>
      <c r="AE958" s="54"/>
      <c r="AF958" s="54"/>
      <c r="AG958" s="55" t="str">
        <f t="shared" si="436"/>
        <v/>
      </c>
      <c r="AH958" s="56" t="str">
        <f t="shared" si="437"/>
        <v/>
      </c>
      <c r="AI958" s="55"/>
      <c r="AJ958" s="56" t="str">
        <f t="shared" si="438"/>
        <v/>
      </c>
      <c r="AK958" s="55"/>
      <c r="AL958" s="56" t="str">
        <f t="shared" si="439"/>
        <v/>
      </c>
      <c r="AM958" s="55"/>
      <c r="AN958" s="56" t="str">
        <f t="shared" si="440"/>
        <v/>
      </c>
      <c r="AO958" s="55"/>
      <c r="AP958" s="56" t="str">
        <f t="shared" si="441"/>
        <v/>
      </c>
      <c r="AQ958" s="55"/>
      <c r="AR958" s="56" t="str">
        <f t="shared" si="442"/>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v>
      </c>
      <c r="C959" s="73">
        <f t="shared" si="443"/>
        <v>15</v>
      </c>
      <c r="D959" s="74">
        <f t="shared" si="428"/>
        <v>5</v>
      </c>
      <c r="E959" s="75">
        <f t="shared" si="444"/>
        <v>30</v>
      </c>
      <c r="F959" s="79"/>
      <c r="G959" s="82"/>
      <c r="H959" s="68" t="str">
        <f t="shared" si="445"/>
        <v>Hyprev7_20211115_05_00</v>
      </c>
      <c r="I959" s="69">
        <f t="shared" si="450"/>
        <v>1</v>
      </c>
      <c r="J959" s="76" t="str">
        <f t="shared" si="450"/>
        <v>Hypericum</v>
      </c>
      <c r="K959" s="76" t="str">
        <f t="shared" si="450"/>
        <v>revolutum</v>
      </c>
      <c r="L959" s="77">
        <f t="shared" si="450"/>
        <v>7</v>
      </c>
      <c r="M959" s="77">
        <f t="shared" si="450"/>
        <v>2</v>
      </c>
      <c r="N959" s="71">
        <f t="shared" si="450"/>
        <v>0</v>
      </c>
      <c r="O959" s="44"/>
      <c r="P959" s="45" t="str">
        <f t="shared" si="429"/>
        <v/>
      </c>
      <c r="Q959" s="46" t="str">
        <f t="shared" si="430"/>
        <v/>
      </c>
      <c r="R959" s="47" t="e">
        <f t="shared" si="431"/>
        <v>#VALUE!</v>
      </c>
      <c r="S959" s="48" t="e">
        <f t="shared" si="421"/>
        <v>#VALUE!</v>
      </c>
      <c r="T959" s="47" t="str">
        <f t="shared" si="432"/>
        <v/>
      </c>
      <c r="U959" s="49"/>
      <c r="V959" s="50"/>
      <c r="W959" s="51" t="e">
        <f t="shared" si="433"/>
        <v>#VALUE!</v>
      </c>
      <c r="X959" s="52"/>
      <c r="Y959" s="52"/>
      <c r="Z959" s="52"/>
      <c r="AA959" s="47" t="e">
        <f>INDEX(VISITORS[INSECT ORDER], MATCH(X959,VISITORS[NAME USED],0))</f>
        <v>#N/A</v>
      </c>
      <c r="AB959" s="47" t="e">
        <f t="shared" si="434"/>
        <v>#N/A</v>
      </c>
      <c r="AC959" s="53" t="e">
        <f t="shared" si="435"/>
        <v>#VALUE!</v>
      </c>
      <c r="AD959" s="54" t="str">
        <f t="shared" si="447"/>
        <v/>
      </c>
      <c r="AE959" s="54"/>
      <c r="AF959" s="54"/>
      <c r="AG959" s="55" t="str">
        <f t="shared" si="436"/>
        <v/>
      </c>
      <c r="AH959" s="56" t="str">
        <f t="shared" si="437"/>
        <v/>
      </c>
      <c r="AI959" s="55"/>
      <c r="AJ959" s="56" t="str">
        <f t="shared" si="438"/>
        <v/>
      </c>
      <c r="AK959" s="55"/>
      <c r="AL959" s="56" t="str">
        <f t="shared" si="439"/>
        <v/>
      </c>
      <c r="AM959" s="55"/>
      <c r="AN959" s="56" t="str">
        <f t="shared" si="440"/>
        <v/>
      </c>
      <c r="AO959" s="55"/>
      <c r="AP959" s="56" t="str">
        <f t="shared" si="441"/>
        <v/>
      </c>
      <c r="AQ959" s="55"/>
      <c r="AR959" s="56" t="str">
        <f t="shared" si="442"/>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v>
      </c>
      <c r="C960" s="73">
        <f t="shared" si="443"/>
        <v>15</v>
      </c>
      <c r="D960" s="74">
        <f t="shared" si="428"/>
        <v>5</v>
      </c>
      <c r="E960" s="75">
        <f t="shared" si="444"/>
        <v>31</v>
      </c>
      <c r="F960" s="79"/>
      <c r="G960" s="82"/>
      <c r="H960" s="68" t="str">
        <f t="shared" si="445"/>
        <v>Hyprev7_20211115_05_00</v>
      </c>
      <c r="I960" s="69">
        <f t="shared" si="450"/>
        <v>1</v>
      </c>
      <c r="J960" s="76" t="str">
        <f t="shared" si="450"/>
        <v>Hypericum</v>
      </c>
      <c r="K960" s="76" t="str">
        <f t="shared" si="450"/>
        <v>revolutum</v>
      </c>
      <c r="L960" s="77">
        <f t="shared" si="450"/>
        <v>7</v>
      </c>
      <c r="M960" s="77">
        <f t="shared" si="450"/>
        <v>2</v>
      </c>
      <c r="N960" s="71">
        <f t="shared" si="450"/>
        <v>0</v>
      </c>
      <c r="O960" s="44"/>
      <c r="P960" s="45" t="str">
        <f t="shared" si="429"/>
        <v/>
      </c>
      <c r="Q960" s="46" t="str">
        <f t="shared" si="430"/>
        <v/>
      </c>
      <c r="R960" s="47" t="e">
        <f t="shared" si="431"/>
        <v>#VALUE!</v>
      </c>
      <c r="S960" s="48" t="e">
        <f t="shared" si="421"/>
        <v>#VALUE!</v>
      </c>
      <c r="T960" s="47" t="str">
        <f t="shared" si="432"/>
        <v/>
      </c>
      <c r="U960" s="49"/>
      <c r="V960" s="50"/>
      <c r="W960" s="51" t="e">
        <f t="shared" si="433"/>
        <v>#VALUE!</v>
      </c>
      <c r="X960" s="52"/>
      <c r="Y960" s="52"/>
      <c r="Z960" s="52"/>
      <c r="AA960" s="47" t="e">
        <f>INDEX(VISITORS[INSECT ORDER], MATCH(X960,VISITORS[NAME USED],0))</f>
        <v>#N/A</v>
      </c>
      <c r="AB960" s="47" t="e">
        <f t="shared" si="434"/>
        <v>#N/A</v>
      </c>
      <c r="AC960" s="53" t="e">
        <f t="shared" si="435"/>
        <v>#VALUE!</v>
      </c>
      <c r="AD960" s="54" t="str">
        <f t="shared" si="447"/>
        <v/>
      </c>
      <c r="AE960" s="54"/>
      <c r="AF960" s="54"/>
      <c r="AG960" s="55" t="str">
        <f t="shared" si="436"/>
        <v/>
      </c>
      <c r="AH960" s="56" t="str">
        <f t="shared" si="437"/>
        <v/>
      </c>
      <c r="AI960" s="55"/>
      <c r="AJ960" s="56" t="str">
        <f t="shared" si="438"/>
        <v/>
      </c>
      <c r="AK960" s="55"/>
      <c r="AL960" s="56" t="str">
        <f t="shared" si="439"/>
        <v/>
      </c>
      <c r="AM960" s="55"/>
      <c r="AN960" s="56" t="str">
        <f t="shared" si="440"/>
        <v/>
      </c>
      <c r="AO960" s="55"/>
      <c r="AP960" s="56" t="str">
        <f t="shared" si="441"/>
        <v/>
      </c>
      <c r="AQ960" s="55"/>
      <c r="AR960" s="56" t="str">
        <f t="shared" si="442"/>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v>
      </c>
      <c r="C961" s="73">
        <f t="shared" si="443"/>
        <v>15</v>
      </c>
      <c r="D961" s="74">
        <f t="shared" si="428"/>
        <v>5</v>
      </c>
      <c r="E961" s="75">
        <f t="shared" si="444"/>
        <v>32</v>
      </c>
      <c r="F961" s="79"/>
      <c r="G961" s="82"/>
      <c r="H961" s="68" t="str">
        <f t="shared" si="445"/>
        <v>Hyprev7_20211115_05_00</v>
      </c>
      <c r="I961" s="69">
        <f t="shared" si="450"/>
        <v>1</v>
      </c>
      <c r="J961" s="76" t="str">
        <f t="shared" si="450"/>
        <v>Hypericum</v>
      </c>
      <c r="K961" s="76" t="str">
        <f t="shared" si="450"/>
        <v>revolutum</v>
      </c>
      <c r="L961" s="77">
        <f t="shared" si="450"/>
        <v>7</v>
      </c>
      <c r="M961" s="77">
        <f t="shared" si="450"/>
        <v>2</v>
      </c>
      <c r="N961" s="71">
        <f t="shared" si="450"/>
        <v>0</v>
      </c>
      <c r="O961" s="44"/>
      <c r="P961" s="45" t="str">
        <f t="shared" si="429"/>
        <v/>
      </c>
      <c r="Q961" s="46" t="str">
        <f t="shared" si="430"/>
        <v/>
      </c>
      <c r="R961" s="47" t="e">
        <f t="shared" si="431"/>
        <v>#VALUE!</v>
      </c>
      <c r="S961" s="48" t="e">
        <f t="shared" si="421"/>
        <v>#VALUE!</v>
      </c>
      <c r="T961" s="47" t="str">
        <f t="shared" si="432"/>
        <v/>
      </c>
      <c r="U961" s="49"/>
      <c r="V961" s="50"/>
      <c r="W961" s="51" t="e">
        <f t="shared" si="433"/>
        <v>#VALUE!</v>
      </c>
      <c r="X961" s="52"/>
      <c r="Y961" s="52"/>
      <c r="Z961" s="52"/>
      <c r="AA961" s="47" t="e">
        <f>INDEX(VISITORS[INSECT ORDER], MATCH(X961,VISITORS[NAME USED],0))</f>
        <v>#N/A</v>
      </c>
      <c r="AB961" s="47" t="e">
        <f t="shared" si="434"/>
        <v>#N/A</v>
      </c>
      <c r="AC961" s="53" t="e">
        <f t="shared" si="435"/>
        <v>#VALUE!</v>
      </c>
      <c r="AD961" s="54" t="str">
        <f t="shared" si="447"/>
        <v/>
      </c>
      <c r="AE961" s="54"/>
      <c r="AF961" s="54"/>
      <c r="AG961" s="55" t="str">
        <f t="shared" si="436"/>
        <v/>
      </c>
      <c r="AH961" s="56" t="str">
        <f t="shared" si="437"/>
        <v/>
      </c>
      <c r="AI961" s="55"/>
      <c r="AJ961" s="56" t="str">
        <f t="shared" si="438"/>
        <v/>
      </c>
      <c r="AK961" s="55"/>
      <c r="AL961" s="56" t="str">
        <f t="shared" si="439"/>
        <v/>
      </c>
      <c r="AM961" s="55"/>
      <c r="AN961" s="56" t="str">
        <f t="shared" si="440"/>
        <v/>
      </c>
      <c r="AO961" s="55"/>
      <c r="AP961" s="56" t="str">
        <f t="shared" si="441"/>
        <v/>
      </c>
      <c r="AQ961" s="55"/>
      <c r="AR961" s="56" t="str">
        <f t="shared" si="442"/>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v>
      </c>
      <c r="C962" s="73">
        <f t="shared" si="443"/>
        <v>15</v>
      </c>
      <c r="D962" s="74">
        <f t="shared" si="428"/>
        <v>5</v>
      </c>
      <c r="E962" s="75">
        <f t="shared" si="444"/>
        <v>33</v>
      </c>
      <c r="F962" s="79"/>
      <c r="G962" s="82"/>
      <c r="H962" s="68" t="str">
        <f t="shared" si="445"/>
        <v>Hyprev7_20211115_05_00</v>
      </c>
      <c r="I962" s="69">
        <f t="shared" si="450"/>
        <v>1</v>
      </c>
      <c r="J962" s="76" t="str">
        <f t="shared" si="450"/>
        <v>Hypericum</v>
      </c>
      <c r="K962" s="76" t="str">
        <f t="shared" si="450"/>
        <v>revolutum</v>
      </c>
      <c r="L962" s="77">
        <f t="shared" si="450"/>
        <v>7</v>
      </c>
      <c r="M962" s="77">
        <f t="shared" si="450"/>
        <v>2</v>
      </c>
      <c r="N962" s="71">
        <f t="shared" si="450"/>
        <v>0</v>
      </c>
      <c r="O962" s="44"/>
      <c r="P962" s="45" t="str">
        <f t="shared" si="429"/>
        <v/>
      </c>
      <c r="Q962" s="46" t="str">
        <f t="shared" si="430"/>
        <v/>
      </c>
      <c r="R962" s="47" t="e">
        <f t="shared" si="431"/>
        <v>#VALUE!</v>
      </c>
      <c r="S962" s="48" t="e">
        <f t="shared" si="421"/>
        <v>#VALUE!</v>
      </c>
      <c r="T962" s="47" t="str">
        <f t="shared" si="432"/>
        <v/>
      </c>
      <c r="U962" s="49"/>
      <c r="V962" s="50"/>
      <c r="W962" s="51" t="e">
        <f t="shared" si="433"/>
        <v>#VALUE!</v>
      </c>
      <c r="X962" s="52"/>
      <c r="Y962" s="52"/>
      <c r="Z962" s="52"/>
      <c r="AA962" s="47" t="e">
        <f>INDEX(VISITORS[INSECT ORDER], MATCH(X962,VISITORS[NAME USED],0))</f>
        <v>#N/A</v>
      </c>
      <c r="AB962" s="47" t="e">
        <f t="shared" si="434"/>
        <v>#N/A</v>
      </c>
      <c r="AC962" s="53" t="e">
        <f t="shared" si="435"/>
        <v>#VALUE!</v>
      </c>
      <c r="AD962" s="54" t="str">
        <f t="shared" si="447"/>
        <v/>
      </c>
      <c r="AE962" s="54"/>
      <c r="AF962" s="54"/>
      <c r="AG962" s="55" t="str">
        <f t="shared" si="436"/>
        <v/>
      </c>
      <c r="AH962" s="56" t="str">
        <f t="shared" si="437"/>
        <v/>
      </c>
      <c r="AI962" s="55"/>
      <c r="AJ962" s="56" t="str">
        <f t="shared" si="438"/>
        <v/>
      </c>
      <c r="AK962" s="55"/>
      <c r="AL962" s="56" t="str">
        <f t="shared" si="439"/>
        <v/>
      </c>
      <c r="AM962" s="55"/>
      <c r="AN962" s="56" t="str">
        <f t="shared" si="440"/>
        <v/>
      </c>
      <c r="AO962" s="55"/>
      <c r="AP962" s="56" t="str">
        <f t="shared" si="441"/>
        <v/>
      </c>
      <c r="AQ962" s="55"/>
      <c r="AR962" s="56" t="str">
        <f t="shared" si="442"/>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v>
      </c>
      <c r="C963" s="73">
        <f t="shared" si="443"/>
        <v>15</v>
      </c>
      <c r="D963" s="74">
        <f t="shared" si="428"/>
        <v>5</v>
      </c>
      <c r="E963" s="75">
        <f t="shared" si="444"/>
        <v>34</v>
      </c>
      <c r="F963" s="79"/>
      <c r="G963" s="82"/>
      <c r="H963" s="68" t="str">
        <f t="shared" si="445"/>
        <v>Hyprev7_20211115_05_00</v>
      </c>
      <c r="I963" s="69">
        <f t="shared" si="450"/>
        <v>1</v>
      </c>
      <c r="J963" s="76" t="str">
        <f t="shared" si="450"/>
        <v>Hypericum</v>
      </c>
      <c r="K963" s="76" t="str">
        <f t="shared" si="450"/>
        <v>revolutum</v>
      </c>
      <c r="L963" s="77">
        <f t="shared" si="450"/>
        <v>7</v>
      </c>
      <c r="M963" s="77">
        <f t="shared" si="450"/>
        <v>2</v>
      </c>
      <c r="N963" s="71">
        <f t="shared" si="450"/>
        <v>0</v>
      </c>
      <c r="O963" s="44"/>
      <c r="P963" s="45" t="str">
        <f t="shared" si="429"/>
        <v/>
      </c>
      <c r="Q963" s="46" t="str">
        <f t="shared" si="430"/>
        <v/>
      </c>
      <c r="R963" s="47" t="e">
        <f t="shared" si="431"/>
        <v>#VALUE!</v>
      </c>
      <c r="S963" s="48" t="e">
        <f t="shared" ref="S963:S1026" si="451">IF(T963&lt;D963, (T963*3600+U963*60+V963)+((23*3600+59*60+60)-(D963*3600+E963*60+LEFT(F963,2))), (T963*3600+U963*60+V963)-(D963*3600+E963*60+LEFT(F963,2)))</f>
        <v>#VALUE!</v>
      </c>
      <c r="T963" s="47" t="str">
        <f t="shared" si="432"/>
        <v/>
      </c>
      <c r="U963" s="49"/>
      <c r="V963" s="50"/>
      <c r="W963" s="51" t="e">
        <f t="shared" si="433"/>
        <v>#VALUE!</v>
      </c>
      <c r="X963" s="52"/>
      <c r="Y963" s="52"/>
      <c r="Z963" s="52"/>
      <c r="AA963" s="47" t="e">
        <f>INDEX(VISITORS[INSECT ORDER], MATCH(X963,VISITORS[NAME USED],0))</f>
        <v>#N/A</v>
      </c>
      <c r="AB963" s="47" t="e">
        <f t="shared" si="434"/>
        <v>#N/A</v>
      </c>
      <c r="AC963" s="53" t="e">
        <f t="shared" si="435"/>
        <v>#VALUE!</v>
      </c>
      <c r="AD963" s="54" t="str">
        <f t="shared" si="447"/>
        <v/>
      </c>
      <c r="AE963" s="54"/>
      <c r="AF963" s="54"/>
      <c r="AG963" s="55" t="str">
        <f t="shared" si="436"/>
        <v/>
      </c>
      <c r="AH963" s="56" t="str">
        <f t="shared" si="437"/>
        <v/>
      </c>
      <c r="AI963" s="55"/>
      <c r="AJ963" s="56" t="str">
        <f t="shared" si="438"/>
        <v/>
      </c>
      <c r="AK963" s="55"/>
      <c r="AL963" s="56" t="str">
        <f t="shared" si="439"/>
        <v/>
      </c>
      <c r="AM963" s="55"/>
      <c r="AN963" s="56" t="str">
        <f t="shared" si="440"/>
        <v/>
      </c>
      <c r="AO963" s="55"/>
      <c r="AP963" s="56" t="str">
        <f t="shared" si="441"/>
        <v/>
      </c>
      <c r="AQ963" s="55"/>
      <c r="AR963" s="56" t="str">
        <f t="shared" si="442"/>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2021</v>
      </c>
      <c r="B964" s="72" t="str">
        <f t="shared" ref="B964:B1027" si="457">IF(C963-C964&gt;0, TEXT(DATE(2016,(MONTH(DATEVALUE(B963&amp;"1"))+1),1),"mmm"), B963)</f>
        <v>Nov</v>
      </c>
      <c r="C964" s="73">
        <f t="shared" si="443"/>
        <v>15</v>
      </c>
      <c r="D964" s="74">
        <f t="shared" ref="D964:D1027" si="458">IF(IF(E963=59,D963+1,D963)=24,0,IF(E963=59,D963+1,D963))</f>
        <v>5</v>
      </c>
      <c r="E964" s="75">
        <f t="shared" ref="E964:E1027" si="459">IF(E963&lt;59,E963+1,0)</f>
        <v>35</v>
      </c>
      <c r="F964" s="79"/>
      <c r="G964" s="82"/>
      <c r="H964" s="68" t="str">
        <f t="shared" si="445"/>
        <v>Hyprev7_20211115_05_00</v>
      </c>
      <c r="I964" s="69">
        <f t="shared" si="450"/>
        <v>1</v>
      </c>
      <c r="J964" s="76" t="str">
        <f t="shared" si="450"/>
        <v>Hypericum</v>
      </c>
      <c r="K964" s="76" t="str">
        <f t="shared" si="450"/>
        <v>revolutum</v>
      </c>
      <c r="L964" s="77">
        <f t="shared" si="450"/>
        <v>7</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v>
      </c>
      <c r="C965" s="73">
        <f t="shared" ref="C965:C1028" si="475">IF(AND(D965=0, E965=0), IF(TEXT(C964,"dd")=TEXT(EOMONTH(DATE(A964,MONTH(DATEVALUE(B964&amp;"1")),C964),0), "dd"), 1, C964+1), C964)</f>
        <v>15</v>
      </c>
      <c r="D965" s="74">
        <f t="shared" si="458"/>
        <v>5</v>
      </c>
      <c r="E965" s="75">
        <f t="shared" si="459"/>
        <v>36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Hyprev7_20211115_05_00</v>
      </c>
      <c r="I965" s="69">
        <f t="shared" ref="I965:N980" si="477">I964</f>
        <v>1</v>
      </c>
      <c r="J965" s="76" t="str">
        <f t="shared" si="477"/>
        <v>Hypericum</v>
      </c>
      <c r="K965" s="76" t="str">
        <f t="shared" si="477"/>
        <v>revolutum</v>
      </c>
      <c r="L965" s="77">
        <f t="shared" si="477"/>
        <v>7</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2021</v>
      </c>
      <c r="B966" s="72" t="str">
        <f t="shared" si="457"/>
        <v>Nov</v>
      </c>
      <c r="C966" s="73">
        <f t="shared" si="475"/>
        <v>15</v>
      </c>
      <c r="D966" s="74">
        <f t="shared" si="458"/>
        <v>5</v>
      </c>
      <c r="E966" s="75">
        <f t="shared" si="459"/>
        <v>37</v>
      </c>
      <c r="F966" s="79"/>
      <c r="G966" s="82"/>
      <c r="H966" s="68" t="str">
        <f t="shared" si="476"/>
        <v>Hyprev7_20211115_05_00</v>
      </c>
      <c r="I966" s="69">
        <f t="shared" si="477"/>
        <v>1</v>
      </c>
      <c r="J966" s="76" t="str">
        <f t="shared" si="477"/>
        <v>Hypericum</v>
      </c>
      <c r="K966" s="76" t="str">
        <f t="shared" si="477"/>
        <v>revolutum</v>
      </c>
      <c r="L966" s="77">
        <f t="shared" si="477"/>
        <v>7</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2021</v>
      </c>
      <c r="B967" s="72" t="str">
        <f t="shared" si="457"/>
        <v>Nov</v>
      </c>
      <c r="C967" s="73">
        <f t="shared" si="475"/>
        <v>15</v>
      </c>
      <c r="D967" s="74">
        <f t="shared" si="458"/>
        <v>5</v>
      </c>
      <c r="E967" s="75">
        <f t="shared" si="459"/>
        <v>38</v>
      </c>
      <c r="F967" s="79"/>
      <c r="G967" s="82"/>
      <c r="H967" s="68" t="str">
        <f t="shared" si="476"/>
        <v>Hyprev7_20211115_05_00</v>
      </c>
      <c r="I967" s="69">
        <f t="shared" si="477"/>
        <v>1</v>
      </c>
      <c r="J967" s="76" t="str">
        <f t="shared" si="477"/>
        <v>Hypericum</v>
      </c>
      <c r="K967" s="76" t="str">
        <f t="shared" si="477"/>
        <v>revolutum</v>
      </c>
      <c r="L967" s="77">
        <f t="shared" si="477"/>
        <v>7</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v>
      </c>
      <c r="C968" s="73">
        <f t="shared" si="475"/>
        <v>15</v>
      </c>
      <c r="D968" s="74">
        <f t="shared" si="458"/>
        <v>5</v>
      </c>
      <c r="E968" s="75">
        <f t="shared" si="459"/>
        <v>39</v>
      </c>
      <c r="F968" s="79"/>
      <c r="G968" s="82"/>
      <c r="H968" s="68" t="str">
        <f t="shared" si="476"/>
        <v>Hyprev7_20211115_05_00</v>
      </c>
      <c r="I968" s="69">
        <f t="shared" si="477"/>
        <v>1</v>
      </c>
      <c r="J968" s="76" t="str">
        <f t="shared" si="477"/>
        <v>Hypericum</v>
      </c>
      <c r="K968" s="76" t="str">
        <f t="shared" si="477"/>
        <v>revolutum</v>
      </c>
      <c r="L968" s="77">
        <f t="shared" si="477"/>
        <v>7</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2021</v>
      </c>
      <c r="B969" s="72" t="str">
        <f t="shared" si="457"/>
        <v>Nov</v>
      </c>
      <c r="C969" s="73">
        <f t="shared" si="475"/>
        <v>15</v>
      </c>
      <c r="D969" s="74">
        <f t="shared" si="458"/>
        <v>5</v>
      </c>
      <c r="E969" s="75">
        <f t="shared" si="459"/>
        <v>40</v>
      </c>
      <c r="F969" s="79"/>
      <c r="G969" s="82"/>
      <c r="H969" s="68" t="str">
        <f t="shared" si="476"/>
        <v>Hyprev7_20211115_05_00</v>
      </c>
      <c r="I969" s="69">
        <f t="shared" si="477"/>
        <v>1</v>
      </c>
      <c r="J969" s="76" t="str">
        <f t="shared" si="477"/>
        <v>Hypericum</v>
      </c>
      <c r="K969" s="76" t="str">
        <f t="shared" si="477"/>
        <v>revolutum</v>
      </c>
      <c r="L969" s="77">
        <f t="shared" si="477"/>
        <v>7</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2021</v>
      </c>
      <c r="B970" s="72" t="str">
        <f t="shared" si="457"/>
        <v>Nov</v>
      </c>
      <c r="C970" s="73">
        <f t="shared" si="475"/>
        <v>15</v>
      </c>
      <c r="D970" s="74">
        <f t="shared" si="458"/>
        <v>5</v>
      </c>
      <c r="E970" s="75">
        <f t="shared" si="459"/>
        <v>41</v>
      </c>
      <c r="F970" s="79"/>
      <c r="G970" s="82"/>
      <c r="H970" s="68" t="str">
        <f t="shared" si="476"/>
        <v>Hyprev7_20211115_05_00</v>
      </c>
      <c r="I970" s="69">
        <f t="shared" si="477"/>
        <v>1</v>
      </c>
      <c r="J970" s="76" t="str">
        <f t="shared" si="477"/>
        <v>Hypericum</v>
      </c>
      <c r="K970" s="76" t="str">
        <f t="shared" si="477"/>
        <v>revolutum</v>
      </c>
      <c r="L970" s="77">
        <f t="shared" si="477"/>
        <v>7</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v>
      </c>
      <c r="C971" s="73">
        <f t="shared" si="475"/>
        <v>15</v>
      </c>
      <c r="D971" s="74">
        <f t="shared" si="458"/>
        <v>5</v>
      </c>
      <c r="E971" s="75">
        <f t="shared" si="459"/>
        <v>42</v>
      </c>
      <c r="F971" s="79"/>
      <c r="G971" s="82"/>
      <c r="H971" s="68" t="str">
        <f t="shared" si="476"/>
        <v>Hyprev7_20211115_05_00</v>
      </c>
      <c r="I971" s="69">
        <f t="shared" si="477"/>
        <v>1</v>
      </c>
      <c r="J971" s="76" t="str">
        <f t="shared" si="477"/>
        <v>Hypericum</v>
      </c>
      <c r="K971" s="76" t="str">
        <f t="shared" si="477"/>
        <v>revolutum</v>
      </c>
      <c r="L971" s="77">
        <f t="shared" si="477"/>
        <v>7</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v>
      </c>
      <c r="C972" s="73">
        <f t="shared" si="475"/>
        <v>15</v>
      </c>
      <c r="D972" s="74">
        <f t="shared" si="458"/>
        <v>5</v>
      </c>
      <c r="E972" s="75">
        <f t="shared" si="459"/>
        <v>43</v>
      </c>
      <c r="F972" s="79"/>
      <c r="G972" s="82"/>
      <c r="H972" s="68" t="str">
        <f t="shared" si="476"/>
        <v>Hyprev7_20211115_05_00</v>
      </c>
      <c r="I972" s="69">
        <f t="shared" si="477"/>
        <v>1</v>
      </c>
      <c r="J972" s="76" t="str">
        <f t="shared" si="477"/>
        <v>Hypericum</v>
      </c>
      <c r="K972" s="76" t="str">
        <f t="shared" si="477"/>
        <v>revolutum</v>
      </c>
      <c r="L972" s="77">
        <f t="shared" si="477"/>
        <v>7</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v>
      </c>
      <c r="C973" s="73">
        <f t="shared" si="475"/>
        <v>15</v>
      </c>
      <c r="D973" s="74">
        <f t="shared" si="458"/>
        <v>5</v>
      </c>
      <c r="E973" s="75">
        <f t="shared" si="459"/>
        <v>44</v>
      </c>
      <c r="F973" s="79"/>
      <c r="G973" s="82"/>
      <c r="H973" s="68" t="str">
        <f t="shared" si="476"/>
        <v>Hyprev7_20211115_05_00</v>
      </c>
      <c r="I973" s="69">
        <f t="shared" si="477"/>
        <v>1</v>
      </c>
      <c r="J973" s="76" t="str">
        <f t="shared" si="477"/>
        <v>Hypericum</v>
      </c>
      <c r="K973" s="76" t="str">
        <f t="shared" si="477"/>
        <v>revolutum</v>
      </c>
      <c r="L973" s="77">
        <f t="shared" si="477"/>
        <v>7</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v>
      </c>
      <c r="C974" s="73">
        <f t="shared" si="475"/>
        <v>15</v>
      </c>
      <c r="D974" s="74">
        <f t="shared" si="458"/>
        <v>5</v>
      </c>
      <c r="E974" s="75">
        <f t="shared" si="459"/>
        <v>45</v>
      </c>
      <c r="F974" s="79"/>
      <c r="G974" s="82"/>
      <c r="H974" s="68" t="str">
        <f t="shared" si="476"/>
        <v>Hyprev7_20211115_05_00</v>
      </c>
      <c r="I974" s="69">
        <f t="shared" si="477"/>
        <v>1</v>
      </c>
      <c r="J974" s="76" t="str">
        <f t="shared" si="477"/>
        <v>Hypericum</v>
      </c>
      <c r="K974" s="76" t="str">
        <f t="shared" si="477"/>
        <v>revolutum</v>
      </c>
      <c r="L974" s="77">
        <f t="shared" si="477"/>
        <v>7</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2021</v>
      </c>
      <c r="B975" s="72" t="str">
        <f t="shared" si="457"/>
        <v>Nov</v>
      </c>
      <c r="C975" s="73">
        <f t="shared" si="475"/>
        <v>15</v>
      </c>
      <c r="D975" s="74">
        <f t="shared" si="458"/>
        <v>5</v>
      </c>
      <c r="E975" s="75">
        <f t="shared" si="459"/>
        <v>46</v>
      </c>
      <c r="F975" s="79"/>
      <c r="G975" s="82"/>
      <c r="H975" s="68" t="str">
        <f t="shared" si="476"/>
        <v>Hyprev7_20211115_05_00</v>
      </c>
      <c r="I975" s="69">
        <f t="shared" si="477"/>
        <v>1</v>
      </c>
      <c r="J975" s="76" t="str">
        <f t="shared" si="477"/>
        <v>Hypericum</v>
      </c>
      <c r="K975" s="76" t="str">
        <f t="shared" si="477"/>
        <v>revolutum</v>
      </c>
      <c r="L975" s="77">
        <f t="shared" si="477"/>
        <v>7</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v>
      </c>
      <c r="C976" s="73">
        <f t="shared" si="475"/>
        <v>15</v>
      </c>
      <c r="D976" s="74">
        <f t="shared" si="458"/>
        <v>5</v>
      </c>
      <c r="E976" s="75">
        <f t="shared" si="459"/>
        <v>47</v>
      </c>
      <c r="F976" s="79"/>
      <c r="G976" s="82"/>
      <c r="H976" s="68" t="str">
        <f t="shared" si="476"/>
        <v>Hyprev7_20211115_05_00</v>
      </c>
      <c r="I976" s="69">
        <f t="shared" si="477"/>
        <v>1</v>
      </c>
      <c r="J976" s="76" t="str">
        <f t="shared" si="477"/>
        <v>Hypericum</v>
      </c>
      <c r="K976" s="76" t="str">
        <f t="shared" si="477"/>
        <v>revolutum</v>
      </c>
      <c r="L976" s="77">
        <f t="shared" si="477"/>
        <v>7</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2021</v>
      </c>
      <c r="B977" s="72" t="str">
        <f t="shared" si="457"/>
        <v>Nov</v>
      </c>
      <c r="C977" s="73">
        <f t="shared" si="475"/>
        <v>15</v>
      </c>
      <c r="D977" s="74">
        <f t="shared" si="458"/>
        <v>5</v>
      </c>
      <c r="E977" s="75">
        <f t="shared" si="459"/>
        <v>48</v>
      </c>
      <c r="F977" s="79"/>
      <c r="G977" s="82"/>
      <c r="H977" s="68" t="str">
        <f t="shared" si="476"/>
        <v>Hyprev7_20211115_05_00</v>
      </c>
      <c r="I977" s="69">
        <f t="shared" si="477"/>
        <v>1</v>
      </c>
      <c r="J977" s="76" t="str">
        <f t="shared" si="477"/>
        <v>Hypericum</v>
      </c>
      <c r="K977" s="76" t="str">
        <f t="shared" si="477"/>
        <v>revolutum</v>
      </c>
      <c r="L977" s="77">
        <f t="shared" si="477"/>
        <v>7</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2021</v>
      </c>
      <c r="B978" s="72" t="str">
        <f t="shared" si="457"/>
        <v>Nov</v>
      </c>
      <c r="C978" s="73">
        <f t="shared" si="475"/>
        <v>15</v>
      </c>
      <c r="D978" s="74">
        <f t="shared" si="458"/>
        <v>5</v>
      </c>
      <c r="E978" s="75">
        <f t="shared" si="459"/>
        <v>49</v>
      </c>
      <c r="F978" s="79"/>
      <c r="G978" s="82"/>
      <c r="H978" s="68" t="str">
        <f t="shared" si="476"/>
        <v>Hyprev7_20211115_05_00</v>
      </c>
      <c r="I978" s="69">
        <f t="shared" si="477"/>
        <v>1</v>
      </c>
      <c r="J978" s="76" t="str">
        <f t="shared" si="477"/>
        <v>Hypericum</v>
      </c>
      <c r="K978" s="76" t="str">
        <f t="shared" si="477"/>
        <v>revolutum</v>
      </c>
      <c r="L978" s="77">
        <f t="shared" si="477"/>
        <v>7</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v>
      </c>
      <c r="C979" s="73">
        <f t="shared" si="475"/>
        <v>15</v>
      </c>
      <c r="D979" s="74">
        <f t="shared" si="458"/>
        <v>5</v>
      </c>
      <c r="E979" s="75">
        <f t="shared" si="459"/>
        <v>50</v>
      </c>
      <c r="F979" s="79"/>
      <c r="G979" s="82"/>
      <c r="H979" s="68" t="str">
        <f t="shared" si="476"/>
        <v>Hyprev7_20211115_05_00</v>
      </c>
      <c r="I979" s="69">
        <f t="shared" si="477"/>
        <v>1</v>
      </c>
      <c r="J979" s="76" t="str">
        <f t="shared" si="477"/>
        <v>Hypericum</v>
      </c>
      <c r="K979" s="76" t="str">
        <f t="shared" si="477"/>
        <v>revolutum</v>
      </c>
      <c r="L979" s="77">
        <f t="shared" si="477"/>
        <v>7</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v>
      </c>
      <c r="C980" s="73">
        <f t="shared" si="475"/>
        <v>15</v>
      </c>
      <c r="D980" s="74">
        <f t="shared" si="458"/>
        <v>5</v>
      </c>
      <c r="E980" s="75">
        <f t="shared" si="459"/>
        <v>51</v>
      </c>
      <c r="F980" s="79"/>
      <c r="G980" s="82"/>
      <c r="H980" s="68" t="str">
        <f t="shared" si="476"/>
        <v>Hyprev7_20211115_05_00</v>
      </c>
      <c r="I980" s="69">
        <f t="shared" si="477"/>
        <v>1</v>
      </c>
      <c r="J980" s="76" t="str">
        <f t="shared" si="477"/>
        <v>Hypericum</v>
      </c>
      <c r="K980" s="76" t="str">
        <f t="shared" si="477"/>
        <v>revolutum</v>
      </c>
      <c r="L980" s="77">
        <f t="shared" si="477"/>
        <v>7</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v>
      </c>
      <c r="C981" s="73">
        <f t="shared" si="475"/>
        <v>15</v>
      </c>
      <c r="D981" s="74">
        <f t="shared" si="458"/>
        <v>5</v>
      </c>
      <c r="E981" s="75">
        <f t="shared" si="459"/>
        <v>52</v>
      </c>
      <c r="F981" s="79"/>
      <c r="G981" s="82"/>
      <c r="H981" s="68" t="str">
        <f t="shared" si="476"/>
        <v>Hyprev7_20211115_05_00</v>
      </c>
      <c r="I981" s="69">
        <f t="shared" ref="I981:N996" si="478">I980</f>
        <v>1</v>
      </c>
      <c r="J981" s="76" t="str">
        <f t="shared" si="478"/>
        <v>Hypericum</v>
      </c>
      <c r="K981" s="76" t="str">
        <f t="shared" si="478"/>
        <v>revolutum</v>
      </c>
      <c r="L981" s="77">
        <f t="shared" si="478"/>
        <v>7</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v>
      </c>
      <c r="C982" s="73">
        <f t="shared" si="475"/>
        <v>15</v>
      </c>
      <c r="D982" s="74">
        <f t="shared" si="458"/>
        <v>5</v>
      </c>
      <c r="E982" s="75">
        <f t="shared" si="459"/>
        <v>53</v>
      </c>
      <c r="F982" s="79"/>
      <c r="G982" s="82"/>
      <c r="H982" s="68" t="str">
        <f t="shared" si="476"/>
        <v>Hyprev7_20211115_05_00</v>
      </c>
      <c r="I982" s="69">
        <f t="shared" si="478"/>
        <v>1</v>
      </c>
      <c r="J982" s="76" t="str">
        <f t="shared" si="478"/>
        <v>Hypericum</v>
      </c>
      <c r="K982" s="76" t="str">
        <f t="shared" si="478"/>
        <v>revolutum</v>
      </c>
      <c r="L982" s="77">
        <f t="shared" si="478"/>
        <v>7</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2021</v>
      </c>
      <c r="B983" s="72" t="str">
        <f t="shared" si="457"/>
        <v>Nov</v>
      </c>
      <c r="C983" s="73">
        <f t="shared" si="475"/>
        <v>15</v>
      </c>
      <c r="D983" s="74">
        <f t="shared" si="458"/>
        <v>5</v>
      </c>
      <c r="E983" s="75">
        <f t="shared" si="459"/>
        <v>54</v>
      </c>
      <c r="F983" s="79"/>
      <c r="G983" s="82"/>
      <c r="H983" s="68" t="str">
        <f t="shared" si="476"/>
        <v>Hyprev7_20211115_05_00</v>
      </c>
      <c r="I983" s="69">
        <f t="shared" si="478"/>
        <v>1</v>
      </c>
      <c r="J983" s="76" t="str">
        <f t="shared" si="478"/>
        <v>Hypericum</v>
      </c>
      <c r="K983" s="76" t="str">
        <f t="shared" si="478"/>
        <v>revolutum</v>
      </c>
      <c r="L983" s="77">
        <f t="shared" si="478"/>
        <v>7</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2021</v>
      </c>
      <c r="B984" s="72" t="str">
        <f t="shared" si="457"/>
        <v>Nov</v>
      </c>
      <c r="C984" s="73">
        <f t="shared" si="475"/>
        <v>15</v>
      </c>
      <c r="D984" s="74">
        <f t="shared" si="458"/>
        <v>5</v>
      </c>
      <c r="E984" s="75">
        <f t="shared" si="459"/>
        <v>55</v>
      </c>
      <c r="F984" s="79"/>
      <c r="G984" s="82"/>
      <c r="H984" s="68" t="str">
        <f t="shared" si="476"/>
        <v>Hyprev7_20211115_05_00</v>
      </c>
      <c r="I984" s="69">
        <f t="shared" si="478"/>
        <v>1</v>
      </c>
      <c r="J984" s="76" t="str">
        <f t="shared" si="478"/>
        <v>Hypericum</v>
      </c>
      <c r="K984" s="76" t="str">
        <f t="shared" si="478"/>
        <v>revolutum</v>
      </c>
      <c r="L984" s="77">
        <f t="shared" si="478"/>
        <v>7</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v>
      </c>
      <c r="C985" s="73">
        <f t="shared" si="475"/>
        <v>15</v>
      </c>
      <c r="D985" s="74">
        <f t="shared" si="458"/>
        <v>5</v>
      </c>
      <c r="E985" s="75">
        <f t="shared" si="459"/>
        <v>56</v>
      </c>
      <c r="F985" s="79"/>
      <c r="G985" s="82"/>
      <c r="H985" s="68" t="str">
        <f t="shared" si="476"/>
        <v>Hyprev7_20211115_05_00</v>
      </c>
      <c r="I985" s="69">
        <f t="shared" si="478"/>
        <v>1</v>
      </c>
      <c r="J985" s="76" t="str">
        <f t="shared" si="478"/>
        <v>Hypericum</v>
      </c>
      <c r="K985" s="76" t="str">
        <f t="shared" si="478"/>
        <v>revolutum</v>
      </c>
      <c r="L985" s="77">
        <f t="shared" si="478"/>
        <v>7</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v>
      </c>
      <c r="C986" s="73">
        <f t="shared" si="475"/>
        <v>15</v>
      </c>
      <c r="D986" s="74">
        <f t="shared" si="458"/>
        <v>5</v>
      </c>
      <c r="E986" s="75">
        <f t="shared" si="459"/>
        <v>57</v>
      </c>
      <c r="F986" s="79"/>
      <c r="G986" s="82"/>
      <c r="H986" s="68" t="str">
        <f t="shared" si="476"/>
        <v>Hyprev7_20211115_05_00</v>
      </c>
      <c r="I986" s="69">
        <f t="shared" si="478"/>
        <v>1</v>
      </c>
      <c r="J986" s="76" t="str">
        <f t="shared" si="478"/>
        <v>Hypericum</v>
      </c>
      <c r="K986" s="76" t="str">
        <f t="shared" si="478"/>
        <v>revolutum</v>
      </c>
      <c r="L986" s="77">
        <f t="shared" si="478"/>
        <v>7</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v>
      </c>
      <c r="C987" s="73">
        <f t="shared" si="475"/>
        <v>15</v>
      </c>
      <c r="D987" s="74">
        <f t="shared" si="458"/>
        <v>5</v>
      </c>
      <c r="E987" s="75">
        <f t="shared" si="459"/>
        <v>58</v>
      </c>
      <c r="F987" s="79"/>
      <c r="G987" s="82"/>
      <c r="H987" s="68" t="str">
        <f t="shared" si="476"/>
        <v>Hyprev7_20211115_05_00</v>
      </c>
      <c r="I987" s="69">
        <f t="shared" si="478"/>
        <v>1</v>
      </c>
      <c r="J987" s="76" t="str">
        <f t="shared" si="478"/>
        <v>Hypericum</v>
      </c>
      <c r="K987" s="76" t="str">
        <f t="shared" si="478"/>
        <v>revolutum</v>
      </c>
      <c r="L987" s="77">
        <f t="shared" si="478"/>
        <v>7</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v>
      </c>
      <c r="C988" s="73">
        <f t="shared" si="475"/>
        <v>15</v>
      </c>
      <c r="D988" s="74">
        <f t="shared" si="458"/>
        <v>5</v>
      </c>
      <c r="E988" s="75">
        <f t="shared" si="459"/>
        <v>59</v>
      </c>
      <c r="F988" s="79"/>
      <c r="G988" s="82"/>
      <c r="H988" s="68" t="str">
        <f t="shared" si="476"/>
        <v>Hyprev7_20211115_05_00</v>
      </c>
      <c r="I988" s="69">
        <f t="shared" si="478"/>
        <v>1</v>
      </c>
      <c r="J988" s="76" t="str">
        <f t="shared" si="478"/>
        <v>Hypericum</v>
      </c>
      <c r="K988" s="76" t="str">
        <f t="shared" si="478"/>
        <v>revolutum</v>
      </c>
      <c r="L988" s="77">
        <f t="shared" si="478"/>
        <v>7</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2021</v>
      </c>
      <c r="B989" s="72" t="str">
        <f t="shared" si="457"/>
        <v>Nov</v>
      </c>
      <c r="C989" s="73">
        <f t="shared" si="475"/>
        <v>15</v>
      </c>
      <c r="D989" s="74">
        <f t="shared" si="458"/>
        <v>6</v>
      </c>
      <c r="E989" s="75">
        <f t="shared" si="459"/>
        <v>0</v>
      </c>
      <c r="F989" s="79"/>
      <c r="G989" s="82"/>
      <c r="H989" s="68" t="str">
        <f t="shared" si="476"/>
        <v>Hyprev7_20211115_06_00</v>
      </c>
      <c r="I989" s="69">
        <f t="shared" si="478"/>
        <v>1</v>
      </c>
      <c r="J989" s="76" t="str">
        <f t="shared" si="478"/>
        <v>Hypericum</v>
      </c>
      <c r="K989" s="76" t="str">
        <f t="shared" si="478"/>
        <v>revolutum</v>
      </c>
      <c r="L989" s="77">
        <f t="shared" si="478"/>
        <v>7</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2021</v>
      </c>
      <c r="B990" s="72" t="str">
        <f t="shared" si="457"/>
        <v>Nov</v>
      </c>
      <c r="C990" s="73">
        <f t="shared" si="475"/>
        <v>15</v>
      </c>
      <c r="D990" s="74">
        <f t="shared" si="458"/>
        <v>6</v>
      </c>
      <c r="E990" s="75">
        <f t="shared" si="459"/>
        <v>1</v>
      </c>
      <c r="F990" s="79"/>
      <c r="G990" s="82"/>
      <c r="H990" s="68" t="str">
        <f t="shared" si="476"/>
        <v>Hyprev7_20211115_06_00</v>
      </c>
      <c r="I990" s="69">
        <f t="shared" si="478"/>
        <v>1</v>
      </c>
      <c r="J990" s="76" t="str">
        <f t="shared" si="478"/>
        <v>Hypericum</v>
      </c>
      <c r="K990" s="76" t="str">
        <f t="shared" si="478"/>
        <v>revolutum</v>
      </c>
      <c r="L990" s="77">
        <f t="shared" si="478"/>
        <v>7</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2021</v>
      </c>
      <c r="B991" s="72" t="str">
        <f t="shared" si="457"/>
        <v>Nov</v>
      </c>
      <c r="C991" s="73">
        <f t="shared" si="475"/>
        <v>15</v>
      </c>
      <c r="D991" s="74">
        <f t="shared" si="458"/>
        <v>6</v>
      </c>
      <c r="E991" s="75">
        <f t="shared" si="459"/>
        <v>2</v>
      </c>
      <c r="F991" s="79"/>
      <c r="G991" s="82"/>
      <c r="H991" s="68" t="str">
        <f t="shared" si="476"/>
        <v>Hyprev7_20211115_06_00</v>
      </c>
      <c r="I991" s="69">
        <f t="shared" si="478"/>
        <v>1</v>
      </c>
      <c r="J991" s="76" t="str">
        <f t="shared" si="478"/>
        <v>Hypericum</v>
      </c>
      <c r="K991" s="76" t="str">
        <f t="shared" si="478"/>
        <v>revolutum</v>
      </c>
      <c r="L991" s="77">
        <f t="shared" si="478"/>
        <v>7</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v>
      </c>
      <c r="C992" s="73">
        <f t="shared" si="475"/>
        <v>15</v>
      </c>
      <c r="D992" s="74">
        <f t="shared" si="458"/>
        <v>6</v>
      </c>
      <c r="E992" s="75">
        <f t="shared" si="459"/>
        <v>3</v>
      </c>
      <c r="F992" s="79"/>
      <c r="G992" s="82"/>
      <c r="H992" s="68" t="str">
        <f t="shared" si="476"/>
        <v>Hyprev7_20211115_06_00</v>
      </c>
      <c r="I992" s="69">
        <f t="shared" si="478"/>
        <v>1</v>
      </c>
      <c r="J992" s="76" t="str">
        <f t="shared" si="478"/>
        <v>Hypericum</v>
      </c>
      <c r="K992" s="76" t="str">
        <f t="shared" si="478"/>
        <v>revolutum</v>
      </c>
      <c r="L992" s="77">
        <f t="shared" si="478"/>
        <v>7</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v>
      </c>
      <c r="C993" s="73">
        <f t="shared" si="475"/>
        <v>15</v>
      </c>
      <c r="D993" s="74">
        <f t="shared" si="458"/>
        <v>6</v>
      </c>
      <c r="E993" s="75">
        <f t="shared" si="459"/>
        <v>4</v>
      </c>
      <c r="F993" s="79"/>
      <c r="G993" s="82"/>
      <c r="H993" s="68" t="str">
        <f t="shared" si="476"/>
        <v>Hyprev7_20211115_06_00</v>
      </c>
      <c r="I993" s="69">
        <f t="shared" si="478"/>
        <v>1</v>
      </c>
      <c r="J993" s="76" t="str">
        <f t="shared" si="478"/>
        <v>Hypericum</v>
      </c>
      <c r="K993" s="76" t="str">
        <f t="shared" si="478"/>
        <v>revolutum</v>
      </c>
      <c r="L993" s="77">
        <f t="shared" si="478"/>
        <v>7</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v>
      </c>
      <c r="C994" s="73">
        <f t="shared" si="475"/>
        <v>15</v>
      </c>
      <c r="D994" s="74">
        <f t="shared" si="458"/>
        <v>6</v>
      </c>
      <c r="E994" s="75">
        <f t="shared" si="459"/>
        <v>5</v>
      </c>
      <c r="F994" s="79"/>
      <c r="G994" s="82"/>
      <c r="H994" s="68" t="str">
        <f t="shared" si="476"/>
        <v>Hyprev7_20211115_06_00</v>
      </c>
      <c r="I994" s="69">
        <f t="shared" si="478"/>
        <v>1</v>
      </c>
      <c r="J994" s="76" t="str">
        <f t="shared" si="478"/>
        <v>Hypericum</v>
      </c>
      <c r="K994" s="76" t="str">
        <f t="shared" si="478"/>
        <v>revolutum</v>
      </c>
      <c r="L994" s="77">
        <f t="shared" si="478"/>
        <v>7</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v>
      </c>
      <c r="C995" s="73">
        <f t="shared" si="475"/>
        <v>15</v>
      </c>
      <c r="D995" s="74">
        <f t="shared" si="458"/>
        <v>6</v>
      </c>
      <c r="E995" s="75">
        <f t="shared" si="459"/>
        <v>6</v>
      </c>
      <c r="F995" s="79"/>
      <c r="G995" s="82"/>
      <c r="H995" s="68" t="str">
        <f t="shared" si="476"/>
        <v>Hyprev7_20211115_06_00</v>
      </c>
      <c r="I995" s="69">
        <f t="shared" si="478"/>
        <v>1</v>
      </c>
      <c r="J995" s="76" t="str">
        <f t="shared" si="478"/>
        <v>Hypericum</v>
      </c>
      <c r="K995" s="76" t="str">
        <f t="shared" si="478"/>
        <v>revolutum</v>
      </c>
      <c r="L995" s="77">
        <f t="shared" si="478"/>
        <v>7</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v>
      </c>
      <c r="C996" s="73">
        <f t="shared" si="475"/>
        <v>15</v>
      </c>
      <c r="D996" s="74">
        <f t="shared" si="458"/>
        <v>6</v>
      </c>
      <c r="E996" s="75">
        <f t="shared" si="459"/>
        <v>7</v>
      </c>
      <c r="F996" s="79"/>
      <c r="G996" s="82"/>
      <c r="H996" s="68" t="str">
        <f t="shared" si="476"/>
        <v>Hyprev7_20211115_06_00</v>
      </c>
      <c r="I996" s="69">
        <f t="shared" si="478"/>
        <v>1</v>
      </c>
      <c r="J996" s="76" t="str">
        <f t="shared" si="478"/>
        <v>Hypericum</v>
      </c>
      <c r="K996" s="76" t="str">
        <f t="shared" si="478"/>
        <v>revolutum</v>
      </c>
      <c r="L996" s="77">
        <f t="shared" si="478"/>
        <v>7</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v>
      </c>
      <c r="C997" s="73">
        <f t="shared" si="475"/>
        <v>15</v>
      </c>
      <c r="D997" s="74">
        <f t="shared" si="458"/>
        <v>6</v>
      </c>
      <c r="E997" s="75">
        <f t="shared" si="459"/>
        <v>8</v>
      </c>
      <c r="F997" s="79"/>
      <c r="G997" s="82"/>
      <c r="H997" s="68" t="str">
        <f t="shared" si="476"/>
        <v>Hyprev7_20211115_06_00</v>
      </c>
      <c r="I997" s="69">
        <f t="shared" ref="I997:N1012" si="479">I996</f>
        <v>1</v>
      </c>
      <c r="J997" s="76" t="str">
        <f t="shared" si="479"/>
        <v>Hypericum</v>
      </c>
      <c r="K997" s="76" t="str">
        <f t="shared" si="479"/>
        <v>revolutum</v>
      </c>
      <c r="L997" s="77">
        <f t="shared" si="479"/>
        <v>7</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v>
      </c>
      <c r="C998" s="73">
        <f t="shared" si="475"/>
        <v>15</v>
      </c>
      <c r="D998" s="74">
        <f t="shared" si="458"/>
        <v>6</v>
      </c>
      <c r="E998" s="75">
        <f t="shared" si="459"/>
        <v>9</v>
      </c>
      <c r="F998" s="79"/>
      <c r="G998" s="82"/>
      <c r="H998" s="68" t="str">
        <f t="shared" si="476"/>
        <v>Hyprev7_20211115_06_00</v>
      </c>
      <c r="I998" s="69">
        <f t="shared" si="479"/>
        <v>1</v>
      </c>
      <c r="J998" s="76" t="str">
        <f t="shared" si="479"/>
        <v>Hypericum</v>
      </c>
      <c r="K998" s="76" t="str">
        <f t="shared" si="479"/>
        <v>revolutum</v>
      </c>
      <c r="L998" s="77">
        <f t="shared" si="479"/>
        <v>7</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2021</v>
      </c>
      <c r="B999" s="72" t="str">
        <f t="shared" si="457"/>
        <v>Nov</v>
      </c>
      <c r="C999" s="73">
        <f t="shared" si="475"/>
        <v>15</v>
      </c>
      <c r="D999" s="74">
        <f t="shared" si="458"/>
        <v>6</v>
      </c>
      <c r="E999" s="75">
        <f t="shared" si="459"/>
        <v>10</v>
      </c>
      <c r="F999" s="79"/>
      <c r="G999" s="82"/>
      <c r="H999" s="68" t="str">
        <f t="shared" si="476"/>
        <v>Hyprev7_20211115_06_00</v>
      </c>
      <c r="I999" s="69">
        <f t="shared" si="479"/>
        <v>1</v>
      </c>
      <c r="J999" s="76" t="str">
        <f t="shared" si="479"/>
        <v>Hypericum</v>
      </c>
      <c r="K999" s="76" t="str">
        <f t="shared" si="479"/>
        <v>revolutum</v>
      </c>
      <c r="L999" s="77">
        <f t="shared" si="479"/>
        <v>7</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v>
      </c>
      <c r="C1000" s="73">
        <f t="shared" si="475"/>
        <v>15</v>
      </c>
      <c r="D1000" s="74">
        <f t="shared" si="458"/>
        <v>6</v>
      </c>
      <c r="E1000" s="75">
        <f t="shared" si="459"/>
        <v>11</v>
      </c>
      <c r="F1000" s="79"/>
      <c r="G1000" s="82"/>
      <c r="H1000" s="68" t="str">
        <f t="shared" si="476"/>
        <v>Hyprev7_20211115_06_00</v>
      </c>
      <c r="I1000" s="69">
        <f t="shared" si="479"/>
        <v>1</v>
      </c>
      <c r="J1000" s="76" t="str">
        <f t="shared" si="479"/>
        <v>Hypericum</v>
      </c>
      <c r="K1000" s="76" t="str">
        <f t="shared" si="479"/>
        <v>revolutum</v>
      </c>
      <c r="L1000" s="77">
        <f t="shared" si="479"/>
        <v>7</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v>
      </c>
      <c r="C1001" s="73">
        <f t="shared" si="475"/>
        <v>15</v>
      </c>
      <c r="D1001" s="74">
        <f t="shared" si="458"/>
        <v>6</v>
      </c>
      <c r="E1001" s="75">
        <f t="shared" si="459"/>
        <v>12</v>
      </c>
      <c r="F1001" s="79"/>
      <c r="G1001" s="82"/>
      <c r="H1001" s="68" t="str">
        <f t="shared" si="476"/>
        <v>Hyprev7_20211115_06_00</v>
      </c>
      <c r="I1001" s="69">
        <f t="shared" si="479"/>
        <v>1</v>
      </c>
      <c r="J1001" s="76" t="str">
        <f t="shared" si="479"/>
        <v>Hypericum</v>
      </c>
      <c r="K1001" s="76" t="str">
        <f t="shared" si="479"/>
        <v>revolutum</v>
      </c>
      <c r="L1001" s="77">
        <f t="shared" si="479"/>
        <v>7</v>
      </c>
      <c r="M1001" s="77">
        <f t="shared" si="479"/>
        <v>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2021</v>
      </c>
      <c r="B1002" s="72" t="str">
        <f t="shared" si="457"/>
        <v>Nov</v>
      </c>
      <c r="C1002" s="73">
        <f t="shared" si="475"/>
        <v>15</v>
      </c>
      <c r="D1002" s="74">
        <f t="shared" si="458"/>
        <v>6</v>
      </c>
      <c r="E1002" s="75">
        <f t="shared" si="459"/>
        <v>13</v>
      </c>
      <c r="F1002" s="79"/>
      <c r="G1002" s="82"/>
      <c r="H1002" s="68" t="str">
        <f t="shared" si="476"/>
        <v>Hyprev7_20211115_06_00</v>
      </c>
      <c r="I1002" s="69">
        <f t="shared" si="479"/>
        <v>1</v>
      </c>
      <c r="J1002" s="76" t="str">
        <f t="shared" si="479"/>
        <v>Hypericum</v>
      </c>
      <c r="K1002" s="76" t="str">
        <f t="shared" si="479"/>
        <v>revolutum</v>
      </c>
      <c r="L1002" s="77">
        <f t="shared" si="479"/>
        <v>7</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v>
      </c>
      <c r="C1003" s="73">
        <f t="shared" si="475"/>
        <v>15</v>
      </c>
      <c r="D1003" s="74">
        <f t="shared" si="458"/>
        <v>6</v>
      </c>
      <c r="E1003" s="75">
        <f t="shared" si="459"/>
        <v>14</v>
      </c>
      <c r="F1003" s="79"/>
      <c r="G1003" s="82"/>
      <c r="H1003" s="68" t="str">
        <f t="shared" si="476"/>
        <v>Hyprev7_20211115_06_00</v>
      </c>
      <c r="I1003" s="69">
        <f t="shared" si="479"/>
        <v>1</v>
      </c>
      <c r="J1003" s="76" t="str">
        <f t="shared" si="479"/>
        <v>Hypericum</v>
      </c>
      <c r="K1003" s="76" t="str">
        <f t="shared" si="479"/>
        <v>revolutum</v>
      </c>
      <c r="L1003" s="77">
        <f t="shared" si="479"/>
        <v>7</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v>
      </c>
      <c r="C1004" s="73">
        <f t="shared" si="475"/>
        <v>15</v>
      </c>
      <c r="D1004" s="74">
        <f t="shared" si="458"/>
        <v>6</v>
      </c>
      <c r="E1004" s="75">
        <f t="shared" si="459"/>
        <v>15</v>
      </c>
      <c r="F1004" s="79"/>
      <c r="G1004" s="82"/>
      <c r="H1004" s="68" t="str">
        <f t="shared" si="476"/>
        <v>Hyprev7_20211115_06_00</v>
      </c>
      <c r="I1004" s="69">
        <f t="shared" si="479"/>
        <v>1</v>
      </c>
      <c r="J1004" s="76" t="str">
        <f t="shared" si="479"/>
        <v>Hypericum</v>
      </c>
      <c r="K1004" s="76" t="str">
        <f t="shared" si="479"/>
        <v>revolutum</v>
      </c>
      <c r="L1004" s="77">
        <f t="shared" si="479"/>
        <v>7</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v>
      </c>
      <c r="C1005" s="73">
        <f t="shared" si="475"/>
        <v>15</v>
      </c>
      <c r="D1005" s="74">
        <f t="shared" si="458"/>
        <v>6</v>
      </c>
      <c r="E1005" s="75">
        <f t="shared" si="459"/>
        <v>16</v>
      </c>
      <c r="F1005" s="79"/>
      <c r="G1005" s="82"/>
      <c r="H1005" s="68" t="str">
        <f t="shared" si="476"/>
        <v>Hyprev7_20211115_06_00</v>
      </c>
      <c r="I1005" s="69">
        <f t="shared" si="479"/>
        <v>1</v>
      </c>
      <c r="J1005" s="76" t="str">
        <f t="shared" si="479"/>
        <v>Hypericum</v>
      </c>
      <c r="K1005" s="76" t="str">
        <f t="shared" si="479"/>
        <v>revolutum</v>
      </c>
      <c r="L1005" s="77">
        <f t="shared" si="479"/>
        <v>7</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v>
      </c>
      <c r="C1006" s="73">
        <f t="shared" si="475"/>
        <v>15</v>
      </c>
      <c r="D1006" s="74">
        <f t="shared" si="458"/>
        <v>6</v>
      </c>
      <c r="E1006" s="75">
        <f t="shared" si="459"/>
        <v>17</v>
      </c>
      <c r="F1006" s="79"/>
      <c r="G1006" s="82"/>
      <c r="H1006" s="68" t="str">
        <f t="shared" si="476"/>
        <v>Hyprev7_20211115_06_00</v>
      </c>
      <c r="I1006" s="69">
        <f t="shared" si="479"/>
        <v>1</v>
      </c>
      <c r="J1006" s="76" t="str">
        <f t="shared" si="479"/>
        <v>Hypericum</v>
      </c>
      <c r="K1006" s="76" t="str">
        <f t="shared" si="479"/>
        <v>revolutum</v>
      </c>
      <c r="L1006" s="77">
        <f t="shared" si="479"/>
        <v>7</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2021</v>
      </c>
      <c r="B1007" s="72" t="str">
        <f t="shared" si="457"/>
        <v>Nov</v>
      </c>
      <c r="C1007" s="73">
        <f t="shared" si="475"/>
        <v>15</v>
      </c>
      <c r="D1007" s="74">
        <f t="shared" si="458"/>
        <v>6</v>
      </c>
      <c r="E1007" s="75">
        <f t="shared" si="459"/>
        <v>18</v>
      </c>
      <c r="F1007" s="79"/>
      <c r="G1007" s="82"/>
      <c r="H1007" s="68" t="str">
        <f t="shared" si="476"/>
        <v>Hyprev7_20211115_06_00</v>
      </c>
      <c r="I1007" s="69">
        <f t="shared" si="479"/>
        <v>1</v>
      </c>
      <c r="J1007" s="76" t="str">
        <f t="shared" si="479"/>
        <v>Hypericum</v>
      </c>
      <c r="K1007" s="76" t="str">
        <f t="shared" si="479"/>
        <v>revolutum</v>
      </c>
      <c r="L1007" s="77">
        <f t="shared" si="479"/>
        <v>7</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v>
      </c>
      <c r="C1008" s="73">
        <f t="shared" si="475"/>
        <v>15</v>
      </c>
      <c r="D1008" s="74">
        <f t="shared" si="458"/>
        <v>6</v>
      </c>
      <c r="E1008" s="75">
        <f t="shared" si="459"/>
        <v>19</v>
      </c>
      <c r="F1008" s="79"/>
      <c r="G1008" s="82"/>
      <c r="H1008" s="68" t="str">
        <f t="shared" si="476"/>
        <v>Hyprev7_20211115_06_00</v>
      </c>
      <c r="I1008" s="69">
        <f t="shared" si="479"/>
        <v>1</v>
      </c>
      <c r="J1008" s="76" t="str">
        <f t="shared" si="479"/>
        <v>Hypericum</v>
      </c>
      <c r="K1008" s="76" t="str">
        <f t="shared" si="479"/>
        <v>revolutum</v>
      </c>
      <c r="L1008" s="77">
        <f t="shared" si="479"/>
        <v>7</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2021</v>
      </c>
      <c r="B1009" s="72" t="str">
        <f t="shared" si="457"/>
        <v>Nov</v>
      </c>
      <c r="C1009" s="73">
        <f t="shared" si="475"/>
        <v>15</v>
      </c>
      <c r="D1009" s="74">
        <f t="shared" si="458"/>
        <v>6</v>
      </c>
      <c r="E1009" s="75">
        <f t="shared" si="459"/>
        <v>20</v>
      </c>
      <c r="F1009" s="79"/>
      <c r="G1009" s="82"/>
      <c r="H1009" s="68" t="str">
        <f t="shared" si="476"/>
        <v>Hyprev7_20211115_06_00</v>
      </c>
      <c r="I1009" s="69">
        <f t="shared" si="479"/>
        <v>1</v>
      </c>
      <c r="J1009" s="76" t="str">
        <f t="shared" si="479"/>
        <v>Hypericum</v>
      </c>
      <c r="K1009" s="76" t="str">
        <f t="shared" si="479"/>
        <v>revolutum</v>
      </c>
      <c r="L1009" s="77">
        <f t="shared" si="479"/>
        <v>7</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2021</v>
      </c>
      <c r="B1010" s="72" t="str">
        <f t="shared" si="457"/>
        <v>Nov</v>
      </c>
      <c r="C1010" s="73">
        <f t="shared" si="475"/>
        <v>15</v>
      </c>
      <c r="D1010" s="74">
        <f t="shared" si="458"/>
        <v>6</v>
      </c>
      <c r="E1010" s="75">
        <f t="shared" si="459"/>
        <v>21</v>
      </c>
      <c r="F1010" s="79"/>
      <c r="G1010" s="82"/>
      <c r="H1010" s="68" t="str">
        <f t="shared" si="476"/>
        <v>Hyprev7_20211115_06_00</v>
      </c>
      <c r="I1010" s="69">
        <f t="shared" si="479"/>
        <v>1</v>
      </c>
      <c r="J1010" s="76" t="str">
        <f t="shared" si="479"/>
        <v>Hypericum</v>
      </c>
      <c r="K1010" s="76" t="str">
        <f t="shared" si="479"/>
        <v>revolutum</v>
      </c>
      <c r="L1010" s="77">
        <f t="shared" si="479"/>
        <v>7</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2021</v>
      </c>
      <c r="B1011" s="72" t="str">
        <f t="shared" si="457"/>
        <v>Nov</v>
      </c>
      <c r="C1011" s="73">
        <f t="shared" si="475"/>
        <v>15</v>
      </c>
      <c r="D1011" s="74">
        <f t="shared" si="458"/>
        <v>6</v>
      </c>
      <c r="E1011" s="75">
        <f t="shared" si="459"/>
        <v>22</v>
      </c>
      <c r="F1011" s="79"/>
      <c r="G1011" s="82"/>
      <c r="H1011" s="68" t="str">
        <f t="shared" si="476"/>
        <v>Hyprev7_20211115_06_00</v>
      </c>
      <c r="I1011" s="69">
        <f t="shared" si="479"/>
        <v>1</v>
      </c>
      <c r="J1011" s="76" t="str">
        <f t="shared" si="479"/>
        <v>Hypericum</v>
      </c>
      <c r="K1011" s="76" t="str">
        <f t="shared" si="479"/>
        <v>revolutum</v>
      </c>
      <c r="L1011" s="77">
        <f t="shared" si="479"/>
        <v>7</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2021</v>
      </c>
      <c r="B1012" s="72" t="str">
        <f t="shared" si="457"/>
        <v>Nov</v>
      </c>
      <c r="C1012" s="73">
        <f t="shared" si="475"/>
        <v>15</v>
      </c>
      <c r="D1012" s="74">
        <f t="shared" si="458"/>
        <v>6</v>
      </c>
      <c r="E1012" s="75">
        <f t="shared" si="459"/>
        <v>23</v>
      </c>
      <c r="F1012" s="79"/>
      <c r="G1012" s="82"/>
      <c r="H1012" s="68" t="str">
        <f t="shared" si="476"/>
        <v>Hyprev7_20211115_06_00</v>
      </c>
      <c r="I1012" s="69">
        <f t="shared" si="479"/>
        <v>1</v>
      </c>
      <c r="J1012" s="76" t="str">
        <f t="shared" si="479"/>
        <v>Hypericum</v>
      </c>
      <c r="K1012" s="76" t="str">
        <f t="shared" si="479"/>
        <v>revolutum</v>
      </c>
      <c r="L1012" s="77">
        <f t="shared" si="479"/>
        <v>7</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v>
      </c>
      <c r="C1013" s="73">
        <f t="shared" si="475"/>
        <v>15</v>
      </c>
      <c r="D1013" s="74">
        <f t="shared" si="458"/>
        <v>6</v>
      </c>
      <c r="E1013" s="75">
        <f t="shared" si="459"/>
        <v>24</v>
      </c>
      <c r="F1013" s="79"/>
      <c r="G1013" s="82"/>
      <c r="H1013" s="68" t="str">
        <f t="shared" si="476"/>
        <v>Hyprev7_20211115_06_00</v>
      </c>
      <c r="I1013" s="69">
        <f t="shared" ref="I1013:N1028" si="480">I1012</f>
        <v>1</v>
      </c>
      <c r="J1013" s="76" t="str">
        <f t="shared" si="480"/>
        <v>Hypericum</v>
      </c>
      <c r="K1013" s="76" t="str">
        <f t="shared" si="480"/>
        <v>revolutum</v>
      </c>
      <c r="L1013" s="77">
        <f t="shared" si="480"/>
        <v>7</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2021</v>
      </c>
      <c r="B1014" s="72" t="str">
        <f t="shared" si="457"/>
        <v>Nov</v>
      </c>
      <c r="C1014" s="73">
        <f t="shared" si="475"/>
        <v>15</v>
      </c>
      <c r="D1014" s="74">
        <f t="shared" si="458"/>
        <v>6</v>
      </c>
      <c r="E1014" s="75">
        <f t="shared" si="459"/>
        <v>25</v>
      </c>
      <c r="F1014" s="79"/>
      <c r="G1014" s="82"/>
      <c r="H1014" s="68" t="str">
        <f t="shared" si="476"/>
        <v>Hyprev7_20211115_06_00</v>
      </c>
      <c r="I1014" s="69">
        <f t="shared" si="480"/>
        <v>1</v>
      </c>
      <c r="J1014" s="76" t="str">
        <f t="shared" si="480"/>
        <v>Hypericum</v>
      </c>
      <c r="K1014" s="76" t="str">
        <f t="shared" si="480"/>
        <v>revolutum</v>
      </c>
      <c r="L1014" s="77">
        <f t="shared" si="480"/>
        <v>7</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2021</v>
      </c>
      <c r="B1015" s="72" t="str">
        <f t="shared" si="457"/>
        <v>Nov</v>
      </c>
      <c r="C1015" s="73">
        <f t="shared" si="475"/>
        <v>15</v>
      </c>
      <c r="D1015" s="74">
        <f t="shared" si="458"/>
        <v>6</v>
      </c>
      <c r="E1015" s="75">
        <f t="shared" si="459"/>
        <v>26</v>
      </c>
      <c r="F1015" s="79"/>
      <c r="G1015" s="82"/>
      <c r="H1015" s="68" t="str">
        <f t="shared" si="476"/>
        <v>Hyprev7_20211115_06_00</v>
      </c>
      <c r="I1015" s="69">
        <f t="shared" si="480"/>
        <v>1</v>
      </c>
      <c r="J1015" s="76" t="str">
        <f t="shared" si="480"/>
        <v>Hypericum</v>
      </c>
      <c r="K1015" s="76" t="str">
        <f t="shared" si="480"/>
        <v>revolutum</v>
      </c>
      <c r="L1015" s="77">
        <f t="shared" si="480"/>
        <v>7</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2021</v>
      </c>
      <c r="B1016" s="72" t="str">
        <f t="shared" si="457"/>
        <v>Nov</v>
      </c>
      <c r="C1016" s="73">
        <f t="shared" si="475"/>
        <v>15</v>
      </c>
      <c r="D1016" s="74">
        <f t="shared" si="458"/>
        <v>6</v>
      </c>
      <c r="E1016" s="75">
        <f t="shared" si="459"/>
        <v>27</v>
      </c>
      <c r="F1016" s="79"/>
      <c r="G1016" s="82"/>
      <c r="H1016" s="68" t="str">
        <f t="shared" si="476"/>
        <v>Hyprev7_20211115_06_00</v>
      </c>
      <c r="I1016" s="69">
        <f t="shared" si="480"/>
        <v>1</v>
      </c>
      <c r="J1016" s="76" t="str">
        <f t="shared" si="480"/>
        <v>Hypericum</v>
      </c>
      <c r="K1016" s="76" t="str">
        <f t="shared" si="480"/>
        <v>revolutum</v>
      </c>
      <c r="L1016" s="77">
        <f t="shared" si="480"/>
        <v>7</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2021</v>
      </c>
      <c r="B1017" s="72" t="str">
        <f t="shared" si="457"/>
        <v>Nov</v>
      </c>
      <c r="C1017" s="73">
        <f t="shared" si="475"/>
        <v>15</v>
      </c>
      <c r="D1017" s="74">
        <f t="shared" si="458"/>
        <v>6</v>
      </c>
      <c r="E1017" s="75">
        <f t="shared" si="459"/>
        <v>28</v>
      </c>
      <c r="F1017" s="79"/>
      <c r="G1017" s="82"/>
      <c r="H1017" s="68" t="str">
        <f t="shared" si="476"/>
        <v>Hyprev7_20211115_06_00</v>
      </c>
      <c r="I1017" s="69">
        <f t="shared" si="480"/>
        <v>1</v>
      </c>
      <c r="J1017" s="76" t="str">
        <f t="shared" si="480"/>
        <v>Hypericum</v>
      </c>
      <c r="K1017" s="76" t="str">
        <f t="shared" si="480"/>
        <v>revolutum</v>
      </c>
      <c r="L1017" s="77">
        <f t="shared" si="480"/>
        <v>7</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v>
      </c>
      <c r="C1018" s="73">
        <f t="shared" si="475"/>
        <v>15</v>
      </c>
      <c r="D1018" s="74">
        <f t="shared" si="458"/>
        <v>6</v>
      </c>
      <c r="E1018" s="75">
        <f t="shared" si="459"/>
        <v>29</v>
      </c>
      <c r="F1018" s="79"/>
      <c r="G1018" s="82"/>
      <c r="H1018" s="68" t="str">
        <f t="shared" si="476"/>
        <v>Hyprev7_20211115_06_00</v>
      </c>
      <c r="I1018" s="69">
        <f t="shared" si="480"/>
        <v>1</v>
      </c>
      <c r="J1018" s="76" t="str">
        <f t="shared" si="480"/>
        <v>Hypericum</v>
      </c>
      <c r="K1018" s="76" t="str">
        <f t="shared" si="480"/>
        <v>revolutum</v>
      </c>
      <c r="L1018" s="77">
        <f t="shared" si="480"/>
        <v>7</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v>
      </c>
      <c r="C1019" s="73">
        <f t="shared" si="475"/>
        <v>15</v>
      </c>
      <c r="D1019" s="74">
        <f t="shared" si="458"/>
        <v>6</v>
      </c>
      <c r="E1019" s="75">
        <f t="shared" si="459"/>
        <v>30</v>
      </c>
      <c r="F1019" s="79"/>
      <c r="G1019" s="82"/>
      <c r="H1019" s="68" t="str">
        <f t="shared" si="476"/>
        <v>Hyprev7_20211115_06_00</v>
      </c>
      <c r="I1019" s="69">
        <f t="shared" si="480"/>
        <v>1</v>
      </c>
      <c r="J1019" s="76" t="str">
        <f t="shared" si="480"/>
        <v>Hypericum</v>
      </c>
      <c r="K1019" s="76" t="str">
        <f t="shared" si="480"/>
        <v>revolutum</v>
      </c>
      <c r="L1019" s="77">
        <f t="shared" si="480"/>
        <v>7</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v>
      </c>
      <c r="C1020" s="73">
        <f t="shared" si="475"/>
        <v>15</v>
      </c>
      <c r="D1020" s="74">
        <f t="shared" si="458"/>
        <v>6</v>
      </c>
      <c r="E1020" s="75">
        <f t="shared" si="459"/>
        <v>31</v>
      </c>
      <c r="F1020" s="79"/>
      <c r="G1020" s="82"/>
      <c r="H1020" s="68" t="str">
        <f t="shared" si="476"/>
        <v>Hyprev7_20211115_06_00</v>
      </c>
      <c r="I1020" s="69">
        <f t="shared" si="480"/>
        <v>1</v>
      </c>
      <c r="J1020" s="76" t="str">
        <f t="shared" si="480"/>
        <v>Hypericum</v>
      </c>
      <c r="K1020" s="76" t="str">
        <f t="shared" si="480"/>
        <v>revolutum</v>
      </c>
      <c r="L1020" s="77">
        <f t="shared" si="480"/>
        <v>7</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v>
      </c>
      <c r="C1021" s="73">
        <f t="shared" si="475"/>
        <v>15</v>
      </c>
      <c r="D1021" s="74">
        <f t="shared" si="458"/>
        <v>6</v>
      </c>
      <c r="E1021" s="75">
        <f t="shared" si="459"/>
        <v>32</v>
      </c>
      <c r="F1021" s="79"/>
      <c r="G1021" s="82"/>
      <c r="H1021" s="68" t="str">
        <f t="shared" si="476"/>
        <v>Hyprev7_20211115_06_00</v>
      </c>
      <c r="I1021" s="69">
        <f t="shared" si="480"/>
        <v>1</v>
      </c>
      <c r="J1021" s="76" t="str">
        <f t="shared" si="480"/>
        <v>Hypericum</v>
      </c>
      <c r="K1021" s="76" t="str">
        <f t="shared" si="480"/>
        <v>revolutum</v>
      </c>
      <c r="L1021" s="77">
        <f t="shared" si="480"/>
        <v>7</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v>
      </c>
      <c r="C1022" s="73">
        <f t="shared" si="475"/>
        <v>15</v>
      </c>
      <c r="D1022" s="74">
        <f t="shared" si="458"/>
        <v>6</v>
      </c>
      <c r="E1022" s="75">
        <f t="shared" si="459"/>
        <v>33</v>
      </c>
      <c r="F1022" s="79"/>
      <c r="G1022" s="82"/>
      <c r="H1022" s="68" t="str">
        <f t="shared" si="476"/>
        <v>Hyprev7_20211115_06_00</v>
      </c>
      <c r="I1022" s="69">
        <f t="shared" si="480"/>
        <v>1</v>
      </c>
      <c r="J1022" s="76" t="str">
        <f t="shared" si="480"/>
        <v>Hypericum</v>
      </c>
      <c r="K1022" s="76" t="str">
        <f t="shared" si="480"/>
        <v>revolutum</v>
      </c>
      <c r="L1022" s="77">
        <f t="shared" si="480"/>
        <v>7</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v>
      </c>
      <c r="C1023" s="73">
        <f t="shared" si="475"/>
        <v>15</v>
      </c>
      <c r="D1023" s="74">
        <f t="shared" si="458"/>
        <v>6</v>
      </c>
      <c r="E1023" s="75">
        <f t="shared" si="459"/>
        <v>34</v>
      </c>
      <c r="F1023" s="79"/>
      <c r="G1023" s="82"/>
      <c r="H1023" s="68" t="str">
        <f t="shared" si="476"/>
        <v>Hyprev7_20211115_06_00</v>
      </c>
      <c r="I1023" s="69">
        <f t="shared" si="480"/>
        <v>1</v>
      </c>
      <c r="J1023" s="76" t="str">
        <f t="shared" si="480"/>
        <v>Hypericum</v>
      </c>
      <c r="K1023" s="76" t="str">
        <f t="shared" si="480"/>
        <v>revolutum</v>
      </c>
      <c r="L1023" s="77">
        <f t="shared" si="480"/>
        <v>7</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v>
      </c>
      <c r="C1024" s="73">
        <f t="shared" si="475"/>
        <v>15</v>
      </c>
      <c r="D1024" s="74">
        <f t="shared" si="458"/>
        <v>6</v>
      </c>
      <c r="E1024" s="75">
        <f t="shared" si="459"/>
        <v>35</v>
      </c>
      <c r="F1024" s="79"/>
      <c r="G1024" s="82"/>
      <c r="H1024" s="68" t="str">
        <f t="shared" si="476"/>
        <v>Hyprev7_20211115_06_00</v>
      </c>
      <c r="I1024" s="69">
        <f t="shared" si="480"/>
        <v>1</v>
      </c>
      <c r="J1024" s="76" t="str">
        <f t="shared" si="480"/>
        <v>Hypericum</v>
      </c>
      <c r="K1024" s="76" t="str">
        <f t="shared" si="480"/>
        <v>revolutum</v>
      </c>
      <c r="L1024" s="77">
        <f t="shared" si="480"/>
        <v>7</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v>
      </c>
      <c r="C1025" s="73">
        <f t="shared" si="475"/>
        <v>15</v>
      </c>
      <c r="D1025" s="74">
        <f t="shared" si="458"/>
        <v>6</v>
      </c>
      <c r="E1025" s="75">
        <f t="shared" si="459"/>
        <v>36</v>
      </c>
      <c r="F1025" s="79"/>
      <c r="G1025" s="82"/>
      <c r="H1025" s="68" t="str">
        <f t="shared" si="476"/>
        <v>Hyprev7_20211115_06_00</v>
      </c>
      <c r="I1025" s="69">
        <f t="shared" si="480"/>
        <v>1</v>
      </c>
      <c r="J1025" s="76" t="str">
        <f t="shared" si="480"/>
        <v>Hypericum</v>
      </c>
      <c r="K1025" s="76" t="str">
        <f t="shared" si="480"/>
        <v>revolutum</v>
      </c>
      <c r="L1025" s="77">
        <f t="shared" si="480"/>
        <v>7</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2021</v>
      </c>
      <c r="B1026" s="72" t="str">
        <f t="shared" si="457"/>
        <v>Nov</v>
      </c>
      <c r="C1026" s="73">
        <f t="shared" si="475"/>
        <v>15</v>
      </c>
      <c r="D1026" s="74">
        <f t="shared" si="458"/>
        <v>6</v>
      </c>
      <c r="E1026" s="75">
        <f t="shared" si="459"/>
        <v>37</v>
      </c>
      <c r="F1026" s="79"/>
      <c r="G1026" s="82"/>
      <c r="H1026" s="68" t="str">
        <f t="shared" si="476"/>
        <v>Hyprev7_20211115_06_00</v>
      </c>
      <c r="I1026" s="69">
        <f t="shared" si="480"/>
        <v>1</v>
      </c>
      <c r="J1026" s="76" t="str">
        <f t="shared" si="480"/>
        <v>Hypericum</v>
      </c>
      <c r="K1026" s="76" t="str">
        <f t="shared" si="480"/>
        <v>revolutum</v>
      </c>
      <c r="L1026" s="77">
        <f t="shared" si="480"/>
        <v>7</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2021</v>
      </c>
      <c r="B1027" s="72" t="str">
        <f t="shared" si="457"/>
        <v>Nov</v>
      </c>
      <c r="C1027" s="73">
        <f t="shared" si="475"/>
        <v>15</v>
      </c>
      <c r="D1027" s="74">
        <f t="shared" si="458"/>
        <v>6</v>
      </c>
      <c r="E1027" s="75">
        <f t="shared" si="459"/>
        <v>38</v>
      </c>
      <c r="F1027" s="79"/>
      <c r="G1027" s="82"/>
      <c r="H1027" s="68" t="str">
        <f t="shared" si="476"/>
        <v>Hyprev7_20211115_06_00</v>
      </c>
      <c r="I1027" s="69">
        <f t="shared" si="480"/>
        <v>1</v>
      </c>
      <c r="J1027" s="76" t="str">
        <f t="shared" si="480"/>
        <v>Hypericum</v>
      </c>
      <c r="K1027" s="76" t="str">
        <f t="shared" si="480"/>
        <v>revolutum</v>
      </c>
      <c r="L1027" s="77">
        <f t="shared" si="480"/>
        <v>7</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2021</v>
      </c>
      <c r="B1028" s="72" t="str">
        <f t="shared" ref="B1028:B1091" si="487">IF(C1027-C1028&gt;0, TEXT(DATE(2016,(MONTH(DATEVALUE(B1027&amp;"1"))+1),1),"mmm"), B1027)</f>
        <v>Nov</v>
      </c>
      <c r="C1028" s="73">
        <f t="shared" si="475"/>
        <v>15</v>
      </c>
      <c r="D1028" s="74">
        <f t="shared" ref="D1028:D1091" si="488">IF(IF(E1027=59,D1027+1,D1027)=24,0,IF(E1027=59,D1027+1,D1027))</f>
        <v>6</v>
      </c>
      <c r="E1028" s="75">
        <f t="shared" ref="E1028:E1090" si="489">IF(E1027&lt;59,E1027+1,0)</f>
        <v>39</v>
      </c>
      <c r="F1028" s="79"/>
      <c r="G1028" s="82"/>
      <c r="H1028" s="68" t="str">
        <f t="shared" si="476"/>
        <v>Hyprev7_20211115_06_00</v>
      </c>
      <c r="I1028" s="69">
        <f t="shared" si="480"/>
        <v>1</v>
      </c>
      <c r="J1028" s="76" t="str">
        <f t="shared" si="480"/>
        <v>Hypericum</v>
      </c>
      <c r="K1028" s="76" t="str">
        <f t="shared" si="480"/>
        <v>revolutum</v>
      </c>
      <c r="L1028" s="77">
        <f t="shared" si="480"/>
        <v>7</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2021</v>
      </c>
      <c r="B1029" s="72" t="str">
        <f t="shared" si="487"/>
        <v>Nov</v>
      </c>
      <c r="C1029" s="73">
        <f t="shared" ref="C1029:C1092" si="505">IF(AND(D1029=0, E1029=0), IF(TEXT(C1028,"dd")=TEXT(EOMONTH(DATE(A1028,MONTH(DATEVALUE(B1028&amp;"1")),C1028),0), "dd"), 1, C1028+1), C1028)</f>
        <v>15</v>
      </c>
      <c r="D1029" s="74">
        <f t="shared" si="488"/>
        <v>6</v>
      </c>
      <c r="E1029" s="75">
        <f t="shared" si="489"/>
        <v>40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Hyprev7_20211115_06_00</v>
      </c>
      <c r="I1029" s="69">
        <f t="shared" ref="I1029:N1044" si="507">I1028</f>
        <v>1</v>
      </c>
      <c r="J1029" s="76" t="str">
        <f t="shared" si="507"/>
        <v>Hypericum</v>
      </c>
      <c r="K1029" s="76" t="str">
        <f t="shared" si="507"/>
        <v>revolutum</v>
      </c>
      <c r="L1029" s="77">
        <f t="shared" si="507"/>
        <v>7</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2021</v>
      </c>
      <c r="B1030" s="72" t="str">
        <f t="shared" si="487"/>
        <v>Nov</v>
      </c>
      <c r="C1030" s="73">
        <f t="shared" si="505"/>
        <v>15</v>
      </c>
      <c r="D1030" s="74">
        <f t="shared" si="488"/>
        <v>6</v>
      </c>
      <c r="E1030" s="75">
        <f t="shared" si="489"/>
        <v>41</v>
      </c>
      <c r="F1030" s="79"/>
      <c r="G1030" s="82"/>
      <c r="H1030" s="68" t="str">
        <f t="shared" si="506"/>
        <v>Hyprev7_20211115_06_00</v>
      </c>
      <c r="I1030" s="69">
        <f t="shared" si="507"/>
        <v>1</v>
      </c>
      <c r="J1030" s="76" t="str">
        <f t="shared" si="507"/>
        <v>Hypericum</v>
      </c>
      <c r="K1030" s="76" t="str">
        <f t="shared" si="507"/>
        <v>revolutum</v>
      </c>
      <c r="L1030" s="77">
        <f t="shared" si="507"/>
        <v>7</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2021</v>
      </c>
      <c r="B1031" s="72" t="str">
        <f t="shared" si="487"/>
        <v>Nov</v>
      </c>
      <c r="C1031" s="73">
        <f t="shared" si="505"/>
        <v>15</v>
      </c>
      <c r="D1031" s="74">
        <f t="shared" si="488"/>
        <v>6</v>
      </c>
      <c r="E1031" s="75">
        <f t="shared" si="489"/>
        <v>42</v>
      </c>
      <c r="F1031" s="79"/>
      <c r="G1031" s="82"/>
      <c r="H1031" s="68" t="str">
        <f t="shared" si="506"/>
        <v>Hyprev7_20211115_06_00</v>
      </c>
      <c r="I1031" s="69">
        <f t="shared" si="507"/>
        <v>1</v>
      </c>
      <c r="J1031" s="76" t="str">
        <f t="shared" si="507"/>
        <v>Hypericum</v>
      </c>
      <c r="K1031" s="76" t="str">
        <f t="shared" si="507"/>
        <v>revolutum</v>
      </c>
      <c r="L1031" s="77">
        <f t="shared" si="507"/>
        <v>7</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2021</v>
      </c>
      <c r="B1032" s="72" t="str">
        <f t="shared" si="487"/>
        <v>Nov</v>
      </c>
      <c r="C1032" s="73">
        <f t="shared" si="505"/>
        <v>15</v>
      </c>
      <c r="D1032" s="74">
        <f t="shared" si="488"/>
        <v>6</v>
      </c>
      <c r="E1032" s="75">
        <f t="shared" si="489"/>
        <v>43</v>
      </c>
      <c r="F1032" s="79"/>
      <c r="G1032" s="82"/>
      <c r="H1032" s="68" t="str">
        <f t="shared" si="506"/>
        <v>Hyprev7_20211115_06_00</v>
      </c>
      <c r="I1032" s="69">
        <f t="shared" si="507"/>
        <v>1</v>
      </c>
      <c r="J1032" s="76" t="str">
        <f t="shared" si="507"/>
        <v>Hypericum</v>
      </c>
      <c r="K1032" s="76" t="str">
        <f t="shared" si="507"/>
        <v>revolutum</v>
      </c>
      <c r="L1032" s="77">
        <f t="shared" si="507"/>
        <v>7</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2021</v>
      </c>
      <c r="B1033" s="72" t="str">
        <f t="shared" si="487"/>
        <v>Nov</v>
      </c>
      <c r="C1033" s="73">
        <f t="shared" si="505"/>
        <v>15</v>
      </c>
      <c r="D1033" s="74">
        <f t="shared" si="488"/>
        <v>6</v>
      </c>
      <c r="E1033" s="75">
        <f t="shared" si="489"/>
        <v>44</v>
      </c>
      <c r="F1033" s="79"/>
      <c r="G1033" s="82"/>
      <c r="H1033" s="68" t="str">
        <f t="shared" si="506"/>
        <v>Hyprev7_20211115_06_00</v>
      </c>
      <c r="I1033" s="69">
        <f t="shared" si="507"/>
        <v>1</v>
      </c>
      <c r="J1033" s="76" t="str">
        <f t="shared" si="507"/>
        <v>Hypericum</v>
      </c>
      <c r="K1033" s="76" t="str">
        <f t="shared" si="507"/>
        <v>revolutum</v>
      </c>
      <c r="L1033" s="77">
        <f t="shared" si="507"/>
        <v>7</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2021</v>
      </c>
      <c r="B1034" s="72" t="str">
        <f t="shared" si="487"/>
        <v>Nov</v>
      </c>
      <c r="C1034" s="73">
        <f t="shared" si="505"/>
        <v>15</v>
      </c>
      <c r="D1034" s="74">
        <f t="shared" si="488"/>
        <v>6</v>
      </c>
      <c r="E1034" s="75">
        <f t="shared" si="489"/>
        <v>45</v>
      </c>
      <c r="F1034" s="79"/>
      <c r="G1034" s="82"/>
      <c r="H1034" s="68" t="str">
        <f t="shared" si="506"/>
        <v>Hyprev7_20211115_06_00</v>
      </c>
      <c r="I1034" s="69">
        <f t="shared" si="507"/>
        <v>1</v>
      </c>
      <c r="J1034" s="76" t="str">
        <f t="shared" si="507"/>
        <v>Hypericum</v>
      </c>
      <c r="K1034" s="76" t="str">
        <f t="shared" si="507"/>
        <v>revolutum</v>
      </c>
      <c r="L1034" s="77">
        <f t="shared" si="507"/>
        <v>7</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2021</v>
      </c>
      <c r="B1035" s="72" t="str">
        <f t="shared" si="487"/>
        <v>Nov</v>
      </c>
      <c r="C1035" s="73">
        <f t="shared" si="505"/>
        <v>15</v>
      </c>
      <c r="D1035" s="74">
        <f t="shared" si="488"/>
        <v>6</v>
      </c>
      <c r="E1035" s="75">
        <f t="shared" si="489"/>
        <v>46</v>
      </c>
      <c r="F1035" s="79"/>
      <c r="G1035" s="82"/>
      <c r="H1035" s="68" t="str">
        <f t="shared" si="506"/>
        <v>Hyprev7_20211115_06_00</v>
      </c>
      <c r="I1035" s="69">
        <f t="shared" si="507"/>
        <v>1</v>
      </c>
      <c r="J1035" s="76" t="str">
        <f t="shared" si="507"/>
        <v>Hypericum</v>
      </c>
      <c r="K1035" s="76" t="str">
        <f t="shared" si="507"/>
        <v>revolutum</v>
      </c>
      <c r="L1035" s="77">
        <f t="shared" si="507"/>
        <v>7</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2021</v>
      </c>
      <c r="B1036" s="72" t="str">
        <f t="shared" si="487"/>
        <v>Nov</v>
      </c>
      <c r="C1036" s="73">
        <f t="shared" si="505"/>
        <v>15</v>
      </c>
      <c r="D1036" s="74">
        <f t="shared" si="488"/>
        <v>6</v>
      </c>
      <c r="E1036" s="75">
        <f t="shared" si="489"/>
        <v>47</v>
      </c>
      <c r="F1036" s="79"/>
      <c r="G1036" s="82"/>
      <c r="H1036" s="68" t="str">
        <f t="shared" si="506"/>
        <v>Hyprev7_20211115_06_00</v>
      </c>
      <c r="I1036" s="69">
        <f t="shared" si="507"/>
        <v>1</v>
      </c>
      <c r="J1036" s="76" t="str">
        <f t="shared" si="507"/>
        <v>Hypericum</v>
      </c>
      <c r="K1036" s="76" t="str">
        <f t="shared" si="507"/>
        <v>revolutum</v>
      </c>
      <c r="L1036" s="77">
        <f t="shared" si="507"/>
        <v>7</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2021</v>
      </c>
      <c r="B1037" s="72" t="str">
        <f t="shared" si="487"/>
        <v>Nov</v>
      </c>
      <c r="C1037" s="73">
        <f t="shared" si="505"/>
        <v>15</v>
      </c>
      <c r="D1037" s="74">
        <f t="shared" si="488"/>
        <v>6</v>
      </c>
      <c r="E1037" s="75">
        <f t="shared" si="489"/>
        <v>48</v>
      </c>
      <c r="F1037" s="79"/>
      <c r="G1037" s="82"/>
      <c r="H1037" s="68" t="str">
        <f t="shared" si="506"/>
        <v>Hyprev7_20211115_06_00</v>
      </c>
      <c r="I1037" s="69">
        <f t="shared" si="507"/>
        <v>1</v>
      </c>
      <c r="J1037" s="76" t="str">
        <f t="shared" si="507"/>
        <v>Hypericum</v>
      </c>
      <c r="K1037" s="76" t="str">
        <f t="shared" si="507"/>
        <v>revolutum</v>
      </c>
      <c r="L1037" s="77">
        <f t="shared" si="507"/>
        <v>7</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2021</v>
      </c>
      <c r="B1038" s="72" t="str">
        <f t="shared" si="487"/>
        <v>Nov</v>
      </c>
      <c r="C1038" s="73">
        <f t="shared" si="505"/>
        <v>15</v>
      </c>
      <c r="D1038" s="74">
        <f t="shared" si="488"/>
        <v>6</v>
      </c>
      <c r="E1038" s="75">
        <f t="shared" si="489"/>
        <v>49</v>
      </c>
      <c r="F1038" s="79"/>
      <c r="G1038" s="82"/>
      <c r="H1038" s="68" t="str">
        <f t="shared" si="506"/>
        <v>Hyprev7_20211115_06_00</v>
      </c>
      <c r="I1038" s="69">
        <f t="shared" si="507"/>
        <v>1</v>
      </c>
      <c r="J1038" s="76" t="str">
        <f t="shared" si="507"/>
        <v>Hypericum</v>
      </c>
      <c r="K1038" s="76" t="str">
        <f t="shared" si="507"/>
        <v>revolutum</v>
      </c>
      <c r="L1038" s="77">
        <f t="shared" si="507"/>
        <v>7</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2021</v>
      </c>
      <c r="B1039" s="72" t="str">
        <f t="shared" si="487"/>
        <v>Nov</v>
      </c>
      <c r="C1039" s="73">
        <f t="shared" si="505"/>
        <v>15</v>
      </c>
      <c r="D1039" s="74">
        <f t="shared" si="488"/>
        <v>6</v>
      </c>
      <c r="E1039" s="75">
        <f t="shared" si="489"/>
        <v>50</v>
      </c>
      <c r="F1039" s="79"/>
      <c r="G1039" s="82"/>
      <c r="H1039" s="68" t="str">
        <f t="shared" si="506"/>
        <v>Hyprev7_20211115_06_00</v>
      </c>
      <c r="I1039" s="69">
        <f t="shared" si="507"/>
        <v>1</v>
      </c>
      <c r="J1039" s="76" t="str">
        <f t="shared" si="507"/>
        <v>Hypericum</v>
      </c>
      <c r="K1039" s="76" t="str">
        <f t="shared" si="507"/>
        <v>revolutum</v>
      </c>
      <c r="L1039" s="77">
        <f t="shared" si="507"/>
        <v>7</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2021</v>
      </c>
      <c r="B1040" s="72" t="str">
        <f t="shared" si="487"/>
        <v>Nov</v>
      </c>
      <c r="C1040" s="73">
        <f t="shared" si="505"/>
        <v>15</v>
      </c>
      <c r="D1040" s="74">
        <f t="shared" si="488"/>
        <v>6</v>
      </c>
      <c r="E1040" s="75">
        <f t="shared" si="489"/>
        <v>51</v>
      </c>
      <c r="F1040" s="79"/>
      <c r="G1040" s="82"/>
      <c r="H1040" s="68" t="str">
        <f t="shared" si="506"/>
        <v>Hyprev7_20211115_06_00</v>
      </c>
      <c r="I1040" s="69">
        <f t="shared" si="507"/>
        <v>1</v>
      </c>
      <c r="J1040" s="76" t="str">
        <f t="shared" si="507"/>
        <v>Hypericum</v>
      </c>
      <c r="K1040" s="76" t="str">
        <f t="shared" si="507"/>
        <v>revolutum</v>
      </c>
      <c r="L1040" s="77">
        <f t="shared" si="507"/>
        <v>7</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2021</v>
      </c>
      <c r="B1041" s="72" t="str">
        <f t="shared" si="487"/>
        <v>Nov</v>
      </c>
      <c r="C1041" s="73">
        <f t="shared" si="505"/>
        <v>15</v>
      </c>
      <c r="D1041" s="74">
        <f t="shared" si="488"/>
        <v>6</v>
      </c>
      <c r="E1041" s="75">
        <f t="shared" si="489"/>
        <v>52</v>
      </c>
      <c r="F1041" s="79"/>
      <c r="G1041" s="82"/>
      <c r="H1041" s="68" t="str">
        <f t="shared" si="506"/>
        <v>Hyprev7_20211115_06_00</v>
      </c>
      <c r="I1041" s="69">
        <f t="shared" si="507"/>
        <v>1</v>
      </c>
      <c r="J1041" s="76" t="str">
        <f t="shared" si="507"/>
        <v>Hypericum</v>
      </c>
      <c r="K1041" s="76" t="str">
        <f t="shared" si="507"/>
        <v>revolutum</v>
      </c>
      <c r="L1041" s="77">
        <f t="shared" si="507"/>
        <v>7</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2021</v>
      </c>
      <c r="B1042" s="72" t="str">
        <f t="shared" si="487"/>
        <v>Nov</v>
      </c>
      <c r="C1042" s="73">
        <f t="shared" si="505"/>
        <v>15</v>
      </c>
      <c r="D1042" s="74">
        <f t="shared" si="488"/>
        <v>6</v>
      </c>
      <c r="E1042" s="75">
        <f t="shared" si="489"/>
        <v>53</v>
      </c>
      <c r="F1042" s="79"/>
      <c r="G1042" s="82"/>
      <c r="H1042" s="68" t="str">
        <f t="shared" si="506"/>
        <v>Hyprev7_20211115_06_00</v>
      </c>
      <c r="I1042" s="69">
        <f t="shared" si="507"/>
        <v>1</v>
      </c>
      <c r="J1042" s="76" t="str">
        <f t="shared" si="507"/>
        <v>Hypericum</v>
      </c>
      <c r="K1042" s="76" t="str">
        <f t="shared" si="507"/>
        <v>revolutum</v>
      </c>
      <c r="L1042" s="77">
        <f t="shared" si="507"/>
        <v>7</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2021</v>
      </c>
      <c r="B1043" s="72" t="str">
        <f t="shared" si="487"/>
        <v>Nov</v>
      </c>
      <c r="C1043" s="73">
        <f t="shared" si="505"/>
        <v>15</v>
      </c>
      <c r="D1043" s="74">
        <f t="shared" si="488"/>
        <v>6</v>
      </c>
      <c r="E1043" s="75">
        <f t="shared" si="489"/>
        <v>54</v>
      </c>
      <c r="F1043" s="79"/>
      <c r="G1043" s="82"/>
      <c r="H1043" s="68" t="str">
        <f t="shared" si="506"/>
        <v>Hyprev7_20211115_06_00</v>
      </c>
      <c r="I1043" s="69">
        <f t="shared" si="507"/>
        <v>1</v>
      </c>
      <c r="J1043" s="76" t="str">
        <f t="shared" si="507"/>
        <v>Hypericum</v>
      </c>
      <c r="K1043" s="76" t="str">
        <f t="shared" si="507"/>
        <v>revolutum</v>
      </c>
      <c r="L1043" s="77">
        <f t="shared" si="507"/>
        <v>7</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2021</v>
      </c>
      <c r="B1044" s="72" t="str">
        <f t="shared" si="487"/>
        <v>Nov</v>
      </c>
      <c r="C1044" s="73">
        <f t="shared" si="505"/>
        <v>15</v>
      </c>
      <c r="D1044" s="74">
        <f t="shared" si="488"/>
        <v>6</v>
      </c>
      <c r="E1044" s="75">
        <f t="shared" si="489"/>
        <v>55</v>
      </c>
      <c r="F1044" s="79"/>
      <c r="G1044" s="82"/>
      <c r="H1044" s="68" t="str">
        <f t="shared" si="506"/>
        <v>Hyprev7_20211115_06_00</v>
      </c>
      <c r="I1044" s="69">
        <f t="shared" si="507"/>
        <v>1</v>
      </c>
      <c r="J1044" s="76" t="str">
        <f t="shared" si="507"/>
        <v>Hypericum</v>
      </c>
      <c r="K1044" s="76" t="str">
        <f t="shared" si="507"/>
        <v>revolutum</v>
      </c>
      <c r="L1044" s="77">
        <f t="shared" si="507"/>
        <v>7</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2021</v>
      </c>
      <c r="B1045" s="72" t="str">
        <f t="shared" si="487"/>
        <v>Nov</v>
      </c>
      <c r="C1045" s="73">
        <f t="shared" si="505"/>
        <v>15</v>
      </c>
      <c r="D1045" s="74">
        <f t="shared" si="488"/>
        <v>6</v>
      </c>
      <c r="E1045" s="75">
        <f t="shared" si="489"/>
        <v>56</v>
      </c>
      <c r="F1045" s="79"/>
      <c r="G1045" s="82"/>
      <c r="H1045" s="68" t="str">
        <f t="shared" si="506"/>
        <v>Hyprev7_20211115_06_00</v>
      </c>
      <c r="I1045" s="69">
        <f t="shared" ref="I1045:N1060" si="508">I1044</f>
        <v>1</v>
      </c>
      <c r="J1045" s="76" t="str">
        <f t="shared" si="508"/>
        <v>Hypericum</v>
      </c>
      <c r="K1045" s="76" t="str">
        <f t="shared" si="508"/>
        <v>revolutum</v>
      </c>
      <c r="L1045" s="77">
        <f t="shared" si="508"/>
        <v>7</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2021</v>
      </c>
      <c r="B1046" s="72" t="str">
        <f t="shared" si="487"/>
        <v>Nov</v>
      </c>
      <c r="C1046" s="73">
        <f t="shared" si="505"/>
        <v>15</v>
      </c>
      <c r="D1046" s="74">
        <f t="shared" si="488"/>
        <v>6</v>
      </c>
      <c r="E1046" s="75">
        <f t="shared" si="489"/>
        <v>57</v>
      </c>
      <c r="F1046" s="79"/>
      <c r="G1046" s="82"/>
      <c r="H1046" s="68" t="str">
        <f t="shared" si="506"/>
        <v>Hyprev7_20211115_06_00</v>
      </c>
      <c r="I1046" s="69">
        <f t="shared" si="508"/>
        <v>1</v>
      </c>
      <c r="J1046" s="76" t="str">
        <f t="shared" si="508"/>
        <v>Hypericum</v>
      </c>
      <c r="K1046" s="76" t="str">
        <f t="shared" si="508"/>
        <v>revolutum</v>
      </c>
      <c r="L1046" s="77">
        <f t="shared" si="508"/>
        <v>7</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2021</v>
      </c>
      <c r="B1047" s="72" t="str">
        <f t="shared" si="487"/>
        <v>Nov</v>
      </c>
      <c r="C1047" s="73">
        <f t="shared" si="505"/>
        <v>15</v>
      </c>
      <c r="D1047" s="74">
        <f t="shared" si="488"/>
        <v>6</v>
      </c>
      <c r="E1047" s="75">
        <f t="shared" si="489"/>
        <v>58</v>
      </c>
      <c r="F1047" s="79"/>
      <c r="G1047" s="82"/>
      <c r="H1047" s="68" t="str">
        <f t="shared" si="506"/>
        <v>Hyprev7_20211115_06_00</v>
      </c>
      <c r="I1047" s="69">
        <f t="shared" si="508"/>
        <v>1</v>
      </c>
      <c r="J1047" s="76" t="str">
        <f t="shared" si="508"/>
        <v>Hypericum</v>
      </c>
      <c r="K1047" s="76" t="str">
        <f t="shared" si="508"/>
        <v>revolutum</v>
      </c>
      <c r="L1047" s="77">
        <f t="shared" si="508"/>
        <v>7</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2021</v>
      </c>
      <c r="B1048" s="72" t="str">
        <f t="shared" si="487"/>
        <v>Nov</v>
      </c>
      <c r="C1048" s="73">
        <f t="shared" si="505"/>
        <v>15</v>
      </c>
      <c r="D1048" s="74">
        <f t="shared" si="488"/>
        <v>6</v>
      </c>
      <c r="E1048" s="75">
        <f t="shared" si="489"/>
        <v>59</v>
      </c>
      <c r="F1048" s="79"/>
      <c r="G1048" s="82"/>
      <c r="H1048" s="68" t="str">
        <f t="shared" si="506"/>
        <v>Hyprev7_20211115_06_00</v>
      </c>
      <c r="I1048" s="69">
        <f t="shared" si="508"/>
        <v>1</v>
      </c>
      <c r="J1048" s="76" t="str">
        <f t="shared" si="508"/>
        <v>Hypericum</v>
      </c>
      <c r="K1048" s="76" t="str">
        <f t="shared" si="508"/>
        <v>revolutum</v>
      </c>
      <c r="L1048" s="77">
        <f t="shared" si="508"/>
        <v>7</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2021</v>
      </c>
      <c r="B1049" s="72" t="str">
        <f t="shared" si="487"/>
        <v>Nov</v>
      </c>
      <c r="C1049" s="73">
        <f t="shared" si="505"/>
        <v>15</v>
      </c>
      <c r="D1049" s="74">
        <f t="shared" si="488"/>
        <v>7</v>
      </c>
      <c r="E1049" s="75">
        <f t="shared" si="489"/>
        <v>0</v>
      </c>
      <c r="F1049" s="79"/>
      <c r="G1049" s="82"/>
      <c r="H1049" s="68" t="str">
        <f t="shared" si="506"/>
        <v>Hyprev7_20211115_07_00</v>
      </c>
      <c r="I1049" s="69">
        <f t="shared" si="508"/>
        <v>1</v>
      </c>
      <c r="J1049" s="76" t="str">
        <f t="shared" si="508"/>
        <v>Hypericum</v>
      </c>
      <c r="K1049" s="76" t="str">
        <f t="shared" si="508"/>
        <v>revolutum</v>
      </c>
      <c r="L1049" s="77">
        <f t="shared" si="508"/>
        <v>7</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2021</v>
      </c>
      <c r="B1050" s="72" t="str">
        <f t="shared" si="487"/>
        <v>Nov</v>
      </c>
      <c r="C1050" s="73">
        <f t="shared" si="505"/>
        <v>15</v>
      </c>
      <c r="D1050" s="74">
        <f t="shared" si="488"/>
        <v>7</v>
      </c>
      <c r="E1050" s="75">
        <f t="shared" si="489"/>
        <v>1</v>
      </c>
      <c r="F1050" s="79"/>
      <c r="G1050" s="82"/>
      <c r="H1050" s="68" t="str">
        <f t="shared" si="506"/>
        <v>Hyprev7_20211115_07_00</v>
      </c>
      <c r="I1050" s="69">
        <f t="shared" si="508"/>
        <v>1</v>
      </c>
      <c r="J1050" s="76" t="str">
        <f t="shared" si="508"/>
        <v>Hypericum</v>
      </c>
      <c r="K1050" s="76" t="str">
        <f t="shared" si="508"/>
        <v>revolutum</v>
      </c>
      <c r="L1050" s="77">
        <f t="shared" si="508"/>
        <v>7</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2021</v>
      </c>
      <c r="B1051" s="72" t="str">
        <f t="shared" si="487"/>
        <v>Nov</v>
      </c>
      <c r="C1051" s="73">
        <f t="shared" si="505"/>
        <v>15</v>
      </c>
      <c r="D1051" s="74">
        <f t="shared" si="488"/>
        <v>7</v>
      </c>
      <c r="E1051" s="75">
        <f t="shared" si="489"/>
        <v>2</v>
      </c>
      <c r="F1051" s="79"/>
      <c r="G1051" s="82"/>
      <c r="H1051" s="68" t="str">
        <f t="shared" si="506"/>
        <v>Hyprev7_20211115_07_00</v>
      </c>
      <c r="I1051" s="69">
        <f t="shared" si="508"/>
        <v>1</v>
      </c>
      <c r="J1051" s="76" t="str">
        <f t="shared" si="508"/>
        <v>Hypericum</v>
      </c>
      <c r="K1051" s="76" t="str">
        <f t="shared" si="508"/>
        <v>revolutum</v>
      </c>
      <c r="L1051" s="77">
        <f t="shared" si="508"/>
        <v>7</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2021</v>
      </c>
      <c r="B1052" s="72" t="str">
        <f t="shared" si="487"/>
        <v>Nov</v>
      </c>
      <c r="C1052" s="73">
        <f t="shared" si="505"/>
        <v>15</v>
      </c>
      <c r="D1052" s="74">
        <f t="shared" si="488"/>
        <v>7</v>
      </c>
      <c r="E1052" s="75">
        <f t="shared" si="489"/>
        <v>3</v>
      </c>
      <c r="F1052" s="79"/>
      <c r="G1052" s="82"/>
      <c r="H1052" s="68" t="str">
        <f t="shared" si="506"/>
        <v>Hyprev7_20211115_07_00</v>
      </c>
      <c r="I1052" s="69">
        <f t="shared" si="508"/>
        <v>1</v>
      </c>
      <c r="J1052" s="76" t="str">
        <f t="shared" si="508"/>
        <v>Hypericum</v>
      </c>
      <c r="K1052" s="76" t="str">
        <f t="shared" si="508"/>
        <v>revolutum</v>
      </c>
      <c r="L1052" s="77">
        <f t="shared" si="508"/>
        <v>7</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2021</v>
      </c>
      <c r="B1053" s="72" t="str">
        <f t="shared" si="487"/>
        <v>Nov</v>
      </c>
      <c r="C1053" s="73">
        <f t="shared" si="505"/>
        <v>15</v>
      </c>
      <c r="D1053" s="74">
        <f t="shared" si="488"/>
        <v>7</v>
      </c>
      <c r="E1053" s="75">
        <f t="shared" si="489"/>
        <v>4</v>
      </c>
      <c r="F1053" s="79"/>
      <c r="G1053" s="82"/>
      <c r="H1053" s="68" t="str">
        <f t="shared" si="506"/>
        <v>Hyprev7_20211115_07_00</v>
      </c>
      <c r="I1053" s="69">
        <f t="shared" si="508"/>
        <v>1</v>
      </c>
      <c r="J1053" s="76" t="str">
        <f t="shared" si="508"/>
        <v>Hypericum</v>
      </c>
      <c r="K1053" s="76" t="str">
        <f t="shared" si="508"/>
        <v>revolutum</v>
      </c>
      <c r="L1053" s="77">
        <f t="shared" si="508"/>
        <v>7</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2021</v>
      </c>
      <c r="B1054" s="72" t="str">
        <f t="shared" si="487"/>
        <v>Nov</v>
      </c>
      <c r="C1054" s="73">
        <f t="shared" si="505"/>
        <v>15</v>
      </c>
      <c r="D1054" s="74">
        <f t="shared" si="488"/>
        <v>7</v>
      </c>
      <c r="E1054" s="75">
        <f t="shared" si="489"/>
        <v>5</v>
      </c>
      <c r="F1054" s="79"/>
      <c r="G1054" s="82"/>
      <c r="H1054" s="68" t="str">
        <f t="shared" si="506"/>
        <v>Hyprev7_20211115_07_00</v>
      </c>
      <c r="I1054" s="69">
        <f t="shared" si="508"/>
        <v>1</v>
      </c>
      <c r="J1054" s="76" t="str">
        <f t="shared" si="508"/>
        <v>Hypericum</v>
      </c>
      <c r="K1054" s="76" t="str">
        <f t="shared" si="508"/>
        <v>revolutum</v>
      </c>
      <c r="L1054" s="77">
        <f t="shared" si="508"/>
        <v>7</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2021</v>
      </c>
      <c r="B1055" s="72" t="str">
        <f t="shared" si="487"/>
        <v>Nov</v>
      </c>
      <c r="C1055" s="73">
        <f t="shared" si="505"/>
        <v>15</v>
      </c>
      <c r="D1055" s="74">
        <f t="shared" si="488"/>
        <v>7</v>
      </c>
      <c r="E1055" s="75">
        <f t="shared" si="489"/>
        <v>6</v>
      </c>
      <c r="F1055" s="79"/>
      <c r="G1055" s="82"/>
      <c r="H1055" s="68" t="str">
        <f t="shared" si="506"/>
        <v>Hyprev7_20211115_07_00</v>
      </c>
      <c r="I1055" s="69">
        <f t="shared" si="508"/>
        <v>1</v>
      </c>
      <c r="J1055" s="76" t="str">
        <f t="shared" si="508"/>
        <v>Hypericum</v>
      </c>
      <c r="K1055" s="76" t="str">
        <f t="shared" si="508"/>
        <v>revolutum</v>
      </c>
      <c r="L1055" s="77">
        <f t="shared" si="508"/>
        <v>7</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2021</v>
      </c>
      <c r="B1056" s="72" t="str">
        <f t="shared" si="487"/>
        <v>Nov</v>
      </c>
      <c r="C1056" s="73">
        <f t="shared" si="505"/>
        <v>15</v>
      </c>
      <c r="D1056" s="74">
        <f t="shared" si="488"/>
        <v>7</v>
      </c>
      <c r="E1056" s="75">
        <f t="shared" si="489"/>
        <v>7</v>
      </c>
      <c r="F1056" s="79"/>
      <c r="G1056" s="82"/>
      <c r="H1056" s="68" t="str">
        <f t="shared" si="506"/>
        <v>Hyprev7_20211115_07_00</v>
      </c>
      <c r="I1056" s="69">
        <f t="shared" si="508"/>
        <v>1</v>
      </c>
      <c r="J1056" s="76" t="str">
        <f t="shared" si="508"/>
        <v>Hypericum</v>
      </c>
      <c r="K1056" s="76" t="str">
        <f t="shared" si="508"/>
        <v>revolutum</v>
      </c>
      <c r="L1056" s="77">
        <f t="shared" si="508"/>
        <v>7</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2021</v>
      </c>
      <c r="B1057" s="72" t="str">
        <f t="shared" si="487"/>
        <v>Nov</v>
      </c>
      <c r="C1057" s="73">
        <f t="shared" si="505"/>
        <v>15</v>
      </c>
      <c r="D1057" s="74">
        <f t="shared" si="488"/>
        <v>7</v>
      </c>
      <c r="E1057" s="75">
        <f t="shared" si="489"/>
        <v>8</v>
      </c>
      <c r="F1057" s="79"/>
      <c r="G1057" s="82"/>
      <c r="H1057" s="68" t="str">
        <f t="shared" si="506"/>
        <v>Hyprev7_20211115_07_00</v>
      </c>
      <c r="I1057" s="69">
        <f t="shared" si="508"/>
        <v>1</v>
      </c>
      <c r="J1057" s="76" t="str">
        <f t="shared" si="508"/>
        <v>Hypericum</v>
      </c>
      <c r="K1057" s="76" t="str">
        <f t="shared" si="508"/>
        <v>revolutum</v>
      </c>
      <c r="L1057" s="77">
        <f t="shared" si="508"/>
        <v>7</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2021</v>
      </c>
      <c r="B1058" s="72" t="str">
        <f t="shared" si="487"/>
        <v>Nov</v>
      </c>
      <c r="C1058" s="73">
        <f t="shared" si="505"/>
        <v>15</v>
      </c>
      <c r="D1058" s="74">
        <f t="shared" si="488"/>
        <v>7</v>
      </c>
      <c r="E1058" s="75">
        <f t="shared" si="489"/>
        <v>9</v>
      </c>
      <c r="F1058" s="79"/>
      <c r="G1058" s="82"/>
      <c r="H1058" s="68" t="str">
        <f t="shared" si="506"/>
        <v>Hyprev7_20211115_07_00</v>
      </c>
      <c r="I1058" s="69">
        <f t="shared" si="508"/>
        <v>1</v>
      </c>
      <c r="J1058" s="76" t="str">
        <f t="shared" si="508"/>
        <v>Hypericum</v>
      </c>
      <c r="K1058" s="76" t="str">
        <f t="shared" si="508"/>
        <v>revolutum</v>
      </c>
      <c r="L1058" s="77">
        <f t="shared" si="508"/>
        <v>7</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2021</v>
      </c>
      <c r="B1059" s="72" t="str">
        <f t="shared" si="487"/>
        <v>Nov</v>
      </c>
      <c r="C1059" s="73">
        <f t="shared" si="505"/>
        <v>15</v>
      </c>
      <c r="D1059" s="74">
        <f t="shared" si="488"/>
        <v>7</v>
      </c>
      <c r="E1059" s="75">
        <f t="shared" si="489"/>
        <v>10</v>
      </c>
      <c r="F1059" s="79"/>
      <c r="G1059" s="82"/>
      <c r="H1059" s="68" t="str">
        <f t="shared" si="506"/>
        <v>Hyprev7_20211115_07_00</v>
      </c>
      <c r="I1059" s="69">
        <f t="shared" si="508"/>
        <v>1</v>
      </c>
      <c r="J1059" s="76" t="str">
        <f t="shared" si="508"/>
        <v>Hypericum</v>
      </c>
      <c r="K1059" s="76" t="str">
        <f t="shared" si="508"/>
        <v>revolutum</v>
      </c>
      <c r="L1059" s="77">
        <f t="shared" si="508"/>
        <v>7</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2021</v>
      </c>
      <c r="B1060" s="72" t="str">
        <f t="shared" si="487"/>
        <v>Nov</v>
      </c>
      <c r="C1060" s="73">
        <f t="shared" si="505"/>
        <v>15</v>
      </c>
      <c r="D1060" s="74">
        <f t="shared" si="488"/>
        <v>7</v>
      </c>
      <c r="E1060" s="75">
        <f t="shared" si="489"/>
        <v>11</v>
      </c>
      <c r="F1060" s="79"/>
      <c r="G1060" s="82"/>
      <c r="H1060" s="68" t="str">
        <f t="shared" si="506"/>
        <v>Hyprev7_20211115_07_00</v>
      </c>
      <c r="I1060" s="69">
        <f t="shared" si="508"/>
        <v>1</v>
      </c>
      <c r="J1060" s="76" t="str">
        <f t="shared" si="508"/>
        <v>Hypericum</v>
      </c>
      <c r="K1060" s="76" t="str">
        <f t="shared" si="508"/>
        <v>revolutum</v>
      </c>
      <c r="L1060" s="77">
        <f t="shared" si="508"/>
        <v>7</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2021</v>
      </c>
      <c r="B1061" s="72" t="str">
        <f t="shared" si="487"/>
        <v>Nov</v>
      </c>
      <c r="C1061" s="73">
        <f t="shared" si="505"/>
        <v>15</v>
      </c>
      <c r="D1061" s="74">
        <f t="shared" si="488"/>
        <v>7</v>
      </c>
      <c r="E1061" s="75">
        <f t="shared" si="489"/>
        <v>12</v>
      </c>
      <c r="F1061" s="79"/>
      <c r="G1061" s="82"/>
      <c r="H1061" s="68" t="str">
        <f t="shared" si="506"/>
        <v>Hyprev7_20211115_07_00</v>
      </c>
      <c r="I1061" s="69">
        <f t="shared" ref="I1061:N1076" si="509">I1060</f>
        <v>1</v>
      </c>
      <c r="J1061" s="76" t="str">
        <f t="shared" si="509"/>
        <v>Hypericum</v>
      </c>
      <c r="K1061" s="76" t="str">
        <f t="shared" si="509"/>
        <v>revolutum</v>
      </c>
      <c r="L1061" s="77">
        <f t="shared" si="509"/>
        <v>7</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2021</v>
      </c>
      <c r="B1062" s="72" t="str">
        <f t="shared" si="487"/>
        <v>Nov</v>
      </c>
      <c r="C1062" s="73">
        <f t="shared" si="505"/>
        <v>15</v>
      </c>
      <c r="D1062" s="74">
        <f t="shared" si="488"/>
        <v>7</v>
      </c>
      <c r="E1062" s="75">
        <f t="shared" si="489"/>
        <v>13</v>
      </c>
      <c r="F1062" s="79"/>
      <c r="G1062" s="82"/>
      <c r="H1062" s="68" t="str">
        <f t="shared" si="506"/>
        <v>Hyprev7_20211115_07_00</v>
      </c>
      <c r="I1062" s="69">
        <f t="shared" si="509"/>
        <v>1</v>
      </c>
      <c r="J1062" s="76" t="str">
        <f t="shared" si="509"/>
        <v>Hypericum</v>
      </c>
      <c r="K1062" s="76" t="str">
        <f t="shared" si="509"/>
        <v>revolutum</v>
      </c>
      <c r="L1062" s="77">
        <f t="shared" si="509"/>
        <v>7</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2021</v>
      </c>
      <c r="B1063" s="72" t="str">
        <f t="shared" si="487"/>
        <v>Nov</v>
      </c>
      <c r="C1063" s="73">
        <f t="shared" si="505"/>
        <v>15</v>
      </c>
      <c r="D1063" s="74">
        <f t="shared" si="488"/>
        <v>7</v>
      </c>
      <c r="E1063" s="75">
        <f t="shared" si="489"/>
        <v>14</v>
      </c>
      <c r="F1063" s="79"/>
      <c r="G1063" s="82"/>
      <c r="H1063" s="68" t="str">
        <f t="shared" si="506"/>
        <v>Hyprev7_20211115_07_00</v>
      </c>
      <c r="I1063" s="69">
        <f t="shared" si="509"/>
        <v>1</v>
      </c>
      <c r="J1063" s="76" t="str">
        <f t="shared" si="509"/>
        <v>Hypericum</v>
      </c>
      <c r="K1063" s="76" t="str">
        <f t="shared" si="509"/>
        <v>revolutum</v>
      </c>
      <c r="L1063" s="77">
        <f t="shared" si="509"/>
        <v>7</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2021</v>
      </c>
      <c r="B1064" s="72" t="str">
        <f t="shared" si="487"/>
        <v>Nov</v>
      </c>
      <c r="C1064" s="73">
        <f t="shared" si="505"/>
        <v>15</v>
      </c>
      <c r="D1064" s="74">
        <f t="shared" si="488"/>
        <v>7</v>
      </c>
      <c r="E1064" s="75">
        <f t="shared" si="489"/>
        <v>15</v>
      </c>
      <c r="F1064" s="79"/>
      <c r="G1064" s="82"/>
      <c r="H1064" s="68" t="str">
        <f t="shared" si="506"/>
        <v>Hyprev7_20211115_07_00</v>
      </c>
      <c r="I1064" s="69">
        <f t="shared" si="509"/>
        <v>1</v>
      </c>
      <c r="J1064" s="76" t="str">
        <f t="shared" si="509"/>
        <v>Hypericum</v>
      </c>
      <c r="K1064" s="76" t="str">
        <f t="shared" si="509"/>
        <v>revolutum</v>
      </c>
      <c r="L1064" s="77">
        <f t="shared" si="509"/>
        <v>7</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2021</v>
      </c>
      <c r="B1065" s="72" t="str">
        <f t="shared" si="487"/>
        <v>Nov</v>
      </c>
      <c r="C1065" s="73">
        <f t="shared" si="505"/>
        <v>15</v>
      </c>
      <c r="D1065" s="74">
        <f t="shared" si="488"/>
        <v>7</v>
      </c>
      <c r="E1065" s="75">
        <f t="shared" si="489"/>
        <v>16</v>
      </c>
      <c r="F1065" s="79">
        <v>26</v>
      </c>
      <c r="G1065" s="82"/>
      <c r="H1065" s="68" t="str">
        <f t="shared" si="506"/>
        <v>Hyprev7_20211115_07_00</v>
      </c>
      <c r="I1065" s="69">
        <f t="shared" si="509"/>
        <v>1</v>
      </c>
      <c r="J1065" s="76" t="str">
        <f t="shared" si="509"/>
        <v>Hypericum</v>
      </c>
      <c r="K1065" s="76" t="str">
        <f t="shared" si="509"/>
        <v>revolutum</v>
      </c>
      <c r="L1065" s="77">
        <f t="shared" si="509"/>
        <v>7</v>
      </c>
      <c r="M1065" s="77">
        <f t="shared" si="509"/>
        <v>2</v>
      </c>
      <c r="N1065" s="71">
        <f t="shared" si="509"/>
        <v>0</v>
      </c>
      <c r="O1065" s="44"/>
      <c r="P1065" s="45">
        <f t="shared" si="490"/>
        <v>1</v>
      </c>
      <c r="Q1065" s="46" t="str">
        <f t="shared" si="491"/>
        <v>07:16:26</v>
      </c>
      <c r="R1065" s="47" t="str">
        <f t="shared" si="492"/>
        <v>16:26</v>
      </c>
      <c r="S1065" s="48">
        <f t="shared" si="481"/>
        <v>5</v>
      </c>
      <c r="T1065" s="47" t="str">
        <f t="shared" si="493"/>
        <v>07</v>
      </c>
      <c r="U1065" s="49">
        <v>16</v>
      </c>
      <c r="V1065" s="50">
        <v>31</v>
      </c>
      <c r="W1065" s="51" t="str">
        <f t="shared" si="494"/>
        <v>16:31</v>
      </c>
      <c r="X1065" s="52" t="s">
        <v>166</v>
      </c>
      <c r="Y1065" s="124" t="s">
        <v>265</v>
      </c>
      <c r="Z1065" s="124" t="s">
        <v>266</v>
      </c>
      <c r="AA1065" s="47"/>
      <c r="AB1065" s="47" t="str">
        <f t="shared" si="495"/>
        <v/>
      </c>
      <c r="AC1065" s="53" t="str">
        <f t="shared" si="496"/>
        <v/>
      </c>
      <c r="AD1065" s="54">
        <f t="shared" si="497"/>
        <v>1</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t="s">
        <v>167</v>
      </c>
      <c r="AT1065" s="58"/>
      <c r="AU1065" s="58"/>
      <c r="AV1065" s="59"/>
      <c r="AW1065" s="60">
        <f t="shared" si="482"/>
        <v>0</v>
      </c>
      <c r="AX1065" s="61" t="str">
        <f t="shared" si="483"/>
        <v/>
      </c>
      <c r="AY1065" s="60">
        <f t="shared" si="484"/>
        <v>0</v>
      </c>
      <c r="AZ1065" s="61" t="str">
        <f t="shared" si="485"/>
        <v/>
      </c>
    </row>
    <row r="1066" spans="1:52" s="3" customFormat="1" hidden="1" x14ac:dyDescent="0.35">
      <c r="A1066" s="72">
        <f t="shared" si="486"/>
        <v>2021</v>
      </c>
      <c r="B1066" s="72" t="str">
        <f t="shared" si="487"/>
        <v>Nov</v>
      </c>
      <c r="C1066" s="73">
        <f t="shared" si="505"/>
        <v>15</v>
      </c>
      <c r="D1066" s="74">
        <f t="shared" si="488"/>
        <v>7</v>
      </c>
      <c r="E1066" s="75">
        <f t="shared" si="489"/>
        <v>17</v>
      </c>
      <c r="F1066" s="79"/>
      <c r="G1066" s="82"/>
      <c r="H1066" s="68" t="str">
        <f t="shared" si="506"/>
        <v>Hyprev7_20211115_07_00</v>
      </c>
      <c r="I1066" s="69">
        <f t="shared" si="509"/>
        <v>1</v>
      </c>
      <c r="J1066" s="76" t="str">
        <f t="shared" si="509"/>
        <v>Hypericum</v>
      </c>
      <c r="K1066" s="76" t="str">
        <f t="shared" si="509"/>
        <v>revolutum</v>
      </c>
      <c r="L1066" s="77">
        <f t="shared" si="509"/>
        <v>7</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2021</v>
      </c>
      <c r="B1067" s="72" t="str">
        <f t="shared" si="487"/>
        <v>Nov</v>
      </c>
      <c r="C1067" s="73">
        <f t="shared" si="505"/>
        <v>15</v>
      </c>
      <c r="D1067" s="74">
        <f t="shared" si="488"/>
        <v>7</v>
      </c>
      <c r="E1067" s="75">
        <f t="shared" si="489"/>
        <v>18</v>
      </c>
      <c r="F1067" s="79"/>
      <c r="G1067" s="82"/>
      <c r="H1067" s="68" t="str">
        <f t="shared" si="506"/>
        <v>Hyprev7_20211115_07_00</v>
      </c>
      <c r="I1067" s="69">
        <f t="shared" si="509"/>
        <v>1</v>
      </c>
      <c r="J1067" s="76" t="str">
        <f t="shared" si="509"/>
        <v>Hypericum</v>
      </c>
      <c r="K1067" s="76" t="str">
        <f t="shared" si="509"/>
        <v>revolutum</v>
      </c>
      <c r="L1067" s="77">
        <f t="shared" si="509"/>
        <v>7</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2021</v>
      </c>
      <c r="B1068" s="72" t="str">
        <f t="shared" si="487"/>
        <v>Nov</v>
      </c>
      <c r="C1068" s="73">
        <f t="shared" si="505"/>
        <v>15</v>
      </c>
      <c r="D1068" s="74">
        <f t="shared" si="488"/>
        <v>7</v>
      </c>
      <c r="E1068" s="75">
        <f t="shared" si="489"/>
        <v>19</v>
      </c>
      <c r="F1068" s="79"/>
      <c r="G1068" s="82"/>
      <c r="H1068" s="68" t="str">
        <f t="shared" si="506"/>
        <v>Hyprev7_20211115_07_00</v>
      </c>
      <c r="I1068" s="69">
        <f t="shared" si="509"/>
        <v>1</v>
      </c>
      <c r="J1068" s="76" t="str">
        <f t="shared" si="509"/>
        <v>Hypericum</v>
      </c>
      <c r="K1068" s="76" t="str">
        <f t="shared" si="509"/>
        <v>revolutum</v>
      </c>
      <c r="L1068" s="77">
        <f t="shared" si="509"/>
        <v>7</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2021</v>
      </c>
      <c r="B1069" s="72" t="str">
        <f t="shared" si="487"/>
        <v>Nov</v>
      </c>
      <c r="C1069" s="73">
        <f t="shared" si="505"/>
        <v>15</v>
      </c>
      <c r="D1069" s="74">
        <f t="shared" si="488"/>
        <v>7</v>
      </c>
      <c r="E1069" s="75">
        <f t="shared" si="489"/>
        <v>20</v>
      </c>
      <c r="F1069" s="79"/>
      <c r="G1069" s="82"/>
      <c r="H1069" s="68" t="str">
        <f t="shared" si="506"/>
        <v>Hyprev7_20211115_07_00</v>
      </c>
      <c r="I1069" s="69">
        <f t="shared" si="509"/>
        <v>1</v>
      </c>
      <c r="J1069" s="76" t="str">
        <f t="shared" si="509"/>
        <v>Hypericum</v>
      </c>
      <c r="K1069" s="76" t="str">
        <f t="shared" si="509"/>
        <v>revolutum</v>
      </c>
      <c r="L1069" s="77">
        <f t="shared" si="509"/>
        <v>7</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2021</v>
      </c>
      <c r="B1070" s="72" t="str">
        <f t="shared" si="487"/>
        <v>Nov</v>
      </c>
      <c r="C1070" s="73">
        <f t="shared" si="505"/>
        <v>15</v>
      </c>
      <c r="D1070" s="74">
        <f t="shared" si="488"/>
        <v>7</v>
      </c>
      <c r="E1070" s="75">
        <f t="shared" si="489"/>
        <v>21</v>
      </c>
      <c r="F1070" s="79"/>
      <c r="G1070" s="82"/>
      <c r="H1070" s="68" t="str">
        <f t="shared" si="506"/>
        <v>Hyprev7_20211115_07_00</v>
      </c>
      <c r="I1070" s="69">
        <f t="shared" si="509"/>
        <v>1</v>
      </c>
      <c r="J1070" s="76" t="str">
        <f t="shared" si="509"/>
        <v>Hypericum</v>
      </c>
      <c r="K1070" s="76" t="str">
        <f t="shared" si="509"/>
        <v>revolutum</v>
      </c>
      <c r="L1070" s="77">
        <f t="shared" si="509"/>
        <v>7</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2021</v>
      </c>
      <c r="B1071" s="72" t="str">
        <f t="shared" si="487"/>
        <v>Nov</v>
      </c>
      <c r="C1071" s="73">
        <f t="shared" si="505"/>
        <v>15</v>
      </c>
      <c r="D1071" s="74">
        <f t="shared" si="488"/>
        <v>7</v>
      </c>
      <c r="E1071" s="75">
        <f t="shared" si="489"/>
        <v>22</v>
      </c>
      <c r="F1071" s="79"/>
      <c r="G1071" s="82"/>
      <c r="H1071" s="68" t="str">
        <f t="shared" si="506"/>
        <v>Hyprev7_20211115_07_00</v>
      </c>
      <c r="I1071" s="69">
        <f t="shared" si="509"/>
        <v>1</v>
      </c>
      <c r="J1071" s="76" t="str">
        <f t="shared" si="509"/>
        <v>Hypericum</v>
      </c>
      <c r="K1071" s="76" t="str">
        <f t="shared" si="509"/>
        <v>revolutum</v>
      </c>
      <c r="L1071" s="77">
        <f t="shared" si="509"/>
        <v>7</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2021</v>
      </c>
      <c r="B1072" s="72" t="str">
        <f t="shared" si="487"/>
        <v>Nov</v>
      </c>
      <c r="C1072" s="73">
        <f t="shared" si="505"/>
        <v>15</v>
      </c>
      <c r="D1072" s="74">
        <f t="shared" si="488"/>
        <v>7</v>
      </c>
      <c r="E1072" s="75">
        <f t="shared" si="489"/>
        <v>23</v>
      </c>
      <c r="F1072" s="79"/>
      <c r="G1072" s="82"/>
      <c r="H1072" s="68" t="str">
        <f t="shared" si="506"/>
        <v>Hyprev7_20211115_07_00</v>
      </c>
      <c r="I1072" s="69">
        <f t="shared" si="509"/>
        <v>1</v>
      </c>
      <c r="J1072" s="76" t="str">
        <f t="shared" si="509"/>
        <v>Hypericum</v>
      </c>
      <c r="K1072" s="76" t="str">
        <f t="shared" si="509"/>
        <v>revolutum</v>
      </c>
      <c r="L1072" s="77">
        <f t="shared" si="509"/>
        <v>7</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2021</v>
      </c>
      <c r="B1073" s="72" t="str">
        <f t="shared" si="487"/>
        <v>Nov</v>
      </c>
      <c r="C1073" s="73">
        <f t="shared" si="505"/>
        <v>15</v>
      </c>
      <c r="D1073" s="74">
        <f t="shared" si="488"/>
        <v>7</v>
      </c>
      <c r="E1073" s="75">
        <f t="shared" si="489"/>
        <v>24</v>
      </c>
      <c r="F1073" s="79"/>
      <c r="G1073" s="82"/>
      <c r="H1073" s="68" t="str">
        <f t="shared" si="506"/>
        <v>Hyprev7_20211115_07_00</v>
      </c>
      <c r="I1073" s="69">
        <f t="shared" si="509"/>
        <v>1</v>
      </c>
      <c r="J1073" s="76" t="str">
        <f t="shared" si="509"/>
        <v>Hypericum</v>
      </c>
      <c r="K1073" s="76" t="str">
        <f t="shared" si="509"/>
        <v>revolutum</v>
      </c>
      <c r="L1073" s="77">
        <f t="shared" si="509"/>
        <v>7</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2021</v>
      </c>
      <c r="B1074" s="72" t="str">
        <f t="shared" si="487"/>
        <v>Nov</v>
      </c>
      <c r="C1074" s="73">
        <f t="shared" si="505"/>
        <v>15</v>
      </c>
      <c r="D1074" s="74">
        <f t="shared" si="488"/>
        <v>7</v>
      </c>
      <c r="E1074" s="75">
        <f t="shared" si="489"/>
        <v>25</v>
      </c>
      <c r="F1074" s="79"/>
      <c r="G1074" s="82"/>
      <c r="H1074" s="68" t="str">
        <f t="shared" si="506"/>
        <v>Hyprev7_20211115_07_00</v>
      </c>
      <c r="I1074" s="69">
        <f t="shared" si="509"/>
        <v>1</v>
      </c>
      <c r="J1074" s="76" t="str">
        <f t="shared" si="509"/>
        <v>Hypericum</v>
      </c>
      <c r="K1074" s="76" t="str">
        <f t="shared" si="509"/>
        <v>revolutum</v>
      </c>
      <c r="L1074" s="77">
        <f t="shared" si="509"/>
        <v>7</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2021</v>
      </c>
      <c r="B1075" s="72" t="str">
        <f t="shared" si="487"/>
        <v>Nov</v>
      </c>
      <c r="C1075" s="73">
        <f t="shared" si="505"/>
        <v>15</v>
      </c>
      <c r="D1075" s="74">
        <f t="shared" si="488"/>
        <v>7</v>
      </c>
      <c r="E1075" s="75">
        <f t="shared" si="489"/>
        <v>26</v>
      </c>
      <c r="F1075" s="79"/>
      <c r="G1075" s="82"/>
      <c r="H1075" s="68" t="str">
        <f t="shared" si="506"/>
        <v>Hyprev7_20211115_07_00</v>
      </c>
      <c r="I1075" s="69">
        <f t="shared" si="509"/>
        <v>1</v>
      </c>
      <c r="J1075" s="76" t="str">
        <f t="shared" si="509"/>
        <v>Hypericum</v>
      </c>
      <c r="K1075" s="76" t="str">
        <f t="shared" si="509"/>
        <v>revolutum</v>
      </c>
      <c r="L1075" s="77">
        <f t="shared" si="509"/>
        <v>7</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2021</v>
      </c>
      <c r="B1076" s="72" t="str">
        <f t="shared" si="487"/>
        <v>Nov</v>
      </c>
      <c r="C1076" s="73">
        <f t="shared" si="505"/>
        <v>15</v>
      </c>
      <c r="D1076" s="74">
        <f t="shared" si="488"/>
        <v>7</v>
      </c>
      <c r="E1076" s="75">
        <f t="shared" si="489"/>
        <v>27</v>
      </c>
      <c r="F1076" s="79"/>
      <c r="G1076" s="82"/>
      <c r="H1076" s="68" t="str">
        <f t="shared" si="506"/>
        <v>Hyprev7_20211115_07_00</v>
      </c>
      <c r="I1076" s="69">
        <f t="shared" si="509"/>
        <v>1</v>
      </c>
      <c r="J1076" s="76" t="str">
        <f t="shared" si="509"/>
        <v>Hypericum</v>
      </c>
      <c r="K1076" s="76" t="str">
        <f t="shared" si="509"/>
        <v>revolutum</v>
      </c>
      <c r="L1076" s="77">
        <f t="shared" si="509"/>
        <v>7</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2021</v>
      </c>
      <c r="B1077" s="72" t="str">
        <f t="shared" si="487"/>
        <v>Nov</v>
      </c>
      <c r="C1077" s="73">
        <f t="shared" si="505"/>
        <v>15</v>
      </c>
      <c r="D1077" s="74">
        <f t="shared" si="488"/>
        <v>7</v>
      </c>
      <c r="E1077" s="75">
        <f t="shared" si="489"/>
        <v>28</v>
      </c>
      <c r="F1077" s="79"/>
      <c r="G1077" s="82"/>
      <c r="H1077" s="68" t="str">
        <f t="shared" si="506"/>
        <v>Hyprev7_20211115_07_00</v>
      </c>
      <c r="I1077" s="69">
        <f t="shared" ref="I1077:N1092" si="510">I1076</f>
        <v>1</v>
      </c>
      <c r="J1077" s="76" t="str">
        <f t="shared" si="510"/>
        <v>Hypericum</v>
      </c>
      <c r="K1077" s="76" t="str">
        <f t="shared" si="510"/>
        <v>revolutum</v>
      </c>
      <c r="L1077" s="77">
        <f t="shared" si="510"/>
        <v>7</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2021</v>
      </c>
      <c r="B1078" s="72" t="str">
        <f t="shared" si="487"/>
        <v>Nov</v>
      </c>
      <c r="C1078" s="73">
        <f t="shared" si="505"/>
        <v>15</v>
      </c>
      <c r="D1078" s="74">
        <f t="shared" si="488"/>
        <v>7</v>
      </c>
      <c r="E1078" s="75">
        <f t="shared" si="489"/>
        <v>29</v>
      </c>
      <c r="F1078" s="79"/>
      <c r="G1078" s="82"/>
      <c r="H1078" s="68" t="str">
        <f t="shared" si="506"/>
        <v>Hyprev7_20211115_07_00</v>
      </c>
      <c r="I1078" s="69">
        <f t="shared" si="510"/>
        <v>1</v>
      </c>
      <c r="J1078" s="76" t="str">
        <f t="shared" si="510"/>
        <v>Hypericum</v>
      </c>
      <c r="K1078" s="76" t="str">
        <f t="shared" si="510"/>
        <v>revolutum</v>
      </c>
      <c r="L1078" s="77">
        <f t="shared" si="510"/>
        <v>7</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2021</v>
      </c>
      <c r="B1079" s="72" t="str">
        <f t="shared" si="487"/>
        <v>Nov</v>
      </c>
      <c r="C1079" s="73">
        <f t="shared" si="505"/>
        <v>15</v>
      </c>
      <c r="D1079" s="74">
        <f t="shared" si="488"/>
        <v>7</v>
      </c>
      <c r="E1079" s="75">
        <f t="shared" si="489"/>
        <v>30</v>
      </c>
      <c r="F1079" s="79"/>
      <c r="G1079" s="82"/>
      <c r="H1079" s="68" t="str">
        <f t="shared" si="506"/>
        <v>Hyprev7_20211115_07_00</v>
      </c>
      <c r="I1079" s="69">
        <f t="shared" si="510"/>
        <v>1</v>
      </c>
      <c r="J1079" s="76" t="str">
        <f t="shared" si="510"/>
        <v>Hypericum</v>
      </c>
      <c r="K1079" s="76" t="str">
        <f t="shared" si="510"/>
        <v>revolutum</v>
      </c>
      <c r="L1079" s="77">
        <f t="shared" si="510"/>
        <v>7</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2021</v>
      </c>
      <c r="B1080" s="72" t="str">
        <f t="shared" si="487"/>
        <v>Nov</v>
      </c>
      <c r="C1080" s="73">
        <f t="shared" si="505"/>
        <v>15</v>
      </c>
      <c r="D1080" s="74">
        <f t="shared" si="488"/>
        <v>7</v>
      </c>
      <c r="E1080" s="75">
        <f t="shared" si="489"/>
        <v>31</v>
      </c>
      <c r="F1080" s="79"/>
      <c r="G1080" s="82"/>
      <c r="H1080" s="68" t="str">
        <f t="shared" si="506"/>
        <v>Hyprev7_20211115_07_00</v>
      </c>
      <c r="I1080" s="69">
        <f t="shared" si="510"/>
        <v>1</v>
      </c>
      <c r="J1080" s="76" t="str">
        <f t="shared" si="510"/>
        <v>Hypericum</v>
      </c>
      <c r="K1080" s="76" t="str">
        <f t="shared" si="510"/>
        <v>revolutum</v>
      </c>
      <c r="L1080" s="77">
        <f t="shared" si="510"/>
        <v>7</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2021</v>
      </c>
      <c r="B1081" s="72" t="str">
        <f t="shared" si="487"/>
        <v>Nov</v>
      </c>
      <c r="C1081" s="73">
        <f t="shared" si="505"/>
        <v>15</v>
      </c>
      <c r="D1081" s="74">
        <f t="shared" si="488"/>
        <v>7</v>
      </c>
      <c r="E1081" s="75">
        <f t="shared" si="489"/>
        <v>32</v>
      </c>
      <c r="F1081" s="79">
        <v>28</v>
      </c>
      <c r="G1081" s="82"/>
      <c r="H1081" s="68" t="str">
        <f t="shared" si="506"/>
        <v>Hyprev7_20211115_07_00</v>
      </c>
      <c r="I1081" s="69">
        <f t="shared" si="510"/>
        <v>1</v>
      </c>
      <c r="J1081" s="76" t="str">
        <f t="shared" si="510"/>
        <v>Hypericum</v>
      </c>
      <c r="K1081" s="76" t="str">
        <f t="shared" si="510"/>
        <v>revolutum</v>
      </c>
      <c r="L1081" s="77">
        <f t="shared" si="510"/>
        <v>7</v>
      </c>
      <c r="M1081" s="77">
        <f t="shared" si="510"/>
        <v>2</v>
      </c>
      <c r="N1081" s="71">
        <f t="shared" si="510"/>
        <v>0</v>
      </c>
      <c r="O1081" s="44"/>
      <c r="P1081" s="45">
        <f t="shared" si="490"/>
        <v>1</v>
      </c>
      <c r="Q1081" s="46" t="str">
        <f t="shared" si="491"/>
        <v>07:32:28</v>
      </c>
      <c r="R1081" s="47" t="str">
        <f t="shared" si="492"/>
        <v>32:28</v>
      </c>
      <c r="S1081" s="48">
        <f t="shared" si="481"/>
        <v>220</v>
      </c>
      <c r="T1081" s="47" t="str">
        <f t="shared" si="493"/>
        <v>07</v>
      </c>
      <c r="U1081" s="49">
        <v>36</v>
      </c>
      <c r="V1081" s="50">
        <v>8</v>
      </c>
      <c r="W1081" s="51" t="str">
        <f t="shared" si="494"/>
        <v>36:08</v>
      </c>
      <c r="X1081" s="52" t="s">
        <v>61</v>
      </c>
      <c r="Y1081" s="124" t="s">
        <v>240</v>
      </c>
      <c r="Z1081" s="124"/>
      <c r="AA1081" s="47" t="s">
        <v>254</v>
      </c>
      <c r="AB1081" s="47" t="str">
        <f t="shared" si="495"/>
        <v>NA</v>
      </c>
      <c r="AC1081" s="53" t="str">
        <f t="shared" si="496"/>
        <v/>
      </c>
      <c r="AD1081" s="54">
        <f t="shared" si="497"/>
        <v>1</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t="s">
        <v>168</v>
      </c>
      <c r="AT1081" s="58"/>
      <c r="AU1081" s="58"/>
      <c r="AV1081" s="59"/>
      <c r="AW1081" s="60">
        <f t="shared" si="482"/>
        <v>0</v>
      </c>
      <c r="AX1081" s="61" t="str">
        <f t="shared" si="483"/>
        <v/>
      </c>
      <c r="AY1081" s="60">
        <f t="shared" si="484"/>
        <v>0</v>
      </c>
      <c r="AZ1081" s="61" t="str">
        <f t="shared" si="485"/>
        <v/>
      </c>
    </row>
    <row r="1082" spans="1:52" s="3" customFormat="1" hidden="1" x14ac:dyDescent="0.35">
      <c r="A1082" s="72">
        <f t="shared" si="486"/>
        <v>2021</v>
      </c>
      <c r="B1082" s="72" t="str">
        <f t="shared" si="487"/>
        <v>Nov</v>
      </c>
      <c r="C1082" s="73">
        <f t="shared" si="505"/>
        <v>15</v>
      </c>
      <c r="D1082" s="74">
        <f t="shared" si="488"/>
        <v>7</v>
      </c>
      <c r="E1082" s="75">
        <f t="shared" si="489"/>
        <v>33</v>
      </c>
      <c r="F1082" s="79"/>
      <c r="G1082" s="82"/>
      <c r="H1082" s="68" t="str">
        <f t="shared" si="506"/>
        <v>Hyprev7_20211115_07_00</v>
      </c>
      <c r="I1082" s="69">
        <f t="shared" si="510"/>
        <v>1</v>
      </c>
      <c r="J1082" s="76" t="str">
        <f t="shared" si="510"/>
        <v>Hypericum</v>
      </c>
      <c r="K1082" s="76" t="str">
        <f t="shared" si="510"/>
        <v>revolutum</v>
      </c>
      <c r="L1082" s="77">
        <f t="shared" si="510"/>
        <v>7</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2021</v>
      </c>
      <c r="B1083" s="72" t="str">
        <f t="shared" si="487"/>
        <v>Nov</v>
      </c>
      <c r="C1083" s="73">
        <f t="shared" si="505"/>
        <v>15</v>
      </c>
      <c r="D1083" s="74">
        <f t="shared" si="488"/>
        <v>7</v>
      </c>
      <c r="E1083" s="75">
        <f t="shared" si="489"/>
        <v>34</v>
      </c>
      <c r="F1083" s="79"/>
      <c r="G1083" s="82"/>
      <c r="H1083" s="68" t="str">
        <f t="shared" si="506"/>
        <v>Hyprev7_20211115_07_00</v>
      </c>
      <c r="I1083" s="69">
        <f t="shared" si="510"/>
        <v>1</v>
      </c>
      <c r="J1083" s="76" t="str">
        <f t="shared" si="510"/>
        <v>Hypericum</v>
      </c>
      <c r="K1083" s="76" t="str">
        <f t="shared" si="510"/>
        <v>revolutum</v>
      </c>
      <c r="L1083" s="77">
        <f t="shared" si="510"/>
        <v>7</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2021</v>
      </c>
      <c r="B1084" s="72" t="str">
        <f t="shared" si="487"/>
        <v>Nov</v>
      </c>
      <c r="C1084" s="73">
        <f t="shared" si="505"/>
        <v>15</v>
      </c>
      <c r="D1084" s="74">
        <f t="shared" si="488"/>
        <v>7</v>
      </c>
      <c r="E1084" s="75">
        <f t="shared" si="489"/>
        <v>35</v>
      </c>
      <c r="F1084" s="79"/>
      <c r="G1084" s="82"/>
      <c r="H1084" s="68" t="str">
        <f t="shared" si="506"/>
        <v>Hyprev7_20211115_07_00</v>
      </c>
      <c r="I1084" s="69">
        <f t="shared" si="510"/>
        <v>1</v>
      </c>
      <c r="J1084" s="76" t="str">
        <f t="shared" si="510"/>
        <v>Hypericum</v>
      </c>
      <c r="K1084" s="76" t="str">
        <f t="shared" si="510"/>
        <v>revolutum</v>
      </c>
      <c r="L1084" s="77">
        <f t="shared" si="510"/>
        <v>7</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2021</v>
      </c>
      <c r="B1085" s="72" t="str">
        <f t="shared" si="487"/>
        <v>Nov</v>
      </c>
      <c r="C1085" s="73">
        <f t="shared" si="505"/>
        <v>15</v>
      </c>
      <c r="D1085" s="74">
        <f t="shared" si="488"/>
        <v>7</v>
      </c>
      <c r="E1085" s="75">
        <f t="shared" si="489"/>
        <v>36</v>
      </c>
      <c r="F1085" s="79"/>
      <c r="G1085" s="82"/>
      <c r="H1085" s="68" t="str">
        <f t="shared" si="506"/>
        <v>Hyprev7_20211115_07_00</v>
      </c>
      <c r="I1085" s="69">
        <f t="shared" si="510"/>
        <v>1</v>
      </c>
      <c r="J1085" s="76" t="str">
        <f t="shared" si="510"/>
        <v>Hypericum</v>
      </c>
      <c r="K1085" s="76" t="str">
        <f t="shared" si="510"/>
        <v>revolutum</v>
      </c>
      <c r="L1085" s="77">
        <f t="shared" si="510"/>
        <v>7</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2021</v>
      </c>
      <c r="B1086" s="72" t="str">
        <f t="shared" si="487"/>
        <v>Nov</v>
      </c>
      <c r="C1086" s="73">
        <f t="shared" si="505"/>
        <v>15</v>
      </c>
      <c r="D1086" s="74">
        <f t="shared" si="488"/>
        <v>7</v>
      </c>
      <c r="E1086" s="75">
        <f t="shared" si="489"/>
        <v>37</v>
      </c>
      <c r="F1086" s="79"/>
      <c r="G1086" s="82"/>
      <c r="H1086" s="68" t="str">
        <f t="shared" si="506"/>
        <v>Hyprev7_20211115_07_00</v>
      </c>
      <c r="I1086" s="69">
        <f t="shared" si="510"/>
        <v>1</v>
      </c>
      <c r="J1086" s="76" t="str">
        <f t="shared" si="510"/>
        <v>Hypericum</v>
      </c>
      <c r="K1086" s="76" t="str">
        <f t="shared" si="510"/>
        <v>revolutum</v>
      </c>
      <c r="L1086" s="77">
        <f t="shared" si="510"/>
        <v>7</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2021</v>
      </c>
      <c r="B1087" s="72" t="str">
        <f t="shared" si="487"/>
        <v>Nov</v>
      </c>
      <c r="C1087" s="73">
        <f t="shared" si="505"/>
        <v>15</v>
      </c>
      <c r="D1087" s="74">
        <f t="shared" si="488"/>
        <v>7</v>
      </c>
      <c r="E1087" s="75">
        <f t="shared" si="489"/>
        <v>38</v>
      </c>
      <c r="F1087" s="79"/>
      <c r="G1087" s="82"/>
      <c r="H1087" s="68" t="str">
        <f t="shared" si="506"/>
        <v>Hyprev7_20211115_07_00</v>
      </c>
      <c r="I1087" s="69">
        <f t="shared" si="510"/>
        <v>1</v>
      </c>
      <c r="J1087" s="76" t="str">
        <f t="shared" si="510"/>
        <v>Hypericum</v>
      </c>
      <c r="K1087" s="76" t="str">
        <f t="shared" si="510"/>
        <v>revolutum</v>
      </c>
      <c r="L1087" s="77">
        <f t="shared" si="510"/>
        <v>7</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2021</v>
      </c>
      <c r="B1088" s="72" t="str">
        <f t="shared" si="487"/>
        <v>Nov</v>
      </c>
      <c r="C1088" s="73">
        <f t="shared" si="505"/>
        <v>15</v>
      </c>
      <c r="D1088" s="74">
        <f t="shared" si="488"/>
        <v>7</v>
      </c>
      <c r="E1088" s="75">
        <f t="shared" si="489"/>
        <v>39</v>
      </c>
      <c r="F1088" s="79">
        <v>39</v>
      </c>
      <c r="G1088" s="82"/>
      <c r="H1088" s="68" t="str">
        <f t="shared" si="506"/>
        <v>Hyprev7_20211115_07_00</v>
      </c>
      <c r="I1088" s="69">
        <f t="shared" si="510"/>
        <v>1</v>
      </c>
      <c r="J1088" s="76" t="str">
        <f t="shared" si="510"/>
        <v>Hypericum</v>
      </c>
      <c r="K1088" s="76" t="str">
        <f t="shared" si="510"/>
        <v>revolutum</v>
      </c>
      <c r="L1088" s="77">
        <f t="shared" si="510"/>
        <v>7</v>
      </c>
      <c r="M1088" s="77">
        <f t="shared" si="510"/>
        <v>2</v>
      </c>
      <c r="N1088" s="71">
        <f t="shared" si="510"/>
        <v>0</v>
      </c>
      <c r="O1088" s="44"/>
      <c r="P1088" s="45">
        <f t="shared" si="490"/>
        <v>1</v>
      </c>
      <c r="Q1088" s="46" t="str">
        <f t="shared" si="491"/>
        <v>07:39:39</v>
      </c>
      <c r="R1088" s="47" t="str">
        <f t="shared" si="492"/>
        <v>39:39</v>
      </c>
      <c r="S1088" s="48">
        <f t="shared" si="481"/>
        <v>140</v>
      </c>
      <c r="T1088" s="47" t="str">
        <f t="shared" si="493"/>
        <v>07</v>
      </c>
      <c r="U1088" s="49">
        <v>41</v>
      </c>
      <c r="V1088" s="50">
        <v>59</v>
      </c>
      <c r="W1088" s="51" t="str">
        <f t="shared" si="494"/>
        <v>41:59</v>
      </c>
      <c r="X1088" s="52" t="s">
        <v>61</v>
      </c>
      <c r="Y1088" s="124" t="s">
        <v>240</v>
      </c>
      <c r="Z1088" s="124"/>
      <c r="AA1088" s="47" t="s">
        <v>254</v>
      </c>
      <c r="AB1088" s="47" t="str">
        <f t="shared" si="495"/>
        <v>NA</v>
      </c>
      <c r="AC1088" s="53" t="str">
        <f t="shared" si="496"/>
        <v/>
      </c>
      <c r="AD1088" s="54">
        <f t="shared" si="497"/>
        <v>1</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t="s">
        <v>169</v>
      </c>
      <c r="AT1088" s="58"/>
      <c r="AU1088" s="58"/>
      <c r="AV1088" s="59"/>
      <c r="AW1088" s="60">
        <f t="shared" si="482"/>
        <v>0</v>
      </c>
      <c r="AX1088" s="61" t="str">
        <f t="shared" si="483"/>
        <v/>
      </c>
      <c r="AY1088" s="60">
        <f t="shared" si="484"/>
        <v>0</v>
      </c>
      <c r="AZ1088" s="61" t="str">
        <f t="shared" si="485"/>
        <v/>
      </c>
    </row>
    <row r="1089" spans="1:52" s="3" customFormat="1" hidden="1" x14ac:dyDescent="0.35">
      <c r="A1089" s="72">
        <f t="shared" si="486"/>
        <v>2021</v>
      </c>
      <c r="B1089" s="72" t="str">
        <f t="shared" si="487"/>
        <v>Nov</v>
      </c>
      <c r="C1089" s="73">
        <f t="shared" si="505"/>
        <v>15</v>
      </c>
      <c r="D1089" s="74">
        <f t="shared" si="488"/>
        <v>7</v>
      </c>
      <c r="E1089" s="75">
        <v>39</v>
      </c>
      <c r="F1089" s="79">
        <v>42</v>
      </c>
      <c r="G1089" s="82"/>
      <c r="H1089" s="68" t="str">
        <f t="shared" si="506"/>
        <v>Hyprev7_20211115_07_00</v>
      </c>
      <c r="I1089" s="69">
        <f t="shared" si="510"/>
        <v>1</v>
      </c>
      <c r="J1089" s="76" t="str">
        <f t="shared" si="510"/>
        <v>Hypericum</v>
      </c>
      <c r="K1089" s="76" t="str">
        <f t="shared" si="510"/>
        <v>revolutum</v>
      </c>
      <c r="L1089" s="77">
        <f t="shared" si="510"/>
        <v>7</v>
      </c>
      <c r="M1089" s="77">
        <f t="shared" si="510"/>
        <v>2</v>
      </c>
      <c r="N1089" s="71">
        <f t="shared" si="510"/>
        <v>0</v>
      </c>
      <c r="O1089" s="44"/>
      <c r="P1089" s="45">
        <f t="shared" si="490"/>
        <v>1</v>
      </c>
      <c r="Q1089" s="46" t="str">
        <f t="shared" si="491"/>
        <v>07:39:42</v>
      </c>
      <c r="R1089" s="47" t="str">
        <f t="shared" si="492"/>
        <v>39:42</v>
      </c>
      <c r="S1089" s="48">
        <f t="shared" si="481"/>
        <v>1</v>
      </c>
      <c r="T1089" s="47" t="str">
        <f t="shared" si="493"/>
        <v>07</v>
      </c>
      <c r="U1089" s="49">
        <v>39</v>
      </c>
      <c r="V1089" s="50">
        <v>43</v>
      </c>
      <c r="W1089" s="51" t="str">
        <f t="shared" si="494"/>
        <v>39:43</v>
      </c>
      <c r="X1089" s="52" t="s">
        <v>61</v>
      </c>
      <c r="Y1089" s="124" t="s">
        <v>240</v>
      </c>
      <c r="Z1089" s="124"/>
      <c r="AA1089" s="47" t="s">
        <v>254</v>
      </c>
      <c r="AB1089" s="47" t="str">
        <f t="shared" si="495"/>
        <v>NA</v>
      </c>
      <c r="AC1089" s="53" t="str">
        <f t="shared" si="496"/>
        <v/>
      </c>
      <c r="AD1089" s="54">
        <f t="shared" si="497"/>
        <v>1</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t="s">
        <v>170</v>
      </c>
      <c r="AT1089" s="58"/>
      <c r="AU1089" s="58"/>
      <c r="AV1089" s="59"/>
      <c r="AW1089" s="60">
        <f t="shared" si="482"/>
        <v>0</v>
      </c>
      <c r="AX1089" s="61" t="str">
        <f t="shared" si="483"/>
        <v/>
      </c>
      <c r="AY1089" s="60">
        <f t="shared" si="484"/>
        <v>0</v>
      </c>
      <c r="AZ1089" s="61" t="str">
        <f t="shared" si="485"/>
        <v/>
      </c>
    </row>
    <row r="1090" spans="1:52" s="3" customFormat="1" hidden="1" x14ac:dyDescent="0.35">
      <c r="A1090" s="72">
        <f t="shared" si="486"/>
        <v>2021</v>
      </c>
      <c r="B1090" s="72" t="str">
        <f t="shared" si="487"/>
        <v>Nov</v>
      </c>
      <c r="C1090" s="73">
        <f t="shared" si="505"/>
        <v>15</v>
      </c>
      <c r="D1090" s="74">
        <f t="shared" si="488"/>
        <v>7</v>
      </c>
      <c r="E1090" s="75">
        <f t="shared" si="489"/>
        <v>40</v>
      </c>
      <c r="F1090" s="79">
        <v>21</v>
      </c>
      <c r="G1090" s="82"/>
      <c r="H1090" s="68" t="str">
        <f t="shared" si="506"/>
        <v>Hyprev7_20211115_07_00</v>
      </c>
      <c r="I1090" s="69">
        <f t="shared" si="510"/>
        <v>1</v>
      </c>
      <c r="J1090" s="76" t="str">
        <f t="shared" si="510"/>
        <v>Hypericum</v>
      </c>
      <c r="K1090" s="76" t="str">
        <f t="shared" si="510"/>
        <v>revolutum</v>
      </c>
      <c r="L1090" s="77">
        <f t="shared" si="510"/>
        <v>7</v>
      </c>
      <c r="M1090" s="77">
        <f t="shared" si="510"/>
        <v>2</v>
      </c>
      <c r="N1090" s="71">
        <f t="shared" si="510"/>
        <v>0</v>
      </c>
      <c r="O1090" s="44"/>
      <c r="P1090" s="45">
        <f t="shared" si="490"/>
        <v>1</v>
      </c>
      <c r="Q1090" s="46" t="str">
        <f t="shared" si="491"/>
        <v>07:40:21</v>
      </c>
      <c r="R1090" s="47" t="str">
        <f t="shared" si="492"/>
        <v>40:21</v>
      </c>
      <c r="S1090" s="48">
        <f t="shared" si="481"/>
        <v>6</v>
      </c>
      <c r="T1090" s="47" t="str">
        <f t="shared" si="493"/>
        <v>07</v>
      </c>
      <c r="U1090" s="49">
        <v>40</v>
      </c>
      <c r="V1090" s="50">
        <v>27</v>
      </c>
      <c r="W1090" s="51" t="str">
        <f t="shared" si="494"/>
        <v>40:27</v>
      </c>
      <c r="X1090" s="52" t="s">
        <v>61</v>
      </c>
      <c r="Y1090" s="124" t="s">
        <v>240</v>
      </c>
      <c r="Z1090" s="124"/>
      <c r="AA1090" s="47" t="s">
        <v>254</v>
      </c>
      <c r="AB1090" s="47" t="str">
        <f t="shared" si="495"/>
        <v>NA</v>
      </c>
      <c r="AC1090" s="53" t="str">
        <f t="shared" si="496"/>
        <v/>
      </c>
      <c r="AD1090" s="54">
        <f t="shared" si="497"/>
        <v>1</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t="s">
        <v>171</v>
      </c>
      <c r="AT1090" s="58"/>
      <c r="AU1090" s="58"/>
      <c r="AV1090" s="59"/>
      <c r="AW1090" s="60">
        <f t="shared" si="482"/>
        <v>0</v>
      </c>
      <c r="AX1090" s="61" t="str">
        <f t="shared" si="483"/>
        <v/>
      </c>
      <c r="AY1090" s="60">
        <f t="shared" si="484"/>
        <v>0</v>
      </c>
      <c r="AZ1090" s="61" t="str">
        <f t="shared" si="485"/>
        <v/>
      </c>
    </row>
    <row r="1091" spans="1:52" s="3" customFormat="1" hidden="1" x14ac:dyDescent="0.35">
      <c r="A1091" s="72">
        <f t="shared" si="486"/>
        <v>2021</v>
      </c>
      <c r="B1091" s="72" t="str">
        <f t="shared" si="487"/>
        <v>Nov</v>
      </c>
      <c r="C1091" s="73">
        <f t="shared" si="505"/>
        <v>15</v>
      </c>
      <c r="D1091" s="74">
        <f t="shared" si="488"/>
        <v>7</v>
      </c>
      <c r="E1091" s="75">
        <v>40</v>
      </c>
      <c r="F1091" s="79">
        <v>32</v>
      </c>
      <c r="G1091" s="82"/>
      <c r="H1091" s="68" t="str">
        <f t="shared" si="506"/>
        <v>Hyprev7_20211115_07_00</v>
      </c>
      <c r="I1091" s="69">
        <f t="shared" si="510"/>
        <v>1</v>
      </c>
      <c r="J1091" s="76" t="str">
        <f t="shared" si="510"/>
        <v>Hypericum</v>
      </c>
      <c r="K1091" s="76" t="str">
        <f t="shared" si="510"/>
        <v>revolutum</v>
      </c>
      <c r="L1091" s="77">
        <f t="shared" si="510"/>
        <v>7</v>
      </c>
      <c r="M1091" s="77">
        <f t="shared" si="510"/>
        <v>2</v>
      </c>
      <c r="N1091" s="71">
        <f t="shared" si="510"/>
        <v>0</v>
      </c>
      <c r="O1091" s="44"/>
      <c r="P1091" s="45">
        <f t="shared" si="490"/>
        <v>1</v>
      </c>
      <c r="Q1091" s="46" t="str">
        <f t="shared" si="491"/>
        <v>07:40:32</v>
      </c>
      <c r="R1091" s="47" t="str">
        <f t="shared" si="492"/>
        <v>40:32</v>
      </c>
      <c r="S1091" s="48">
        <f t="shared" ref="S1091:S1154" si="511">IF(T1091&lt;D1091, (T1091*3600+U1091*60+V1091)+((23*3600+59*60+60)-(D1091*3600+E1091*60+LEFT(F1091,2))), (T1091*3600+U1091*60+V1091)-(D1091*3600+E1091*60+LEFT(F1091,2)))</f>
        <v>122</v>
      </c>
      <c r="T1091" s="47" t="str">
        <f t="shared" si="493"/>
        <v>07</v>
      </c>
      <c r="U1091" s="49">
        <v>42</v>
      </c>
      <c r="V1091" s="50">
        <v>34</v>
      </c>
      <c r="W1091" s="51" t="str">
        <f t="shared" si="494"/>
        <v>42:34</v>
      </c>
      <c r="X1091" s="52" t="s">
        <v>61</v>
      </c>
      <c r="Y1091" s="124" t="s">
        <v>240</v>
      </c>
      <c r="Z1091" s="124"/>
      <c r="AA1091" s="47" t="s">
        <v>254</v>
      </c>
      <c r="AB1091" s="47" t="str">
        <f t="shared" si="495"/>
        <v>NA</v>
      </c>
      <c r="AC1091" s="53" t="str">
        <f t="shared" si="496"/>
        <v/>
      </c>
      <c r="AD1091" s="54">
        <f t="shared" si="497"/>
        <v>1</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t="s">
        <v>172</v>
      </c>
      <c r="AT1091" s="58"/>
      <c r="AU1091" s="58"/>
      <c r="AV1091" s="59"/>
      <c r="AW1091" s="60">
        <f t="shared" ref="AW1091:AW1154" si="512">IF(P1091=1,0,"")</f>
        <v>0</v>
      </c>
      <c r="AX1091" s="61" t="str">
        <f t="shared" ref="AX1091:AX1154" si="513">IF(AW1091=1,AD1091,"")</f>
        <v/>
      </c>
      <c r="AY1091" s="60">
        <f t="shared" ref="AY1091:AY1154" si="514">IF(P1091=1,0,"")</f>
        <v>0</v>
      </c>
      <c r="AZ1091" s="61" t="str">
        <f t="shared" ref="AZ1091:AZ1154" si="515">IF(AY1091=1,AD1091,"")</f>
        <v/>
      </c>
    </row>
    <row r="1092" spans="1:52" s="3" customFormat="1" hidden="1" x14ac:dyDescent="0.35">
      <c r="A1092" s="72">
        <f t="shared" ref="A1092:A1155" si="516">A1091</f>
        <v>2021</v>
      </c>
      <c r="B1092" s="72" t="str">
        <f t="shared" ref="B1092:B1155" si="517">IF(C1091-C1092&gt;0, TEXT(DATE(2016,(MONTH(DATEVALUE(B1091&amp;"1"))+1),1),"mmm"), B1091)</f>
        <v>Nov</v>
      </c>
      <c r="C1092" s="73">
        <f t="shared" si="505"/>
        <v>15</v>
      </c>
      <c r="D1092" s="74">
        <f t="shared" ref="D1092:D1155" si="518">IF(IF(E1091=59,D1091+1,D1091)=24,0,IF(E1091=59,D1091+1,D1091))</f>
        <v>7</v>
      </c>
      <c r="E1092" s="75">
        <v>40</v>
      </c>
      <c r="F1092" s="79">
        <v>33</v>
      </c>
      <c r="G1092" s="82"/>
      <c r="H1092" s="68" t="str">
        <f t="shared" si="506"/>
        <v>Hyprev7_20211115_07_00</v>
      </c>
      <c r="I1092" s="69">
        <f t="shared" si="510"/>
        <v>1</v>
      </c>
      <c r="J1092" s="76" t="str">
        <f t="shared" si="510"/>
        <v>Hypericum</v>
      </c>
      <c r="K1092" s="76" t="str">
        <f t="shared" si="510"/>
        <v>revolutum</v>
      </c>
      <c r="L1092" s="77">
        <f t="shared" si="510"/>
        <v>7</v>
      </c>
      <c r="M1092" s="77">
        <f t="shared" si="510"/>
        <v>2</v>
      </c>
      <c r="N1092" s="71">
        <f t="shared" si="510"/>
        <v>0</v>
      </c>
      <c r="O1092" s="44"/>
      <c r="P1092" s="45">
        <f t="shared" ref="P1092:P1155" si="519">IF(F1092="","",1)</f>
        <v>1</v>
      </c>
      <c r="Q1092" s="46" t="str">
        <f t="shared" ref="Q1092:Q1155" si="520">TEXT(IF(P1092=1,CONCATENATE($D1092,":",$E1092,":",(LEFT($F1092,2))),""),"hh:mm:ss")</f>
        <v>07:40:33</v>
      </c>
      <c r="R1092" s="47" t="str">
        <f t="shared" ref="R1092:R1155" si="521">TEXT(Q1092-TIME(0,RIGHT($H1092,2),$G$9)+(Q1092&gt;TIME(0,RIGHT($H1092,2),$G$9)),"mm:ss")</f>
        <v>40:33</v>
      </c>
      <c r="S1092" s="48">
        <f t="shared" si="511"/>
        <v>19</v>
      </c>
      <c r="T1092" s="47" t="str">
        <f t="shared" ref="T1092:T1155" si="522">TEXT(IF(P1092=1,D1092,""),"00")</f>
        <v>07</v>
      </c>
      <c r="U1092" s="49">
        <v>40</v>
      </c>
      <c r="V1092" s="50">
        <v>52</v>
      </c>
      <c r="W1092" s="51" t="str">
        <f t="shared" ref="W1092:W1155" si="523">IF(O1092=0,TEXT(TIME(T1092,U1092,V1092)-TIME(D1092,E1092,RIGHT(F1092,2))+TIME(0,LEFT(R1092,2),RIGHT(R1092,2)),"mm:ss"),TEXT(TIME(T1092,U1092,V1092)-TIME(D1092,E1092,RIGHT(F1092,2))+TIME(0,LEFT(R1092,2),RIGHT(R1092,2))-TIME(0,($G$10*O1092),0),"mm:ss"))</f>
        <v>40:52</v>
      </c>
      <c r="X1092" s="52" t="s">
        <v>61</v>
      </c>
      <c r="Y1092" s="124" t="s">
        <v>240</v>
      </c>
      <c r="Z1092" s="124"/>
      <c r="AA1092" s="47" t="s">
        <v>254</v>
      </c>
      <c r="AB1092" s="47" t="str">
        <f t="shared" ref="AB1092:AB1155" si="524">IF(AA1092&lt;&gt;0,"NA","")</f>
        <v>NA</v>
      </c>
      <c r="AC1092" s="53" t="str">
        <f t="shared" ref="AC1092:AC1155" si="525">IF(SUM(AH1092,AJ1092,AL1092,AN1092,AP1092,AR1092)=S1092,,"")</f>
        <v/>
      </c>
      <c r="AD1092" s="54">
        <f t="shared" ref="AD1092:AD1155" si="526">IF(P1092=1,1,"")</f>
        <v>1</v>
      </c>
      <c r="AE1092" s="54"/>
      <c r="AF1092" s="54"/>
      <c r="AG1092" s="55" t="str">
        <f t="shared" ref="AG1092:AG1155" si="527">IF(OR(X1092="Something small"),1,"")</f>
        <v/>
      </c>
      <c r="AH1092" s="56" t="str">
        <f t="shared" ref="AH1092:AH1155" si="528">IF(AG1092=1,$S1092,"")</f>
        <v/>
      </c>
      <c r="AI1092" s="55"/>
      <c r="AJ1092" s="56" t="str">
        <f t="shared" ref="AJ1092:AJ1155" si="529">IF(AI1092=1,$S1092,"")</f>
        <v/>
      </c>
      <c r="AK1092" s="55"/>
      <c r="AL1092" s="56" t="str">
        <f t="shared" ref="AL1092:AL1155" si="530">IF(AK1092=1,$S1092,"")</f>
        <v/>
      </c>
      <c r="AM1092" s="55"/>
      <c r="AN1092" s="56" t="str">
        <f t="shared" ref="AN1092:AN1155" si="531">IF(AM1092=1,$S1092,"")</f>
        <v/>
      </c>
      <c r="AO1092" s="55"/>
      <c r="AP1092" s="56" t="str">
        <f t="shared" ref="AP1092:AP1155" si="532">IF(AO1092=1,$S1092,"")</f>
        <v/>
      </c>
      <c r="AQ1092" s="55"/>
      <c r="AR1092" s="56" t="str">
        <f t="shared" ref="AR1092:AR1155" si="533">IF(AQ1092=1,$S1092,"")</f>
        <v/>
      </c>
      <c r="AS1092" s="57" t="s">
        <v>156</v>
      </c>
      <c r="AT1092" s="58"/>
      <c r="AU1092" s="58"/>
      <c r="AV1092" s="59"/>
      <c r="AW1092" s="60">
        <f t="shared" si="512"/>
        <v>0</v>
      </c>
      <c r="AX1092" s="61" t="str">
        <f t="shared" si="513"/>
        <v/>
      </c>
      <c r="AY1092" s="60">
        <f t="shared" si="514"/>
        <v>0</v>
      </c>
      <c r="AZ1092" s="61" t="str">
        <f t="shared" si="515"/>
        <v/>
      </c>
    </row>
    <row r="1093" spans="1:52" s="3" customFormat="1" hidden="1" x14ac:dyDescent="0.35">
      <c r="A1093" s="72">
        <f t="shared" si="516"/>
        <v>2021</v>
      </c>
      <c r="B1093" s="72" t="str">
        <f t="shared" si="517"/>
        <v>Nov</v>
      </c>
      <c r="C1093" s="73">
        <f t="shared" ref="C1093:C1156" si="534">IF(AND(D1093=0, E1093=0), IF(TEXT(C1092,"dd")=TEXT(EOMONTH(DATE(A1092,MONTH(DATEVALUE(B1092&amp;"1")),C1092),0), "dd"), 1, C1092+1), C1092)</f>
        <v>15</v>
      </c>
      <c r="D1093" s="74">
        <f t="shared" si="518"/>
        <v>7</v>
      </c>
      <c r="E1093" s="75">
        <f t="shared" ref="E1093:E1155" si="535">IF(E1092&lt;59,E1092+1,0)</f>
        <v>41</v>
      </c>
      <c r="F1093" s="79">
        <v>7</v>
      </c>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Hyprev7_20211115_07_00</v>
      </c>
      <c r="I1093" s="69">
        <f t="shared" ref="I1093:N1108" si="537">I1092</f>
        <v>1</v>
      </c>
      <c r="J1093" s="76" t="str">
        <f t="shared" si="537"/>
        <v>Hypericum</v>
      </c>
      <c r="K1093" s="76" t="str">
        <f t="shared" si="537"/>
        <v>revolutum</v>
      </c>
      <c r="L1093" s="77">
        <f t="shared" si="537"/>
        <v>7</v>
      </c>
      <c r="M1093" s="77">
        <f t="shared" si="537"/>
        <v>2</v>
      </c>
      <c r="N1093" s="71">
        <f t="shared" si="537"/>
        <v>0</v>
      </c>
      <c r="O1093" s="44"/>
      <c r="P1093" s="45">
        <f t="shared" si="519"/>
        <v>1</v>
      </c>
      <c r="Q1093" s="46" t="str">
        <f t="shared" si="520"/>
        <v>07:41:07</v>
      </c>
      <c r="R1093" s="47" t="str">
        <f t="shared" si="521"/>
        <v>41:07</v>
      </c>
      <c r="S1093" s="48">
        <f t="shared" si="511"/>
        <v>153</v>
      </c>
      <c r="T1093" s="47" t="str">
        <f t="shared" si="522"/>
        <v>07</v>
      </c>
      <c r="U1093" s="49">
        <v>43</v>
      </c>
      <c r="V1093" s="50">
        <v>40</v>
      </c>
      <c r="W1093" s="51" t="str">
        <f t="shared" si="523"/>
        <v>43:40</v>
      </c>
      <c r="X1093" s="52" t="s">
        <v>59</v>
      </c>
      <c r="Y1093" s="124" t="s">
        <v>239</v>
      </c>
      <c r="Z1093" s="124"/>
      <c r="AA1093" s="47" t="s">
        <v>254</v>
      </c>
      <c r="AB1093" s="47" t="str">
        <f t="shared" si="524"/>
        <v>NA</v>
      </c>
      <c r="AC1093" s="53" t="str">
        <f t="shared" si="525"/>
        <v/>
      </c>
      <c r="AD1093" s="54">
        <f t="shared" si="526"/>
        <v>1</v>
      </c>
      <c r="AE1093" s="54"/>
      <c r="AF1093" s="54"/>
      <c r="AG1093" s="55" t="str">
        <f t="shared" si="527"/>
        <v/>
      </c>
      <c r="AH1093" s="56" t="str">
        <f t="shared" si="528"/>
        <v/>
      </c>
      <c r="AI1093" s="55"/>
      <c r="AJ1093" s="56" t="str">
        <f t="shared" si="529"/>
        <v/>
      </c>
      <c r="AK1093" s="55"/>
      <c r="AL1093" s="56" t="str">
        <f t="shared" si="530"/>
        <v/>
      </c>
      <c r="AM1093" s="55"/>
      <c r="AN1093" s="56" t="str">
        <f t="shared" si="531"/>
        <v/>
      </c>
      <c r="AO1093" s="55"/>
      <c r="AP1093" s="56" t="str">
        <f t="shared" si="532"/>
        <v/>
      </c>
      <c r="AQ1093" s="55"/>
      <c r="AR1093" s="56" t="str">
        <f t="shared" si="533"/>
        <v/>
      </c>
      <c r="AS1093" s="57" t="s">
        <v>173</v>
      </c>
      <c r="AT1093" s="58"/>
      <c r="AU1093" s="58"/>
      <c r="AV1093" s="59"/>
      <c r="AW1093" s="60">
        <f t="shared" si="512"/>
        <v>0</v>
      </c>
      <c r="AX1093" s="61" t="str">
        <f t="shared" si="513"/>
        <v/>
      </c>
      <c r="AY1093" s="60">
        <f t="shared" si="514"/>
        <v>0</v>
      </c>
      <c r="AZ1093" s="61" t="str">
        <f t="shared" si="515"/>
        <v/>
      </c>
    </row>
    <row r="1094" spans="1:52" s="3" customFormat="1" hidden="1" x14ac:dyDescent="0.35">
      <c r="A1094" s="72">
        <f t="shared" si="516"/>
        <v>2021</v>
      </c>
      <c r="B1094" s="72" t="str">
        <f t="shared" si="517"/>
        <v>Nov</v>
      </c>
      <c r="C1094" s="73">
        <f t="shared" si="534"/>
        <v>15</v>
      </c>
      <c r="D1094" s="74">
        <f t="shared" si="518"/>
        <v>7</v>
      </c>
      <c r="E1094" s="75">
        <f t="shared" si="535"/>
        <v>42</v>
      </c>
      <c r="F1094" s="79"/>
      <c r="G1094" s="82"/>
      <c r="H1094" s="68" t="str">
        <f t="shared" si="536"/>
        <v>Hyprev7_20211115_07_00</v>
      </c>
      <c r="I1094" s="69">
        <f t="shared" si="537"/>
        <v>1</v>
      </c>
      <c r="J1094" s="76" t="str">
        <f t="shared" si="537"/>
        <v>Hypericum</v>
      </c>
      <c r="K1094" s="76" t="str">
        <f t="shared" si="537"/>
        <v>revolutum</v>
      </c>
      <c r="L1094" s="77">
        <f t="shared" si="537"/>
        <v>7</v>
      </c>
      <c r="M1094" s="77">
        <f t="shared" si="537"/>
        <v>2</v>
      </c>
      <c r="N1094" s="71">
        <f t="shared" si="537"/>
        <v>0</v>
      </c>
      <c r="O1094" s="44"/>
      <c r="P1094" s="45" t="str">
        <f t="shared" si="519"/>
        <v/>
      </c>
      <c r="Q1094" s="46" t="str">
        <f t="shared" si="520"/>
        <v/>
      </c>
      <c r="R1094" s="47" t="e">
        <f t="shared" si="521"/>
        <v>#VALUE!</v>
      </c>
      <c r="S1094" s="48" t="e">
        <f t="shared" si="511"/>
        <v>#VALUE!</v>
      </c>
      <c r="T1094" s="47" t="str">
        <f t="shared" si="522"/>
        <v/>
      </c>
      <c r="U1094" s="49"/>
      <c r="V1094" s="50"/>
      <c r="W1094" s="51" t="e">
        <f t="shared" si="523"/>
        <v>#VALUE!</v>
      </c>
      <c r="X1094" s="52"/>
      <c r="Y1094" s="52"/>
      <c r="Z1094" s="52"/>
      <c r="AA1094" s="47" t="e">
        <f>INDEX(VISITORS[INSECT ORDER], MATCH(X1094,VISITORS[NAME USED],0))</f>
        <v>#N/A</v>
      </c>
      <c r="AB1094" s="47" t="e">
        <f t="shared" si="524"/>
        <v>#N/A</v>
      </c>
      <c r="AC1094" s="53" t="e">
        <f t="shared" si="525"/>
        <v>#VALUE!</v>
      </c>
      <c r="AD1094" s="54" t="str">
        <f t="shared" si="526"/>
        <v/>
      </c>
      <c r="AE1094" s="54"/>
      <c r="AF1094" s="54"/>
      <c r="AG1094" s="55" t="str">
        <f t="shared" si="527"/>
        <v/>
      </c>
      <c r="AH1094" s="56" t="str">
        <f t="shared" si="528"/>
        <v/>
      </c>
      <c r="AI1094" s="55"/>
      <c r="AJ1094" s="56" t="str">
        <f t="shared" si="529"/>
        <v/>
      </c>
      <c r="AK1094" s="55"/>
      <c r="AL1094" s="56" t="str">
        <f t="shared" si="530"/>
        <v/>
      </c>
      <c r="AM1094" s="55"/>
      <c r="AN1094" s="56" t="str">
        <f t="shared" si="531"/>
        <v/>
      </c>
      <c r="AO1094" s="55"/>
      <c r="AP1094" s="56" t="str">
        <f t="shared" si="532"/>
        <v/>
      </c>
      <c r="AQ1094" s="55"/>
      <c r="AR1094" s="56" t="str">
        <f t="shared" si="533"/>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2021</v>
      </c>
      <c r="B1095" s="72" t="str">
        <f t="shared" si="517"/>
        <v>Nov</v>
      </c>
      <c r="C1095" s="73">
        <f t="shared" si="534"/>
        <v>15</v>
      </c>
      <c r="D1095" s="74">
        <f t="shared" si="518"/>
        <v>7</v>
      </c>
      <c r="E1095" s="75">
        <f t="shared" si="535"/>
        <v>43</v>
      </c>
      <c r="F1095" s="79">
        <v>30</v>
      </c>
      <c r="G1095" s="82"/>
      <c r="H1095" s="68" t="str">
        <f t="shared" si="536"/>
        <v>Hyprev7_20211115_07_00</v>
      </c>
      <c r="I1095" s="69">
        <f t="shared" si="537"/>
        <v>1</v>
      </c>
      <c r="J1095" s="76" t="str">
        <f t="shared" si="537"/>
        <v>Hypericum</v>
      </c>
      <c r="K1095" s="76" t="str">
        <f t="shared" si="537"/>
        <v>revolutum</v>
      </c>
      <c r="L1095" s="77">
        <f t="shared" si="537"/>
        <v>7</v>
      </c>
      <c r="M1095" s="77">
        <f t="shared" si="537"/>
        <v>2</v>
      </c>
      <c r="N1095" s="71">
        <f t="shared" si="537"/>
        <v>0</v>
      </c>
      <c r="O1095" s="44"/>
      <c r="P1095" s="45">
        <f t="shared" si="519"/>
        <v>1</v>
      </c>
      <c r="Q1095" s="46" t="str">
        <f t="shared" si="520"/>
        <v>07:43:30</v>
      </c>
      <c r="R1095" s="47" t="str">
        <f t="shared" si="521"/>
        <v>43:30</v>
      </c>
      <c r="S1095" s="48">
        <f t="shared" si="511"/>
        <v>47</v>
      </c>
      <c r="T1095" s="47" t="str">
        <f t="shared" si="522"/>
        <v>07</v>
      </c>
      <c r="U1095" s="49">
        <v>44</v>
      </c>
      <c r="V1095" s="50">
        <v>17</v>
      </c>
      <c r="W1095" s="51" t="str">
        <f t="shared" si="523"/>
        <v>44:17</v>
      </c>
      <c r="X1095" s="52" t="s">
        <v>61</v>
      </c>
      <c r="Y1095" s="124" t="s">
        <v>239</v>
      </c>
      <c r="Z1095" s="124"/>
      <c r="AA1095" s="47" t="s">
        <v>254</v>
      </c>
      <c r="AB1095" s="47" t="str">
        <f t="shared" si="524"/>
        <v>NA</v>
      </c>
      <c r="AC1095" s="53" t="str">
        <f t="shared" si="525"/>
        <v/>
      </c>
      <c r="AD1095" s="54">
        <f t="shared" si="526"/>
        <v>1</v>
      </c>
      <c r="AE1095" s="54"/>
      <c r="AF1095" s="54"/>
      <c r="AG1095" s="55" t="str">
        <f t="shared" si="527"/>
        <v/>
      </c>
      <c r="AH1095" s="56" t="str">
        <f t="shared" si="528"/>
        <v/>
      </c>
      <c r="AI1095" s="55"/>
      <c r="AJ1095" s="56" t="str">
        <f t="shared" si="529"/>
        <v/>
      </c>
      <c r="AK1095" s="55"/>
      <c r="AL1095" s="56" t="str">
        <f t="shared" si="530"/>
        <v/>
      </c>
      <c r="AM1095" s="55"/>
      <c r="AN1095" s="56" t="str">
        <f t="shared" si="531"/>
        <v/>
      </c>
      <c r="AO1095" s="55"/>
      <c r="AP1095" s="56" t="str">
        <f t="shared" si="532"/>
        <v/>
      </c>
      <c r="AQ1095" s="55"/>
      <c r="AR1095" s="56" t="str">
        <f t="shared" si="533"/>
        <v/>
      </c>
      <c r="AS1095" s="57" t="s">
        <v>115</v>
      </c>
      <c r="AT1095" s="58"/>
      <c r="AU1095" s="58"/>
      <c r="AV1095" s="59"/>
      <c r="AW1095" s="60">
        <f t="shared" si="512"/>
        <v>0</v>
      </c>
      <c r="AX1095" s="61" t="str">
        <f t="shared" si="513"/>
        <v/>
      </c>
      <c r="AY1095" s="60">
        <f t="shared" si="514"/>
        <v>0</v>
      </c>
      <c r="AZ1095" s="61" t="str">
        <f t="shared" si="515"/>
        <v/>
      </c>
    </row>
    <row r="1096" spans="1:52" s="3" customFormat="1" hidden="1" x14ac:dyDescent="0.35">
      <c r="A1096" s="72">
        <f t="shared" si="516"/>
        <v>2021</v>
      </c>
      <c r="B1096" s="72" t="str">
        <f t="shared" si="517"/>
        <v>Nov</v>
      </c>
      <c r="C1096" s="73">
        <f t="shared" si="534"/>
        <v>15</v>
      </c>
      <c r="D1096" s="74">
        <f t="shared" si="518"/>
        <v>7</v>
      </c>
      <c r="E1096" s="75">
        <f t="shared" si="535"/>
        <v>44</v>
      </c>
      <c r="F1096" s="79"/>
      <c r="G1096" s="82"/>
      <c r="H1096" s="68" t="str">
        <f t="shared" si="536"/>
        <v>Hyprev7_20211115_07_00</v>
      </c>
      <c r="I1096" s="69">
        <f t="shared" si="537"/>
        <v>1</v>
      </c>
      <c r="J1096" s="76" t="str">
        <f t="shared" si="537"/>
        <v>Hypericum</v>
      </c>
      <c r="K1096" s="76" t="str">
        <f t="shared" si="537"/>
        <v>revolutum</v>
      </c>
      <c r="L1096" s="77">
        <f t="shared" si="537"/>
        <v>7</v>
      </c>
      <c r="M1096" s="77">
        <f t="shared" si="537"/>
        <v>2</v>
      </c>
      <c r="N1096" s="71">
        <f t="shared" si="537"/>
        <v>0</v>
      </c>
      <c r="O1096" s="44"/>
      <c r="P1096" s="45" t="str">
        <f t="shared" si="519"/>
        <v/>
      </c>
      <c r="Q1096" s="46" t="str">
        <f t="shared" si="520"/>
        <v/>
      </c>
      <c r="R1096" s="47" t="e">
        <f t="shared" si="521"/>
        <v>#VALUE!</v>
      </c>
      <c r="S1096" s="48" t="e">
        <f t="shared" si="511"/>
        <v>#VALUE!</v>
      </c>
      <c r="T1096" s="47" t="str">
        <f t="shared" si="522"/>
        <v/>
      </c>
      <c r="U1096" s="49"/>
      <c r="V1096" s="50"/>
      <c r="W1096" s="51" t="e">
        <f t="shared" si="523"/>
        <v>#VALUE!</v>
      </c>
      <c r="X1096" s="52"/>
      <c r="Y1096" s="52"/>
      <c r="Z1096" s="52"/>
      <c r="AA1096" s="47" t="e">
        <f>INDEX(VISITORS[INSECT ORDER], MATCH(X1096,VISITORS[NAME USED],0))</f>
        <v>#N/A</v>
      </c>
      <c r="AB1096" s="47" t="e">
        <f t="shared" si="524"/>
        <v>#N/A</v>
      </c>
      <c r="AC1096" s="53" t="e">
        <f t="shared" si="525"/>
        <v>#VALUE!</v>
      </c>
      <c r="AD1096" s="54" t="str">
        <f t="shared" si="526"/>
        <v/>
      </c>
      <c r="AE1096" s="54"/>
      <c r="AF1096" s="54"/>
      <c r="AG1096" s="55" t="str">
        <f t="shared" si="527"/>
        <v/>
      </c>
      <c r="AH1096" s="56" t="str">
        <f t="shared" si="528"/>
        <v/>
      </c>
      <c r="AI1096" s="55"/>
      <c r="AJ1096" s="56" t="str">
        <f t="shared" si="529"/>
        <v/>
      </c>
      <c r="AK1096" s="55"/>
      <c r="AL1096" s="56" t="str">
        <f t="shared" si="530"/>
        <v/>
      </c>
      <c r="AM1096" s="55"/>
      <c r="AN1096" s="56" t="str">
        <f t="shared" si="531"/>
        <v/>
      </c>
      <c r="AO1096" s="55"/>
      <c r="AP1096" s="56" t="str">
        <f t="shared" si="532"/>
        <v/>
      </c>
      <c r="AQ1096" s="55"/>
      <c r="AR1096" s="56" t="str">
        <f t="shared" si="533"/>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2021</v>
      </c>
      <c r="B1097" s="72" t="str">
        <f t="shared" si="517"/>
        <v>Nov</v>
      </c>
      <c r="C1097" s="73">
        <f t="shared" si="534"/>
        <v>15</v>
      </c>
      <c r="D1097" s="74">
        <f t="shared" si="518"/>
        <v>7</v>
      </c>
      <c r="E1097" s="75">
        <f t="shared" si="535"/>
        <v>45</v>
      </c>
      <c r="F1097" s="79"/>
      <c r="G1097" s="82"/>
      <c r="H1097" s="68" t="str">
        <f t="shared" si="536"/>
        <v>Hyprev7_20211115_07_00</v>
      </c>
      <c r="I1097" s="69">
        <f t="shared" si="537"/>
        <v>1</v>
      </c>
      <c r="J1097" s="76" t="str">
        <f t="shared" si="537"/>
        <v>Hypericum</v>
      </c>
      <c r="K1097" s="76" t="str">
        <f t="shared" si="537"/>
        <v>revolutum</v>
      </c>
      <c r="L1097" s="77">
        <f t="shared" si="537"/>
        <v>7</v>
      </c>
      <c r="M1097" s="77">
        <f t="shared" si="537"/>
        <v>2</v>
      </c>
      <c r="N1097" s="71">
        <f t="shared" si="537"/>
        <v>0</v>
      </c>
      <c r="O1097" s="44"/>
      <c r="P1097" s="45" t="str">
        <f t="shared" si="519"/>
        <v/>
      </c>
      <c r="Q1097" s="46" t="str">
        <f t="shared" si="520"/>
        <v/>
      </c>
      <c r="R1097" s="47" t="e">
        <f t="shared" si="521"/>
        <v>#VALUE!</v>
      </c>
      <c r="S1097" s="48" t="e">
        <f t="shared" si="511"/>
        <v>#VALUE!</v>
      </c>
      <c r="T1097" s="47" t="str">
        <f t="shared" si="522"/>
        <v/>
      </c>
      <c r="U1097" s="49"/>
      <c r="V1097" s="50"/>
      <c r="W1097" s="51" t="e">
        <f t="shared" si="523"/>
        <v>#VALUE!</v>
      </c>
      <c r="X1097" s="52"/>
      <c r="Y1097" s="52"/>
      <c r="Z1097" s="52"/>
      <c r="AA1097" s="47" t="e">
        <f>INDEX(VISITORS[INSECT ORDER], MATCH(X1097,VISITORS[NAME USED],0))</f>
        <v>#N/A</v>
      </c>
      <c r="AB1097" s="47" t="e">
        <f t="shared" si="524"/>
        <v>#N/A</v>
      </c>
      <c r="AC1097" s="53" t="e">
        <f t="shared" si="525"/>
        <v>#VALUE!</v>
      </c>
      <c r="AD1097" s="54" t="str">
        <f t="shared" si="526"/>
        <v/>
      </c>
      <c r="AE1097" s="54"/>
      <c r="AF1097" s="54"/>
      <c r="AG1097" s="55" t="str">
        <f t="shared" si="527"/>
        <v/>
      </c>
      <c r="AH1097" s="56" t="str">
        <f t="shared" si="528"/>
        <v/>
      </c>
      <c r="AI1097" s="55"/>
      <c r="AJ1097" s="56" t="str">
        <f t="shared" si="529"/>
        <v/>
      </c>
      <c r="AK1097" s="55"/>
      <c r="AL1097" s="56" t="str">
        <f t="shared" si="530"/>
        <v/>
      </c>
      <c r="AM1097" s="55"/>
      <c r="AN1097" s="56" t="str">
        <f t="shared" si="531"/>
        <v/>
      </c>
      <c r="AO1097" s="55"/>
      <c r="AP1097" s="56" t="str">
        <f t="shared" si="532"/>
        <v/>
      </c>
      <c r="AQ1097" s="55"/>
      <c r="AR1097" s="56" t="str">
        <f t="shared" si="533"/>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2021</v>
      </c>
      <c r="B1098" s="72" t="str">
        <f t="shared" si="517"/>
        <v>Nov</v>
      </c>
      <c r="C1098" s="73">
        <f t="shared" si="534"/>
        <v>15</v>
      </c>
      <c r="D1098" s="74">
        <f t="shared" si="518"/>
        <v>7</v>
      </c>
      <c r="E1098" s="75">
        <f t="shared" si="535"/>
        <v>46</v>
      </c>
      <c r="F1098" s="79"/>
      <c r="G1098" s="82"/>
      <c r="H1098" s="68" t="str">
        <f t="shared" si="536"/>
        <v>Hyprev7_20211115_07_00</v>
      </c>
      <c r="I1098" s="69">
        <f t="shared" si="537"/>
        <v>1</v>
      </c>
      <c r="J1098" s="76" t="str">
        <f t="shared" si="537"/>
        <v>Hypericum</v>
      </c>
      <c r="K1098" s="76" t="str">
        <f t="shared" si="537"/>
        <v>revolutum</v>
      </c>
      <c r="L1098" s="77">
        <f t="shared" si="537"/>
        <v>7</v>
      </c>
      <c r="M1098" s="77">
        <f t="shared" si="537"/>
        <v>2</v>
      </c>
      <c r="N1098" s="71">
        <f t="shared" si="537"/>
        <v>0</v>
      </c>
      <c r="O1098" s="44"/>
      <c r="P1098" s="45" t="str">
        <f t="shared" si="519"/>
        <v/>
      </c>
      <c r="Q1098" s="46" t="str">
        <f t="shared" si="520"/>
        <v/>
      </c>
      <c r="R1098" s="47" t="e">
        <f t="shared" si="521"/>
        <v>#VALUE!</v>
      </c>
      <c r="S1098" s="48" t="e">
        <f t="shared" si="511"/>
        <v>#VALUE!</v>
      </c>
      <c r="T1098" s="47" t="str">
        <f t="shared" si="522"/>
        <v/>
      </c>
      <c r="U1098" s="49"/>
      <c r="V1098" s="50"/>
      <c r="W1098" s="51" t="e">
        <f t="shared" si="523"/>
        <v>#VALUE!</v>
      </c>
      <c r="X1098" s="52"/>
      <c r="Y1098" s="52"/>
      <c r="Z1098" s="52"/>
      <c r="AA1098" s="47" t="e">
        <f>INDEX(VISITORS[INSECT ORDER], MATCH(X1098,VISITORS[NAME USED],0))</f>
        <v>#N/A</v>
      </c>
      <c r="AB1098" s="47" t="e">
        <f t="shared" si="524"/>
        <v>#N/A</v>
      </c>
      <c r="AC1098" s="53" t="e">
        <f t="shared" si="525"/>
        <v>#VALUE!</v>
      </c>
      <c r="AD1098" s="54" t="str">
        <f t="shared" si="526"/>
        <v/>
      </c>
      <c r="AE1098" s="54"/>
      <c r="AF1098" s="54"/>
      <c r="AG1098" s="55" t="str">
        <f t="shared" si="527"/>
        <v/>
      </c>
      <c r="AH1098" s="56" t="str">
        <f t="shared" si="528"/>
        <v/>
      </c>
      <c r="AI1098" s="55"/>
      <c r="AJ1098" s="56" t="str">
        <f t="shared" si="529"/>
        <v/>
      </c>
      <c r="AK1098" s="55"/>
      <c r="AL1098" s="56" t="str">
        <f t="shared" si="530"/>
        <v/>
      </c>
      <c r="AM1098" s="55"/>
      <c r="AN1098" s="56" t="str">
        <f t="shared" si="531"/>
        <v/>
      </c>
      <c r="AO1098" s="55"/>
      <c r="AP1098" s="56" t="str">
        <f t="shared" si="532"/>
        <v/>
      </c>
      <c r="AQ1098" s="55"/>
      <c r="AR1098" s="56" t="str">
        <f t="shared" si="533"/>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2021</v>
      </c>
      <c r="B1099" s="72" t="str">
        <f t="shared" si="517"/>
        <v>Nov</v>
      </c>
      <c r="C1099" s="73">
        <f t="shared" si="534"/>
        <v>15</v>
      </c>
      <c r="D1099" s="74">
        <f t="shared" si="518"/>
        <v>7</v>
      </c>
      <c r="E1099" s="75">
        <f t="shared" si="535"/>
        <v>47</v>
      </c>
      <c r="F1099" s="79"/>
      <c r="G1099" s="82"/>
      <c r="H1099" s="68" t="str">
        <f t="shared" si="536"/>
        <v>Hyprev7_20211115_07_00</v>
      </c>
      <c r="I1099" s="69">
        <f t="shared" si="537"/>
        <v>1</v>
      </c>
      <c r="J1099" s="76" t="str">
        <f t="shared" si="537"/>
        <v>Hypericum</v>
      </c>
      <c r="K1099" s="76" t="str">
        <f t="shared" si="537"/>
        <v>revolutum</v>
      </c>
      <c r="L1099" s="77">
        <f t="shared" si="537"/>
        <v>7</v>
      </c>
      <c r="M1099" s="77">
        <f t="shared" si="537"/>
        <v>2</v>
      </c>
      <c r="N1099" s="71">
        <f t="shared" si="537"/>
        <v>0</v>
      </c>
      <c r="O1099" s="44"/>
      <c r="P1099" s="45" t="str">
        <f t="shared" si="519"/>
        <v/>
      </c>
      <c r="Q1099" s="46" t="str">
        <f t="shared" si="520"/>
        <v/>
      </c>
      <c r="R1099" s="47" t="e">
        <f t="shared" si="521"/>
        <v>#VALUE!</v>
      </c>
      <c r="S1099" s="48" t="e">
        <f t="shared" si="511"/>
        <v>#VALUE!</v>
      </c>
      <c r="T1099" s="47" t="str">
        <f t="shared" si="522"/>
        <v/>
      </c>
      <c r="U1099" s="49"/>
      <c r="V1099" s="50"/>
      <c r="W1099" s="51" t="e">
        <f t="shared" si="523"/>
        <v>#VALUE!</v>
      </c>
      <c r="X1099" s="52"/>
      <c r="Y1099" s="52"/>
      <c r="Z1099" s="52"/>
      <c r="AA1099" s="47" t="e">
        <f>INDEX(VISITORS[INSECT ORDER], MATCH(X1099,VISITORS[NAME USED],0))</f>
        <v>#N/A</v>
      </c>
      <c r="AB1099" s="47" t="e">
        <f t="shared" si="524"/>
        <v>#N/A</v>
      </c>
      <c r="AC1099" s="53" t="e">
        <f t="shared" si="525"/>
        <v>#VALUE!</v>
      </c>
      <c r="AD1099" s="54" t="str">
        <f t="shared" si="526"/>
        <v/>
      </c>
      <c r="AE1099" s="54"/>
      <c r="AF1099" s="54"/>
      <c r="AG1099" s="55" t="str">
        <f t="shared" si="527"/>
        <v/>
      </c>
      <c r="AH1099" s="56" t="str">
        <f t="shared" si="528"/>
        <v/>
      </c>
      <c r="AI1099" s="55"/>
      <c r="AJ1099" s="56" t="str">
        <f t="shared" si="529"/>
        <v/>
      </c>
      <c r="AK1099" s="55"/>
      <c r="AL1099" s="56" t="str">
        <f t="shared" si="530"/>
        <v/>
      </c>
      <c r="AM1099" s="55"/>
      <c r="AN1099" s="56" t="str">
        <f t="shared" si="531"/>
        <v/>
      </c>
      <c r="AO1099" s="55"/>
      <c r="AP1099" s="56" t="str">
        <f t="shared" si="532"/>
        <v/>
      </c>
      <c r="AQ1099" s="55"/>
      <c r="AR1099" s="56" t="str">
        <f t="shared" si="533"/>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2021</v>
      </c>
      <c r="B1100" s="72" t="str">
        <f t="shared" si="517"/>
        <v>Nov</v>
      </c>
      <c r="C1100" s="73">
        <f t="shared" si="534"/>
        <v>15</v>
      </c>
      <c r="D1100" s="74">
        <f t="shared" si="518"/>
        <v>7</v>
      </c>
      <c r="E1100" s="75">
        <f t="shared" si="535"/>
        <v>48</v>
      </c>
      <c r="F1100" s="79">
        <v>21</v>
      </c>
      <c r="G1100" s="82"/>
      <c r="H1100" s="68" t="str">
        <f t="shared" si="536"/>
        <v>Hyprev7_20211115_07_00</v>
      </c>
      <c r="I1100" s="69">
        <f t="shared" si="537"/>
        <v>1</v>
      </c>
      <c r="J1100" s="76" t="str">
        <f t="shared" si="537"/>
        <v>Hypericum</v>
      </c>
      <c r="K1100" s="76" t="str">
        <f t="shared" si="537"/>
        <v>revolutum</v>
      </c>
      <c r="L1100" s="77">
        <f t="shared" si="537"/>
        <v>7</v>
      </c>
      <c r="M1100" s="77">
        <f t="shared" si="537"/>
        <v>2</v>
      </c>
      <c r="N1100" s="71">
        <f t="shared" si="537"/>
        <v>0</v>
      </c>
      <c r="O1100" s="44"/>
      <c r="P1100" s="45">
        <f t="shared" si="519"/>
        <v>1</v>
      </c>
      <c r="Q1100" s="46" t="str">
        <f t="shared" si="520"/>
        <v>07:48:21</v>
      </c>
      <c r="R1100" s="47" t="str">
        <f t="shared" si="521"/>
        <v>48:21</v>
      </c>
      <c r="S1100" s="48">
        <f t="shared" si="511"/>
        <v>2</v>
      </c>
      <c r="T1100" s="47" t="str">
        <f t="shared" si="522"/>
        <v>07</v>
      </c>
      <c r="U1100" s="49">
        <v>48</v>
      </c>
      <c r="V1100" s="50">
        <v>23</v>
      </c>
      <c r="W1100" s="51" t="str">
        <f t="shared" si="523"/>
        <v>48:23</v>
      </c>
      <c r="X1100" s="52" t="s">
        <v>166</v>
      </c>
      <c r="Y1100" s="124" t="s">
        <v>265</v>
      </c>
      <c r="Z1100" s="124" t="s">
        <v>266</v>
      </c>
      <c r="AA1100" s="47" t="e">
        <f>INDEX(VISITORS[INSECT ORDER], MATCH(X1100,VISITORS[NAME USED],0))</f>
        <v>#N/A</v>
      </c>
      <c r="AB1100" s="47" t="e">
        <f t="shared" si="524"/>
        <v>#N/A</v>
      </c>
      <c r="AC1100" s="53" t="str">
        <f t="shared" si="525"/>
        <v/>
      </c>
      <c r="AD1100" s="54">
        <f t="shared" si="526"/>
        <v>1</v>
      </c>
      <c r="AE1100" s="54"/>
      <c r="AF1100" s="54"/>
      <c r="AG1100" s="55" t="str">
        <f t="shared" si="527"/>
        <v/>
      </c>
      <c r="AH1100" s="56" t="str">
        <f t="shared" si="528"/>
        <v/>
      </c>
      <c r="AI1100" s="55"/>
      <c r="AJ1100" s="56" t="str">
        <f t="shared" si="529"/>
        <v/>
      </c>
      <c r="AK1100" s="55"/>
      <c r="AL1100" s="56" t="str">
        <f t="shared" si="530"/>
        <v/>
      </c>
      <c r="AM1100" s="55"/>
      <c r="AN1100" s="56" t="str">
        <f t="shared" si="531"/>
        <v/>
      </c>
      <c r="AO1100" s="55"/>
      <c r="AP1100" s="56" t="str">
        <f t="shared" si="532"/>
        <v/>
      </c>
      <c r="AQ1100" s="55"/>
      <c r="AR1100" s="56" t="str">
        <f t="shared" si="533"/>
        <v/>
      </c>
      <c r="AS1100" s="57" t="s">
        <v>174</v>
      </c>
      <c r="AT1100" s="58"/>
      <c r="AU1100" s="58"/>
      <c r="AV1100" s="59"/>
      <c r="AW1100" s="60">
        <f t="shared" si="512"/>
        <v>0</v>
      </c>
      <c r="AX1100" s="61" t="str">
        <f t="shared" si="513"/>
        <v/>
      </c>
      <c r="AY1100" s="60">
        <f t="shared" si="514"/>
        <v>0</v>
      </c>
      <c r="AZ1100" s="61" t="str">
        <f t="shared" si="515"/>
        <v/>
      </c>
    </row>
    <row r="1101" spans="1:52" s="3" customFormat="1" hidden="1" x14ac:dyDescent="0.35">
      <c r="A1101" s="72">
        <f t="shared" si="516"/>
        <v>2021</v>
      </c>
      <c r="B1101" s="72" t="str">
        <f t="shared" si="517"/>
        <v>Nov</v>
      </c>
      <c r="C1101" s="73">
        <f t="shared" si="534"/>
        <v>15</v>
      </c>
      <c r="D1101" s="74">
        <f t="shared" si="518"/>
        <v>7</v>
      </c>
      <c r="E1101" s="75">
        <f t="shared" si="535"/>
        <v>49</v>
      </c>
      <c r="F1101" s="79"/>
      <c r="G1101" s="82"/>
      <c r="H1101" s="68" t="str">
        <f t="shared" si="536"/>
        <v>Hyprev7_20211115_07_00</v>
      </c>
      <c r="I1101" s="69">
        <f t="shared" si="537"/>
        <v>1</v>
      </c>
      <c r="J1101" s="76" t="str">
        <f t="shared" si="537"/>
        <v>Hypericum</v>
      </c>
      <c r="K1101" s="76" t="str">
        <f t="shared" si="537"/>
        <v>revolutum</v>
      </c>
      <c r="L1101" s="77">
        <f t="shared" si="537"/>
        <v>7</v>
      </c>
      <c r="M1101" s="77">
        <f t="shared" si="537"/>
        <v>2</v>
      </c>
      <c r="N1101" s="71">
        <f t="shared" si="537"/>
        <v>0</v>
      </c>
      <c r="O1101" s="44"/>
      <c r="P1101" s="45" t="str">
        <f t="shared" si="519"/>
        <v/>
      </c>
      <c r="Q1101" s="46" t="str">
        <f t="shared" si="520"/>
        <v/>
      </c>
      <c r="R1101" s="47" t="e">
        <f t="shared" si="521"/>
        <v>#VALUE!</v>
      </c>
      <c r="S1101" s="48" t="e">
        <f t="shared" si="511"/>
        <v>#VALUE!</v>
      </c>
      <c r="T1101" s="47" t="str">
        <f t="shared" si="522"/>
        <v/>
      </c>
      <c r="U1101" s="49"/>
      <c r="V1101" s="50"/>
      <c r="W1101" s="51" t="e">
        <f t="shared" si="523"/>
        <v>#VALUE!</v>
      </c>
      <c r="X1101" s="52"/>
      <c r="Y1101" s="52"/>
      <c r="Z1101" s="52"/>
      <c r="AA1101" s="47" t="e">
        <f>INDEX(VISITORS[INSECT ORDER], MATCH(X1101,VISITORS[NAME USED],0))</f>
        <v>#N/A</v>
      </c>
      <c r="AB1101" s="47" t="e">
        <f t="shared" si="524"/>
        <v>#N/A</v>
      </c>
      <c r="AC1101" s="53" t="e">
        <f t="shared" si="525"/>
        <v>#VALUE!</v>
      </c>
      <c r="AD1101" s="54" t="str">
        <f t="shared" si="526"/>
        <v/>
      </c>
      <c r="AE1101" s="54"/>
      <c r="AF1101" s="54"/>
      <c r="AG1101" s="55" t="str">
        <f t="shared" si="527"/>
        <v/>
      </c>
      <c r="AH1101" s="56" t="str">
        <f t="shared" si="528"/>
        <v/>
      </c>
      <c r="AI1101" s="55"/>
      <c r="AJ1101" s="56" t="str">
        <f t="shared" si="529"/>
        <v/>
      </c>
      <c r="AK1101" s="55"/>
      <c r="AL1101" s="56" t="str">
        <f t="shared" si="530"/>
        <v/>
      </c>
      <c r="AM1101" s="55"/>
      <c r="AN1101" s="56" t="str">
        <f t="shared" si="531"/>
        <v/>
      </c>
      <c r="AO1101" s="55"/>
      <c r="AP1101" s="56" t="str">
        <f t="shared" si="532"/>
        <v/>
      </c>
      <c r="AQ1101" s="55"/>
      <c r="AR1101" s="56" t="str">
        <f t="shared" si="533"/>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2021</v>
      </c>
      <c r="B1102" s="72" t="str">
        <f t="shared" si="517"/>
        <v>Nov</v>
      </c>
      <c r="C1102" s="73">
        <f t="shared" si="534"/>
        <v>15</v>
      </c>
      <c r="D1102" s="74">
        <f t="shared" si="518"/>
        <v>7</v>
      </c>
      <c r="E1102" s="75">
        <f t="shared" si="535"/>
        <v>50</v>
      </c>
      <c r="F1102" s="79"/>
      <c r="G1102" s="82"/>
      <c r="H1102" s="68" t="str">
        <f t="shared" si="536"/>
        <v>Hyprev7_20211115_07_00</v>
      </c>
      <c r="I1102" s="69">
        <f t="shared" si="537"/>
        <v>1</v>
      </c>
      <c r="J1102" s="76" t="str">
        <f t="shared" si="537"/>
        <v>Hypericum</v>
      </c>
      <c r="K1102" s="76" t="str">
        <f t="shared" si="537"/>
        <v>revolutum</v>
      </c>
      <c r="L1102" s="77">
        <f t="shared" si="537"/>
        <v>7</v>
      </c>
      <c r="M1102" s="77">
        <f t="shared" si="537"/>
        <v>2</v>
      </c>
      <c r="N1102" s="71">
        <f t="shared" si="537"/>
        <v>0</v>
      </c>
      <c r="O1102" s="44"/>
      <c r="P1102" s="45" t="str">
        <f t="shared" si="519"/>
        <v/>
      </c>
      <c r="Q1102" s="46" t="str">
        <f t="shared" si="520"/>
        <v/>
      </c>
      <c r="R1102" s="47" t="e">
        <f t="shared" si="521"/>
        <v>#VALUE!</v>
      </c>
      <c r="S1102" s="48" t="e">
        <f t="shared" si="511"/>
        <v>#VALUE!</v>
      </c>
      <c r="T1102" s="47" t="str">
        <f t="shared" si="522"/>
        <v/>
      </c>
      <c r="U1102" s="49"/>
      <c r="V1102" s="50"/>
      <c r="W1102" s="51" t="e">
        <f t="shared" si="523"/>
        <v>#VALUE!</v>
      </c>
      <c r="X1102" s="52"/>
      <c r="Y1102" s="52"/>
      <c r="Z1102" s="52"/>
      <c r="AA1102" s="47" t="e">
        <f>INDEX(VISITORS[INSECT ORDER], MATCH(X1102,VISITORS[NAME USED],0))</f>
        <v>#N/A</v>
      </c>
      <c r="AB1102" s="47" t="e">
        <f t="shared" si="524"/>
        <v>#N/A</v>
      </c>
      <c r="AC1102" s="53" t="e">
        <f t="shared" si="525"/>
        <v>#VALUE!</v>
      </c>
      <c r="AD1102" s="54" t="str">
        <f t="shared" si="526"/>
        <v/>
      </c>
      <c r="AE1102" s="54"/>
      <c r="AF1102" s="54"/>
      <c r="AG1102" s="55" t="str">
        <f t="shared" si="527"/>
        <v/>
      </c>
      <c r="AH1102" s="56" t="str">
        <f t="shared" si="528"/>
        <v/>
      </c>
      <c r="AI1102" s="55"/>
      <c r="AJ1102" s="56" t="str">
        <f t="shared" si="529"/>
        <v/>
      </c>
      <c r="AK1102" s="55"/>
      <c r="AL1102" s="56" t="str">
        <f t="shared" si="530"/>
        <v/>
      </c>
      <c r="AM1102" s="55"/>
      <c r="AN1102" s="56" t="str">
        <f t="shared" si="531"/>
        <v/>
      </c>
      <c r="AO1102" s="55"/>
      <c r="AP1102" s="56" t="str">
        <f t="shared" si="532"/>
        <v/>
      </c>
      <c r="AQ1102" s="55"/>
      <c r="AR1102" s="56" t="str">
        <f t="shared" si="533"/>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2021</v>
      </c>
      <c r="B1103" s="72" t="str">
        <f t="shared" si="517"/>
        <v>Nov</v>
      </c>
      <c r="C1103" s="73">
        <f t="shared" si="534"/>
        <v>15</v>
      </c>
      <c r="D1103" s="74">
        <f t="shared" si="518"/>
        <v>7</v>
      </c>
      <c r="E1103" s="75">
        <f t="shared" si="535"/>
        <v>51</v>
      </c>
      <c r="F1103" s="79"/>
      <c r="G1103" s="82"/>
      <c r="H1103" s="68" t="str">
        <f t="shared" si="536"/>
        <v>Hyprev7_20211115_07_00</v>
      </c>
      <c r="I1103" s="69">
        <f t="shared" si="537"/>
        <v>1</v>
      </c>
      <c r="J1103" s="76" t="str">
        <f t="shared" si="537"/>
        <v>Hypericum</v>
      </c>
      <c r="K1103" s="76" t="str">
        <f t="shared" si="537"/>
        <v>revolutum</v>
      </c>
      <c r="L1103" s="77">
        <f t="shared" si="537"/>
        <v>7</v>
      </c>
      <c r="M1103" s="77">
        <f t="shared" si="537"/>
        <v>2</v>
      </c>
      <c r="N1103" s="71">
        <f t="shared" si="537"/>
        <v>0</v>
      </c>
      <c r="O1103" s="44"/>
      <c r="P1103" s="45" t="str">
        <f t="shared" si="519"/>
        <v/>
      </c>
      <c r="Q1103" s="46" t="str">
        <f t="shared" si="520"/>
        <v/>
      </c>
      <c r="R1103" s="47" t="e">
        <f t="shared" si="521"/>
        <v>#VALUE!</v>
      </c>
      <c r="S1103" s="48" t="e">
        <f t="shared" si="511"/>
        <v>#VALUE!</v>
      </c>
      <c r="T1103" s="47" t="str">
        <f t="shared" si="522"/>
        <v/>
      </c>
      <c r="U1103" s="49"/>
      <c r="V1103" s="50"/>
      <c r="W1103" s="51" t="e">
        <f t="shared" si="523"/>
        <v>#VALUE!</v>
      </c>
      <c r="X1103" s="52"/>
      <c r="Y1103" s="52"/>
      <c r="Z1103" s="52"/>
      <c r="AA1103" s="47" t="e">
        <f>INDEX(VISITORS[INSECT ORDER], MATCH(X1103,VISITORS[NAME USED],0))</f>
        <v>#N/A</v>
      </c>
      <c r="AB1103" s="47" t="e">
        <f t="shared" si="524"/>
        <v>#N/A</v>
      </c>
      <c r="AC1103" s="53" t="e">
        <f t="shared" si="525"/>
        <v>#VALUE!</v>
      </c>
      <c r="AD1103" s="54" t="str">
        <f t="shared" si="526"/>
        <v/>
      </c>
      <c r="AE1103" s="54"/>
      <c r="AF1103" s="54"/>
      <c r="AG1103" s="55" t="str">
        <f t="shared" si="527"/>
        <v/>
      </c>
      <c r="AH1103" s="56" t="str">
        <f t="shared" si="528"/>
        <v/>
      </c>
      <c r="AI1103" s="55"/>
      <c r="AJ1103" s="56" t="str">
        <f t="shared" si="529"/>
        <v/>
      </c>
      <c r="AK1103" s="55"/>
      <c r="AL1103" s="56" t="str">
        <f t="shared" si="530"/>
        <v/>
      </c>
      <c r="AM1103" s="55"/>
      <c r="AN1103" s="56" t="str">
        <f t="shared" si="531"/>
        <v/>
      </c>
      <c r="AO1103" s="55"/>
      <c r="AP1103" s="56" t="str">
        <f t="shared" si="532"/>
        <v/>
      </c>
      <c r="AQ1103" s="55"/>
      <c r="AR1103" s="56" t="str">
        <f t="shared" si="533"/>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2021</v>
      </c>
      <c r="B1104" s="72" t="str">
        <f t="shared" si="517"/>
        <v>Nov</v>
      </c>
      <c r="C1104" s="73">
        <f t="shared" si="534"/>
        <v>15</v>
      </c>
      <c r="D1104" s="74">
        <f t="shared" si="518"/>
        <v>7</v>
      </c>
      <c r="E1104" s="75">
        <f t="shared" si="535"/>
        <v>52</v>
      </c>
      <c r="F1104" s="79"/>
      <c r="G1104" s="82"/>
      <c r="H1104" s="68" t="str">
        <f t="shared" si="536"/>
        <v>Hyprev7_20211115_07_00</v>
      </c>
      <c r="I1104" s="69">
        <f t="shared" si="537"/>
        <v>1</v>
      </c>
      <c r="J1104" s="76" t="str">
        <f t="shared" si="537"/>
        <v>Hypericum</v>
      </c>
      <c r="K1104" s="76" t="str">
        <f t="shared" si="537"/>
        <v>revolutum</v>
      </c>
      <c r="L1104" s="77">
        <f t="shared" si="537"/>
        <v>7</v>
      </c>
      <c r="M1104" s="77">
        <f t="shared" si="537"/>
        <v>2</v>
      </c>
      <c r="N1104" s="71">
        <f t="shared" si="537"/>
        <v>0</v>
      </c>
      <c r="O1104" s="44"/>
      <c r="P1104" s="45" t="str">
        <f t="shared" si="519"/>
        <v/>
      </c>
      <c r="Q1104" s="46" t="str">
        <f t="shared" si="520"/>
        <v/>
      </c>
      <c r="R1104" s="47" t="e">
        <f t="shared" si="521"/>
        <v>#VALUE!</v>
      </c>
      <c r="S1104" s="48" t="e">
        <f t="shared" si="511"/>
        <v>#VALUE!</v>
      </c>
      <c r="T1104" s="47" t="str">
        <f t="shared" si="522"/>
        <v/>
      </c>
      <c r="U1104" s="49"/>
      <c r="V1104" s="50"/>
      <c r="W1104" s="51" t="e">
        <f t="shared" si="523"/>
        <v>#VALUE!</v>
      </c>
      <c r="X1104" s="52"/>
      <c r="Y1104" s="52"/>
      <c r="Z1104" s="52"/>
      <c r="AA1104" s="47" t="e">
        <f>INDEX(VISITORS[INSECT ORDER], MATCH(X1104,VISITORS[NAME USED],0))</f>
        <v>#N/A</v>
      </c>
      <c r="AB1104" s="47" t="e">
        <f t="shared" si="524"/>
        <v>#N/A</v>
      </c>
      <c r="AC1104" s="53" t="e">
        <f t="shared" si="525"/>
        <v>#VALUE!</v>
      </c>
      <c r="AD1104" s="54" t="str">
        <f t="shared" si="526"/>
        <v/>
      </c>
      <c r="AE1104" s="54"/>
      <c r="AF1104" s="54"/>
      <c r="AG1104" s="55" t="str">
        <f t="shared" si="527"/>
        <v/>
      </c>
      <c r="AH1104" s="56" t="str">
        <f t="shared" si="528"/>
        <v/>
      </c>
      <c r="AI1104" s="55"/>
      <c r="AJ1104" s="56" t="str">
        <f t="shared" si="529"/>
        <v/>
      </c>
      <c r="AK1104" s="55"/>
      <c r="AL1104" s="56" t="str">
        <f t="shared" si="530"/>
        <v/>
      </c>
      <c r="AM1104" s="55"/>
      <c r="AN1104" s="56" t="str">
        <f t="shared" si="531"/>
        <v/>
      </c>
      <c r="AO1104" s="55"/>
      <c r="AP1104" s="56" t="str">
        <f t="shared" si="532"/>
        <v/>
      </c>
      <c r="AQ1104" s="55"/>
      <c r="AR1104" s="56" t="str">
        <f t="shared" si="533"/>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2021</v>
      </c>
      <c r="B1105" s="72" t="str">
        <f t="shared" si="517"/>
        <v>Nov</v>
      </c>
      <c r="C1105" s="73">
        <f t="shared" si="534"/>
        <v>15</v>
      </c>
      <c r="D1105" s="74">
        <f t="shared" si="518"/>
        <v>7</v>
      </c>
      <c r="E1105" s="75">
        <f t="shared" si="535"/>
        <v>53</v>
      </c>
      <c r="F1105" s="79">
        <v>56</v>
      </c>
      <c r="G1105" s="82"/>
      <c r="H1105" s="68" t="str">
        <f t="shared" si="536"/>
        <v>Hyprev7_20211115_07_00</v>
      </c>
      <c r="I1105" s="69">
        <f t="shared" si="537"/>
        <v>1</v>
      </c>
      <c r="J1105" s="76" t="str">
        <f t="shared" si="537"/>
        <v>Hypericum</v>
      </c>
      <c r="K1105" s="76" t="str">
        <f t="shared" si="537"/>
        <v>revolutum</v>
      </c>
      <c r="L1105" s="77">
        <f t="shared" si="537"/>
        <v>7</v>
      </c>
      <c r="M1105" s="77">
        <f t="shared" si="537"/>
        <v>2</v>
      </c>
      <c r="N1105" s="71">
        <f t="shared" si="537"/>
        <v>0</v>
      </c>
      <c r="O1105" s="44"/>
      <c r="P1105" s="45">
        <f t="shared" si="519"/>
        <v>1</v>
      </c>
      <c r="Q1105" s="46" t="str">
        <f t="shared" si="520"/>
        <v>07:53:56</v>
      </c>
      <c r="R1105" s="47" t="str">
        <f t="shared" si="521"/>
        <v>53:56</v>
      </c>
      <c r="S1105" s="48">
        <f t="shared" si="511"/>
        <v>31</v>
      </c>
      <c r="T1105" s="47" t="str">
        <f t="shared" si="522"/>
        <v>07</v>
      </c>
      <c r="U1105" s="49">
        <v>54</v>
      </c>
      <c r="V1105" s="50">
        <v>27</v>
      </c>
      <c r="W1105" s="51" t="str">
        <f t="shared" si="523"/>
        <v>54:27</v>
      </c>
      <c r="X1105" s="52" t="s">
        <v>61</v>
      </c>
      <c r="Y1105" s="124" t="s">
        <v>237</v>
      </c>
      <c r="Z1105" s="124" t="s">
        <v>252</v>
      </c>
      <c r="AA1105" s="47" t="s">
        <v>254</v>
      </c>
      <c r="AB1105" s="47" t="str">
        <f t="shared" si="524"/>
        <v>NA</v>
      </c>
      <c r="AC1105" s="53" t="str">
        <f t="shared" si="525"/>
        <v/>
      </c>
      <c r="AD1105" s="54">
        <f t="shared" si="526"/>
        <v>1</v>
      </c>
      <c r="AE1105" s="54"/>
      <c r="AF1105" s="54"/>
      <c r="AG1105" s="55" t="str">
        <f t="shared" si="527"/>
        <v/>
      </c>
      <c r="AH1105" s="56" t="str">
        <f t="shared" si="528"/>
        <v/>
      </c>
      <c r="AI1105" s="55"/>
      <c r="AJ1105" s="56" t="str">
        <f t="shared" si="529"/>
        <v/>
      </c>
      <c r="AK1105" s="55"/>
      <c r="AL1105" s="56" t="str">
        <f t="shared" si="530"/>
        <v/>
      </c>
      <c r="AM1105" s="55"/>
      <c r="AN1105" s="56" t="str">
        <f t="shared" si="531"/>
        <v/>
      </c>
      <c r="AO1105" s="55"/>
      <c r="AP1105" s="56" t="str">
        <f t="shared" si="532"/>
        <v/>
      </c>
      <c r="AQ1105" s="55"/>
      <c r="AR1105" s="56" t="str">
        <f t="shared" si="533"/>
        <v/>
      </c>
      <c r="AS1105" s="57" t="s">
        <v>175</v>
      </c>
      <c r="AT1105" s="58"/>
      <c r="AU1105" s="58"/>
      <c r="AV1105" s="59"/>
      <c r="AW1105" s="60">
        <f t="shared" si="512"/>
        <v>0</v>
      </c>
      <c r="AX1105" s="61" t="str">
        <f t="shared" si="513"/>
        <v/>
      </c>
      <c r="AY1105" s="60">
        <f t="shared" si="514"/>
        <v>0</v>
      </c>
      <c r="AZ1105" s="61" t="str">
        <f t="shared" si="515"/>
        <v/>
      </c>
    </row>
    <row r="1106" spans="1:52" s="3" customFormat="1" hidden="1" x14ac:dyDescent="0.35">
      <c r="A1106" s="72">
        <f t="shared" si="516"/>
        <v>2021</v>
      </c>
      <c r="B1106" s="72" t="str">
        <f t="shared" si="517"/>
        <v>Nov</v>
      </c>
      <c r="C1106" s="73">
        <f t="shared" si="534"/>
        <v>15</v>
      </c>
      <c r="D1106" s="74">
        <f t="shared" si="518"/>
        <v>7</v>
      </c>
      <c r="E1106" s="75">
        <f t="shared" si="535"/>
        <v>54</v>
      </c>
      <c r="F1106" s="79">
        <v>3</v>
      </c>
      <c r="G1106" s="82"/>
      <c r="H1106" s="68" t="str">
        <f t="shared" si="536"/>
        <v>Hyprev7_20211115_07_00</v>
      </c>
      <c r="I1106" s="69">
        <f t="shared" si="537"/>
        <v>1</v>
      </c>
      <c r="J1106" s="76" t="str">
        <f t="shared" si="537"/>
        <v>Hypericum</v>
      </c>
      <c r="K1106" s="76" t="str">
        <f t="shared" si="537"/>
        <v>revolutum</v>
      </c>
      <c r="L1106" s="77">
        <f t="shared" si="537"/>
        <v>7</v>
      </c>
      <c r="M1106" s="77">
        <f t="shared" si="537"/>
        <v>2</v>
      </c>
      <c r="N1106" s="71">
        <f t="shared" si="537"/>
        <v>0</v>
      </c>
      <c r="O1106" s="44"/>
      <c r="P1106" s="45">
        <f t="shared" si="519"/>
        <v>1</v>
      </c>
      <c r="Q1106" s="46" t="str">
        <f t="shared" si="520"/>
        <v>07:54:03</v>
      </c>
      <c r="R1106" s="47" t="str">
        <f t="shared" si="521"/>
        <v>54:03</v>
      </c>
      <c r="S1106" s="48">
        <f t="shared" si="511"/>
        <v>5</v>
      </c>
      <c r="T1106" s="47" t="str">
        <f t="shared" si="522"/>
        <v>07</v>
      </c>
      <c r="U1106" s="49">
        <v>54</v>
      </c>
      <c r="V1106" s="50">
        <v>8</v>
      </c>
      <c r="W1106" s="51" t="str">
        <f t="shared" si="523"/>
        <v>54:08</v>
      </c>
      <c r="X1106" s="52" t="s">
        <v>61</v>
      </c>
      <c r="Y1106" s="124" t="s">
        <v>239</v>
      </c>
      <c r="Z1106" s="124"/>
      <c r="AA1106" s="47" t="s">
        <v>254</v>
      </c>
      <c r="AB1106" s="47" t="str">
        <f t="shared" si="524"/>
        <v>NA</v>
      </c>
      <c r="AC1106" s="53" t="str">
        <f t="shared" si="525"/>
        <v/>
      </c>
      <c r="AD1106" s="54">
        <f t="shared" si="526"/>
        <v>1</v>
      </c>
      <c r="AE1106" s="54"/>
      <c r="AF1106" s="54"/>
      <c r="AG1106" s="55" t="str">
        <f t="shared" si="527"/>
        <v/>
      </c>
      <c r="AH1106" s="56" t="str">
        <f t="shared" si="528"/>
        <v/>
      </c>
      <c r="AI1106" s="55"/>
      <c r="AJ1106" s="56" t="str">
        <f t="shared" si="529"/>
        <v/>
      </c>
      <c r="AK1106" s="55"/>
      <c r="AL1106" s="56" t="str">
        <f t="shared" si="530"/>
        <v/>
      </c>
      <c r="AM1106" s="55"/>
      <c r="AN1106" s="56" t="str">
        <f t="shared" si="531"/>
        <v/>
      </c>
      <c r="AO1106" s="55"/>
      <c r="AP1106" s="56" t="str">
        <f t="shared" si="532"/>
        <v/>
      </c>
      <c r="AQ1106" s="55"/>
      <c r="AR1106" s="56" t="str">
        <f t="shared" si="533"/>
        <v/>
      </c>
      <c r="AS1106" s="57" t="s">
        <v>76</v>
      </c>
      <c r="AT1106" s="58"/>
      <c r="AU1106" s="58"/>
      <c r="AV1106" s="59"/>
      <c r="AW1106" s="60">
        <f t="shared" si="512"/>
        <v>0</v>
      </c>
      <c r="AX1106" s="61" t="str">
        <f t="shared" si="513"/>
        <v/>
      </c>
      <c r="AY1106" s="60">
        <f t="shared" si="514"/>
        <v>0</v>
      </c>
      <c r="AZ1106" s="61" t="str">
        <f t="shared" si="515"/>
        <v/>
      </c>
    </row>
    <row r="1107" spans="1:52" s="3" customFormat="1" hidden="1" x14ac:dyDescent="0.35">
      <c r="A1107" s="72">
        <f t="shared" si="516"/>
        <v>2021</v>
      </c>
      <c r="B1107" s="72" t="str">
        <f t="shared" si="517"/>
        <v>Nov</v>
      </c>
      <c r="C1107" s="73">
        <f t="shared" si="534"/>
        <v>15</v>
      </c>
      <c r="D1107" s="74">
        <f t="shared" si="518"/>
        <v>7</v>
      </c>
      <c r="E1107" s="75">
        <v>54</v>
      </c>
      <c r="F1107" s="79">
        <v>53</v>
      </c>
      <c r="G1107" s="82"/>
      <c r="H1107" s="68" t="str">
        <f t="shared" si="536"/>
        <v>Hyprev7_20211115_07_00</v>
      </c>
      <c r="I1107" s="69">
        <f t="shared" si="537"/>
        <v>1</v>
      </c>
      <c r="J1107" s="76" t="str">
        <f t="shared" si="537"/>
        <v>Hypericum</v>
      </c>
      <c r="K1107" s="76" t="str">
        <f t="shared" si="537"/>
        <v>revolutum</v>
      </c>
      <c r="L1107" s="77">
        <f t="shared" si="537"/>
        <v>7</v>
      </c>
      <c r="M1107" s="77">
        <f t="shared" si="537"/>
        <v>2</v>
      </c>
      <c r="N1107" s="71">
        <f t="shared" si="537"/>
        <v>0</v>
      </c>
      <c r="O1107" s="44"/>
      <c r="P1107" s="45">
        <f t="shared" si="519"/>
        <v>1</v>
      </c>
      <c r="Q1107" s="46" t="str">
        <f t="shared" si="520"/>
        <v>07:54:53</v>
      </c>
      <c r="R1107" s="47" t="str">
        <f t="shared" si="521"/>
        <v>54:53</v>
      </c>
      <c r="S1107" s="48">
        <f t="shared" si="511"/>
        <v>22</v>
      </c>
      <c r="T1107" s="47" t="str">
        <f t="shared" si="522"/>
        <v>07</v>
      </c>
      <c r="U1107" s="49">
        <v>55</v>
      </c>
      <c r="V1107" s="50">
        <v>15</v>
      </c>
      <c r="W1107" s="51" t="str">
        <f t="shared" si="523"/>
        <v>55:15</v>
      </c>
      <c r="X1107" s="52" t="s">
        <v>61</v>
      </c>
      <c r="Y1107" s="124" t="s">
        <v>240</v>
      </c>
      <c r="Z1107" s="124"/>
      <c r="AA1107" s="47" t="s">
        <v>254</v>
      </c>
      <c r="AB1107" s="47" t="str">
        <f t="shared" si="524"/>
        <v>NA</v>
      </c>
      <c r="AC1107" s="53" t="str">
        <f t="shared" si="525"/>
        <v/>
      </c>
      <c r="AD1107" s="54">
        <f t="shared" si="526"/>
        <v>1</v>
      </c>
      <c r="AE1107" s="54"/>
      <c r="AF1107" s="54"/>
      <c r="AG1107" s="55" t="str">
        <f t="shared" si="527"/>
        <v/>
      </c>
      <c r="AH1107" s="56" t="str">
        <f t="shared" si="528"/>
        <v/>
      </c>
      <c r="AI1107" s="55"/>
      <c r="AJ1107" s="56" t="str">
        <f t="shared" si="529"/>
        <v/>
      </c>
      <c r="AK1107" s="55"/>
      <c r="AL1107" s="56" t="str">
        <f t="shared" si="530"/>
        <v/>
      </c>
      <c r="AM1107" s="55"/>
      <c r="AN1107" s="56" t="str">
        <f t="shared" si="531"/>
        <v/>
      </c>
      <c r="AO1107" s="55"/>
      <c r="AP1107" s="56" t="str">
        <f t="shared" si="532"/>
        <v/>
      </c>
      <c r="AQ1107" s="55"/>
      <c r="AR1107" s="56" t="str">
        <f t="shared" si="533"/>
        <v/>
      </c>
      <c r="AS1107" s="57" t="s">
        <v>176</v>
      </c>
      <c r="AT1107" s="58"/>
      <c r="AU1107" s="58"/>
      <c r="AV1107" s="59"/>
      <c r="AW1107" s="60">
        <f t="shared" si="512"/>
        <v>0</v>
      </c>
      <c r="AX1107" s="61" t="str">
        <f t="shared" si="513"/>
        <v/>
      </c>
      <c r="AY1107" s="60">
        <f t="shared" si="514"/>
        <v>0</v>
      </c>
      <c r="AZ1107" s="61" t="str">
        <f t="shared" si="515"/>
        <v/>
      </c>
    </row>
    <row r="1108" spans="1:52" s="3" customFormat="1" hidden="1" x14ac:dyDescent="0.35">
      <c r="A1108" s="72">
        <f t="shared" si="516"/>
        <v>2021</v>
      </c>
      <c r="B1108" s="72" t="str">
        <f t="shared" si="517"/>
        <v>Nov</v>
      </c>
      <c r="C1108" s="73">
        <f t="shared" si="534"/>
        <v>15</v>
      </c>
      <c r="D1108" s="74">
        <f t="shared" si="518"/>
        <v>7</v>
      </c>
      <c r="E1108" s="75">
        <f t="shared" si="535"/>
        <v>55</v>
      </c>
      <c r="F1108" s="79"/>
      <c r="G1108" s="82"/>
      <c r="H1108" s="68" t="str">
        <f t="shared" si="536"/>
        <v>Hyprev7_20211115_07_00</v>
      </c>
      <c r="I1108" s="69">
        <f t="shared" si="537"/>
        <v>1</v>
      </c>
      <c r="J1108" s="76" t="str">
        <f t="shared" si="537"/>
        <v>Hypericum</v>
      </c>
      <c r="K1108" s="76" t="str">
        <f t="shared" si="537"/>
        <v>revolutum</v>
      </c>
      <c r="L1108" s="77">
        <f t="shared" si="537"/>
        <v>7</v>
      </c>
      <c r="M1108" s="77">
        <f t="shared" si="537"/>
        <v>2</v>
      </c>
      <c r="N1108" s="71">
        <f t="shared" si="537"/>
        <v>0</v>
      </c>
      <c r="O1108" s="44"/>
      <c r="P1108" s="45" t="str">
        <f t="shared" si="519"/>
        <v/>
      </c>
      <c r="Q1108" s="46" t="str">
        <f t="shared" si="520"/>
        <v/>
      </c>
      <c r="R1108" s="47" t="e">
        <f t="shared" si="521"/>
        <v>#VALUE!</v>
      </c>
      <c r="S1108" s="48" t="e">
        <f t="shared" si="511"/>
        <v>#VALUE!</v>
      </c>
      <c r="T1108" s="47" t="str">
        <f t="shared" si="522"/>
        <v/>
      </c>
      <c r="U1108" s="49"/>
      <c r="V1108" s="50"/>
      <c r="W1108" s="51" t="e">
        <f t="shared" si="523"/>
        <v>#VALUE!</v>
      </c>
      <c r="X1108" s="52"/>
      <c r="Y1108" s="52"/>
      <c r="Z1108" s="52"/>
      <c r="AA1108" s="47" t="e">
        <f>INDEX(VISITORS[INSECT ORDER], MATCH(X1108,VISITORS[NAME USED],0))</f>
        <v>#N/A</v>
      </c>
      <c r="AB1108" s="47" t="e">
        <f t="shared" si="524"/>
        <v>#N/A</v>
      </c>
      <c r="AC1108" s="53" t="e">
        <f t="shared" si="525"/>
        <v>#VALUE!</v>
      </c>
      <c r="AD1108" s="54" t="str">
        <f t="shared" si="526"/>
        <v/>
      </c>
      <c r="AE1108" s="54"/>
      <c r="AF1108" s="54"/>
      <c r="AG1108" s="55" t="str">
        <f t="shared" si="527"/>
        <v/>
      </c>
      <c r="AH1108" s="56" t="str">
        <f t="shared" si="528"/>
        <v/>
      </c>
      <c r="AI1108" s="55"/>
      <c r="AJ1108" s="56" t="str">
        <f t="shared" si="529"/>
        <v/>
      </c>
      <c r="AK1108" s="55"/>
      <c r="AL1108" s="56" t="str">
        <f t="shared" si="530"/>
        <v/>
      </c>
      <c r="AM1108" s="55"/>
      <c r="AN1108" s="56" t="str">
        <f t="shared" si="531"/>
        <v/>
      </c>
      <c r="AO1108" s="55"/>
      <c r="AP1108" s="56" t="str">
        <f t="shared" si="532"/>
        <v/>
      </c>
      <c r="AQ1108" s="55"/>
      <c r="AR1108" s="56" t="str">
        <f t="shared" si="533"/>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2021</v>
      </c>
      <c r="B1109" s="72" t="str">
        <f t="shared" si="517"/>
        <v>Nov</v>
      </c>
      <c r="C1109" s="73">
        <f t="shared" si="534"/>
        <v>15</v>
      </c>
      <c r="D1109" s="74">
        <f t="shared" si="518"/>
        <v>7</v>
      </c>
      <c r="E1109" s="75">
        <f t="shared" si="535"/>
        <v>56</v>
      </c>
      <c r="F1109" s="79"/>
      <c r="G1109" s="82"/>
      <c r="H1109" s="68" t="str">
        <f t="shared" si="536"/>
        <v>Hyprev7_20211115_07_00</v>
      </c>
      <c r="I1109" s="69">
        <f t="shared" ref="I1109:N1124" si="538">I1108</f>
        <v>1</v>
      </c>
      <c r="J1109" s="76" t="str">
        <f t="shared" si="538"/>
        <v>Hypericum</v>
      </c>
      <c r="K1109" s="76" t="str">
        <f t="shared" si="538"/>
        <v>revolutum</v>
      </c>
      <c r="L1109" s="77">
        <f t="shared" si="538"/>
        <v>7</v>
      </c>
      <c r="M1109" s="77">
        <f t="shared" si="538"/>
        <v>2</v>
      </c>
      <c r="N1109" s="71">
        <f t="shared" si="538"/>
        <v>0</v>
      </c>
      <c r="O1109" s="44"/>
      <c r="P1109" s="45" t="str">
        <f t="shared" si="519"/>
        <v/>
      </c>
      <c r="Q1109" s="46" t="str">
        <f t="shared" si="520"/>
        <v/>
      </c>
      <c r="R1109" s="47" t="e">
        <f t="shared" si="521"/>
        <v>#VALUE!</v>
      </c>
      <c r="S1109" s="48" t="e">
        <f t="shared" si="511"/>
        <v>#VALUE!</v>
      </c>
      <c r="T1109" s="47" t="str">
        <f t="shared" si="522"/>
        <v/>
      </c>
      <c r="U1109" s="49"/>
      <c r="V1109" s="50"/>
      <c r="W1109" s="51" t="e">
        <f t="shared" si="523"/>
        <v>#VALUE!</v>
      </c>
      <c r="X1109" s="52"/>
      <c r="Y1109" s="52"/>
      <c r="Z1109" s="52"/>
      <c r="AA1109" s="47" t="e">
        <f>INDEX(VISITORS[INSECT ORDER], MATCH(X1109,VISITORS[NAME USED],0))</f>
        <v>#N/A</v>
      </c>
      <c r="AB1109" s="47" t="e">
        <f t="shared" si="524"/>
        <v>#N/A</v>
      </c>
      <c r="AC1109" s="53" t="e">
        <f t="shared" si="525"/>
        <v>#VALUE!</v>
      </c>
      <c r="AD1109" s="54" t="str">
        <f t="shared" si="526"/>
        <v/>
      </c>
      <c r="AE1109" s="54"/>
      <c r="AF1109" s="54"/>
      <c r="AG1109" s="55" t="str">
        <f t="shared" si="527"/>
        <v/>
      </c>
      <c r="AH1109" s="56" t="str">
        <f t="shared" si="528"/>
        <v/>
      </c>
      <c r="AI1109" s="55"/>
      <c r="AJ1109" s="56" t="str">
        <f t="shared" si="529"/>
        <v/>
      </c>
      <c r="AK1109" s="55"/>
      <c r="AL1109" s="56" t="str">
        <f t="shared" si="530"/>
        <v/>
      </c>
      <c r="AM1109" s="55"/>
      <c r="AN1109" s="56" t="str">
        <f t="shared" si="531"/>
        <v/>
      </c>
      <c r="AO1109" s="55"/>
      <c r="AP1109" s="56" t="str">
        <f t="shared" si="532"/>
        <v/>
      </c>
      <c r="AQ1109" s="55"/>
      <c r="AR1109" s="56" t="str">
        <f t="shared" si="533"/>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2021</v>
      </c>
      <c r="B1110" s="72" t="str">
        <f t="shared" si="517"/>
        <v>Nov</v>
      </c>
      <c r="C1110" s="73">
        <f t="shared" si="534"/>
        <v>15</v>
      </c>
      <c r="D1110" s="74">
        <f t="shared" si="518"/>
        <v>7</v>
      </c>
      <c r="E1110" s="75">
        <f t="shared" si="535"/>
        <v>57</v>
      </c>
      <c r="F1110" s="79"/>
      <c r="G1110" s="82"/>
      <c r="H1110" s="68" t="str">
        <f t="shared" si="536"/>
        <v>Hyprev7_20211115_07_00</v>
      </c>
      <c r="I1110" s="69">
        <f t="shared" si="538"/>
        <v>1</v>
      </c>
      <c r="J1110" s="76" t="str">
        <f t="shared" si="538"/>
        <v>Hypericum</v>
      </c>
      <c r="K1110" s="76" t="str">
        <f t="shared" si="538"/>
        <v>revolutum</v>
      </c>
      <c r="L1110" s="77">
        <f t="shared" si="538"/>
        <v>7</v>
      </c>
      <c r="M1110" s="77">
        <f t="shared" si="538"/>
        <v>2</v>
      </c>
      <c r="N1110" s="71">
        <f t="shared" si="538"/>
        <v>0</v>
      </c>
      <c r="O1110" s="44"/>
      <c r="P1110" s="45" t="str">
        <f t="shared" si="519"/>
        <v/>
      </c>
      <c r="Q1110" s="46" t="str">
        <f t="shared" si="520"/>
        <v/>
      </c>
      <c r="R1110" s="47" t="e">
        <f t="shared" si="521"/>
        <v>#VALUE!</v>
      </c>
      <c r="S1110" s="48" t="e">
        <f t="shared" si="511"/>
        <v>#VALUE!</v>
      </c>
      <c r="T1110" s="47" t="str">
        <f t="shared" si="522"/>
        <v/>
      </c>
      <c r="U1110" s="49"/>
      <c r="V1110" s="50"/>
      <c r="W1110" s="51" t="e">
        <f t="shared" si="523"/>
        <v>#VALUE!</v>
      </c>
      <c r="X1110" s="52"/>
      <c r="Y1110" s="52"/>
      <c r="Z1110" s="52"/>
      <c r="AA1110" s="47" t="e">
        <f>INDEX(VISITORS[INSECT ORDER], MATCH(X1110,VISITORS[NAME USED],0))</f>
        <v>#N/A</v>
      </c>
      <c r="AB1110" s="47" t="e">
        <f t="shared" si="524"/>
        <v>#N/A</v>
      </c>
      <c r="AC1110" s="53" t="e">
        <f t="shared" si="525"/>
        <v>#VALUE!</v>
      </c>
      <c r="AD1110" s="54" t="str">
        <f t="shared" si="526"/>
        <v/>
      </c>
      <c r="AE1110" s="54"/>
      <c r="AF1110" s="54"/>
      <c r="AG1110" s="55" t="str">
        <f t="shared" si="527"/>
        <v/>
      </c>
      <c r="AH1110" s="56" t="str">
        <f t="shared" si="528"/>
        <v/>
      </c>
      <c r="AI1110" s="55"/>
      <c r="AJ1110" s="56" t="str">
        <f t="shared" si="529"/>
        <v/>
      </c>
      <c r="AK1110" s="55"/>
      <c r="AL1110" s="56" t="str">
        <f t="shared" si="530"/>
        <v/>
      </c>
      <c r="AM1110" s="55"/>
      <c r="AN1110" s="56" t="str">
        <f t="shared" si="531"/>
        <v/>
      </c>
      <c r="AO1110" s="55"/>
      <c r="AP1110" s="56" t="str">
        <f t="shared" si="532"/>
        <v/>
      </c>
      <c r="AQ1110" s="55"/>
      <c r="AR1110" s="56" t="str">
        <f t="shared" si="533"/>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2021</v>
      </c>
      <c r="B1111" s="72" t="str">
        <f t="shared" si="517"/>
        <v>Nov</v>
      </c>
      <c r="C1111" s="73">
        <f t="shared" si="534"/>
        <v>15</v>
      </c>
      <c r="D1111" s="74">
        <f t="shared" si="518"/>
        <v>7</v>
      </c>
      <c r="E1111" s="75">
        <f t="shared" si="535"/>
        <v>58</v>
      </c>
      <c r="F1111" s="79">
        <v>48</v>
      </c>
      <c r="G1111" s="82"/>
      <c r="H1111" s="68" t="str">
        <f t="shared" si="536"/>
        <v>Hyprev7_20211115_07_00</v>
      </c>
      <c r="I1111" s="69">
        <f t="shared" si="538"/>
        <v>1</v>
      </c>
      <c r="J1111" s="76" t="str">
        <f t="shared" si="538"/>
        <v>Hypericum</v>
      </c>
      <c r="K1111" s="76" t="str">
        <f t="shared" si="538"/>
        <v>revolutum</v>
      </c>
      <c r="L1111" s="77">
        <f t="shared" si="538"/>
        <v>7</v>
      </c>
      <c r="M1111" s="77">
        <f t="shared" si="538"/>
        <v>2</v>
      </c>
      <c r="N1111" s="71">
        <f t="shared" si="538"/>
        <v>0</v>
      </c>
      <c r="O1111" s="44"/>
      <c r="P1111" s="45">
        <f t="shared" si="519"/>
        <v>1</v>
      </c>
      <c r="Q1111" s="46" t="str">
        <f t="shared" si="520"/>
        <v>07:58:48</v>
      </c>
      <c r="R1111" s="47" t="str">
        <f t="shared" si="521"/>
        <v>58:48</v>
      </c>
      <c r="S1111" s="48">
        <f t="shared" si="511"/>
        <v>249</v>
      </c>
      <c r="T1111" s="47">
        <v>8</v>
      </c>
      <c r="U1111" s="49">
        <v>2</v>
      </c>
      <c r="V1111" s="50">
        <v>57</v>
      </c>
      <c r="W1111" s="51" t="str">
        <f t="shared" si="523"/>
        <v>02:57</v>
      </c>
      <c r="X1111" s="52" t="s">
        <v>61</v>
      </c>
      <c r="Y1111" s="124" t="s">
        <v>237</v>
      </c>
      <c r="Z1111" s="124" t="s">
        <v>252</v>
      </c>
      <c r="AA1111" s="47" t="s">
        <v>254</v>
      </c>
      <c r="AB1111" s="47" t="str">
        <f t="shared" si="524"/>
        <v>NA</v>
      </c>
      <c r="AC1111" s="53" t="str">
        <f t="shared" si="525"/>
        <v/>
      </c>
      <c r="AD1111" s="54">
        <f t="shared" si="526"/>
        <v>1</v>
      </c>
      <c r="AE1111" s="54"/>
      <c r="AF1111" s="54"/>
      <c r="AG1111" s="55" t="str">
        <f t="shared" si="527"/>
        <v/>
      </c>
      <c r="AH1111" s="56" t="str">
        <f t="shared" si="528"/>
        <v/>
      </c>
      <c r="AI1111" s="55"/>
      <c r="AJ1111" s="56" t="str">
        <f t="shared" si="529"/>
        <v/>
      </c>
      <c r="AK1111" s="55"/>
      <c r="AL1111" s="56" t="str">
        <f t="shared" si="530"/>
        <v/>
      </c>
      <c r="AM1111" s="55"/>
      <c r="AN1111" s="56" t="str">
        <f t="shared" si="531"/>
        <v/>
      </c>
      <c r="AO1111" s="55"/>
      <c r="AP1111" s="56" t="str">
        <f t="shared" si="532"/>
        <v/>
      </c>
      <c r="AQ1111" s="55"/>
      <c r="AR1111" s="56" t="str">
        <f t="shared" si="533"/>
        <v/>
      </c>
      <c r="AS1111" s="57" t="s">
        <v>177</v>
      </c>
      <c r="AT1111" s="58"/>
      <c r="AU1111" s="58"/>
      <c r="AV1111" s="59"/>
      <c r="AW1111" s="60">
        <f t="shared" si="512"/>
        <v>0</v>
      </c>
      <c r="AX1111" s="61" t="str">
        <f t="shared" si="513"/>
        <v/>
      </c>
      <c r="AY1111" s="60">
        <f t="shared" si="514"/>
        <v>0</v>
      </c>
      <c r="AZ1111" s="61" t="str">
        <f t="shared" si="515"/>
        <v/>
      </c>
    </row>
    <row r="1112" spans="1:52" s="3" customFormat="1" hidden="1" x14ac:dyDescent="0.35">
      <c r="A1112" s="72">
        <f t="shared" si="516"/>
        <v>2021</v>
      </c>
      <c r="B1112" s="72" t="str">
        <f t="shared" si="517"/>
        <v>Nov</v>
      </c>
      <c r="C1112" s="73">
        <f t="shared" si="534"/>
        <v>15</v>
      </c>
      <c r="D1112" s="74">
        <f t="shared" si="518"/>
        <v>7</v>
      </c>
      <c r="E1112" s="75">
        <f t="shared" si="535"/>
        <v>59</v>
      </c>
      <c r="F1112" s="79">
        <v>17</v>
      </c>
      <c r="G1112" s="82"/>
      <c r="H1112" s="68" t="str">
        <f t="shared" si="536"/>
        <v>Hyprev7_20211115_07_00</v>
      </c>
      <c r="I1112" s="69">
        <f t="shared" si="538"/>
        <v>1</v>
      </c>
      <c r="J1112" s="76" t="str">
        <f t="shared" si="538"/>
        <v>Hypericum</v>
      </c>
      <c r="K1112" s="76" t="str">
        <f t="shared" si="538"/>
        <v>revolutum</v>
      </c>
      <c r="L1112" s="77">
        <f t="shared" si="538"/>
        <v>7</v>
      </c>
      <c r="M1112" s="77">
        <f t="shared" si="538"/>
        <v>2</v>
      </c>
      <c r="N1112" s="71">
        <f t="shared" si="538"/>
        <v>0</v>
      </c>
      <c r="O1112" s="44"/>
      <c r="P1112" s="45">
        <f t="shared" si="519"/>
        <v>1</v>
      </c>
      <c r="Q1112" s="46" t="str">
        <f t="shared" si="520"/>
        <v>07:59:17</v>
      </c>
      <c r="R1112" s="47" t="str">
        <f t="shared" si="521"/>
        <v>59:17</v>
      </c>
      <c r="S1112" s="48">
        <f t="shared" si="511"/>
        <v>92</v>
      </c>
      <c r="T1112" s="47">
        <v>8</v>
      </c>
      <c r="U1112" s="49">
        <v>0</v>
      </c>
      <c r="V1112" s="50">
        <v>49</v>
      </c>
      <c r="W1112" s="51" t="str">
        <f t="shared" si="523"/>
        <v>00:49</v>
      </c>
      <c r="X1112" s="52" t="s">
        <v>61</v>
      </c>
      <c r="Y1112" s="124" t="s">
        <v>237</v>
      </c>
      <c r="Z1112" s="124" t="s">
        <v>252</v>
      </c>
      <c r="AA1112" s="47" t="s">
        <v>254</v>
      </c>
      <c r="AB1112" s="47" t="str">
        <f t="shared" si="524"/>
        <v>NA</v>
      </c>
      <c r="AC1112" s="53" t="str">
        <f t="shared" si="525"/>
        <v/>
      </c>
      <c r="AD1112" s="54">
        <v>2</v>
      </c>
      <c r="AE1112" s="54"/>
      <c r="AF1112" s="54"/>
      <c r="AG1112" s="55" t="str">
        <f t="shared" si="527"/>
        <v/>
      </c>
      <c r="AH1112" s="56" t="str">
        <f t="shared" si="528"/>
        <v/>
      </c>
      <c r="AI1112" s="55"/>
      <c r="AJ1112" s="56" t="str">
        <f t="shared" si="529"/>
        <v/>
      </c>
      <c r="AK1112" s="55"/>
      <c r="AL1112" s="56" t="str">
        <f t="shared" si="530"/>
        <v/>
      </c>
      <c r="AM1112" s="55"/>
      <c r="AN1112" s="56" t="str">
        <f t="shared" si="531"/>
        <v/>
      </c>
      <c r="AO1112" s="55"/>
      <c r="AP1112" s="56" t="str">
        <f t="shared" si="532"/>
        <v/>
      </c>
      <c r="AQ1112" s="55"/>
      <c r="AR1112" s="56" t="str">
        <f t="shared" si="533"/>
        <v/>
      </c>
      <c r="AS1112" s="57" t="s">
        <v>178</v>
      </c>
      <c r="AT1112" s="58"/>
      <c r="AU1112" s="58"/>
      <c r="AV1112" s="59"/>
      <c r="AW1112" s="60">
        <f t="shared" si="512"/>
        <v>0</v>
      </c>
      <c r="AX1112" s="61" t="str">
        <f t="shared" si="513"/>
        <v/>
      </c>
      <c r="AY1112" s="60">
        <f t="shared" si="514"/>
        <v>0</v>
      </c>
      <c r="AZ1112" s="61" t="str">
        <f t="shared" si="515"/>
        <v/>
      </c>
    </row>
    <row r="1113" spans="1:52" s="3" customFormat="1" hidden="1" x14ac:dyDescent="0.35">
      <c r="A1113" s="72">
        <f t="shared" si="516"/>
        <v>2021</v>
      </c>
      <c r="B1113" s="72" t="str">
        <f t="shared" si="517"/>
        <v>Nov</v>
      </c>
      <c r="C1113" s="73">
        <f t="shared" si="534"/>
        <v>15</v>
      </c>
      <c r="D1113" s="74">
        <f t="shared" si="518"/>
        <v>8</v>
      </c>
      <c r="E1113" s="75">
        <f t="shared" si="535"/>
        <v>0</v>
      </c>
      <c r="F1113" s="79"/>
      <c r="G1113" s="82"/>
      <c r="H1113" s="68" t="str">
        <f t="shared" si="536"/>
        <v>Hyprev7_20211115_08_00</v>
      </c>
      <c r="I1113" s="69">
        <f t="shared" si="538"/>
        <v>1</v>
      </c>
      <c r="J1113" s="76" t="str">
        <f t="shared" si="538"/>
        <v>Hypericum</v>
      </c>
      <c r="K1113" s="76" t="str">
        <f t="shared" si="538"/>
        <v>revolutum</v>
      </c>
      <c r="L1113" s="77">
        <f t="shared" si="538"/>
        <v>7</v>
      </c>
      <c r="M1113" s="77">
        <f t="shared" si="538"/>
        <v>2</v>
      </c>
      <c r="N1113" s="71">
        <f t="shared" si="538"/>
        <v>0</v>
      </c>
      <c r="O1113" s="44"/>
      <c r="P1113" s="45" t="str">
        <f t="shared" si="519"/>
        <v/>
      </c>
      <c r="Q1113" s="46" t="str">
        <f t="shared" si="520"/>
        <v/>
      </c>
      <c r="R1113" s="47" t="e">
        <f t="shared" si="521"/>
        <v>#VALUE!</v>
      </c>
      <c r="S1113" s="48" t="e">
        <f t="shared" si="511"/>
        <v>#VALUE!</v>
      </c>
      <c r="T1113" s="47" t="str">
        <f t="shared" si="522"/>
        <v/>
      </c>
      <c r="U1113" s="49"/>
      <c r="V1113" s="50"/>
      <c r="W1113" s="51" t="e">
        <f t="shared" si="523"/>
        <v>#VALUE!</v>
      </c>
      <c r="X1113" s="52"/>
      <c r="Y1113" s="52"/>
      <c r="Z1113" s="52"/>
      <c r="AA1113" s="47" t="e">
        <f>INDEX(VISITORS[INSECT ORDER], MATCH(X1113,VISITORS[NAME USED],0))</f>
        <v>#N/A</v>
      </c>
      <c r="AB1113" s="47" t="e">
        <f t="shared" si="524"/>
        <v>#N/A</v>
      </c>
      <c r="AC1113" s="53" t="e">
        <f t="shared" si="525"/>
        <v>#VALUE!</v>
      </c>
      <c r="AD1113" s="54" t="str">
        <f t="shared" si="526"/>
        <v/>
      </c>
      <c r="AE1113" s="54"/>
      <c r="AF1113" s="54"/>
      <c r="AG1113" s="55" t="str">
        <f t="shared" si="527"/>
        <v/>
      </c>
      <c r="AH1113" s="56" t="str">
        <f t="shared" si="528"/>
        <v/>
      </c>
      <c r="AI1113" s="55"/>
      <c r="AJ1113" s="56" t="str">
        <f t="shared" si="529"/>
        <v/>
      </c>
      <c r="AK1113" s="55"/>
      <c r="AL1113" s="56" t="str">
        <f t="shared" si="530"/>
        <v/>
      </c>
      <c r="AM1113" s="55"/>
      <c r="AN1113" s="56" t="str">
        <f t="shared" si="531"/>
        <v/>
      </c>
      <c r="AO1113" s="55"/>
      <c r="AP1113" s="56" t="str">
        <f t="shared" si="532"/>
        <v/>
      </c>
      <c r="AQ1113" s="55"/>
      <c r="AR1113" s="56" t="str">
        <f t="shared" si="533"/>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2021</v>
      </c>
      <c r="B1114" s="72" t="str">
        <f t="shared" si="517"/>
        <v>Nov</v>
      </c>
      <c r="C1114" s="73">
        <f t="shared" si="534"/>
        <v>15</v>
      </c>
      <c r="D1114" s="74">
        <f t="shared" si="518"/>
        <v>8</v>
      </c>
      <c r="E1114" s="75">
        <f t="shared" si="535"/>
        <v>1</v>
      </c>
      <c r="F1114" s="79">
        <v>49</v>
      </c>
      <c r="G1114" s="82"/>
      <c r="H1114" s="68" t="str">
        <f t="shared" si="536"/>
        <v>Hyprev7_20211115_08_00</v>
      </c>
      <c r="I1114" s="69">
        <f t="shared" si="538"/>
        <v>1</v>
      </c>
      <c r="J1114" s="76" t="str">
        <f t="shared" si="538"/>
        <v>Hypericum</v>
      </c>
      <c r="K1114" s="76" t="str">
        <f t="shared" si="538"/>
        <v>revolutum</v>
      </c>
      <c r="L1114" s="77">
        <f t="shared" si="538"/>
        <v>7</v>
      </c>
      <c r="M1114" s="77">
        <f t="shared" si="538"/>
        <v>2</v>
      </c>
      <c r="N1114" s="71">
        <f t="shared" si="538"/>
        <v>0</v>
      </c>
      <c r="O1114" s="44"/>
      <c r="P1114" s="45">
        <f t="shared" si="519"/>
        <v>1</v>
      </c>
      <c r="Q1114" s="46" t="str">
        <f t="shared" si="520"/>
        <v>08:01:49</v>
      </c>
      <c r="R1114" s="47" t="str">
        <f t="shared" si="521"/>
        <v>01:49</v>
      </c>
      <c r="S1114" s="48">
        <f t="shared" si="511"/>
        <v>60</v>
      </c>
      <c r="T1114" s="47" t="str">
        <f t="shared" si="522"/>
        <v>08</v>
      </c>
      <c r="U1114" s="49">
        <v>2</v>
      </c>
      <c r="V1114" s="50">
        <v>49</v>
      </c>
      <c r="W1114" s="51" t="str">
        <f t="shared" si="523"/>
        <v>02:49</v>
      </c>
      <c r="X1114" s="52" t="s">
        <v>61</v>
      </c>
      <c r="Y1114" s="124" t="s">
        <v>237</v>
      </c>
      <c r="Z1114" s="124" t="s">
        <v>252</v>
      </c>
      <c r="AA1114" s="47" t="s">
        <v>254</v>
      </c>
      <c r="AB1114" s="47" t="str">
        <f t="shared" si="524"/>
        <v>NA</v>
      </c>
      <c r="AC1114" s="53" t="str">
        <f t="shared" si="525"/>
        <v/>
      </c>
      <c r="AD1114" s="54">
        <f t="shared" si="526"/>
        <v>1</v>
      </c>
      <c r="AE1114" s="54"/>
      <c r="AF1114" s="54"/>
      <c r="AG1114" s="55" t="str">
        <f t="shared" si="527"/>
        <v/>
      </c>
      <c r="AH1114" s="56" t="str">
        <f t="shared" si="528"/>
        <v/>
      </c>
      <c r="AI1114" s="55"/>
      <c r="AJ1114" s="56" t="str">
        <f t="shared" si="529"/>
        <v/>
      </c>
      <c r="AK1114" s="55"/>
      <c r="AL1114" s="56" t="str">
        <f t="shared" si="530"/>
        <v/>
      </c>
      <c r="AM1114" s="55"/>
      <c r="AN1114" s="56" t="str">
        <f t="shared" si="531"/>
        <v/>
      </c>
      <c r="AO1114" s="55"/>
      <c r="AP1114" s="56" t="str">
        <f t="shared" si="532"/>
        <v/>
      </c>
      <c r="AQ1114" s="55"/>
      <c r="AR1114" s="56" t="str">
        <f t="shared" si="533"/>
        <v/>
      </c>
      <c r="AS1114" s="57" t="s">
        <v>179</v>
      </c>
      <c r="AT1114" s="58"/>
      <c r="AU1114" s="58"/>
      <c r="AV1114" s="59"/>
      <c r="AW1114" s="60">
        <f t="shared" si="512"/>
        <v>0</v>
      </c>
      <c r="AX1114" s="61" t="str">
        <f t="shared" si="513"/>
        <v/>
      </c>
      <c r="AY1114" s="60">
        <f t="shared" si="514"/>
        <v>0</v>
      </c>
      <c r="AZ1114" s="61" t="str">
        <f t="shared" si="515"/>
        <v/>
      </c>
    </row>
    <row r="1115" spans="1:52" s="3" customFormat="1" hidden="1" x14ac:dyDescent="0.35">
      <c r="A1115" s="72">
        <f t="shared" si="516"/>
        <v>2021</v>
      </c>
      <c r="B1115" s="72" t="str">
        <f t="shared" si="517"/>
        <v>Nov</v>
      </c>
      <c r="C1115" s="73">
        <f t="shared" si="534"/>
        <v>15</v>
      </c>
      <c r="D1115" s="74">
        <f t="shared" si="518"/>
        <v>8</v>
      </c>
      <c r="E1115" s="75">
        <f t="shared" si="535"/>
        <v>2</v>
      </c>
      <c r="F1115" s="79"/>
      <c r="G1115" s="82"/>
      <c r="H1115" s="68" t="str">
        <f t="shared" si="536"/>
        <v>Hyprev7_20211115_08_00</v>
      </c>
      <c r="I1115" s="69">
        <f t="shared" si="538"/>
        <v>1</v>
      </c>
      <c r="J1115" s="76" t="str">
        <f t="shared" si="538"/>
        <v>Hypericum</v>
      </c>
      <c r="K1115" s="76" t="str">
        <f t="shared" si="538"/>
        <v>revolutum</v>
      </c>
      <c r="L1115" s="77">
        <f t="shared" si="538"/>
        <v>7</v>
      </c>
      <c r="M1115" s="77">
        <f t="shared" si="538"/>
        <v>2</v>
      </c>
      <c r="N1115" s="71">
        <f t="shared" si="538"/>
        <v>0</v>
      </c>
      <c r="O1115" s="44"/>
      <c r="P1115" s="45" t="str">
        <f t="shared" si="519"/>
        <v/>
      </c>
      <c r="Q1115" s="46" t="str">
        <f t="shared" si="520"/>
        <v/>
      </c>
      <c r="R1115" s="47" t="e">
        <f t="shared" si="521"/>
        <v>#VALUE!</v>
      </c>
      <c r="S1115" s="48" t="e">
        <f t="shared" si="511"/>
        <v>#VALUE!</v>
      </c>
      <c r="T1115" s="47" t="str">
        <f t="shared" si="522"/>
        <v/>
      </c>
      <c r="U1115" s="49"/>
      <c r="V1115" s="50"/>
      <c r="W1115" s="51" t="e">
        <f t="shared" si="523"/>
        <v>#VALUE!</v>
      </c>
      <c r="X1115" s="52"/>
      <c r="Y1115" s="52"/>
      <c r="Z1115" s="52"/>
      <c r="AA1115" s="47" t="e">
        <f>INDEX(VISITORS[INSECT ORDER], MATCH(X1115,VISITORS[NAME USED],0))</f>
        <v>#N/A</v>
      </c>
      <c r="AB1115" s="47" t="e">
        <f t="shared" si="524"/>
        <v>#N/A</v>
      </c>
      <c r="AC1115" s="53" t="e">
        <f t="shared" si="525"/>
        <v>#VALUE!</v>
      </c>
      <c r="AD1115" s="54" t="str">
        <f t="shared" si="526"/>
        <v/>
      </c>
      <c r="AE1115" s="54"/>
      <c r="AF1115" s="54"/>
      <c r="AG1115" s="55" t="str">
        <f t="shared" si="527"/>
        <v/>
      </c>
      <c r="AH1115" s="56" t="str">
        <f t="shared" si="528"/>
        <v/>
      </c>
      <c r="AI1115" s="55"/>
      <c r="AJ1115" s="56" t="str">
        <f t="shared" si="529"/>
        <v/>
      </c>
      <c r="AK1115" s="55"/>
      <c r="AL1115" s="56" t="str">
        <f t="shared" si="530"/>
        <v/>
      </c>
      <c r="AM1115" s="55"/>
      <c r="AN1115" s="56" t="str">
        <f t="shared" si="531"/>
        <v/>
      </c>
      <c r="AO1115" s="55"/>
      <c r="AP1115" s="56" t="str">
        <f t="shared" si="532"/>
        <v/>
      </c>
      <c r="AQ1115" s="55"/>
      <c r="AR1115" s="56" t="str">
        <f t="shared" si="533"/>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2021</v>
      </c>
      <c r="B1116" s="72" t="str">
        <f t="shared" si="517"/>
        <v>Nov</v>
      </c>
      <c r="C1116" s="73">
        <f t="shared" si="534"/>
        <v>15</v>
      </c>
      <c r="D1116" s="74">
        <f t="shared" si="518"/>
        <v>8</v>
      </c>
      <c r="E1116" s="75">
        <f t="shared" si="535"/>
        <v>3</v>
      </c>
      <c r="F1116" s="79"/>
      <c r="G1116" s="82"/>
      <c r="H1116" s="68" t="str">
        <f t="shared" si="536"/>
        <v>Hyprev7_20211115_08_00</v>
      </c>
      <c r="I1116" s="69">
        <f t="shared" si="538"/>
        <v>1</v>
      </c>
      <c r="J1116" s="76" t="str">
        <f t="shared" si="538"/>
        <v>Hypericum</v>
      </c>
      <c r="K1116" s="76" t="str">
        <f t="shared" si="538"/>
        <v>revolutum</v>
      </c>
      <c r="L1116" s="77">
        <f t="shared" si="538"/>
        <v>7</v>
      </c>
      <c r="M1116" s="77">
        <f t="shared" si="538"/>
        <v>2</v>
      </c>
      <c r="N1116" s="71">
        <f t="shared" si="538"/>
        <v>0</v>
      </c>
      <c r="O1116" s="44"/>
      <c r="P1116" s="45" t="str">
        <f t="shared" si="519"/>
        <v/>
      </c>
      <c r="Q1116" s="46" t="str">
        <f t="shared" si="520"/>
        <v/>
      </c>
      <c r="R1116" s="47" t="e">
        <f t="shared" si="521"/>
        <v>#VALUE!</v>
      </c>
      <c r="S1116" s="48" t="e">
        <f t="shared" si="511"/>
        <v>#VALUE!</v>
      </c>
      <c r="T1116" s="47" t="str">
        <f t="shared" si="522"/>
        <v/>
      </c>
      <c r="U1116" s="49"/>
      <c r="V1116" s="50"/>
      <c r="W1116" s="51" t="e">
        <f t="shared" si="523"/>
        <v>#VALUE!</v>
      </c>
      <c r="X1116" s="52"/>
      <c r="Y1116" s="52"/>
      <c r="Z1116" s="52"/>
      <c r="AA1116" s="47" t="e">
        <f>INDEX(VISITORS[INSECT ORDER], MATCH(X1116,VISITORS[NAME USED],0))</f>
        <v>#N/A</v>
      </c>
      <c r="AB1116" s="47" t="e">
        <f t="shared" si="524"/>
        <v>#N/A</v>
      </c>
      <c r="AC1116" s="53" t="e">
        <f t="shared" si="525"/>
        <v>#VALUE!</v>
      </c>
      <c r="AD1116" s="54" t="str">
        <f t="shared" si="526"/>
        <v/>
      </c>
      <c r="AE1116" s="54"/>
      <c r="AF1116" s="54"/>
      <c r="AG1116" s="55" t="str">
        <f t="shared" si="527"/>
        <v/>
      </c>
      <c r="AH1116" s="56" t="str">
        <f t="shared" si="528"/>
        <v/>
      </c>
      <c r="AI1116" s="55"/>
      <c r="AJ1116" s="56" t="str">
        <f t="shared" si="529"/>
        <v/>
      </c>
      <c r="AK1116" s="55"/>
      <c r="AL1116" s="56" t="str">
        <f t="shared" si="530"/>
        <v/>
      </c>
      <c r="AM1116" s="55"/>
      <c r="AN1116" s="56" t="str">
        <f t="shared" si="531"/>
        <v/>
      </c>
      <c r="AO1116" s="55"/>
      <c r="AP1116" s="56" t="str">
        <f t="shared" si="532"/>
        <v/>
      </c>
      <c r="AQ1116" s="55"/>
      <c r="AR1116" s="56" t="str">
        <f t="shared" si="533"/>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2021</v>
      </c>
      <c r="B1117" s="72" t="str">
        <f t="shared" si="517"/>
        <v>Nov</v>
      </c>
      <c r="C1117" s="73">
        <f t="shared" si="534"/>
        <v>15</v>
      </c>
      <c r="D1117" s="74">
        <f t="shared" si="518"/>
        <v>8</v>
      </c>
      <c r="E1117" s="75">
        <f t="shared" si="535"/>
        <v>4</v>
      </c>
      <c r="F1117" s="79"/>
      <c r="G1117" s="82"/>
      <c r="H1117" s="68" t="str">
        <f t="shared" si="536"/>
        <v>Hyprev7_20211115_08_00</v>
      </c>
      <c r="I1117" s="69">
        <f t="shared" si="538"/>
        <v>1</v>
      </c>
      <c r="J1117" s="76" t="str">
        <f t="shared" si="538"/>
        <v>Hypericum</v>
      </c>
      <c r="K1117" s="76" t="str">
        <f t="shared" si="538"/>
        <v>revolutum</v>
      </c>
      <c r="L1117" s="77">
        <f t="shared" si="538"/>
        <v>7</v>
      </c>
      <c r="M1117" s="77">
        <f t="shared" si="538"/>
        <v>2</v>
      </c>
      <c r="N1117" s="71">
        <f t="shared" si="538"/>
        <v>0</v>
      </c>
      <c r="O1117" s="44"/>
      <c r="P1117" s="45" t="str">
        <f t="shared" si="519"/>
        <v/>
      </c>
      <c r="Q1117" s="46" t="str">
        <f t="shared" si="520"/>
        <v/>
      </c>
      <c r="R1117" s="47" t="e">
        <f t="shared" si="521"/>
        <v>#VALUE!</v>
      </c>
      <c r="S1117" s="48" t="e">
        <f t="shared" si="511"/>
        <v>#VALUE!</v>
      </c>
      <c r="T1117" s="47" t="str">
        <f t="shared" si="522"/>
        <v/>
      </c>
      <c r="U1117" s="49"/>
      <c r="V1117" s="50"/>
      <c r="W1117" s="51" t="e">
        <f t="shared" si="523"/>
        <v>#VALUE!</v>
      </c>
      <c r="X1117" s="52"/>
      <c r="Y1117" s="52"/>
      <c r="Z1117" s="52"/>
      <c r="AA1117" s="47" t="e">
        <f>INDEX(VISITORS[INSECT ORDER], MATCH(X1117,VISITORS[NAME USED],0))</f>
        <v>#N/A</v>
      </c>
      <c r="AB1117" s="47" t="e">
        <f t="shared" si="524"/>
        <v>#N/A</v>
      </c>
      <c r="AC1117" s="53" t="e">
        <f t="shared" si="525"/>
        <v>#VALUE!</v>
      </c>
      <c r="AD1117" s="54" t="str">
        <f t="shared" si="526"/>
        <v/>
      </c>
      <c r="AE1117" s="54"/>
      <c r="AF1117" s="54"/>
      <c r="AG1117" s="55" t="str">
        <f t="shared" si="527"/>
        <v/>
      </c>
      <c r="AH1117" s="56" t="str">
        <f t="shared" si="528"/>
        <v/>
      </c>
      <c r="AI1117" s="55"/>
      <c r="AJ1117" s="56" t="str">
        <f t="shared" si="529"/>
        <v/>
      </c>
      <c r="AK1117" s="55"/>
      <c r="AL1117" s="56" t="str">
        <f t="shared" si="530"/>
        <v/>
      </c>
      <c r="AM1117" s="55"/>
      <c r="AN1117" s="56" t="str">
        <f t="shared" si="531"/>
        <v/>
      </c>
      <c r="AO1117" s="55"/>
      <c r="AP1117" s="56" t="str">
        <f t="shared" si="532"/>
        <v/>
      </c>
      <c r="AQ1117" s="55"/>
      <c r="AR1117" s="56" t="str">
        <f t="shared" si="533"/>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2021</v>
      </c>
      <c r="B1118" s="72" t="str">
        <f t="shared" si="517"/>
        <v>Nov</v>
      </c>
      <c r="C1118" s="73">
        <f t="shared" si="534"/>
        <v>15</v>
      </c>
      <c r="D1118" s="74">
        <f t="shared" si="518"/>
        <v>8</v>
      </c>
      <c r="E1118" s="75">
        <f t="shared" si="535"/>
        <v>5</v>
      </c>
      <c r="F1118" s="79"/>
      <c r="G1118" s="82"/>
      <c r="H1118" s="68" t="str">
        <f t="shared" si="536"/>
        <v>Hyprev7_20211115_08_00</v>
      </c>
      <c r="I1118" s="69">
        <f t="shared" si="538"/>
        <v>1</v>
      </c>
      <c r="J1118" s="76" t="str">
        <f t="shared" si="538"/>
        <v>Hypericum</v>
      </c>
      <c r="K1118" s="76" t="str">
        <f t="shared" si="538"/>
        <v>revolutum</v>
      </c>
      <c r="L1118" s="77">
        <f t="shared" si="538"/>
        <v>7</v>
      </c>
      <c r="M1118" s="77">
        <f t="shared" si="538"/>
        <v>2</v>
      </c>
      <c r="N1118" s="71">
        <f t="shared" si="538"/>
        <v>0</v>
      </c>
      <c r="O1118" s="44"/>
      <c r="P1118" s="45" t="str">
        <f t="shared" si="519"/>
        <v/>
      </c>
      <c r="Q1118" s="46" t="str">
        <f t="shared" si="520"/>
        <v/>
      </c>
      <c r="R1118" s="47" t="e">
        <f t="shared" si="521"/>
        <v>#VALUE!</v>
      </c>
      <c r="S1118" s="48" t="e">
        <f t="shared" si="511"/>
        <v>#VALUE!</v>
      </c>
      <c r="T1118" s="47" t="str">
        <f t="shared" si="522"/>
        <v/>
      </c>
      <c r="U1118" s="49"/>
      <c r="V1118" s="50"/>
      <c r="W1118" s="51" t="e">
        <f t="shared" si="523"/>
        <v>#VALUE!</v>
      </c>
      <c r="X1118" s="52"/>
      <c r="Y1118" s="52"/>
      <c r="Z1118" s="52"/>
      <c r="AA1118" s="47" t="e">
        <f>INDEX(VISITORS[INSECT ORDER], MATCH(X1118,VISITORS[NAME USED],0))</f>
        <v>#N/A</v>
      </c>
      <c r="AB1118" s="47" t="e">
        <f t="shared" si="524"/>
        <v>#N/A</v>
      </c>
      <c r="AC1118" s="53" t="e">
        <f t="shared" si="525"/>
        <v>#VALUE!</v>
      </c>
      <c r="AD1118" s="54" t="str">
        <f t="shared" si="526"/>
        <v/>
      </c>
      <c r="AE1118" s="54"/>
      <c r="AF1118" s="54"/>
      <c r="AG1118" s="55" t="str">
        <f t="shared" si="527"/>
        <v/>
      </c>
      <c r="AH1118" s="56" t="str">
        <f t="shared" si="528"/>
        <v/>
      </c>
      <c r="AI1118" s="55"/>
      <c r="AJ1118" s="56" t="str">
        <f t="shared" si="529"/>
        <v/>
      </c>
      <c r="AK1118" s="55"/>
      <c r="AL1118" s="56" t="str">
        <f t="shared" si="530"/>
        <v/>
      </c>
      <c r="AM1118" s="55"/>
      <c r="AN1118" s="56" t="str">
        <f t="shared" si="531"/>
        <v/>
      </c>
      <c r="AO1118" s="55"/>
      <c r="AP1118" s="56" t="str">
        <f t="shared" si="532"/>
        <v/>
      </c>
      <c r="AQ1118" s="55"/>
      <c r="AR1118" s="56" t="str">
        <f t="shared" si="533"/>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2021</v>
      </c>
      <c r="B1119" s="72" t="str">
        <f t="shared" si="517"/>
        <v>Nov</v>
      </c>
      <c r="C1119" s="73">
        <f t="shared" si="534"/>
        <v>15</v>
      </c>
      <c r="D1119" s="74">
        <f t="shared" si="518"/>
        <v>8</v>
      </c>
      <c r="E1119" s="75">
        <f t="shared" si="535"/>
        <v>6</v>
      </c>
      <c r="F1119" s="79"/>
      <c r="G1119" s="82"/>
      <c r="H1119" s="68" t="str">
        <f t="shared" si="536"/>
        <v>Hyprev7_20211115_08_00</v>
      </c>
      <c r="I1119" s="69">
        <f t="shared" si="538"/>
        <v>1</v>
      </c>
      <c r="J1119" s="76" t="str">
        <f t="shared" si="538"/>
        <v>Hypericum</v>
      </c>
      <c r="K1119" s="76" t="str">
        <f t="shared" si="538"/>
        <v>revolutum</v>
      </c>
      <c r="L1119" s="77">
        <f t="shared" si="538"/>
        <v>7</v>
      </c>
      <c r="M1119" s="77">
        <f t="shared" si="538"/>
        <v>2</v>
      </c>
      <c r="N1119" s="71">
        <f t="shared" si="538"/>
        <v>0</v>
      </c>
      <c r="O1119" s="44"/>
      <c r="P1119" s="45" t="str">
        <f t="shared" si="519"/>
        <v/>
      </c>
      <c r="Q1119" s="46" t="str">
        <f t="shared" si="520"/>
        <v/>
      </c>
      <c r="R1119" s="47" t="e">
        <f t="shared" si="521"/>
        <v>#VALUE!</v>
      </c>
      <c r="S1119" s="48" t="e">
        <f t="shared" si="511"/>
        <v>#VALUE!</v>
      </c>
      <c r="T1119" s="47" t="str">
        <f t="shared" si="522"/>
        <v/>
      </c>
      <c r="U1119" s="49"/>
      <c r="V1119" s="50"/>
      <c r="W1119" s="51" t="e">
        <f t="shared" si="523"/>
        <v>#VALUE!</v>
      </c>
      <c r="X1119" s="52"/>
      <c r="Y1119" s="52"/>
      <c r="Z1119" s="52"/>
      <c r="AA1119" s="47" t="e">
        <f>INDEX(VISITORS[INSECT ORDER], MATCH(X1119,VISITORS[NAME USED],0))</f>
        <v>#N/A</v>
      </c>
      <c r="AB1119" s="47" t="e">
        <f t="shared" si="524"/>
        <v>#N/A</v>
      </c>
      <c r="AC1119" s="53" t="e">
        <f t="shared" si="525"/>
        <v>#VALUE!</v>
      </c>
      <c r="AD1119" s="54" t="str">
        <f t="shared" si="526"/>
        <v/>
      </c>
      <c r="AE1119" s="54"/>
      <c r="AF1119" s="54"/>
      <c r="AG1119" s="55" t="str">
        <f t="shared" si="527"/>
        <v/>
      </c>
      <c r="AH1119" s="56" t="str">
        <f t="shared" si="528"/>
        <v/>
      </c>
      <c r="AI1119" s="55"/>
      <c r="AJ1119" s="56" t="str">
        <f t="shared" si="529"/>
        <v/>
      </c>
      <c r="AK1119" s="55"/>
      <c r="AL1119" s="56" t="str">
        <f t="shared" si="530"/>
        <v/>
      </c>
      <c r="AM1119" s="55"/>
      <c r="AN1119" s="56" t="str">
        <f t="shared" si="531"/>
        <v/>
      </c>
      <c r="AO1119" s="55"/>
      <c r="AP1119" s="56" t="str">
        <f t="shared" si="532"/>
        <v/>
      </c>
      <c r="AQ1119" s="55"/>
      <c r="AR1119" s="56" t="str">
        <f t="shared" si="533"/>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2021</v>
      </c>
      <c r="B1120" s="72" t="str">
        <f t="shared" si="517"/>
        <v>Nov</v>
      </c>
      <c r="C1120" s="73">
        <f t="shared" si="534"/>
        <v>15</v>
      </c>
      <c r="D1120" s="74">
        <f t="shared" si="518"/>
        <v>8</v>
      </c>
      <c r="E1120" s="75">
        <f t="shared" si="535"/>
        <v>7</v>
      </c>
      <c r="F1120" s="79">
        <v>49</v>
      </c>
      <c r="G1120" s="82"/>
      <c r="H1120" s="68" t="str">
        <f t="shared" si="536"/>
        <v>Hyprev7_20211115_08_00</v>
      </c>
      <c r="I1120" s="69">
        <f t="shared" si="538"/>
        <v>1</v>
      </c>
      <c r="J1120" s="76" t="str">
        <f t="shared" si="538"/>
        <v>Hypericum</v>
      </c>
      <c r="K1120" s="76" t="str">
        <f t="shared" si="538"/>
        <v>revolutum</v>
      </c>
      <c r="L1120" s="77">
        <f t="shared" si="538"/>
        <v>7</v>
      </c>
      <c r="M1120" s="77">
        <f t="shared" si="538"/>
        <v>2</v>
      </c>
      <c r="N1120" s="71">
        <f t="shared" si="538"/>
        <v>0</v>
      </c>
      <c r="O1120" s="44"/>
      <c r="P1120" s="45">
        <f t="shared" si="519"/>
        <v>1</v>
      </c>
      <c r="Q1120" s="46" t="str">
        <f t="shared" si="520"/>
        <v>08:07:49</v>
      </c>
      <c r="R1120" s="47" t="str">
        <f t="shared" si="521"/>
        <v>07:49</v>
      </c>
      <c r="S1120" s="48">
        <f t="shared" si="511"/>
        <v>118</v>
      </c>
      <c r="T1120" s="47" t="str">
        <f t="shared" si="522"/>
        <v>08</v>
      </c>
      <c r="U1120" s="49">
        <v>9</v>
      </c>
      <c r="V1120" s="50">
        <v>47</v>
      </c>
      <c r="W1120" s="51" t="str">
        <f t="shared" si="523"/>
        <v>09:47</v>
      </c>
      <c r="X1120" s="52" t="s">
        <v>61</v>
      </c>
      <c r="Y1120" s="124" t="s">
        <v>237</v>
      </c>
      <c r="Z1120" s="124" t="s">
        <v>252</v>
      </c>
      <c r="AA1120" s="47" t="s">
        <v>254</v>
      </c>
      <c r="AB1120" s="47" t="str">
        <f t="shared" si="524"/>
        <v>NA</v>
      </c>
      <c r="AC1120" s="53" t="str">
        <f t="shared" si="525"/>
        <v/>
      </c>
      <c r="AD1120" s="54">
        <v>2</v>
      </c>
      <c r="AE1120" s="54"/>
      <c r="AF1120" s="54"/>
      <c r="AG1120" s="55" t="str">
        <f t="shared" si="527"/>
        <v/>
      </c>
      <c r="AH1120" s="56" t="str">
        <f t="shared" si="528"/>
        <v/>
      </c>
      <c r="AI1120" s="55"/>
      <c r="AJ1120" s="56" t="str">
        <f t="shared" si="529"/>
        <v/>
      </c>
      <c r="AK1120" s="55"/>
      <c r="AL1120" s="56" t="str">
        <f t="shared" si="530"/>
        <v/>
      </c>
      <c r="AM1120" s="55"/>
      <c r="AN1120" s="56" t="str">
        <f t="shared" si="531"/>
        <v/>
      </c>
      <c r="AO1120" s="55"/>
      <c r="AP1120" s="56" t="str">
        <f t="shared" si="532"/>
        <v/>
      </c>
      <c r="AQ1120" s="55"/>
      <c r="AR1120" s="56" t="str">
        <f t="shared" si="533"/>
        <v/>
      </c>
      <c r="AS1120" s="57" t="s">
        <v>180</v>
      </c>
      <c r="AT1120" s="58"/>
      <c r="AU1120" s="58"/>
      <c r="AV1120" s="59"/>
      <c r="AW1120" s="60">
        <f t="shared" si="512"/>
        <v>0</v>
      </c>
      <c r="AX1120" s="61" t="str">
        <f t="shared" si="513"/>
        <v/>
      </c>
      <c r="AY1120" s="60">
        <f t="shared" si="514"/>
        <v>0</v>
      </c>
      <c r="AZ1120" s="61" t="str">
        <f t="shared" si="515"/>
        <v/>
      </c>
    </row>
    <row r="1121" spans="1:52" s="3" customFormat="1" hidden="1" x14ac:dyDescent="0.35">
      <c r="A1121" s="72">
        <f t="shared" si="516"/>
        <v>2021</v>
      </c>
      <c r="B1121" s="72" t="str">
        <f t="shared" si="517"/>
        <v>Nov</v>
      </c>
      <c r="C1121" s="73">
        <f t="shared" si="534"/>
        <v>15</v>
      </c>
      <c r="D1121" s="74">
        <f t="shared" si="518"/>
        <v>8</v>
      </c>
      <c r="E1121" s="75">
        <f t="shared" si="535"/>
        <v>8</v>
      </c>
      <c r="F1121" s="79">
        <v>36</v>
      </c>
      <c r="G1121" s="82"/>
      <c r="H1121" s="68" t="str">
        <f t="shared" si="536"/>
        <v>Hyprev7_20211115_08_00</v>
      </c>
      <c r="I1121" s="69">
        <f t="shared" si="538"/>
        <v>1</v>
      </c>
      <c r="J1121" s="76" t="str">
        <f t="shared" si="538"/>
        <v>Hypericum</v>
      </c>
      <c r="K1121" s="76" t="str">
        <f t="shared" si="538"/>
        <v>revolutum</v>
      </c>
      <c r="L1121" s="77">
        <f t="shared" si="538"/>
        <v>7</v>
      </c>
      <c r="M1121" s="77">
        <f t="shared" si="538"/>
        <v>2</v>
      </c>
      <c r="N1121" s="71">
        <f t="shared" si="538"/>
        <v>0</v>
      </c>
      <c r="O1121" s="44"/>
      <c r="P1121" s="45">
        <f t="shared" si="519"/>
        <v>1</v>
      </c>
      <c r="Q1121" s="46" t="str">
        <f t="shared" si="520"/>
        <v>08:08:36</v>
      </c>
      <c r="R1121" s="47" t="str">
        <f t="shared" si="521"/>
        <v>08:36</v>
      </c>
      <c r="S1121" s="48">
        <f t="shared" si="511"/>
        <v>130</v>
      </c>
      <c r="T1121" s="47" t="str">
        <f t="shared" si="522"/>
        <v>08</v>
      </c>
      <c r="U1121" s="49">
        <v>10</v>
      </c>
      <c r="V1121" s="50">
        <v>46</v>
      </c>
      <c r="W1121" s="51" t="str">
        <f t="shared" si="523"/>
        <v>10:46</v>
      </c>
      <c r="X1121" s="52" t="s">
        <v>61</v>
      </c>
      <c r="Y1121" s="124" t="s">
        <v>237</v>
      </c>
      <c r="Z1121" s="124" t="s">
        <v>252</v>
      </c>
      <c r="AA1121" s="47" t="s">
        <v>254</v>
      </c>
      <c r="AB1121" s="47" t="str">
        <f t="shared" si="524"/>
        <v>NA</v>
      </c>
      <c r="AC1121" s="53" t="str">
        <f t="shared" si="525"/>
        <v/>
      </c>
      <c r="AD1121" s="54">
        <f t="shared" si="526"/>
        <v>1</v>
      </c>
      <c r="AE1121" s="54"/>
      <c r="AF1121" s="54"/>
      <c r="AG1121" s="55" t="str">
        <f t="shared" si="527"/>
        <v/>
      </c>
      <c r="AH1121" s="56" t="str">
        <f t="shared" si="528"/>
        <v/>
      </c>
      <c r="AI1121" s="55"/>
      <c r="AJ1121" s="56" t="str">
        <f t="shared" si="529"/>
        <v/>
      </c>
      <c r="AK1121" s="55"/>
      <c r="AL1121" s="56" t="str">
        <f t="shared" si="530"/>
        <v/>
      </c>
      <c r="AM1121" s="55"/>
      <c r="AN1121" s="56" t="str">
        <f t="shared" si="531"/>
        <v/>
      </c>
      <c r="AO1121" s="55"/>
      <c r="AP1121" s="56" t="str">
        <f t="shared" si="532"/>
        <v/>
      </c>
      <c r="AQ1121" s="55"/>
      <c r="AR1121" s="56" t="str">
        <f t="shared" si="533"/>
        <v/>
      </c>
      <c r="AS1121" s="57" t="s">
        <v>181</v>
      </c>
      <c r="AT1121" s="58"/>
      <c r="AU1121" s="58"/>
      <c r="AV1121" s="59"/>
      <c r="AW1121" s="60">
        <f t="shared" si="512"/>
        <v>0</v>
      </c>
      <c r="AX1121" s="61" t="str">
        <f t="shared" si="513"/>
        <v/>
      </c>
      <c r="AY1121" s="60">
        <f t="shared" si="514"/>
        <v>0</v>
      </c>
      <c r="AZ1121" s="61" t="str">
        <f t="shared" si="515"/>
        <v/>
      </c>
    </row>
    <row r="1122" spans="1:52" s="3" customFormat="1" hidden="1" x14ac:dyDescent="0.35">
      <c r="A1122" s="72">
        <f t="shared" si="516"/>
        <v>2021</v>
      </c>
      <c r="B1122" s="72" t="str">
        <f t="shared" si="517"/>
        <v>Nov</v>
      </c>
      <c r="C1122" s="73">
        <f t="shared" si="534"/>
        <v>15</v>
      </c>
      <c r="D1122" s="74">
        <f t="shared" si="518"/>
        <v>8</v>
      </c>
      <c r="E1122" s="75">
        <f t="shared" si="535"/>
        <v>9</v>
      </c>
      <c r="F1122" s="79">
        <v>40</v>
      </c>
      <c r="G1122" s="82"/>
      <c r="H1122" s="68" t="str">
        <f t="shared" si="536"/>
        <v>Hyprev7_20211115_08_00</v>
      </c>
      <c r="I1122" s="69">
        <f t="shared" si="538"/>
        <v>1</v>
      </c>
      <c r="J1122" s="76" t="str">
        <f t="shared" si="538"/>
        <v>Hypericum</v>
      </c>
      <c r="K1122" s="76" t="str">
        <f t="shared" si="538"/>
        <v>revolutum</v>
      </c>
      <c r="L1122" s="77">
        <f t="shared" si="538"/>
        <v>7</v>
      </c>
      <c r="M1122" s="77">
        <f t="shared" si="538"/>
        <v>2</v>
      </c>
      <c r="N1122" s="71">
        <f t="shared" si="538"/>
        <v>0</v>
      </c>
      <c r="O1122" s="44"/>
      <c r="P1122" s="45">
        <f t="shared" si="519"/>
        <v>1</v>
      </c>
      <c r="Q1122" s="46" t="str">
        <f t="shared" si="520"/>
        <v>08:09:40</v>
      </c>
      <c r="R1122" s="47" t="str">
        <f t="shared" si="521"/>
        <v>09:40</v>
      </c>
      <c r="S1122" s="48">
        <f t="shared" si="511"/>
        <v>30</v>
      </c>
      <c r="T1122" s="47" t="str">
        <f t="shared" si="522"/>
        <v>08</v>
      </c>
      <c r="U1122" s="49">
        <v>10</v>
      </c>
      <c r="V1122" s="50">
        <v>10</v>
      </c>
      <c r="W1122" s="51" t="str">
        <f t="shared" si="523"/>
        <v>10:10</v>
      </c>
      <c r="X1122" s="52" t="s">
        <v>61</v>
      </c>
      <c r="Y1122" s="124" t="s">
        <v>240</v>
      </c>
      <c r="Z1122" s="124"/>
      <c r="AA1122" s="47" t="s">
        <v>254</v>
      </c>
      <c r="AB1122" s="47" t="str">
        <f t="shared" si="524"/>
        <v>NA</v>
      </c>
      <c r="AC1122" s="53" t="str">
        <f t="shared" si="525"/>
        <v/>
      </c>
      <c r="AD1122" s="54">
        <f t="shared" si="526"/>
        <v>1</v>
      </c>
      <c r="AE1122" s="54"/>
      <c r="AF1122" s="54"/>
      <c r="AG1122" s="55" t="str">
        <f t="shared" si="527"/>
        <v/>
      </c>
      <c r="AH1122" s="56" t="str">
        <f t="shared" si="528"/>
        <v/>
      </c>
      <c r="AI1122" s="55"/>
      <c r="AJ1122" s="56" t="str">
        <f t="shared" si="529"/>
        <v/>
      </c>
      <c r="AK1122" s="55"/>
      <c r="AL1122" s="56" t="str">
        <f t="shared" si="530"/>
        <v/>
      </c>
      <c r="AM1122" s="55"/>
      <c r="AN1122" s="56" t="str">
        <f t="shared" si="531"/>
        <v/>
      </c>
      <c r="AO1122" s="55"/>
      <c r="AP1122" s="56" t="str">
        <f t="shared" si="532"/>
        <v/>
      </c>
      <c r="AQ1122" s="55"/>
      <c r="AR1122" s="56" t="str">
        <f t="shared" si="533"/>
        <v/>
      </c>
      <c r="AS1122" s="57" t="s">
        <v>182</v>
      </c>
      <c r="AT1122" s="58"/>
      <c r="AU1122" s="58"/>
      <c r="AV1122" s="59"/>
      <c r="AW1122" s="60">
        <f t="shared" si="512"/>
        <v>0</v>
      </c>
      <c r="AX1122" s="61" t="str">
        <f t="shared" si="513"/>
        <v/>
      </c>
      <c r="AY1122" s="60">
        <f t="shared" si="514"/>
        <v>0</v>
      </c>
      <c r="AZ1122" s="61" t="str">
        <f t="shared" si="515"/>
        <v/>
      </c>
    </row>
    <row r="1123" spans="1:52" s="3" customFormat="1" hidden="1" x14ac:dyDescent="0.35">
      <c r="A1123" s="72">
        <f t="shared" si="516"/>
        <v>2021</v>
      </c>
      <c r="B1123" s="72" t="str">
        <f t="shared" si="517"/>
        <v>Nov</v>
      </c>
      <c r="C1123" s="73">
        <f t="shared" si="534"/>
        <v>15</v>
      </c>
      <c r="D1123" s="74">
        <f t="shared" si="518"/>
        <v>8</v>
      </c>
      <c r="E1123" s="75">
        <f t="shared" si="535"/>
        <v>10</v>
      </c>
      <c r="F1123" s="79">
        <v>42</v>
      </c>
      <c r="G1123" s="82"/>
      <c r="H1123" s="68" t="str">
        <f t="shared" si="536"/>
        <v>Hyprev7_20211115_08_00</v>
      </c>
      <c r="I1123" s="69">
        <f t="shared" si="538"/>
        <v>1</v>
      </c>
      <c r="J1123" s="76" t="str">
        <f t="shared" si="538"/>
        <v>Hypericum</v>
      </c>
      <c r="K1123" s="76" t="str">
        <f t="shared" si="538"/>
        <v>revolutum</v>
      </c>
      <c r="L1123" s="77">
        <f t="shared" si="538"/>
        <v>7</v>
      </c>
      <c r="M1123" s="77">
        <f t="shared" si="538"/>
        <v>2</v>
      </c>
      <c r="N1123" s="71">
        <f t="shared" si="538"/>
        <v>0</v>
      </c>
      <c r="O1123" s="44"/>
      <c r="P1123" s="45">
        <f t="shared" si="519"/>
        <v>1</v>
      </c>
      <c r="Q1123" s="46" t="str">
        <f t="shared" si="520"/>
        <v>08:10:42</v>
      </c>
      <c r="R1123" s="47" t="str">
        <f t="shared" si="521"/>
        <v>10:42</v>
      </c>
      <c r="S1123" s="48">
        <f t="shared" si="511"/>
        <v>71</v>
      </c>
      <c r="T1123" s="47" t="str">
        <f t="shared" si="522"/>
        <v>08</v>
      </c>
      <c r="U1123" s="49">
        <v>11</v>
      </c>
      <c r="V1123" s="50">
        <v>53</v>
      </c>
      <c r="W1123" s="51" t="str">
        <f t="shared" si="523"/>
        <v>11:53</v>
      </c>
      <c r="X1123" s="52" t="s">
        <v>61</v>
      </c>
      <c r="Y1123" s="124" t="s">
        <v>237</v>
      </c>
      <c r="Z1123" s="124" t="s">
        <v>252</v>
      </c>
      <c r="AA1123" s="47" t="s">
        <v>254</v>
      </c>
      <c r="AB1123" s="47" t="str">
        <f t="shared" si="524"/>
        <v>NA</v>
      </c>
      <c r="AC1123" s="53" t="str">
        <f t="shared" si="525"/>
        <v/>
      </c>
      <c r="AD1123" s="54">
        <f t="shared" si="526"/>
        <v>1</v>
      </c>
      <c r="AE1123" s="54"/>
      <c r="AF1123" s="54"/>
      <c r="AG1123" s="55" t="str">
        <f t="shared" si="527"/>
        <v/>
      </c>
      <c r="AH1123" s="56" t="str">
        <f t="shared" si="528"/>
        <v/>
      </c>
      <c r="AI1123" s="55"/>
      <c r="AJ1123" s="56" t="str">
        <f t="shared" si="529"/>
        <v/>
      </c>
      <c r="AK1123" s="55"/>
      <c r="AL1123" s="56" t="str">
        <f t="shared" si="530"/>
        <v/>
      </c>
      <c r="AM1123" s="55"/>
      <c r="AN1123" s="56" t="str">
        <f t="shared" si="531"/>
        <v/>
      </c>
      <c r="AO1123" s="55"/>
      <c r="AP1123" s="56" t="str">
        <f t="shared" si="532"/>
        <v/>
      </c>
      <c r="AQ1123" s="55"/>
      <c r="AR1123" s="56" t="str">
        <f t="shared" si="533"/>
        <v/>
      </c>
      <c r="AS1123" s="57" t="s">
        <v>183</v>
      </c>
      <c r="AT1123" s="58"/>
      <c r="AU1123" s="58"/>
      <c r="AV1123" s="59"/>
      <c r="AW1123" s="60">
        <f t="shared" si="512"/>
        <v>0</v>
      </c>
      <c r="AX1123" s="61" t="str">
        <f t="shared" si="513"/>
        <v/>
      </c>
      <c r="AY1123" s="60">
        <f t="shared" si="514"/>
        <v>0</v>
      </c>
      <c r="AZ1123" s="61" t="str">
        <f t="shared" si="515"/>
        <v/>
      </c>
    </row>
    <row r="1124" spans="1:52" s="3" customFormat="1" hidden="1" x14ac:dyDescent="0.35">
      <c r="A1124" s="72">
        <f t="shared" si="516"/>
        <v>2021</v>
      </c>
      <c r="B1124" s="72" t="str">
        <f t="shared" si="517"/>
        <v>Nov</v>
      </c>
      <c r="C1124" s="73">
        <f t="shared" si="534"/>
        <v>15</v>
      </c>
      <c r="D1124" s="74">
        <f t="shared" si="518"/>
        <v>8</v>
      </c>
      <c r="E1124" s="75">
        <f t="shared" si="535"/>
        <v>11</v>
      </c>
      <c r="F1124" s="79"/>
      <c r="G1124" s="82"/>
      <c r="H1124" s="68" t="str">
        <f t="shared" si="536"/>
        <v>Hyprev7_20211115_08_00</v>
      </c>
      <c r="I1124" s="69">
        <f t="shared" si="538"/>
        <v>1</v>
      </c>
      <c r="J1124" s="76" t="str">
        <f t="shared" si="538"/>
        <v>Hypericum</v>
      </c>
      <c r="K1124" s="76" t="str">
        <f t="shared" si="538"/>
        <v>revolutum</v>
      </c>
      <c r="L1124" s="77">
        <f t="shared" si="538"/>
        <v>7</v>
      </c>
      <c r="M1124" s="77">
        <f t="shared" si="538"/>
        <v>2</v>
      </c>
      <c r="N1124" s="71">
        <f t="shared" si="538"/>
        <v>0</v>
      </c>
      <c r="O1124" s="44"/>
      <c r="P1124" s="45" t="str">
        <f t="shared" si="519"/>
        <v/>
      </c>
      <c r="Q1124" s="46" t="str">
        <f t="shared" si="520"/>
        <v/>
      </c>
      <c r="R1124" s="47" t="e">
        <f t="shared" si="521"/>
        <v>#VALUE!</v>
      </c>
      <c r="S1124" s="48" t="e">
        <f t="shared" si="511"/>
        <v>#VALUE!</v>
      </c>
      <c r="T1124" s="47" t="str">
        <f t="shared" si="522"/>
        <v/>
      </c>
      <c r="U1124" s="49"/>
      <c r="V1124" s="50"/>
      <c r="W1124" s="51" t="e">
        <f t="shared" si="523"/>
        <v>#VALUE!</v>
      </c>
      <c r="X1124" s="52"/>
      <c r="Y1124" s="52"/>
      <c r="Z1124" s="52"/>
      <c r="AA1124" s="47" t="e">
        <f>INDEX(VISITORS[INSECT ORDER], MATCH(X1124,VISITORS[NAME USED],0))</f>
        <v>#N/A</v>
      </c>
      <c r="AB1124" s="47" t="e">
        <f t="shared" si="524"/>
        <v>#N/A</v>
      </c>
      <c r="AC1124" s="53" t="e">
        <f t="shared" si="525"/>
        <v>#VALUE!</v>
      </c>
      <c r="AD1124" s="54" t="str">
        <f t="shared" si="526"/>
        <v/>
      </c>
      <c r="AE1124" s="54"/>
      <c r="AF1124" s="54"/>
      <c r="AG1124" s="55" t="str">
        <f t="shared" si="527"/>
        <v/>
      </c>
      <c r="AH1124" s="56" t="str">
        <f t="shared" si="528"/>
        <v/>
      </c>
      <c r="AI1124" s="55"/>
      <c r="AJ1124" s="56" t="str">
        <f t="shared" si="529"/>
        <v/>
      </c>
      <c r="AK1124" s="55"/>
      <c r="AL1124" s="56" t="str">
        <f t="shared" si="530"/>
        <v/>
      </c>
      <c r="AM1124" s="55"/>
      <c r="AN1124" s="56" t="str">
        <f t="shared" si="531"/>
        <v/>
      </c>
      <c r="AO1124" s="55"/>
      <c r="AP1124" s="56" t="str">
        <f t="shared" si="532"/>
        <v/>
      </c>
      <c r="AQ1124" s="55"/>
      <c r="AR1124" s="56" t="str">
        <f t="shared" si="533"/>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2021</v>
      </c>
      <c r="B1125" s="72" t="str">
        <f t="shared" si="517"/>
        <v>Nov</v>
      </c>
      <c r="C1125" s="73">
        <f t="shared" si="534"/>
        <v>15</v>
      </c>
      <c r="D1125" s="74">
        <f t="shared" si="518"/>
        <v>8</v>
      </c>
      <c r="E1125" s="75">
        <f t="shared" si="535"/>
        <v>12</v>
      </c>
      <c r="F1125" s="79">
        <v>19</v>
      </c>
      <c r="G1125" s="82"/>
      <c r="H1125" s="68" t="str">
        <f t="shared" si="536"/>
        <v>Hyprev7_20211115_08_00</v>
      </c>
      <c r="I1125" s="69">
        <f t="shared" ref="I1125:N1140" si="539">I1124</f>
        <v>1</v>
      </c>
      <c r="J1125" s="76" t="str">
        <f t="shared" si="539"/>
        <v>Hypericum</v>
      </c>
      <c r="K1125" s="76" t="str">
        <f t="shared" si="539"/>
        <v>revolutum</v>
      </c>
      <c r="L1125" s="77">
        <f t="shared" si="539"/>
        <v>7</v>
      </c>
      <c r="M1125" s="77">
        <f t="shared" si="539"/>
        <v>2</v>
      </c>
      <c r="N1125" s="71">
        <f t="shared" si="539"/>
        <v>0</v>
      </c>
      <c r="O1125" s="44"/>
      <c r="P1125" s="45">
        <f t="shared" si="519"/>
        <v>1</v>
      </c>
      <c r="Q1125" s="46" t="str">
        <f t="shared" si="520"/>
        <v>08:12:19</v>
      </c>
      <c r="R1125" s="47" t="str">
        <f t="shared" si="521"/>
        <v>12:19</v>
      </c>
      <c r="S1125" s="48">
        <f t="shared" si="511"/>
        <v>2</v>
      </c>
      <c r="T1125" s="47" t="str">
        <f t="shared" si="522"/>
        <v>08</v>
      </c>
      <c r="U1125" s="49">
        <v>12</v>
      </c>
      <c r="V1125" s="50">
        <v>21</v>
      </c>
      <c r="W1125" s="51" t="str">
        <f t="shared" si="523"/>
        <v>12:21</v>
      </c>
      <c r="X1125" s="52" t="s">
        <v>61</v>
      </c>
      <c r="Y1125" s="124" t="s">
        <v>240</v>
      </c>
      <c r="Z1125" s="124"/>
      <c r="AA1125" s="47" t="s">
        <v>254</v>
      </c>
      <c r="AB1125" s="47" t="str">
        <f t="shared" si="524"/>
        <v>NA</v>
      </c>
      <c r="AC1125" s="53" t="str">
        <f t="shared" si="525"/>
        <v/>
      </c>
      <c r="AD1125" s="54">
        <f t="shared" si="526"/>
        <v>1</v>
      </c>
      <c r="AE1125" s="54"/>
      <c r="AF1125" s="54"/>
      <c r="AG1125" s="55" t="str">
        <f t="shared" si="527"/>
        <v/>
      </c>
      <c r="AH1125" s="56" t="str">
        <f t="shared" si="528"/>
        <v/>
      </c>
      <c r="AI1125" s="55"/>
      <c r="AJ1125" s="56" t="str">
        <f t="shared" si="529"/>
        <v/>
      </c>
      <c r="AK1125" s="55"/>
      <c r="AL1125" s="56" t="str">
        <f t="shared" si="530"/>
        <v/>
      </c>
      <c r="AM1125" s="55"/>
      <c r="AN1125" s="56" t="str">
        <f t="shared" si="531"/>
        <v/>
      </c>
      <c r="AO1125" s="55"/>
      <c r="AP1125" s="56" t="str">
        <f t="shared" si="532"/>
        <v/>
      </c>
      <c r="AQ1125" s="55"/>
      <c r="AR1125" s="56" t="str">
        <f t="shared" si="533"/>
        <v/>
      </c>
      <c r="AS1125" s="57" t="s">
        <v>184</v>
      </c>
      <c r="AT1125" s="58"/>
      <c r="AU1125" s="58"/>
      <c r="AV1125" s="59"/>
      <c r="AW1125" s="60">
        <f t="shared" si="512"/>
        <v>0</v>
      </c>
      <c r="AX1125" s="61" t="str">
        <f t="shared" si="513"/>
        <v/>
      </c>
      <c r="AY1125" s="60">
        <f t="shared" si="514"/>
        <v>0</v>
      </c>
      <c r="AZ1125" s="61" t="str">
        <f t="shared" si="515"/>
        <v/>
      </c>
    </row>
    <row r="1126" spans="1:52" s="3" customFormat="1" hidden="1" x14ac:dyDescent="0.35">
      <c r="A1126" s="72">
        <f t="shared" si="516"/>
        <v>2021</v>
      </c>
      <c r="B1126" s="72" t="str">
        <f t="shared" si="517"/>
        <v>Nov</v>
      </c>
      <c r="C1126" s="73">
        <f t="shared" si="534"/>
        <v>15</v>
      </c>
      <c r="D1126" s="74">
        <f t="shared" si="518"/>
        <v>8</v>
      </c>
      <c r="E1126" s="75">
        <f t="shared" si="535"/>
        <v>13</v>
      </c>
      <c r="F1126" s="79">
        <v>31</v>
      </c>
      <c r="G1126" s="82"/>
      <c r="H1126" s="68" t="str">
        <f t="shared" si="536"/>
        <v>Hyprev7_20211115_08_00</v>
      </c>
      <c r="I1126" s="69">
        <f t="shared" si="539"/>
        <v>1</v>
      </c>
      <c r="J1126" s="76" t="str">
        <f t="shared" si="539"/>
        <v>Hypericum</v>
      </c>
      <c r="K1126" s="76" t="str">
        <f t="shared" si="539"/>
        <v>revolutum</v>
      </c>
      <c r="L1126" s="77">
        <f t="shared" si="539"/>
        <v>7</v>
      </c>
      <c r="M1126" s="77">
        <f t="shared" si="539"/>
        <v>2</v>
      </c>
      <c r="N1126" s="71">
        <f t="shared" si="539"/>
        <v>0</v>
      </c>
      <c r="O1126" s="44"/>
      <c r="P1126" s="45">
        <f t="shared" si="519"/>
        <v>1</v>
      </c>
      <c r="Q1126" s="46" t="str">
        <f t="shared" si="520"/>
        <v>08:13:31</v>
      </c>
      <c r="R1126" s="47" t="str">
        <f t="shared" si="521"/>
        <v>13:31</v>
      </c>
      <c r="S1126" s="48">
        <f t="shared" si="511"/>
        <v>53</v>
      </c>
      <c r="T1126" s="47" t="str">
        <f t="shared" si="522"/>
        <v>08</v>
      </c>
      <c r="U1126" s="49">
        <v>14</v>
      </c>
      <c r="V1126" s="50">
        <v>24</v>
      </c>
      <c r="W1126" s="51" t="str">
        <f t="shared" si="523"/>
        <v>14:24</v>
      </c>
      <c r="X1126" s="52" t="s">
        <v>61</v>
      </c>
      <c r="Y1126" s="124" t="s">
        <v>239</v>
      </c>
      <c r="Z1126" s="124"/>
      <c r="AA1126" s="47" t="s">
        <v>254</v>
      </c>
      <c r="AB1126" s="47" t="str">
        <f t="shared" si="524"/>
        <v>NA</v>
      </c>
      <c r="AC1126" s="53" t="str">
        <f t="shared" si="525"/>
        <v/>
      </c>
      <c r="AD1126" s="54">
        <f t="shared" si="526"/>
        <v>1</v>
      </c>
      <c r="AE1126" s="54"/>
      <c r="AF1126" s="54"/>
      <c r="AG1126" s="55" t="str">
        <f t="shared" si="527"/>
        <v/>
      </c>
      <c r="AH1126" s="56" t="str">
        <f t="shared" si="528"/>
        <v/>
      </c>
      <c r="AI1126" s="55"/>
      <c r="AJ1126" s="56" t="str">
        <f t="shared" si="529"/>
        <v/>
      </c>
      <c r="AK1126" s="55"/>
      <c r="AL1126" s="56" t="str">
        <f t="shared" si="530"/>
        <v/>
      </c>
      <c r="AM1126" s="55"/>
      <c r="AN1126" s="56" t="str">
        <f t="shared" si="531"/>
        <v/>
      </c>
      <c r="AO1126" s="55"/>
      <c r="AP1126" s="56" t="str">
        <f t="shared" si="532"/>
        <v/>
      </c>
      <c r="AQ1126" s="55"/>
      <c r="AR1126" s="56" t="str">
        <f t="shared" si="533"/>
        <v/>
      </c>
      <c r="AS1126" s="57" t="s">
        <v>68</v>
      </c>
      <c r="AT1126" s="58"/>
      <c r="AU1126" s="58"/>
      <c r="AV1126" s="59"/>
      <c r="AW1126" s="60">
        <f t="shared" si="512"/>
        <v>0</v>
      </c>
      <c r="AX1126" s="61" t="str">
        <f t="shared" si="513"/>
        <v/>
      </c>
      <c r="AY1126" s="60">
        <f t="shared" si="514"/>
        <v>0</v>
      </c>
      <c r="AZ1126" s="61" t="str">
        <f t="shared" si="515"/>
        <v/>
      </c>
    </row>
    <row r="1127" spans="1:52" s="3" customFormat="1" hidden="1" x14ac:dyDescent="0.35">
      <c r="A1127" s="72">
        <f t="shared" si="516"/>
        <v>2021</v>
      </c>
      <c r="B1127" s="72" t="str">
        <f t="shared" si="517"/>
        <v>Nov</v>
      </c>
      <c r="C1127" s="73">
        <f t="shared" si="534"/>
        <v>15</v>
      </c>
      <c r="D1127" s="74">
        <f t="shared" si="518"/>
        <v>8</v>
      </c>
      <c r="E1127" s="75">
        <v>13</v>
      </c>
      <c r="F1127" s="79">
        <v>45</v>
      </c>
      <c r="G1127" s="82"/>
      <c r="H1127" s="68" t="str">
        <f t="shared" si="536"/>
        <v>Hyprev7_20211115_08_00</v>
      </c>
      <c r="I1127" s="69">
        <f t="shared" si="539"/>
        <v>1</v>
      </c>
      <c r="J1127" s="76" t="str">
        <f t="shared" si="539"/>
        <v>Hypericum</v>
      </c>
      <c r="K1127" s="76" t="str">
        <f t="shared" si="539"/>
        <v>revolutum</v>
      </c>
      <c r="L1127" s="77">
        <f t="shared" si="539"/>
        <v>7</v>
      </c>
      <c r="M1127" s="77">
        <f t="shared" si="539"/>
        <v>2</v>
      </c>
      <c r="N1127" s="71">
        <f t="shared" si="539"/>
        <v>0</v>
      </c>
      <c r="O1127" s="44"/>
      <c r="P1127" s="45">
        <f t="shared" si="519"/>
        <v>1</v>
      </c>
      <c r="Q1127" s="46" t="str">
        <f t="shared" si="520"/>
        <v>08:13:45</v>
      </c>
      <c r="R1127" s="47" t="str">
        <f t="shared" si="521"/>
        <v>13:45</v>
      </c>
      <c r="S1127" s="48">
        <f t="shared" si="511"/>
        <v>39</v>
      </c>
      <c r="T1127" s="47" t="str">
        <f t="shared" si="522"/>
        <v>08</v>
      </c>
      <c r="U1127" s="49">
        <v>14</v>
      </c>
      <c r="V1127" s="50">
        <v>24</v>
      </c>
      <c r="W1127" s="51" t="str">
        <f t="shared" si="523"/>
        <v>14:24</v>
      </c>
      <c r="X1127" s="52" t="s">
        <v>61</v>
      </c>
      <c r="Y1127" s="124" t="s">
        <v>237</v>
      </c>
      <c r="Z1127" s="124" t="s">
        <v>252</v>
      </c>
      <c r="AA1127" s="47" t="s">
        <v>254</v>
      </c>
      <c r="AB1127" s="47" t="str">
        <f t="shared" si="524"/>
        <v>NA</v>
      </c>
      <c r="AC1127" s="53" t="str">
        <f t="shared" si="525"/>
        <v/>
      </c>
      <c r="AD1127" s="54">
        <f t="shared" si="526"/>
        <v>1</v>
      </c>
      <c r="AE1127" s="54"/>
      <c r="AF1127" s="54"/>
      <c r="AG1127" s="55" t="str">
        <f t="shared" si="527"/>
        <v/>
      </c>
      <c r="AH1127" s="56" t="str">
        <f t="shared" si="528"/>
        <v/>
      </c>
      <c r="AI1127" s="55"/>
      <c r="AJ1127" s="56" t="str">
        <f t="shared" si="529"/>
        <v/>
      </c>
      <c r="AK1127" s="55"/>
      <c r="AL1127" s="56" t="str">
        <f t="shared" si="530"/>
        <v/>
      </c>
      <c r="AM1127" s="55"/>
      <c r="AN1127" s="56" t="str">
        <f t="shared" si="531"/>
        <v/>
      </c>
      <c r="AO1127" s="55"/>
      <c r="AP1127" s="56" t="str">
        <f t="shared" si="532"/>
        <v/>
      </c>
      <c r="AQ1127" s="55"/>
      <c r="AR1127" s="56" t="str">
        <f t="shared" si="533"/>
        <v/>
      </c>
      <c r="AS1127" s="57" t="s">
        <v>185</v>
      </c>
      <c r="AT1127" s="58"/>
      <c r="AU1127" s="58"/>
      <c r="AV1127" s="59"/>
      <c r="AW1127" s="60">
        <f t="shared" si="512"/>
        <v>0</v>
      </c>
      <c r="AX1127" s="61" t="str">
        <f t="shared" si="513"/>
        <v/>
      </c>
      <c r="AY1127" s="60">
        <f t="shared" si="514"/>
        <v>0</v>
      </c>
      <c r="AZ1127" s="61" t="str">
        <f t="shared" si="515"/>
        <v/>
      </c>
    </row>
    <row r="1128" spans="1:52" s="3" customFormat="1" hidden="1" x14ac:dyDescent="0.35">
      <c r="A1128" s="72">
        <f t="shared" si="516"/>
        <v>2021</v>
      </c>
      <c r="B1128" s="72" t="str">
        <f t="shared" si="517"/>
        <v>Nov</v>
      </c>
      <c r="C1128" s="73">
        <f t="shared" si="534"/>
        <v>15</v>
      </c>
      <c r="D1128" s="74">
        <f t="shared" si="518"/>
        <v>8</v>
      </c>
      <c r="E1128" s="75">
        <f t="shared" si="535"/>
        <v>14</v>
      </c>
      <c r="F1128" s="79"/>
      <c r="G1128" s="82"/>
      <c r="H1128" s="68" t="str">
        <f t="shared" si="536"/>
        <v>Hyprev7_20211115_08_00</v>
      </c>
      <c r="I1128" s="69">
        <f t="shared" si="539"/>
        <v>1</v>
      </c>
      <c r="J1128" s="76" t="str">
        <f t="shared" si="539"/>
        <v>Hypericum</v>
      </c>
      <c r="K1128" s="76" t="str">
        <f t="shared" si="539"/>
        <v>revolutum</v>
      </c>
      <c r="L1128" s="77">
        <f t="shared" si="539"/>
        <v>7</v>
      </c>
      <c r="M1128" s="77">
        <f t="shared" si="539"/>
        <v>2</v>
      </c>
      <c r="N1128" s="71">
        <f t="shared" si="539"/>
        <v>0</v>
      </c>
      <c r="O1128" s="44"/>
      <c r="P1128" s="45" t="str">
        <f t="shared" si="519"/>
        <v/>
      </c>
      <c r="Q1128" s="46" t="str">
        <f t="shared" si="520"/>
        <v/>
      </c>
      <c r="R1128" s="47" t="e">
        <f t="shared" si="521"/>
        <v>#VALUE!</v>
      </c>
      <c r="S1128" s="48" t="e">
        <f t="shared" si="511"/>
        <v>#VALUE!</v>
      </c>
      <c r="T1128" s="47" t="str">
        <f t="shared" si="522"/>
        <v/>
      </c>
      <c r="U1128" s="49"/>
      <c r="V1128" s="50"/>
      <c r="W1128" s="51" t="e">
        <f t="shared" si="523"/>
        <v>#VALUE!</v>
      </c>
      <c r="X1128" s="52"/>
      <c r="Y1128" s="52"/>
      <c r="Z1128" s="52"/>
      <c r="AA1128" s="47" t="e">
        <f>INDEX(VISITORS[INSECT ORDER], MATCH(X1128,VISITORS[NAME USED],0))</f>
        <v>#N/A</v>
      </c>
      <c r="AB1128" s="47" t="e">
        <f t="shared" si="524"/>
        <v>#N/A</v>
      </c>
      <c r="AC1128" s="53" t="e">
        <f t="shared" si="525"/>
        <v>#VALUE!</v>
      </c>
      <c r="AD1128" s="54" t="str">
        <f t="shared" si="526"/>
        <v/>
      </c>
      <c r="AE1128" s="54"/>
      <c r="AF1128" s="54"/>
      <c r="AG1128" s="55" t="str">
        <f t="shared" si="527"/>
        <v/>
      </c>
      <c r="AH1128" s="56" t="str">
        <f t="shared" si="528"/>
        <v/>
      </c>
      <c r="AI1128" s="55"/>
      <c r="AJ1128" s="56" t="str">
        <f t="shared" si="529"/>
        <v/>
      </c>
      <c r="AK1128" s="55"/>
      <c r="AL1128" s="56" t="str">
        <f t="shared" si="530"/>
        <v/>
      </c>
      <c r="AM1128" s="55"/>
      <c r="AN1128" s="56" t="str">
        <f t="shared" si="531"/>
        <v/>
      </c>
      <c r="AO1128" s="55"/>
      <c r="AP1128" s="56" t="str">
        <f t="shared" si="532"/>
        <v/>
      </c>
      <c r="AQ1128" s="55"/>
      <c r="AR1128" s="56" t="str">
        <f t="shared" si="533"/>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2021</v>
      </c>
      <c r="B1129" s="72" t="str">
        <f t="shared" si="517"/>
        <v>Nov</v>
      </c>
      <c r="C1129" s="73">
        <f t="shared" si="534"/>
        <v>15</v>
      </c>
      <c r="D1129" s="74">
        <f t="shared" si="518"/>
        <v>8</v>
      </c>
      <c r="E1129" s="75">
        <f t="shared" si="535"/>
        <v>15</v>
      </c>
      <c r="F1129" s="79">
        <v>48</v>
      </c>
      <c r="G1129" s="82"/>
      <c r="H1129" s="68" t="str">
        <f t="shared" si="536"/>
        <v>Hyprev7_20211115_08_00</v>
      </c>
      <c r="I1129" s="69">
        <f t="shared" si="539"/>
        <v>1</v>
      </c>
      <c r="J1129" s="76" t="str">
        <f t="shared" si="539"/>
        <v>Hypericum</v>
      </c>
      <c r="K1129" s="76" t="str">
        <f t="shared" si="539"/>
        <v>revolutum</v>
      </c>
      <c r="L1129" s="77">
        <f t="shared" si="539"/>
        <v>7</v>
      </c>
      <c r="M1129" s="77">
        <f t="shared" si="539"/>
        <v>2</v>
      </c>
      <c r="N1129" s="71">
        <f t="shared" si="539"/>
        <v>0</v>
      </c>
      <c r="O1129" s="44"/>
      <c r="P1129" s="45">
        <f t="shared" si="519"/>
        <v>1</v>
      </c>
      <c r="Q1129" s="46" t="str">
        <f t="shared" si="520"/>
        <v>08:15:48</v>
      </c>
      <c r="R1129" s="47" t="str">
        <f t="shared" si="521"/>
        <v>15:48</v>
      </c>
      <c r="S1129" s="48">
        <f t="shared" si="511"/>
        <v>24</v>
      </c>
      <c r="T1129" s="47" t="str">
        <f t="shared" si="522"/>
        <v>08</v>
      </c>
      <c r="U1129" s="49">
        <v>16</v>
      </c>
      <c r="V1129" s="50">
        <v>12</v>
      </c>
      <c r="W1129" s="51" t="str">
        <f t="shared" si="523"/>
        <v>16:12</v>
      </c>
      <c r="X1129" s="52" t="s">
        <v>61</v>
      </c>
      <c r="Y1129" s="124" t="s">
        <v>237</v>
      </c>
      <c r="Z1129" s="124" t="s">
        <v>252</v>
      </c>
      <c r="AA1129" s="47" t="s">
        <v>254</v>
      </c>
      <c r="AB1129" s="47" t="str">
        <f t="shared" si="524"/>
        <v>NA</v>
      </c>
      <c r="AC1129" s="53" t="str">
        <f t="shared" si="525"/>
        <v/>
      </c>
      <c r="AD1129" s="54">
        <f t="shared" si="526"/>
        <v>1</v>
      </c>
      <c r="AE1129" s="54"/>
      <c r="AF1129" s="54"/>
      <c r="AG1129" s="55" t="str">
        <f t="shared" si="527"/>
        <v/>
      </c>
      <c r="AH1129" s="56" t="str">
        <f t="shared" si="528"/>
        <v/>
      </c>
      <c r="AI1129" s="55"/>
      <c r="AJ1129" s="56" t="str">
        <f t="shared" si="529"/>
        <v/>
      </c>
      <c r="AK1129" s="55"/>
      <c r="AL1129" s="56" t="str">
        <f t="shared" si="530"/>
        <v/>
      </c>
      <c r="AM1129" s="55"/>
      <c r="AN1129" s="56" t="str">
        <f t="shared" si="531"/>
        <v/>
      </c>
      <c r="AO1129" s="55"/>
      <c r="AP1129" s="56" t="str">
        <f t="shared" si="532"/>
        <v/>
      </c>
      <c r="AQ1129" s="55"/>
      <c r="AR1129" s="56" t="str">
        <f t="shared" si="533"/>
        <v/>
      </c>
      <c r="AS1129" s="57" t="s">
        <v>186</v>
      </c>
      <c r="AT1129" s="58"/>
      <c r="AU1129" s="58"/>
      <c r="AV1129" s="59"/>
      <c r="AW1129" s="60">
        <f t="shared" si="512"/>
        <v>0</v>
      </c>
      <c r="AX1129" s="61" t="str">
        <f t="shared" si="513"/>
        <v/>
      </c>
      <c r="AY1129" s="60">
        <f t="shared" si="514"/>
        <v>0</v>
      </c>
      <c r="AZ1129" s="61" t="str">
        <f t="shared" si="515"/>
        <v/>
      </c>
    </row>
    <row r="1130" spans="1:52" s="3" customFormat="1" hidden="1" x14ac:dyDescent="0.35">
      <c r="A1130" s="72">
        <f t="shared" si="516"/>
        <v>2021</v>
      </c>
      <c r="B1130" s="72" t="str">
        <f t="shared" si="517"/>
        <v>Nov</v>
      </c>
      <c r="C1130" s="73">
        <f t="shared" si="534"/>
        <v>15</v>
      </c>
      <c r="D1130" s="74">
        <f t="shared" si="518"/>
        <v>8</v>
      </c>
      <c r="E1130" s="75">
        <v>15</v>
      </c>
      <c r="F1130" s="79">
        <v>51</v>
      </c>
      <c r="G1130" s="82"/>
      <c r="H1130" s="68" t="str">
        <f t="shared" si="536"/>
        <v>Hyprev7_20211115_08_00</v>
      </c>
      <c r="I1130" s="69">
        <f t="shared" si="539"/>
        <v>1</v>
      </c>
      <c r="J1130" s="76" t="str">
        <f t="shared" si="539"/>
        <v>Hypericum</v>
      </c>
      <c r="K1130" s="76" t="str">
        <f t="shared" si="539"/>
        <v>revolutum</v>
      </c>
      <c r="L1130" s="77">
        <f t="shared" si="539"/>
        <v>7</v>
      </c>
      <c r="M1130" s="77">
        <f t="shared" si="539"/>
        <v>2</v>
      </c>
      <c r="N1130" s="71">
        <f t="shared" si="539"/>
        <v>0</v>
      </c>
      <c r="O1130" s="44"/>
      <c r="P1130" s="45">
        <f t="shared" si="519"/>
        <v>1</v>
      </c>
      <c r="Q1130" s="46" t="str">
        <f t="shared" si="520"/>
        <v>08:15:51</v>
      </c>
      <c r="R1130" s="47" t="str">
        <f t="shared" si="521"/>
        <v>15:51</v>
      </c>
      <c r="S1130" s="48">
        <f t="shared" si="511"/>
        <v>21</v>
      </c>
      <c r="T1130" s="47" t="str">
        <f t="shared" si="522"/>
        <v>08</v>
      </c>
      <c r="U1130" s="49">
        <v>16</v>
      </c>
      <c r="V1130" s="50">
        <v>12</v>
      </c>
      <c r="W1130" s="51" t="str">
        <f t="shared" si="523"/>
        <v>16:12</v>
      </c>
      <c r="X1130" s="52" t="s">
        <v>61</v>
      </c>
      <c r="Y1130" s="124" t="s">
        <v>239</v>
      </c>
      <c r="Z1130" s="124"/>
      <c r="AA1130" s="47" t="s">
        <v>254</v>
      </c>
      <c r="AB1130" s="47" t="str">
        <f t="shared" si="524"/>
        <v>NA</v>
      </c>
      <c r="AC1130" s="53" t="str">
        <f t="shared" si="525"/>
        <v/>
      </c>
      <c r="AD1130" s="54">
        <f t="shared" si="526"/>
        <v>1</v>
      </c>
      <c r="AE1130" s="54"/>
      <c r="AF1130" s="54"/>
      <c r="AG1130" s="55" t="str">
        <f t="shared" si="527"/>
        <v/>
      </c>
      <c r="AH1130" s="56" t="str">
        <f t="shared" si="528"/>
        <v/>
      </c>
      <c r="AI1130" s="55"/>
      <c r="AJ1130" s="56" t="str">
        <f t="shared" si="529"/>
        <v/>
      </c>
      <c r="AK1130" s="55"/>
      <c r="AL1130" s="56" t="str">
        <f t="shared" si="530"/>
        <v/>
      </c>
      <c r="AM1130" s="55"/>
      <c r="AN1130" s="56" t="str">
        <f t="shared" si="531"/>
        <v/>
      </c>
      <c r="AO1130" s="55"/>
      <c r="AP1130" s="56" t="str">
        <f t="shared" si="532"/>
        <v/>
      </c>
      <c r="AQ1130" s="55"/>
      <c r="AR1130" s="56" t="str">
        <f t="shared" si="533"/>
        <v/>
      </c>
      <c r="AS1130" s="57" t="s">
        <v>62</v>
      </c>
      <c r="AT1130" s="58"/>
      <c r="AU1130" s="58"/>
      <c r="AV1130" s="59"/>
      <c r="AW1130" s="60">
        <f t="shared" si="512"/>
        <v>0</v>
      </c>
      <c r="AX1130" s="61" t="str">
        <f t="shared" si="513"/>
        <v/>
      </c>
      <c r="AY1130" s="60">
        <f t="shared" si="514"/>
        <v>0</v>
      </c>
      <c r="AZ1130" s="61" t="str">
        <f t="shared" si="515"/>
        <v/>
      </c>
    </row>
    <row r="1131" spans="1:52" s="3" customFormat="1" hidden="1" x14ac:dyDescent="0.35">
      <c r="A1131" s="72">
        <f t="shared" si="516"/>
        <v>2021</v>
      </c>
      <c r="B1131" s="72" t="str">
        <f t="shared" si="517"/>
        <v>Nov</v>
      </c>
      <c r="C1131" s="73">
        <f t="shared" si="534"/>
        <v>15</v>
      </c>
      <c r="D1131" s="74">
        <f t="shared" si="518"/>
        <v>8</v>
      </c>
      <c r="E1131" s="75">
        <f t="shared" si="535"/>
        <v>16</v>
      </c>
      <c r="F1131" s="79">
        <v>52</v>
      </c>
      <c r="G1131" s="82"/>
      <c r="H1131" s="68" t="str">
        <f t="shared" si="536"/>
        <v>Hyprev7_20211115_08_00</v>
      </c>
      <c r="I1131" s="69">
        <f t="shared" si="539"/>
        <v>1</v>
      </c>
      <c r="J1131" s="76" t="str">
        <f t="shared" si="539"/>
        <v>Hypericum</v>
      </c>
      <c r="K1131" s="76" t="str">
        <f t="shared" si="539"/>
        <v>revolutum</v>
      </c>
      <c r="L1131" s="77">
        <f t="shared" si="539"/>
        <v>7</v>
      </c>
      <c r="M1131" s="77">
        <f t="shared" si="539"/>
        <v>2</v>
      </c>
      <c r="N1131" s="71">
        <f t="shared" si="539"/>
        <v>0</v>
      </c>
      <c r="O1131" s="44"/>
      <c r="P1131" s="45">
        <f t="shared" si="519"/>
        <v>1</v>
      </c>
      <c r="Q1131" s="46" t="str">
        <f t="shared" si="520"/>
        <v>08:16:52</v>
      </c>
      <c r="R1131" s="47" t="str">
        <f t="shared" si="521"/>
        <v>16:52</v>
      </c>
      <c r="S1131" s="48">
        <f t="shared" si="511"/>
        <v>14</v>
      </c>
      <c r="T1131" s="47" t="str">
        <f t="shared" si="522"/>
        <v>08</v>
      </c>
      <c r="U1131" s="49">
        <v>17</v>
      </c>
      <c r="V1131" s="50">
        <v>6</v>
      </c>
      <c r="W1131" s="51" t="str">
        <f t="shared" si="523"/>
        <v>17:06</v>
      </c>
      <c r="X1131" s="52" t="s">
        <v>61</v>
      </c>
      <c r="Y1131" s="124" t="s">
        <v>239</v>
      </c>
      <c r="Z1131" s="124"/>
      <c r="AA1131" s="47" t="s">
        <v>254</v>
      </c>
      <c r="AB1131" s="47" t="str">
        <f t="shared" si="524"/>
        <v>NA</v>
      </c>
      <c r="AC1131" s="53" t="str">
        <f t="shared" si="525"/>
        <v/>
      </c>
      <c r="AD1131" s="54">
        <f t="shared" si="526"/>
        <v>1</v>
      </c>
      <c r="AE1131" s="54"/>
      <c r="AF1131" s="54"/>
      <c r="AG1131" s="55" t="str">
        <f t="shared" si="527"/>
        <v/>
      </c>
      <c r="AH1131" s="56" t="str">
        <f t="shared" si="528"/>
        <v/>
      </c>
      <c r="AI1131" s="55"/>
      <c r="AJ1131" s="56" t="str">
        <f t="shared" si="529"/>
        <v/>
      </c>
      <c r="AK1131" s="55"/>
      <c r="AL1131" s="56" t="str">
        <f t="shared" si="530"/>
        <v/>
      </c>
      <c r="AM1131" s="55"/>
      <c r="AN1131" s="56" t="str">
        <f t="shared" si="531"/>
        <v/>
      </c>
      <c r="AO1131" s="55"/>
      <c r="AP1131" s="56" t="str">
        <f t="shared" si="532"/>
        <v/>
      </c>
      <c r="AQ1131" s="55"/>
      <c r="AR1131" s="56" t="str">
        <f t="shared" si="533"/>
        <v/>
      </c>
      <c r="AS1131" s="57" t="s">
        <v>68</v>
      </c>
      <c r="AT1131" s="58"/>
      <c r="AU1131" s="58"/>
      <c r="AV1131" s="59"/>
      <c r="AW1131" s="60">
        <f t="shared" si="512"/>
        <v>0</v>
      </c>
      <c r="AX1131" s="61" t="str">
        <f t="shared" si="513"/>
        <v/>
      </c>
      <c r="AY1131" s="60">
        <f t="shared" si="514"/>
        <v>0</v>
      </c>
      <c r="AZ1131" s="61" t="str">
        <f t="shared" si="515"/>
        <v/>
      </c>
    </row>
    <row r="1132" spans="1:52" s="3" customFormat="1" hidden="1" x14ac:dyDescent="0.35">
      <c r="A1132" s="72">
        <f t="shared" si="516"/>
        <v>2021</v>
      </c>
      <c r="B1132" s="72" t="str">
        <f t="shared" si="517"/>
        <v>Nov</v>
      </c>
      <c r="C1132" s="73">
        <f t="shared" si="534"/>
        <v>15</v>
      </c>
      <c r="D1132" s="74">
        <f t="shared" si="518"/>
        <v>8</v>
      </c>
      <c r="E1132" s="75">
        <f t="shared" si="535"/>
        <v>17</v>
      </c>
      <c r="F1132" s="79"/>
      <c r="G1132" s="82"/>
      <c r="H1132" s="68" t="str">
        <f t="shared" si="536"/>
        <v>Hyprev7_20211115_08_00</v>
      </c>
      <c r="I1132" s="69">
        <f t="shared" si="539"/>
        <v>1</v>
      </c>
      <c r="J1132" s="76" t="str">
        <f t="shared" si="539"/>
        <v>Hypericum</v>
      </c>
      <c r="K1132" s="76" t="str">
        <f t="shared" si="539"/>
        <v>revolutum</v>
      </c>
      <c r="L1132" s="77">
        <f t="shared" si="539"/>
        <v>7</v>
      </c>
      <c r="M1132" s="77">
        <f t="shared" si="539"/>
        <v>2</v>
      </c>
      <c r="N1132" s="71">
        <f t="shared" si="539"/>
        <v>0</v>
      </c>
      <c r="O1132" s="44"/>
      <c r="P1132" s="45" t="str">
        <f t="shared" si="519"/>
        <v/>
      </c>
      <c r="Q1132" s="46" t="str">
        <f t="shared" si="520"/>
        <v/>
      </c>
      <c r="R1132" s="47" t="e">
        <f t="shared" si="521"/>
        <v>#VALUE!</v>
      </c>
      <c r="S1132" s="48" t="e">
        <f t="shared" si="511"/>
        <v>#VALUE!</v>
      </c>
      <c r="T1132" s="47" t="str">
        <f t="shared" si="522"/>
        <v/>
      </c>
      <c r="U1132" s="49"/>
      <c r="V1132" s="50"/>
      <c r="W1132" s="51" t="e">
        <f t="shared" si="523"/>
        <v>#VALUE!</v>
      </c>
      <c r="X1132" s="52"/>
      <c r="Y1132" s="52"/>
      <c r="Z1132" s="52"/>
      <c r="AA1132" s="47" t="e">
        <f>INDEX(VISITORS[INSECT ORDER], MATCH(X1132,VISITORS[NAME USED],0))</f>
        <v>#N/A</v>
      </c>
      <c r="AB1132" s="47" t="e">
        <f t="shared" si="524"/>
        <v>#N/A</v>
      </c>
      <c r="AC1132" s="53" t="e">
        <f t="shared" si="525"/>
        <v>#VALUE!</v>
      </c>
      <c r="AD1132" s="54" t="str">
        <f t="shared" si="526"/>
        <v/>
      </c>
      <c r="AE1132" s="54"/>
      <c r="AF1132" s="54"/>
      <c r="AG1132" s="55" t="str">
        <f t="shared" si="527"/>
        <v/>
      </c>
      <c r="AH1132" s="56" t="str">
        <f t="shared" si="528"/>
        <v/>
      </c>
      <c r="AI1132" s="55"/>
      <c r="AJ1132" s="56" t="str">
        <f t="shared" si="529"/>
        <v/>
      </c>
      <c r="AK1132" s="55"/>
      <c r="AL1132" s="56" t="str">
        <f t="shared" si="530"/>
        <v/>
      </c>
      <c r="AM1132" s="55"/>
      <c r="AN1132" s="56" t="str">
        <f t="shared" si="531"/>
        <v/>
      </c>
      <c r="AO1132" s="55"/>
      <c r="AP1132" s="56" t="str">
        <f t="shared" si="532"/>
        <v/>
      </c>
      <c r="AQ1132" s="55"/>
      <c r="AR1132" s="56" t="str">
        <f t="shared" si="533"/>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2021</v>
      </c>
      <c r="B1133" s="72" t="str">
        <f t="shared" si="517"/>
        <v>Nov</v>
      </c>
      <c r="C1133" s="73">
        <f t="shared" si="534"/>
        <v>15</v>
      </c>
      <c r="D1133" s="74">
        <f t="shared" si="518"/>
        <v>8</v>
      </c>
      <c r="E1133" s="75">
        <f t="shared" si="535"/>
        <v>18</v>
      </c>
      <c r="F1133" s="79"/>
      <c r="G1133" s="82"/>
      <c r="H1133" s="68" t="str">
        <f t="shared" si="536"/>
        <v>Hyprev7_20211115_08_00</v>
      </c>
      <c r="I1133" s="69">
        <f t="shared" si="539"/>
        <v>1</v>
      </c>
      <c r="J1133" s="76" t="str">
        <f t="shared" si="539"/>
        <v>Hypericum</v>
      </c>
      <c r="K1133" s="76" t="str">
        <f t="shared" si="539"/>
        <v>revolutum</v>
      </c>
      <c r="L1133" s="77">
        <f t="shared" si="539"/>
        <v>7</v>
      </c>
      <c r="M1133" s="77">
        <f t="shared" si="539"/>
        <v>2</v>
      </c>
      <c r="N1133" s="71">
        <f t="shared" si="539"/>
        <v>0</v>
      </c>
      <c r="O1133" s="44"/>
      <c r="P1133" s="45" t="str">
        <f t="shared" si="519"/>
        <v/>
      </c>
      <c r="Q1133" s="46" t="str">
        <f t="shared" si="520"/>
        <v/>
      </c>
      <c r="R1133" s="47" t="e">
        <f t="shared" si="521"/>
        <v>#VALUE!</v>
      </c>
      <c r="S1133" s="48" t="e">
        <f t="shared" si="511"/>
        <v>#VALUE!</v>
      </c>
      <c r="T1133" s="47" t="str">
        <f t="shared" si="522"/>
        <v/>
      </c>
      <c r="U1133" s="49"/>
      <c r="V1133" s="50"/>
      <c r="W1133" s="51" t="e">
        <f t="shared" si="523"/>
        <v>#VALUE!</v>
      </c>
      <c r="X1133" s="52"/>
      <c r="Y1133" s="52"/>
      <c r="Z1133" s="52"/>
      <c r="AA1133" s="47" t="e">
        <f>INDEX(VISITORS[INSECT ORDER], MATCH(X1133,VISITORS[NAME USED],0))</f>
        <v>#N/A</v>
      </c>
      <c r="AB1133" s="47" t="e">
        <f t="shared" si="524"/>
        <v>#N/A</v>
      </c>
      <c r="AC1133" s="53" t="e">
        <f t="shared" si="525"/>
        <v>#VALUE!</v>
      </c>
      <c r="AD1133" s="54" t="str">
        <f t="shared" si="526"/>
        <v/>
      </c>
      <c r="AE1133" s="54"/>
      <c r="AF1133" s="54"/>
      <c r="AG1133" s="55" t="str">
        <f t="shared" si="527"/>
        <v/>
      </c>
      <c r="AH1133" s="56" t="str">
        <f t="shared" si="528"/>
        <v/>
      </c>
      <c r="AI1133" s="55"/>
      <c r="AJ1133" s="56" t="str">
        <f t="shared" si="529"/>
        <v/>
      </c>
      <c r="AK1133" s="55"/>
      <c r="AL1133" s="56" t="str">
        <f t="shared" si="530"/>
        <v/>
      </c>
      <c r="AM1133" s="55"/>
      <c r="AN1133" s="56" t="str">
        <f t="shared" si="531"/>
        <v/>
      </c>
      <c r="AO1133" s="55"/>
      <c r="AP1133" s="56" t="str">
        <f t="shared" si="532"/>
        <v/>
      </c>
      <c r="AQ1133" s="55"/>
      <c r="AR1133" s="56" t="str">
        <f t="shared" si="533"/>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2021</v>
      </c>
      <c r="B1134" s="72" t="str">
        <f t="shared" si="517"/>
        <v>Nov</v>
      </c>
      <c r="C1134" s="73">
        <f t="shared" si="534"/>
        <v>15</v>
      </c>
      <c r="D1134" s="74">
        <f t="shared" si="518"/>
        <v>8</v>
      </c>
      <c r="E1134" s="75">
        <f t="shared" si="535"/>
        <v>19</v>
      </c>
      <c r="F1134" s="79"/>
      <c r="G1134" s="82"/>
      <c r="H1134" s="68" t="str">
        <f t="shared" si="536"/>
        <v>Hyprev7_20211115_08_00</v>
      </c>
      <c r="I1134" s="69">
        <f t="shared" si="539"/>
        <v>1</v>
      </c>
      <c r="J1134" s="76" t="str">
        <f t="shared" si="539"/>
        <v>Hypericum</v>
      </c>
      <c r="K1134" s="76" t="str">
        <f t="shared" si="539"/>
        <v>revolutum</v>
      </c>
      <c r="L1134" s="77">
        <f t="shared" si="539"/>
        <v>7</v>
      </c>
      <c r="M1134" s="77">
        <f t="shared" si="539"/>
        <v>2</v>
      </c>
      <c r="N1134" s="71">
        <f t="shared" si="539"/>
        <v>0</v>
      </c>
      <c r="O1134" s="44"/>
      <c r="P1134" s="45" t="str">
        <f t="shared" si="519"/>
        <v/>
      </c>
      <c r="Q1134" s="46" t="str">
        <f t="shared" si="520"/>
        <v/>
      </c>
      <c r="R1134" s="47" t="e">
        <f t="shared" si="521"/>
        <v>#VALUE!</v>
      </c>
      <c r="S1134" s="48" t="e">
        <f t="shared" si="511"/>
        <v>#VALUE!</v>
      </c>
      <c r="T1134" s="47" t="str">
        <f t="shared" si="522"/>
        <v/>
      </c>
      <c r="U1134" s="49"/>
      <c r="V1134" s="50"/>
      <c r="W1134" s="51" t="e">
        <f t="shared" si="523"/>
        <v>#VALUE!</v>
      </c>
      <c r="X1134" s="52"/>
      <c r="Y1134" s="52"/>
      <c r="Z1134" s="52"/>
      <c r="AA1134" s="47" t="e">
        <f>INDEX(VISITORS[INSECT ORDER], MATCH(X1134,VISITORS[NAME USED],0))</f>
        <v>#N/A</v>
      </c>
      <c r="AB1134" s="47" t="e">
        <f t="shared" si="524"/>
        <v>#N/A</v>
      </c>
      <c r="AC1134" s="53" t="e">
        <f t="shared" si="525"/>
        <v>#VALUE!</v>
      </c>
      <c r="AD1134" s="54" t="str">
        <f t="shared" si="526"/>
        <v/>
      </c>
      <c r="AE1134" s="54"/>
      <c r="AF1134" s="54"/>
      <c r="AG1134" s="55" t="str">
        <f t="shared" si="527"/>
        <v/>
      </c>
      <c r="AH1134" s="56" t="str">
        <f t="shared" si="528"/>
        <v/>
      </c>
      <c r="AI1134" s="55"/>
      <c r="AJ1134" s="56" t="str">
        <f t="shared" si="529"/>
        <v/>
      </c>
      <c r="AK1134" s="55"/>
      <c r="AL1134" s="56" t="str">
        <f t="shared" si="530"/>
        <v/>
      </c>
      <c r="AM1134" s="55"/>
      <c r="AN1134" s="56" t="str">
        <f t="shared" si="531"/>
        <v/>
      </c>
      <c r="AO1134" s="55"/>
      <c r="AP1134" s="56" t="str">
        <f t="shared" si="532"/>
        <v/>
      </c>
      <c r="AQ1134" s="55"/>
      <c r="AR1134" s="56" t="str">
        <f t="shared" si="533"/>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2021</v>
      </c>
      <c r="B1135" s="72" t="str">
        <f t="shared" si="517"/>
        <v>Nov</v>
      </c>
      <c r="C1135" s="73">
        <f t="shared" si="534"/>
        <v>15</v>
      </c>
      <c r="D1135" s="74">
        <f t="shared" si="518"/>
        <v>8</v>
      </c>
      <c r="E1135" s="75">
        <f t="shared" si="535"/>
        <v>20</v>
      </c>
      <c r="F1135" s="79"/>
      <c r="G1135" s="82"/>
      <c r="H1135" s="68" t="str">
        <f t="shared" si="536"/>
        <v>Hyprev7_20211115_08_00</v>
      </c>
      <c r="I1135" s="69">
        <f t="shared" si="539"/>
        <v>1</v>
      </c>
      <c r="J1135" s="76" t="str">
        <f t="shared" si="539"/>
        <v>Hypericum</v>
      </c>
      <c r="K1135" s="76" t="str">
        <f t="shared" si="539"/>
        <v>revolutum</v>
      </c>
      <c r="L1135" s="77">
        <f t="shared" si="539"/>
        <v>7</v>
      </c>
      <c r="M1135" s="77">
        <f t="shared" si="539"/>
        <v>2</v>
      </c>
      <c r="N1135" s="71">
        <f t="shared" si="539"/>
        <v>0</v>
      </c>
      <c r="O1135" s="44"/>
      <c r="P1135" s="45" t="str">
        <f t="shared" si="519"/>
        <v/>
      </c>
      <c r="Q1135" s="46" t="str">
        <f t="shared" si="520"/>
        <v/>
      </c>
      <c r="R1135" s="47" t="e">
        <f t="shared" si="521"/>
        <v>#VALUE!</v>
      </c>
      <c r="S1135" s="48" t="e">
        <f t="shared" si="511"/>
        <v>#VALUE!</v>
      </c>
      <c r="T1135" s="47" t="str">
        <f t="shared" si="522"/>
        <v/>
      </c>
      <c r="U1135" s="49"/>
      <c r="V1135" s="50"/>
      <c r="W1135" s="51" t="e">
        <f t="shared" si="523"/>
        <v>#VALUE!</v>
      </c>
      <c r="X1135" s="52"/>
      <c r="Y1135" s="52"/>
      <c r="Z1135" s="52"/>
      <c r="AA1135" s="47" t="e">
        <f>INDEX(VISITORS[INSECT ORDER], MATCH(X1135,VISITORS[NAME USED],0))</f>
        <v>#N/A</v>
      </c>
      <c r="AB1135" s="47" t="e">
        <f t="shared" si="524"/>
        <v>#N/A</v>
      </c>
      <c r="AC1135" s="53" t="e">
        <f t="shared" si="525"/>
        <v>#VALUE!</v>
      </c>
      <c r="AD1135" s="54" t="str">
        <f t="shared" si="526"/>
        <v/>
      </c>
      <c r="AE1135" s="54"/>
      <c r="AF1135" s="54"/>
      <c r="AG1135" s="55" t="str">
        <f t="shared" si="527"/>
        <v/>
      </c>
      <c r="AH1135" s="56" t="str">
        <f t="shared" si="528"/>
        <v/>
      </c>
      <c r="AI1135" s="55"/>
      <c r="AJ1135" s="56" t="str">
        <f t="shared" si="529"/>
        <v/>
      </c>
      <c r="AK1135" s="55"/>
      <c r="AL1135" s="56" t="str">
        <f t="shared" si="530"/>
        <v/>
      </c>
      <c r="AM1135" s="55"/>
      <c r="AN1135" s="56" t="str">
        <f t="shared" si="531"/>
        <v/>
      </c>
      <c r="AO1135" s="55"/>
      <c r="AP1135" s="56" t="str">
        <f t="shared" si="532"/>
        <v/>
      </c>
      <c r="AQ1135" s="55"/>
      <c r="AR1135" s="56" t="str">
        <f t="shared" si="533"/>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2021</v>
      </c>
      <c r="B1136" s="72" t="str">
        <f t="shared" si="517"/>
        <v>Nov</v>
      </c>
      <c r="C1136" s="73">
        <f t="shared" si="534"/>
        <v>15</v>
      </c>
      <c r="D1136" s="74">
        <f t="shared" si="518"/>
        <v>8</v>
      </c>
      <c r="E1136" s="75">
        <f t="shared" si="535"/>
        <v>21</v>
      </c>
      <c r="F1136" s="79"/>
      <c r="G1136" s="82"/>
      <c r="H1136" s="68" t="str">
        <f t="shared" si="536"/>
        <v>Hyprev7_20211115_08_00</v>
      </c>
      <c r="I1136" s="69">
        <f t="shared" si="539"/>
        <v>1</v>
      </c>
      <c r="J1136" s="76" t="str">
        <f t="shared" si="539"/>
        <v>Hypericum</v>
      </c>
      <c r="K1136" s="76" t="str">
        <f t="shared" si="539"/>
        <v>revolutum</v>
      </c>
      <c r="L1136" s="77">
        <f t="shared" si="539"/>
        <v>7</v>
      </c>
      <c r="M1136" s="77">
        <f t="shared" si="539"/>
        <v>2</v>
      </c>
      <c r="N1136" s="71">
        <f t="shared" si="539"/>
        <v>0</v>
      </c>
      <c r="O1136" s="44"/>
      <c r="P1136" s="45" t="str">
        <f t="shared" si="519"/>
        <v/>
      </c>
      <c r="Q1136" s="46" t="str">
        <f t="shared" si="520"/>
        <v/>
      </c>
      <c r="R1136" s="47" t="e">
        <f t="shared" si="521"/>
        <v>#VALUE!</v>
      </c>
      <c r="S1136" s="48" t="e">
        <f t="shared" si="511"/>
        <v>#VALUE!</v>
      </c>
      <c r="T1136" s="47" t="str">
        <f t="shared" si="522"/>
        <v/>
      </c>
      <c r="U1136" s="49"/>
      <c r="V1136" s="50"/>
      <c r="W1136" s="51" t="e">
        <f t="shared" si="523"/>
        <v>#VALUE!</v>
      </c>
      <c r="X1136" s="52"/>
      <c r="Y1136" s="52"/>
      <c r="Z1136" s="52"/>
      <c r="AA1136" s="47" t="e">
        <f>INDEX(VISITORS[INSECT ORDER], MATCH(X1136,VISITORS[NAME USED],0))</f>
        <v>#N/A</v>
      </c>
      <c r="AB1136" s="47" t="e">
        <f t="shared" si="524"/>
        <v>#N/A</v>
      </c>
      <c r="AC1136" s="53" t="e">
        <f t="shared" si="525"/>
        <v>#VALUE!</v>
      </c>
      <c r="AD1136" s="54" t="str">
        <f t="shared" si="526"/>
        <v/>
      </c>
      <c r="AE1136" s="54"/>
      <c r="AF1136" s="54"/>
      <c r="AG1136" s="55" t="str">
        <f t="shared" si="527"/>
        <v/>
      </c>
      <c r="AH1136" s="56" t="str">
        <f t="shared" si="528"/>
        <v/>
      </c>
      <c r="AI1136" s="55"/>
      <c r="AJ1136" s="56" t="str">
        <f t="shared" si="529"/>
        <v/>
      </c>
      <c r="AK1136" s="55"/>
      <c r="AL1136" s="56" t="str">
        <f t="shared" si="530"/>
        <v/>
      </c>
      <c r="AM1136" s="55"/>
      <c r="AN1136" s="56" t="str">
        <f t="shared" si="531"/>
        <v/>
      </c>
      <c r="AO1136" s="55"/>
      <c r="AP1136" s="56" t="str">
        <f t="shared" si="532"/>
        <v/>
      </c>
      <c r="AQ1136" s="55"/>
      <c r="AR1136" s="56" t="str">
        <f t="shared" si="533"/>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2021</v>
      </c>
      <c r="B1137" s="72" t="str">
        <f t="shared" si="517"/>
        <v>Nov</v>
      </c>
      <c r="C1137" s="73">
        <f t="shared" si="534"/>
        <v>15</v>
      </c>
      <c r="D1137" s="74">
        <f t="shared" si="518"/>
        <v>8</v>
      </c>
      <c r="E1137" s="75">
        <f t="shared" si="535"/>
        <v>22</v>
      </c>
      <c r="F1137" s="79"/>
      <c r="G1137" s="82"/>
      <c r="H1137" s="68" t="str">
        <f t="shared" si="536"/>
        <v>Hyprev7_20211115_08_00</v>
      </c>
      <c r="I1137" s="69">
        <f t="shared" si="539"/>
        <v>1</v>
      </c>
      <c r="J1137" s="76" t="str">
        <f t="shared" si="539"/>
        <v>Hypericum</v>
      </c>
      <c r="K1137" s="76" t="str">
        <f t="shared" si="539"/>
        <v>revolutum</v>
      </c>
      <c r="L1137" s="77">
        <f t="shared" si="539"/>
        <v>7</v>
      </c>
      <c r="M1137" s="77">
        <f t="shared" si="539"/>
        <v>2</v>
      </c>
      <c r="N1137" s="71">
        <f t="shared" si="539"/>
        <v>0</v>
      </c>
      <c r="O1137" s="44"/>
      <c r="P1137" s="45" t="str">
        <f t="shared" si="519"/>
        <v/>
      </c>
      <c r="Q1137" s="46" t="str">
        <f t="shared" si="520"/>
        <v/>
      </c>
      <c r="R1137" s="47" t="e">
        <f t="shared" si="521"/>
        <v>#VALUE!</v>
      </c>
      <c r="S1137" s="48" t="e">
        <f t="shared" si="511"/>
        <v>#VALUE!</v>
      </c>
      <c r="T1137" s="47" t="str">
        <f t="shared" si="522"/>
        <v/>
      </c>
      <c r="U1137" s="49"/>
      <c r="V1137" s="50"/>
      <c r="W1137" s="51" t="e">
        <f t="shared" si="523"/>
        <v>#VALUE!</v>
      </c>
      <c r="X1137" s="52"/>
      <c r="Y1137" s="52"/>
      <c r="Z1137" s="52"/>
      <c r="AA1137" s="47" t="e">
        <f>INDEX(VISITORS[INSECT ORDER], MATCH(X1137,VISITORS[NAME USED],0))</f>
        <v>#N/A</v>
      </c>
      <c r="AB1137" s="47" t="e">
        <f t="shared" si="524"/>
        <v>#N/A</v>
      </c>
      <c r="AC1137" s="53" t="e">
        <f t="shared" si="525"/>
        <v>#VALUE!</v>
      </c>
      <c r="AD1137" s="54" t="str">
        <f t="shared" si="526"/>
        <v/>
      </c>
      <c r="AE1137" s="54"/>
      <c r="AF1137" s="54"/>
      <c r="AG1137" s="55" t="str">
        <f t="shared" si="527"/>
        <v/>
      </c>
      <c r="AH1137" s="56" t="str">
        <f t="shared" si="528"/>
        <v/>
      </c>
      <c r="AI1137" s="55"/>
      <c r="AJ1137" s="56" t="str">
        <f t="shared" si="529"/>
        <v/>
      </c>
      <c r="AK1137" s="55"/>
      <c r="AL1137" s="56" t="str">
        <f t="shared" si="530"/>
        <v/>
      </c>
      <c r="AM1137" s="55"/>
      <c r="AN1137" s="56" t="str">
        <f t="shared" si="531"/>
        <v/>
      </c>
      <c r="AO1137" s="55"/>
      <c r="AP1137" s="56" t="str">
        <f t="shared" si="532"/>
        <v/>
      </c>
      <c r="AQ1137" s="55"/>
      <c r="AR1137" s="56" t="str">
        <f t="shared" si="533"/>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2021</v>
      </c>
      <c r="B1138" s="72" t="str">
        <f t="shared" si="517"/>
        <v>Nov</v>
      </c>
      <c r="C1138" s="73">
        <f t="shared" si="534"/>
        <v>15</v>
      </c>
      <c r="D1138" s="74">
        <f t="shared" si="518"/>
        <v>8</v>
      </c>
      <c r="E1138" s="75">
        <f t="shared" si="535"/>
        <v>23</v>
      </c>
      <c r="F1138" s="79"/>
      <c r="G1138" s="82"/>
      <c r="H1138" s="68" t="str">
        <f t="shared" si="536"/>
        <v>Hyprev7_20211115_08_00</v>
      </c>
      <c r="I1138" s="69">
        <f t="shared" si="539"/>
        <v>1</v>
      </c>
      <c r="J1138" s="76" t="str">
        <f t="shared" si="539"/>
        <v>Hypericum</v>
      </c>
      <c r="K1138" s="76" t="str">
        <f t="shared" si="539"/>
        <v>revolutum</v>
      </c>
      <c r="L1138" s="77">
        <f t="shared" si="539"/>
        <v>7</v>
      </c>
      <c r="M1138" s="77">
        <f t="shared" si="539"/>
        <v>2</v>
      </c>
      <c r="N1138" s="71">
        <f t="shared" si="539"/>
        <v>0</v>
      </c>
      <c r="O1138" s="44"/>
      <c r="P1138" s="45" t="str">
        <f t="shared" si="519"/>
        <v/>
      </c>
      <c r="Q1138" s="46" t="str">
        <f t="shared" si="520"/>
        <v/>
      </c>
      <c r="R1138" s="47" t="e">
        <f t="shared" si="521"/>
        <v>#VALUE!</v>
      </c>
      <c r="S1138" s="48" t="e">
        <f t="shared" si="511"/>
        <v>#VALUE!</v>
      </c>
      <c r="T1138" s="47" t="str">
        <f t="shared" si="522"/>
        <v/>
      </c>
      <c r="U1138" s="49"/>
      <c r="V1138" s="50"/>
      <c r="W1138" s="51" t="e">
        <f t="shared" si="523"/>
        <v>#VALUE!</v>
      </c>
      <c r="X1138" s="52"/>
      <c r="Y1138" s="52"/>
      <c r="Z1138" s="52"/>
      <c r="AA1138" s="47" t="e">
        <f>INDEX(VISITORS[INSECT ORDER], MATCH(X1138,VISITORS[NAME USED],0))</f>
        <v>#N/A</v>
      </c>
      <c r="AB1138" s="47" t="e">
        <f t="shared" si="524"/>
        <v>#N/A</v>
      </c>
      <c r="AC1138" s="53" t="e">
        <f t="shared" si="525"/>
        <v>#VALUE!</v>
      </c>
      <c r="AD1138" s="54" t="str">
        <f t="shared" si="526"/>
        <v/>
      </c>
      <c r="AE1138" s="54"/>
      <c r="AF1138" s="54"/>
      <c r="AG1138" s="55" t="str">
        <f t="shared" si="527"/>
        <v/>
      </c>
      <c r="AH1138" s="56" t="str">
        <f t="shared" si="528"/>
        <v/>
      </c>
      <c r="AI1138" s="55"/>
      <c r="AJ1138" s="56" t="str">
        <f t="shared" si="529"/>
        <v/>
      </c>
      <c r="AK1138" s="55"/>
      <c r="AL1138" s="56" t="str">
        <f t="shared" si="530"/>
        <v/>
      </c>
      <c r="AM1138" s="55"/>
      <c r="AN1138" s="56" t="str">
        <f t="shared" si="531"/>
        <v/>
      </c>
      <c r="AO1138" s="55"/>
      <c r="AP1138" s="56" t="str">
        <f t="shared" si="532"/>
        <v/>
      </c>
      <c r="AQ1138" s="55"/>
      <c r="AR1138" s="56" t="str">
        <f t="shared" si="533"/>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2021</v>
      </c>
      <c r="B1139" s="72" t="str">
        <f t="shared" si="517"/>
        <v>Nov</v>
      </c>
      <c r="C1139" s="73">
        <f t="shared" si="534"/>
        <v>15</v>
      </c>
      <c r="D1139" s="74">
        <f t="shared" si="518"/>
        <v>8</v>
      </c>
      <c r="E1139" s="75">
        <f t="shared" si="535"/>
        <v>24</v>
      </c>
      <c r="F1139" s="79"/>
      <c r="G1139" s="82"/>
      <c r="H1139" s="68" t="str">
        <f t="shared" si="536"/>
        <v>Hyprev7_20211115_08_00</v>
      </c>
      <c r="I1139" s="69">
        <f t="shared" si="539"/>
        <v>1</v>
      </c>
      <c r="J1139" s="76" t="str">
        <f t="shared" si="539"/>
        <v>Hypericum</v>
      </c>
      <c r="K1139" s="76" t="str">
        <f t="shared" si="539"/>
        <v>revolutum</v>
      </c>
      <c r="L1139" s="77">
        <f t="shared" si="539"/>
        <v>7</v>
      </c>
      <c r="M1139" s="77">
        <f t="shared" si="539"/>
        <v>2</v>
      </c>
      <c r="N1139" s="71">
        <f t="shared" si="539"/>
        <v>0</v>
      </c>
      <c r="O1139" s="44"/>
      <c r="P1139" s="45" t="str">
        <f t="shared" si="519"/>
        <v/>
      </c>
      <c r="Q1139" s="46" t="str">
        <f t="shared" si="520"/>
        <v/>
      </c>
      <c r="R1139" s="47" t="e">
        <f t="shared" si="521"/>
        <v>#VALUE!</v>
      </c>
      <c r="S1139" s="48" t="e">
        <f t="shared" si="511"/>
        <v>#VALUE!</v>
      </c>
      <c r="T1139" s="47" t="str">
        <f t="shared" si="522"/>
        <v/>
      </c>
      <c r="U1139" s="49"/>
      <c r="V1139" s="50"/>
      <c r="W1139" s="51" t="e">
        <f t="shared" si="523"/>
        <v>#VALUE!</v>
      </c>
      <c r="X1139" s="52"/>
      <c r="Y1139" s="52"/>
      <c r="Z1139" s="52"/>
      <c r="AA1139" s="47" t="e">
        <f>INDEX(VISITORS[INSECT ORDER], MATCH(X1139,VISITORS[NAME USED],0))</f>
        <v>#N/A</v>
      </c>
      <c r="AB1139" s="47" t="e">
        <f t="shared" si="524"/>
        <v>#N/A</v>
      </c>
      <c r="AC1139" s="53" t="e">
        <f t="shared" si="525"/>
        <v>#VALUE!</v>
      </c>
      <c r="AD1139" s="54" t="str">
        <f t="shared" si="526"/>
        <v/>
      </c>
      <c r="AE1139" s="54"/>
      <c r="AF1139" s="54"/>
      <c r="AG1139" s="55" t="str">
        <f t="shared" si="527"/>
        <v/>
      </c>
      <c r="AH1139" s="56" t="str">
        <f t="shared" si="528"/>
        <v/>
      </c>
      <c r="AI1139" s="55"/>
      <c r="AJ1139" s="56" t="str">
        <f t="shared" si="529"/>
        <v/>
      </c>
      <c r="AK1139" s="55"/>
      <c r="AL1139" s="56" t="str">
        <f t="shared" si="530"/>
        <v/>
      </c>
      <c r="AM1139" s="55"/>
      <c r="AN1139" s="56" t="str">
        <f t="shared" si="531"/>
        <v/>
      </c>
      <c r="AO1139" s="55"/>
      <c r="AP1139" s="56" t="str">
        <f t="shared" si="532"/>
        <v/>
      </c>
      <c r="AQ1139" s="55"/>
      <c r="AR1139" s="56" t="str">
        <f t="shared" si="533"/>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2021</v>
      </c>
      <c r="B1140" s="72" t="str">
        <f t="shared" si="517"/>
        <v>Nov</v>
      </c>
      <c r="C1140" s="73">
        <f t="shared" si="534"/>
        <v>15</v>
      </c>
      <c r="D1140" s="74">
        <f t="shared" si="518"/>
        <v>8</v>
      </c>
      <c r="E1140" s="75">
        <f t="shared" si="535"/>
        <v>25</v>
      </c>
      <c r="F1140" s="79"/>
      <c r="G1140" s="82"/>
      <c r="H1140" s="68" t="str">
        <f t="shared" si="536"/>
        <v>Hyprev7_20211115_08_00</v>
      </c>
      <c r="I1140" s="69">
        <f t="shared" si="539"/>
        <v>1</v>
      </c>
      <c r="J1140" s="76" t="str">
        <f t="shared" si="539"/>
        <v>Hypericum</v>
      </c>
      <c r="K1140" s="76" t="str">
        <f t="shared" si="539"/>
        <v>revolutum</v>
      </c>
      <c r="L1140" s="77">
        <f t="shared" si="539"/>
        <v>7</v>
      </c>
      <c r="M1140" s="77">
        <f t="shared" si="539"/>
        <v>2</v>
      </c>
      <c r="N1140" s="71">
        <f t="shared" si="539"/>
        <v>0</v>
      </c>
      <c r="O1140" s="44"/>
      <c r="P1140" s="45" t="str">
        <f t="shared" si="519"/>
        <v/>
      </c>
      <c r="Q1140" s="46" t="str">
        <f t="shared" si="520"/>
        <v/>
      </c>
      <c r="R1140" s="47" t="e">
        <f t="shared" si="521"/>
        <v>#VALUE!</v>
      </c>
      <c r="S1140" s="48" t="e">
        <f t="shared" si="511"/>
        <v>#VALUE!</v>
      </c>
      <c r="T1140" s="47" t="str">
        <f t="shared" si="522"/>
        <v/>
      </c>
      <c r="U1140" s="49"/>
      <c r="V1140" s="50"/>
      <c r="W1140" s="51" t="e">
        <f t="shared" si="523"/>
        <v>#VALUE!</v>
      </c>
      <c r="X1140" s="52"/>
      <c r="Y1140" s="52"/>
      <c r="Z1140" s="52"/>
      <c r="AA1140" s="47" t="e">
        <f>INDEX(VISITORS[INSECT ORDER], MATCH(X1140,VISITORS[NAME USED],0))</f>
        <v>#N/A</v>
      </c>
      <c r="AB1140" s="47" t="e">
        <f t="shared" si="524"/>
        <v>#N/A</v>
      </c>
      <c r="AC1140" s="53" t="e">
        <f t="shared" si="525"/>
        <v>#VALUE!</v>
      </c>
      <c r="AD1140" s="54" t="str">
        <f t="shared" si="526"/>
        <v/>
      </c>
      <c r="AE1140" s="54"/>
      <c r="AF1140" s="54"/>
      <c r="AG1140" s="55" t="str">
        <f t="shared" si="527"/>
        <v/>
      </c>
      <c r="AH1140" s="56" t="str">
        <f t="shared" si="528"/>
        <v/>
      </c>
      <c r="AI1140" s="55"/>
      <c r="AJ1140" s="56" t="str">
        <f t="shared" si="529"/>
        <v/>
      </c>
      <c r="AK1140" s="55"/>
      <c r="AL1140" s="56" t="str">
        <f t="shared" si="530"/>
        <v/>
      </c>
      <c r="AM1140" s="55"/>
      <c r="AN1140" s="56" t="str">
        <f t="shared" si="531"/>
        <v/>
      </c>
      <c r="AO1140" s="55"/>
      <c r="AP1140" s="56" t="str">
        <f t="shared" si="532"/>
        <v/>
      </c>
      <c r="AQ1140" s="55"/>
      <c r="AR1140" s="56" t="str">
        <f t="shared" si="533"/>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2021</v>
      </c>
      <c r="B1141" s="72" t="str">
        <f t="shared" si="517"/>
        <v>Nov</v>
      </c>
      <c r="C1141" s="73">
        <f t="shared" si="534"/>
        <v>15</v>
      </c>
      <c r="D1141" s="74">
        <f t="shared" si="518"/>
        <v>8</v>
      </c>
      <c r="E1141" s="75">
        <f t="shared" si="535"/>
        <v>26</v>
      </c>
      <c r="F1141" s="79"/>
      <c r="G1141" s="82"/>
      <c r="H1141" s="68" t="str">
        <f t="shared" si="536"/>
        <v>Hyprev7_20211115_08_00</v>
      </c>
      <c r="I1141" s="69">
        <f t="shared" ref="I1141:N1156" si="540">I1140</f>
        <v>1</v>
      </c>
      <c r="J1141" s="76" t="str">
        <f t="shared" si="540"/>
        <v>Hypericum</v>
      </c>
      <c r="K1141" s="76" t="str">
        <f t="shared" si="540"/>
        <v>revolutum</v>
      </c>
      <c r="L1141" s="77">
        <f t="shared" si="540"/>
        <v>7</v>
      </c>
      <c r="M1141" s="77">
        <f t="shared" si="540"/>
        <v>2</v>
      </c>
      <c r="N1141" s="71">
        <f t="shared" si="540"/>
        <v>0</v>
      </c>
      <c r="O1141" s="44"/>
      <c r="P1141" s="45" t="str">
        <f t="shared" si="519"/>
        <v/>
      </c>
      <c r="Q1141" s="46" t="str">
        <f t="shared" si="520"/>
        <v/>
      </c>
      <c r="R1141" s="47" t="e">
        <f t="shared" si="521"/>
        <v>#VALUE!</v>
      </c>
      <c r="S1141" s="48" t="e">
        <f t="shared" si="511"/>
        <v>#VALUE!</v>
      </c>
      <c r="T1141" s="47" t="str">
        <f t="shared" si="522"/>
        <v/>
      </c>
      <c r="U1141" s="49"/>
      <c r="V1141" s="50"/>
      <c r="W1141" s="51" t="e">
        <f t="shared" si="523"/>
        <v>#VALUE!</v>
      </c>
      <c r="X1141" s="52"/>
      <c r="Y1141" s="52"/>
      <c r="Z1141" s="52"/>
      <c r="AA1141" s="47" t="e">
        <f>INDEX(VISITORS[INSECT ORDER], MATCH(X1141,VISITORS[NAME USED],0))</f>
        <v>#N/A</v>
      </c>
      <c r="AB1141" s="47" t="e">
        <f t="shared" si="524"/>
        <v>#N/A</v>
      </c>
      <c r="AC1141" s="53" t="e">
        <f t="shared" si="525"/>
        <v>#VALUE!</v>
      </c>
      <c r="AD1141" s="54" t="str">
        <f t="shared" si="526"/>
        <v/>
      </c>
      <c r="AE1141" s="54"/>
      <c r="AF1141" s="54"/>
      <c r="AG1141" s="55" t="str">
        <f t="shared" si="527"/>
        <v/>
      </c>
      <c r="AH1141" s="56" t="str">
        <f t="shared" si="528"/>
        <v/>
      </c>
      <c r="AI1141" s="55"/>
      <c r="AJ1141" s="56" t="str">
        <f t="shared" si="529"/>
        <v/>
      </c>
      <c r="AK1141" s="55"/>
      <c r="AL1141" s="56" t="str">
        <f t="shared" si="530"/>
        <v/>
      </c>
      <c r="AM1141" s="55"/>
      <c r="AN1141" s="56" t="str">
        <f t="shared" si="531"/>
        <v/>
      </c>
      <c r="AO1141" s="55"/>
      <c r="AP1141" s="56" t="str">
        <f t="shared" si="532"/>
        <v/>
      </c>
      <c r="AQ1141" s="55"/>
      <c r="AR1141" s="56" t="str">
        <f t="shared" si="533"/>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2021</v>
      </c>
      <c r="B1142" s="72" t="str">
        <f t="shared" si="517"/>
        <v>Nov</v>
      </c>
      <c r="C1142" s="73">
        <f t="shared" si="534"/>
        <v>15</v>
      </c>
      <c r="D1142" s="74">
        <f t="shared" si="518"/>
        <v>8</v>
      </c>
      <c r="E1142" s="75">
        <f t="shared" si="535"/>
        <v>27</v>
      </c>
      <c r="F1142" s="79"/>
      <c r="G1142" s="82"/>
      <c r="H1142" s="68" t="str">
        <f t="shared" si="536"/>
        <v>Hyprev7_20211115_08_00</v>
      </c>
      <c r="I1142" s="69">
        <f t="shared" si="540"/>
        <v>1</v>
      </c>
      <c r="J1142" s="76" t="str">
        <f t="shared" si="540"/>
        <v>Hypericum</v>
      </c>
      <c r="K1142" s="76" t="str">
        <f t="shared" si="540"/>
        <v>revolutum</v>
      </c>
      <c r="L1142" s="77">
        <f t="shared" si="540"/>
        <v>7</v>
      </c>
      <c r="M1142" s="77">
        <f t="shared" si="540"/>
        <v>2</v>
      </c>
      <c r="N1142" s="71">
        <f t="shared" si="540"/>
        <v>0</v>
      </c>
      <c r="O1142" s="44"/>
      <c r="P1142" s="45" t="str">
        <f t="shared" si="519"/>
        <v/>
      </c>
      <c r="Q1142" s="46" t="str">
        <f t="shared" si="520"/>
        <v/>
      </c>
      <c r="R1142" s="47" t="e">
        <f t="shared" si="521"/>
        <v>#VALUE!</v>
      </c>
      <c r="S1142" s="48" t="e">
        <f t="shared" si="511"/>
        <v>#VALUE!</v>
      </c>
      <c r="T1142" s="47" t="str">
        <f t="shared" si="522"/>
        <v/>
      </c>
      <c r="U1142" s="49"/>
      <c r="V1142" s="50"/>
      <c r="W1142" s="51" t="e">
        <f t="shared" si="523"/>
        <v>#VALUE!</v>
      </c>
      <c r="X1142" s="52"/>
      <c r="Y1142" s="52"/>
      <c r="Z1142" s="52"/>
      <c r="AA1142" s="47" t="e">
        <f>INDEX(VISITORS[INSECT ORDER], MATCH(X1142,VISITORS[NAME USED],0))</f>
        <v>#N/A</v>
      </c>
      <c r="AB1142" s="47" t="e">
        <f t="shared" si="524"/>
        <v>#N/A</v>
      </c>
      <c r="AC1142" s="53" t="e">
        <f t="shared" si="525"/>
        <v>#VALUE!</v>
      </c>
      <c r="AD1142" s="54" t="str">
        <f t="shared" si="526"/>
        <v/>
      </c>
      <c r="AE1142" s="54"/>
      <c r="AF1142" s="54"/>
      <c r="AG1142" s="55" t="str">
        <f t="shared" si="527"/>
        <v/>
      </c>
      <c r="AH1142" s="56" t="str">
        <f t="shared" si="528"/>
        <v/>
      </c>
      <c r="AI1142" s="55"/>
      <c r="AJ1142" s="56" t="str">
        <f t="shared" si="529"/>
        <v/>
      </c>
      <c r="AK1142" s="55"/>
      <c r="AL1142" s="56" t="str">
        <f t="shared" si="530"/>
        <v/>
      </c>
      <c r="AM1142" s="55"/>
      <c r="AN1142" s="56" t="str">
        <f t="shared" si="531"/>
        <v/>
      </c>
      <c r="AO1142" s="55"/>
      <c r="AP1142" s="56" t="str">
        <f t="shared" si="532"/>
        <v/>
      </c>
      <c r="AQ1142" s="55"/>
      <c r="AR1142" s="56" t="str">
        <f t="shared" si="533"/>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2021</v>
      </c>
      <c r="B1143" s="72" t="str">
        <f t="shared" si="517"/>
        <v>Nov</v>
      </c>
      <c r="C1143" s="73">
        <f t="shared" si="534"/>
        <v>15</v>
      </c>
      <c r="D1143" s="74">
        <f t="shared" si="518"/>
        <v>8</v>
      </c>
      <c r="E1143" s="75">
        <f t="shared" si="535"/>
        <v>28</v>
      </c>
      <c r="F1143" s="79"/>
      <c r="G1143" s="82"/>
      <c r="H1143" s="68" t="str">
        <f t="shared" si="536"/>
        <v>Hyprev7_20211115_08_00</v>
      </c>
      <c r="I1143" s="69">
        <f t="shared" si="540"/>
        <v>1</v>
      </c>
      <c r="J1143" s="76" t="str">
        <f t="shared" si="540"/>
        <v>Hypericum</v>
      </c>
      <c r="K1143" s="76" t="str">
        <f t="shared" si="540"/>
        <v>revolutum</v>
      </c>
      <c r="L1143" s="77">
        <f t="shared" si="540"/>
        <v>7</v>
      </c>
      <c r="M1143" s="77">
        <f t="shared" si="540"/>
        <v>2</v>
      </c>
      <c r="N1143" s="71">
        <f t="shared" si="540"/>
        <v>0</v>
      </c>
      <c r="O1143" s="44"/>
      <c r="P1143" s="45" t="str">
        <f t="shared" si="519"/>
        <v/>
      </c>
      <c r="Q1143" s="46" t="str">
        <f t="shared" si="520"/>
        <v/>
      </c>
      <c r="R1143" s="47" t="e">
        <f t="shared" si="521"/>
        <v>#VALUE!</v>
      </c>
      <c r="S1143" s="48" t="e">
        <f t="shared" si="511"/>
        <v>#VALUE!</v>
      </c>
      <c r="T1143" s="47" t="str">
        <f t="shared" si="522"/>
        <v/>
      </c>
      <c r="U1143" s="49"/>
      <c r="V1143" s="50"/>
      <c r="W1143" s="51" t="e">
        <f t="shared" si="523"/>
        <v>#VALUE!</v>
      </c>
      <c r="X1143" s="52"/>
      <c r="Y1143" s="52"/>
      <c r="Z1143" s="52"/>
      <c r="AA1143" s="47" t="e">
        <f>INDEX(VISITORS[INSECT ORDER], MATCH(X1143,VISITORS[NAME USED],0))</f>
        <v>#N/A</v>
      </c>
      <c r="AB1143" s="47" t="e">
        <f t="shared" si="524"/>
        <v>#N/A</v>
      </c>
      <c r="AC1143" s="53" t="e">
        <f t="shared" si="525"/>
        <v>#VALUE!</v>
      </c>
      <c r="AD1143" s="54" t="str">
        <f t="shared" si="526"/>
        <v/>
      </c>
      <c r="AE1143" s="54"/>
      <c r="AF1143" s="54"/>
      <c r="AG1143" s="55" t="str">
        <f t="shared" si="527"/>
        <v/>
      </c>
      <c r="AH1143" s="56" t="str">
        <f t="shared" si="528"/>
        <v/>
      </c>
      <c r="AI1143" s="55"/>
      <c r="AJ1143" s="56" t="str">
        <f t="shared" si="529"/>
        <v/>
      </c>
      <c r="AK1143" s="55"/>
      <c r="AL1143" s="56" t="str">
        <f t="shared" si="530"/>
        <v/>
      </c>
      <c r="AM1143" s="55"/>
      <c r="AN1143" s="56" t="str">
        <f t="shared" si="531"/>
        <v/>
      </c>
      <c r="AO1143" s="55"/>
      <c r="AP1143" s="56" t="str">
        <f t="shared" si="532"/>
        <v/>
      </c>
      <c r="AQ1143" s="55"/>
      <c r="AR1143" s="56" t="str">
        <f t="shared" si="533"/>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2021</v>
      </c>
      <c r="B1144" s="72" t="str">
        <f t="shared" si="517"/>
        <v>Nov</v>
      </c>
      <c r="C1144" s="73">
        <f t="shared" si="534"/>
        <v>15</v>
      </c>
      <c r="D1144" s="74">
        <f t="shared" si="518"/>
        <v>8</v>
      </c>
      <c r="E1144" s="75">
        <f t="shared" si="535"/>
        <v>29</v>
      </c>
      <c r="F1144" s="79">
        <v>11</v>
      </c>
      <c r="G1144" s="82"/>
      <c r="H1144" s="68" t="str">
        <f t="shared" si="536"/>
        <v>Hyprev7_20211115_08_00</v>
      </c>
      <c r="I1144" s="69">
        <f t="shared" si="540"/>
        <v>1</v>
      </c>
      <c r="J1144" s="76" t="str">
        <f t="shared" si="540"/>
        <v>Hypericum</v>
      </c>
      <c r="K1144" s="76" t="str">
        <f t="shared" si="540"/>
        <v>revolutum</v>
      </c>
      <c r="L1144" s="77">
        <f t="shared" si="540"/>
        <v>7</v>
      </c>
      <c r="M1144" s="77">
        <f t="shared" si="540"/>
        <v>2</v>
      </c>
      <c r="N1144" s="71">
        <f t="shared" si="540"/>
        <v>0</v>
      </c>
      <c r="O1144" s="44"/>
      <c r="P1144" s="45">
        <f t="shared" si="519"/>
        <v>1</v>
      </c>
      <c r="Q1144" s="46" t="str">
        <f t="shared" si="520"/>
        <v>08:29:11</v>
      </c>
      <c r="R1144" s="47" t="str">
        <f t="shared" si="521"/>
        <v>29:11</v>
      </c>
      <c r="S1144" s="48">
        <f t="shared" si="511"/>
        <v>48</v>
      </c>
      <c r="T1144" s="47" t="str">
        <f t="shared" si="522"/>
        <v>08</v>
      </c>
      <c r="U1144" s="49">
        <v>29</v>
      </c>
      <c r="V1144" s="50">
        <v>59</v>
      </c>
      <c r="W1144" s="51" t="str">
        <f t="shared" si="523"/>
        <v>29:59</v>
      </c>
      <c r="X1144" s="52" t="s">
        <v>61</v>
      </c>
      <c r="Y1144" s="124" t="s">
        <v>237</v>
      </c>
      <c r="Z1144" s="124" t="s">
        <v>252</v>
      </c>
      <c r="AA1144" s="47" t="s">
        <v>254</v>
      </c>
      <c r="AB1144" s="47" t="str">
        <f t="shared" si="524"/>
        <v>NA</v>
      </c>
      <c r="AC1144" s="53" t="str">
        <f t="shared" si="525"/>
        <v/>
      </c>
      <c r="AD1144" s="54">
        <f t="shared" si="526"/>
        <v>1</v>
      </c>
      <c r="AE1144" s="54"/>
      <c r="AF1144" s="54"/>
      <c r="AG1144" s="55" t="str">
        <f t="shared" si="527"/>
        <v/>
      </c>
      <c r="AH1144" s="56" t="str">
        <f t="shared" si="528"/>
        <v/>
      </c>
      <c r="AI1144" s="55"/>
      <c r="AJ1144" s="56" t="str">
        <f t="shared" si="529"/>
        <v/>
      </c>
      <c r="AK1144" s="55"/>
      <c r="AL1144" s="56" t="str">
        <f t="shared" si="530"/>
        <v/>
      </c>
      <c r="AM1144" s="55"/>
      <c r="AN1144" s="56" t="str">
        <f t="shared" si="531"/>
        <v/>
      </c>
      <c r="AO1144" s="55"/>
      <c r="AP1144" s="56" t="str">
        <f t="shared" si="532"/>
        <v/>
      </c>
      <c r="AQ1144" s="55"/>
      <c r="AR1144" s="56" t="str">
        <f t="shared" si="533"/>
        <v/>
      </c>
      <c r="AS1144" s="57" t="s">
        <v>187</v>
      </c>
      <c r="AT1144" s="58"/>
      <c r="AU1144" s="58"/>
      <c r="AV1144" s="59"/>
      <c r="AW1144" s="60">
        <f t="shared" si="512"/>
        <v>0</v>
      </c>
      <c r="AX1144" s="61" t="str">
        <f t="shared" si="513"/>
        <v/>
      </c>
      <c r="AY1144" s="60">
        <f t="shared" si="514"/>
        <v>0</v>
      </c>
      <c r="AZ1144" s="61" t="str">
        <f t="shared" si="515"/>
        <v/>
      </c>
    </row>
    <row r="1145" spans="1:52" s="3" customFormat="1" hidden="1" x14ac:dyDescent="0.35">
      <c r="A1145" s="72">
        <f t="shared" si="516"/>
        <v>2021</v>
      </c>
      <c r="B1145" s="72" t="str">
        <f t="shared" si="517"/>
        <v>Nov</v>
      </c>
      <c r="C1145" s="73">
        <f t="shared" si="534"/>
        <v>15</v>
      </c>
      <c r="D1145" s="74">
        <f t="shared" si="518"/>
        <v>8</v>
      </c>
      <c r="E1145" s="75">
        <v>29</v>
      </c>
      <c r="F1145" s="79">
        <v>52</v>
      </c>
      <c r="G1145" s="82"/>
      <c r="H1145" s="68" t="str">
        <f t="shared" si="536"/>
        <v>Hyprev7_20211115_08_00</v>
      </c>
      <c r="I1145" s="69">
        <f t="shared" si="540"/>
        <v>1</v>
      </c>
      <c r="J1145" s="76" t="str">
        <f t="shared" si="540"/>
        <v>Hypericum</v>
      </c>
      <c r="K1145" s="76" t="str">
        <f t="shared" si="540"/>
        <v>revolutum</v>
      </c>
      <c r="L1145" s="77">
        <f t="shared" si="540"/>
        <v>7</v>
      </c>
      <c r="M1145" s="77">
        <f t="shared" si="540"/>
        <v>2</v>
      </c>
      <c r="N1145" s="71">
        <f t="shared" si="540"/>
        <v>0</v>
      </c>
      <c r="O1145" s="44"/>
      <c r="P1145" s="45">
        <f t="shared" si="519"/>
        <v>1</v>
      </c>
      <c r="Q1145" s="46" t="str">
        <f t="shared" si="520"/>
        <v>08:29:52</v>
      </c>
      <c r="R1145" s="47" t="str">
        <f t="shared" si="521"/>
        <v>29:52</v>
      </c>
      <c r="S1145" s="48">
        <f t="shared" si="511"/>
        <v>91</v>
      </c>
      <c r="T1145" s="47" t="str">
        <f t="shared" si="522"/>
        <v>08</v>
      </c>
      <c r="U1145" s="49">
        <v>31</v>
      </c>
      <c r="V1145" s="50">
        <v>23</v>
      </c>
      <c r="W1145" s="51" t="str">
        <f t="shared" si="523"/>
        <v>31:23</v>
      </c>
      <c r="X1145" s="52" t="s">
        <v>61</v>
      </c>
      <c r="Y1145" s="124" t="s">
        <v>237</v>
      </c>
      <c r="Z1145" s="124" t="s">
        <v>252</v>
      </c>
      <c r="AA1145" s="47" t="s">
        <v>254</v>
      </c>
      <c r="AB1145" s="47" t="str">
        <f t="shared" si="524"/>
        <v>NA</v>
      </c>
      <c r="AC1145" s="53" t="str">
        <f t="shared" si="525"/>
        <v/>
      </c>
      <c r="AD1145" s="54">
        <f t="shared" si="526"/>
        <v>1</v>
      </c>
      <c r="AE1145" s="54"/>
      <c r="AF1145" s="54"/>
      <c r="AG1145" s="55" t="str">
        <f t="shared" si="527"/>
        <v/>
      </c>
      <c r="AH1145" s="56" t="str">
        <f t="shared" si="528"/>
        <v/>
      </c>
      <c r="AI1145" s="55"/>
      <c r="AJ1145" s="56" t="str">
        <f t="shared" si="529"/>
        <v/>
      </c>
      <c r="AK1145" s="55"/>
      <c r="AL1145" s="56" t="str">
        <f t="shared" si="530"/>
        <v/>
      </c>
      <c r="AM1145" s="55"/>
      <c r="AN1145" s="56" t="str">
        <f t="shared" si="531"/>
        <v/>
      </c>
      <c r="AO1145" s="55"/>
      <c r="AP1145" s="56" t="str">
        <f t="shared" si="532"/>
        <v/>
      </c>
      <c r="AQ1145" s="55"/>
      <c r="AR1145" s="56" t="str">
        <f t="shared" si="533"/>
        <v/>
      </c>
      <c r="AS1145" s="57" t="s">
        <v>188</v>
      </c>
      <c r="AT1145" s="58"/>
      <c r="AU1145" s="58"/>
      <c r="AV1145" s="59"/>
      <c r="AW1145" s="60">
        <f t="shared" si="512"/>
        <v>0</v>
      </c>
      <c r="AX1145" s="61" t="str">
        <f t="shared" si="513"/>
        <v/>
      </c>
      <c r="AY1145" s="60">
        <f t="shared" si="514"/>
        <v>0</v>
      </c>
      <c r="AZ1145" s="61" t="str">
        <f t="shared" si="515"/>
        <v/>
      </c>
    </row>
    <row r="1146" spans="1:52" s="3" customFormat="1" hidden="1" x14ac:dyDescent="0.35">
      <c r="A1146" s="72">
        <f t="shared" si="516"/>
        <v>2021</v>
      </c>
      <c r="B1146" s="72" t="str">
        <f t="shared" si="517"/>
        <v>Nov</v>
      </c>
      <c r="C1146" s="73">
        <f t="shared" si="534"/>
        <v>15</v>
      </c>
      <c r="D1146" s="74">
        <f t="shared" si="518"/>
        <v>8</v>
      </c>
      <c r="E1146" s="75">
        <f t="shared" si="535"/>
        <v>30</v>
      </c>
      <c r="F1146" s="79">
        <v>28</v>
      </c>
      <c r="G1146" s="82"/>
      <c r="H1146" s="68" t="str">
        <f t="shared" si="536"/>
        <v>Hyprev7_20211115_08_00</v>
      </c>
      <c r="I1146" s="69">
        <f t="shared" si="540"/>
        <v>1</v>
      </c>
      <c r="J1146" s="76" t="str">
        <f t="shared" si="540"/>
        <v>Hypericum</v>
      </c>
      <c r="K1146" s="76" t="str">
        <f t="shared" si="540"/>
        <v>revolutum</v>
      </c>
      <c r="L1146" s="77">
        <f t="shared" si="540"/>
        <v>7</v>
      </c>
      <c r="M1146" s="77">
        <f t="shared" si="540"/>
        <v>2</v>
      </c>
      <c r="N1146" s="71">
        <f t="shared" si="540"/>
        <v>0</v>
      </c>
      <c r="O1146" s="44"/>
      <c r="P1146" s="45">
        <f t="shared" si="519"/>
        <v>1</v>
      </c>
      <c r="Q1146" s="46" t="str">
        <f t="shared" si="520"/>
        <v>08:30:28</v>
      </c>
      <c r="R1146" s="47" t="str">
        <f t="shared" si="521"/>
        <v>30:28</v>
      </c>
      <c r="S1146" s="48">
        <f t="shared" si="511"/>
        <v>72</v>
      </c>
      <c r="T1146" s="47" t="str">
        <f t="shared" si="522"/>
        <v>08</v>
      </c>
      <c r="U1146" s="49">
        <v>31</v>
      </c>
      <c r="V1146" s="50">
        <v>40</v>
      </c>
      <c r="W1146" s="51" t="str">
        <f t="shared" si="523"/>
        <v>31:40</v>
      </c>
      <c r="X1146" s="52" t="s">
        <v>61</v>
      </c>
      <c r="Y1146" s="124" t="s">
        <v>237</v>
      </c>
      <c r="Z1146" s="124" t="s">
        <v>252</v>
      </c>
      <c r="AA1146" s="47" t="s">
        <v>254</v>
      </c>
      <c r="AB1146" s="47" t="str">
        <f t="shared" si="524"/>
        <v>NA</v>
      </c>
      <c r="AC1146" s="53" t="str">
        <f t="shared" si="525"/>
        <v/>
      </c>
      <c r="AD1146" s="54">
        <f t="shared" si="526"/>
        <v>1</v>
      </c>
      <c r="AE1146" s="54"/>
      <c r="AF1146" s="54"/>
      <c r="AG1146" s="55" t="str">
        <f t="shared" si="527"/>
        <v/>
      </c>
      <c r="AH1146" s="56" t="str">
        <f t="shared" si="528"/>
        <v/>
      </c>
      <c r="AI1146" s="55"/>
      <c r="AJ1146" s="56" t="str">
        <f t="shared" si="529"/>
        <v/>
      </c>
      <c r="AK1146" s="55"/>
      <c r="AL1146" s="56" t="str">
        <f t="shared" si="530"/>
        <v/>
      </c>
      <c r="AM1146" s="55"/>
      <c r="AN1146" s="56" t="str">
        <f t="shared" si="531"/>
        <v/>
      </c>
      <c r="AO1146" s="55"/>
      <c r="AP1146" s="56" t="str">
        <f t="shared" si="532"/>
        <v/>
      </c>
      <c r="AQ1146" s="55"/>
      <c r="AR1146" s="56" t="str">
        <f t="shared" si="533"/>
        <v/>
      </c>
      <c r="AS1146" s="57" t="s">
        <v>62</v>
      </c>
      <c r="AT1146" s="58"/>
      <c r="AU1146" s="58"/>
      <c r="AV1146" s="59"/>
      <c r="AW1146" s="60">
        <f t="shared" si="512"/>
        <v>0</v>
      </c>
      <c r="AX1146" s="61" t="str">
        <f t="shared" si="513"/>
        <v/>
      </c>
      <c r="AY1146" s="60">
        <f t="shared" si="514"/>
        <v>0</v>
      </c>
      <c r="AZ1146" s="61" t="str">
        <f t="shared" si="515"/>
        <v/>
      </c>
    </row>
    <row r="1147" spans="1:52" s="3" customFormat="1" hidden="1" x14ac:dyDescent="0.35">
      <c r="A1147" s="72">
        <f t="shared" si="516"/>
        <v>2021</v>
      </c>
      <c r="B1147" s="72" t="str">
        <f t="shared" si="517"/>
        <v>Nov</v>
      </c>
      <c r="C1147" s="73">
        <f t="shared" si="534"/>
        <v>15</v>
      </c>
      <c r="D1147" s="74">
        <f t="shared" si="518"/>
        <v>8</v>
      </c>
      <c r="E1147" s="75">
        <v>30</v>
      </c>
      <c r="F1147" s="79">
        <v>28</v>
      </c>
      <c r="G1147" s="82"/>
      <c r="H1147" s="68" t="str">
        <f t="shared" si="536"/>
        <v>Hyprev7_20211115_08_00</v>
      </c>
      <c r="I1147" s="69">
        <f t="shared" si="540"/>
        <v>1</v>
      </c>
      <c r="J1147" s="76" t="str">
        <f t="shared" si="540"/>
        <v>Hypericum</v>
      </c>
      <c r="K1147" s="76" t="str">
        <f t="shared" si="540"/>
        <v>revolutum</v>
      </c>
      <c r="L1147" s="77">
        <f t="shared" si="540"/>
        <v>7</v>
      </c>
      <c r="M1147" s="77">
        <f t="shared" si="540"/>
        <v>2</v>
      </c>
      <c r="N1147" s="71">
        <f t="shared" si="540"/>
        <v>0</v>
      </c>
      <c r="O1147" s="44"/>
      <c r="P1147" s="45">
        <f t="shared" si="519"/>
        <v>1</v>
      </c>
      <c r="Q1147" s="46" t="str">
        <f t="shared" si="520"/>
        <v>08:30:28</v>
      </c>
      <c r="R1147" s="47" t="str">
        <f t="shared" si="521"/>
        <v>30:28</v>
      </c>
      <c r="S1147" s="48">
        <f t="shared" si="511"/>
        <v>2</v>
      </c>
      <c r="T1147" s="47" t="str">
        <f t="shared" si="522"/>
        <v>08</v>
      </c>
      <c r="U1147" s="49">
        <v>30</v>
      </c>
      <c r="V1147" s="50">
        <v>30</v>
      </c>
      <c r="W1147" s="51" t="str">
        <f t="shared" si="523"/>
        <v>30:30</v>
      </c>
      <c r="X1147" s="52" t="s">
        <v>69</v>
      </c>
      <c r="Y1147" s="124" t="s">
        <v>241</v>
      </c>
      <c r="Z1147" s="124" t="s">
        <v>252</v>
      </c>
      <c r="AA1147" s="47" t="s">
        <v>253</v>
      </c>
      <c r="AB1147" s="47" t="str">
        <f t="shared" si="524"/>
        <v>NA</v>
      </c>
      <c r="AC1147" s="53" t="str">
        <f t="shared" si="525"/>
        <v/>
      </c>
      <c r="AD1147" s="54">
        <f t="shared" si="526"/>
        <v>1</v>
      </c>
      <c r="AE1147" s="54"/>
      <c r="AF1147" s="54"/>
      <c r="AG1147" s="55" t="str">
        <f t="shared" si="527"/>
        <v/>
      </c>
      <c r="AH1147" s="56" t="str">
        <f t="shared" si="528"/>
        <v/>
      </c>
      <c r="AI1147" s="55"/>
      <c r="AJ1147" s="56" t="str">
        <f t="shared" si="529"/>
        <v/>
      </c>
      <c r="AK1147" s="55"/>
      <c r="AL1147" s="56" t="str">
        <f t="shared" si="530"/>
        <v/>
      </c>
      <c r="AM1147" s="55"/>
      <c r="AN1147" s="56" t="str">
        <f t="shared" si="531"/>
        <v/>
      </c>
      <c r="AO1147" s="55"/>
      <c r="AP1147" s="56" t="str">
        <f t="shared" si="532"/>
        <v/>
      </c>
      <c r="AQ1147" s="55"/>
      <c r="AR1147" s="56" t="str">
        <f t="shared" si="533"/>
        <v/>
      </c>
      <c r="AS1147" s="57" t="s">
        <v>125</v>
      </c>
      <c r="AT1147" s="58"/>
      <c r="AU1147" s="58"/>
      <c r="AV1147" s="59"/>
      <c r="AW1147" s="60">
        <f t="shared" si="512"/>
        <v>0</v>
      </c>
      <c r="AX1147" s="61" t="str">
        <f t="shared" si="513"/>
        <v/>
      </c>
      <c r="AY1147" s="60">
        <f t="shared" si="514"/>
        <v>0</v>
      </c>
      <c r="AZ1147" s="61" t="str">
        <f t="shared" si="515"/>
        <v/>
      </c>
    </row>
    <row r="1148" spans="1:52" s="3" customFormat="1" hidden="1" x14ac:dyDescent="0.35">
      <c r="A1148" s="72">
        <f t="shared" si="516"/>
        <v>2021</v>
      </c>
      <c r="B1148" s="72" t="str">
        <f t="shared" si="517"/>
        <v>Nov</v>
      </c>
      <c r="C1148" s="73">
        <f t="shared" si="534"/>
        <v>15</v>
      </c>
      <c r="D1148" s="74">
        <f t="shared" si="518"/>
        <v>8</v>
      </c>
      <c r="E1148" s="75">
        <f t="shared" si="535"/>
        <v>31</v>
      </c>
      <c r="F1148" s="79"/>
      <c r="G1148" s="82"/>
      <c r="H1148" s="68" t="str">
        <f t="shared" si="536"/>
        <v>Hyprev7_20211115_08_00</v>
      </c>
      <c r="I1148" s="69">
        <f t="shared" si="540"/>
        <v>1</v>
      </c>
      <c r="J1148" s="76" t="str">
        <f t="shared" si="540"/>
        <v>Hypericum</v>
      </c>
      <c r="K1148" s="76" t="str">
        <f t="shared" si="540"/>
        <v>revolutum</v>
      </c>
      <c r="L1148" s="77">
        <f t="shared" si="540"/>
        <v>7</v>
      </c>
      <c r="M1148" s="77">
        <f t="shared" si="540"/>
        <v>2</v>
      </c>
      <c r="N1148" s="71">
        <f t="shared" si="540"/>
        <v>0</v>
      </c>
      <c r="O1148" s="44"/>
      <c r="P1148" s="45" t="str">
        <f t="shared" si="519"/>
        <v/>
      </c>
      <c r="Q1148" s="46" t="str">
        <f t="shared" si="520"/>
        <v/>
      </c>
      <c r="R1148" s="47" t="e">
        <f t="shared" si="521"/>
        <v>#VALUE!</v>
      </c>
      <c r="S1148" s="48" t="e">
        <f t="shared" si="511"/>
        <v>#VALUE!</v>
      </c>
      <c r="T1148" s="47" t="str">
        <f t="shared" si="522"/>
        <v/>
      </c>
      <c r="U1148" s="49"/>
      <c r="V1148" s="50"/>
      <c r="W1148" s="51" t="e">
        <f t="shared" si="523"/>
        <v>#VALUE!</v>
      </c>
      <c r="X1148" s="52"/>
      <c r="Y1148" s="52"/>
      <c r="Z1148" s="52"/>
      <c r="AA1148" s="47" t="e">
        <f>INDEX(VISITORS[INSECT ORDER], MATCH(X1148,VISITORS[NAME USED],0))</f>
        <v>#N/A</v>
      </c>
      <c r="AB1148" s="47" t="e">
        <f t="shared" si="524"/>
        <v>#N/A</v>
      </c>
      <c r="AC1148" s="53" t="e">
        <f t="shared" si="525"/>
        <v>#VALUE!</v>
      </c>
      <c r="AD1148" s="54" t="str">
        <f t="shared" si="526"/>
        <v/>
      </c>
      <c r="AE1148" s="54"/>
      <c r="AF1148" s="54"/>
      <c r="AG1148" s="55" t="str">
        <f t="shared" si="527"/>
        <v/>
      </c>
      <c r="AH1148" s="56" t="str">
        <f t="shared" si="528"/>
        <v/>
      </c>
      <c r="AI1148" s="55"/>
      <c r="AJ1148" s="56" t="str">
        <f t="shared" si="529"/>
        <v/>
      </c>
      <c r="AK1148" s="55"/>
      <c r="AL1148" s="56" t="str">
        <f t="shared" si="530"/>
        <v/>
      </c>
      <c r="AM1148" s="55"/>
      <c r="AN1148" s="56" t="str">
        <f t="shared" si="531"/>
        <v/>
      </c>
      <c r="AO1148" s="55"/>
      <c r="AP1148" s="56" t="str">
        <f t="shared" si="532"/>
        <v/>
      </c>
      <c r="AQ1148" s="55"/>
      <c r="AR1148" s="56" t="str">
        <f t="shared" si="533"/>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2021</v>
      </c>
      <c r="B1149" s="72" t="str">
        <f t="shared" si="517"/>
        <v>Nov</v>
      </c>
      <c r="C1149" s="73">
        <f t="shared" si="534"/>
        <v>15</v>
      </c>
      <c r="D1149" s="74">
        <f t="shared" si="518"/>
        <v>8</v>
      </c>
      <c r="E1149" s="75">
        <f t="shared" si="535"/>
        <v>32</v>
      </c>
      <c r="F1149" s="79"/>
      <c r="G1149" s="82"/>
      <c r="H1149" s="68" t="str">
        <f t="shared" si="536"/>
        <v>Hyprev7_20211115_08_00</v>
      </c>
      <c r="I1149" s="69">
        <f t="shared" si="540"/>
        <v>1</v>
      </c>
      <c r="J1149" s="76" t="str">
        <f t="shared" si="540"/>
        <v>Hypericum</v>
      </c>
      <c r="K1149" s="76" t="str">
        <f t="shared" si="540"/>
        <v>revolutum</v>
      </c>
      <c r="L1149" s="77">
        <f t="shared" si="540"/>
        <v>7</v>
      </c>
      <c r="M1149" s="77">
        <f t="shared" si="540"/>
        <v>2</v>
      </c>
      <c r="N1149" s="71">
        <f t="shared" si="540"/>
        <v>0</v>
      </c>
      <c r="O1149" s="44"/>
      <c r="P1149" s="45" t="str">
        <f t="shared" si="519"/>
        <v/>
      </c>
      <c r="Q1149" s="46" t="str">
        <f t="shared" si="520"/>
        <v/>
      </c>
      <c r="R1149" s="47" t="e">
        <f t="shared" si="521"/>
        <v>#VALUE!</v>
      </c>
      <c r="S1149" s="48" t="e">
        <f t="shared" si="511"/>
        <v>#VALUE!</v>
      </c>
      <c r="T1149" s="47" t="str">
        <f t="shared" si="522"/>
        <v/>
      </c>
      <c r="U1149" s="49"/>
      <c r="V1149" s="50"/>
      <c r="W1149" s="51" t="e">
        <f t="shared" si="523"/>
        <v>#VALUE!</v>
      </c>
      <c r="X1149" s="52"/>
      <c r="Y1149" s="52"/>
      <c r="Z1149" s="52"/>
      <c r="AA1149" s="47" t="e">
        <f>INDEX(VISITORS[INSECT ORDER], MATCH(X1149,VISITORS[NAME USED],0))</f>
        <v>#N/A</v>
      </c>
      <c r="AB1149" s="47" t="e">
        <f t="shared" si="524"/>
        <v>#N/A</v>
      </c>
      <c r="AC1149" s="53" t="e">
        <f t="shared" si="525"/>
        <v>#VALUE!</v>
      </c>
      <c r="AD1149" s="54" t="str">
        <f t="shared" si="526"/>
        <v/>
      </c>
      <c r="AE1149" s="54"/>
      <c r="AF1149" s="54"/>
      <c r="AG1149" s="55" t="str">
        <f t="shared" si="527"/>
        <v/>
      </c>
      <c r="AH1149" s="56" t="str">
        <f t="shared" si="528"/>
        <v/>
      </c>
      <c r="AI1149" s="55"/>
      <c r="AJ1149" s="56" t="str">
        <f t="shared" si="529"/>
        <v/>
      </c>
      <c r="AK1149" s="55"/>
      <c r="AL1149" s="56" t="str">
        <f t="shared" si="530"/>
        <v/>
      </c>
      <c r="AM1149" s="55"/>
      <c r="AN1149" s="56" t="str">
        <f t="shared" si="531"/>
        <v/>
      </c>
      <c r="AO1149" s="55"/>
      <c r="AP1149" s="56" t="str">
        <f t="shared" si="532"/>
        <v/>
      </c>
      <c r="AQ1149" s="55"/>
      <c r="AR1149" s="56" t="str">
        <f t="shared" si="533"/>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2021</v>
      </c>
      <c r="B1150" s="72" t="str">
        <f t="shared" si="517"/>
        <v>Nov</v>
      </c>
      <c r="C1150" s="73">
        <f t="shared" si="534"/>
        <v>15</v>
      </c>
      <c r="D1150" s="74">
        <f t="shared" si="518"/>
        <v>8</v>
      </c>
      <c r="E1150" s="75">
        <f t="shared" si="535"/>
        <v>33</v>
      </c>
      <c r="F1150" s="79">
        <v>31</v>
      </c>
      <c r="G1150" s="82"/>
      <c r="H1150" s="68" t="str">
        <f t="shared" si="536"/>
        <v>Hyprev7_20211115_08_00</v>
      </c>
      <c r="I1150" s="69">
        <f t="shared" si="540"/>
        <v>1</v>
      </c>
      <c r="J1150" s="76" t="str">
        <f t="shared" si="540"/>
        <v>Hypericum</v>
      </c>
      <c r="K1150" s="76" t="str">
        <f t="shared" si="540"/>
        <v>revolutum</v>
      </c>
      <c r="L1150" s="77">
        <f t="shared" si="540"/>
        <v>7</v>
      </c>
      <c r="M1150" s="77">
        <f t="shared" si="540"/>
        <v>2</v>
      </c>
      <c r="N1150" s="71">
        <f t="shared" si="540"/>
        <v>0</v>
      </c>
      <c r="O1150" s="44"/>
      <c r="P1150" s="45">
        <f t="shared" si="519"/>
        <v>1</v>
      </c>
      <c r="Q1150" s="46" t="str">
        <f t="shared" si="520"/>
        <v>08:33:31</v>
      </c>
      <c r="R1150" s="47" t="str">
        <f t="shared" si="521"/>
        <v>33:31</v>
      </c>
      <c r="S1150" s="48">
        <f t="shared" si="511"/>
        <v>43</v>
      </c>
      <c r="T1150" s="47" t="str">
        <f t="shared" si="522"/>
        <v>08</v>
      </c>
      <c r="U1150" s="49">
        <v>34</v>
      </c>
      <c r="V1150" s="50">
        <v>14</v>
      </c>
      <c r="W1150" s="51" t="str">
        <f t="shared" si="523"/>
        <v>34:14</v>
      </c>
      <c r="X1150" s="52" t="s">
        <v>61</v>
      </c>
      <c r="Y1150" s="124" t="s">
        <v>237</v>
      </c>
      <c r="Z1150" s="124" t="s">
        <v>252</v>
      </c>
      <c r="AA1150" s="47" t="s">
        <v>254</v>
      </c>
      <c r="AB1150" s="47" t="str">
        <f t="shared" si="524"/>
        <v>NA</v>
      </c>
      <c r="AC1150" s="53" t="str">
        <f t="shared" si="525"/>
        <v/>
      </c>
      <c r="AD1150" s="54">
        <f t="shared" si="526"/>
        <v>1</v>
      </c>
      <c r="AE1150" s="54"/>
      <c r="AF1150" s="54"/>
      <c r="AG1150" s="55" t="str">
        <f t="shared" si="527"/>
        <v/>
      </c>
      <c r="AH1150" s="56" t="str">
        <f t="shared" si="528"/>
        <v/>
      </c>
      <c r="AI1150" s="55"/>
      <c r="AJ1150" s="56" t="str">
        <f t="shared" si="529"/>
        <v/>
      </c>
      <c r="AK1150" s="55"/>
      <c r="AL1150" s="56" t="str">
        <f t="shared" si="530"/>
        <v/>
      </c>
      <c r="AM1150" s="55"/>
      <c r="AN1150" s="56" t="str">
        <f t="shared" si="531"/>
        <v/>
      </c>
      <c r="AO1150" s="55"/>
      <c r="AP1150" s="56" t="str">
        <f t="shared" si="532"/>
        <v/>
      </c>
      <c r="AQ1150" s="55"/>
      <c r="AR1150" s="56" t="str">
        <f t="shared" si="533"/>
        <v/>
      </c>
      <c r="AS1150" s="57" t="s">
        <v>189</v>
      </c>
      <c r="AT1150" s="58"/>
      <c r="AU1150" s="58"/>
      <c r="AV1150" s="59"/>
      <c r="AW1150" s="60">
        <f t="shared" si="512"/>
        <v>0</v>
      </c>
      <c r="AX1150" s="61" t="str">
        <f t="shared" si="513"/>
        <v/>
      </c>
      <c r="AY1150" s="60">
        <f t="shared" si="514"/>
        <v>0</v>
      </c>
      <c r="AZ1150" s="61" t="str">
        <f t="shared" si="515"/>
        <v/>
      </c>
    </row>
    <row r="1151" spans="1:52" s="3" customFormat="1" hidden="1" x14ac:dyDescent="0.35">
      <c r="A1151" s="72">
        <f t="shared" si="516"/>
        <v>2021</v>
      </c>
      <c r="B1151" s="72" t="str">
        <f t="shared" si="517"/>
        <v>Nov</v>
      </c>
      <c r="C1151" s="73">
        <f t="shared" si="534"/>
        <v>15</v>
      </c>
      <c r="D1151" s="74">
        <f t="shared" si="518"/>
        <v>8</v>
      </c>
      <c r="E1151" s="75">
        <f t="shared" si="535"/>
        <v>34</v>
      </c>
      <c r="F1151" s="79"/>
      <c r="G1151" s="82"/>
      <c r="H1151" s="68" t="str">
        <f t="shared" si="536"/>
        <v>Hyprev7_20211115_08_00</v>
      </c>
      <c r="I1151" s="69">
        <f t="shared" si="540"/>
        <v>1</v>
      </c>
      <c r="J1151" s="76" t="str">
        <f t="shared" si="540"/>
        <v>Hypericum</v>
      </c>
      <c r="K1151" s="76" t="str">
        <f t="shared" si="540"/>
        <v>revolutum</v>
      </c>
      <c r="L1151" s="77">
        <f t="shared" si="540"/>
        <v>7</v>
      </c>
      <c r="M1151" s="77">
        <f t="shared" si="540"/>
        <v>2</v>
      </c>
      <c r="N1151" s="71">
        <f t="shared" si="540"/>
        <v>0</v>
      </c>
      <c r="O1151" s="44"/>
      <c r="P1151" s="45" t="str">
        <f t="shared" si="519"/>
        <v/>
      </c>
      <c r="Q1151" s="46" t="str">
        <f t="shared" si="520"/>
        <v/>
      </c>
      <c r="R1151" s="47" t="e">
        <f t="shared" si="521"/>
        <v>#VALUE!</v>
      </c>
      <c r="S1151" s="48" t="e">
        <f t="shared" si="511"/>
        <v>#VALUE!</v>
      </c>
      <c r="T1151" s="47" t="str">
        <f t="shared" si="522"/>
        <v/>
      </c>
      <c r="U1151" s="49"/>
      <c r="V1151" s="50"/>
      <c r="W1151" s="51" t="e">
        <f t="shared" si="523"/>
        <v>#VALUE!</v>
      </c>
      <c r="X1151" s="52"/>
      <c r="Y1151" s="52"/>
      <c r="Z1151" s="52"/>
      <c r="AA1151" s="47" t="e">
        <f>INDEX(VISITORS[INSECT ORDER], MATCH(X1151,VISITORS[NAME USED],0))</f>
        <v>#N/A</v>
      </c>
      <c r="AB1151" s="47" t="e">
        <f t="shared" si="524"/>
        <v>#N/A</v>
      </c>
      <c r="AC1151" s="53" t="e">
        <f t="shared" si="525"/>
        <v>#VALUE!</v>
      </c>
      <c r="AD1151" s="54" t="str">
        <f t="shared" si="526"/>
        <v/>
      </c>
      <c r="AE1151" s="54"/>
      <c r="AF1151" s="54"/>
      <c r="AG1151" s="55" t="str">
        <f t="shared" si="527"/>
        <v/>
      </c>
      <c r="AH1151" s="56" t="str">
        <f t="shared" si="528"/>
        <v/>
      </c>
      <c r="AI1151" s="55"/>
      <c r="AJ1151" s="56" t="str">
        <f t="shared" si="529"/>
        <v/>
      </c>
      <c r="AK1151" s="55"/>
      <c r="AL1151" s="56" t="str">
        <f t="shared" si="530"/>
        <v/>
      </c>
      <c r="AM1151" s="55"/>
      <c r="AN1151" s="56" t="str">
        <f t="shared" si="531"/>
        <v/>
      </c>
      <c r="AO1151" s="55"/>
      <c r="AP1151" s="56" t="str">
        <f t="shared" si="532"/>
        <v/>
      </c>
      <c r="AQ1151" s="55"/>
      <c r="AR1151" s="56" t="str">
        <f t="shared" si="533"/>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2021</v>
      </c>
      <c r="B1152" s="72" t="str">
        <f t="shared" si="517"/>
        <v>Nov</v>
      </c>
      <c r="C1152" s="73">
        <f t="shared" si="534"/>
        <v>15</v>
      </c>
      <c r="D1152" s="74">
        <f t="shared" si="518"/>
        <v>8</v>
      </c>
      <c r="E1152" s="75">
        <f t="shared" si="535"/>
        <v>35</v>
      </c>
      <c r="F1152" s="79"/>
      <c r="G1152" s="82"/>
      <c r="H1152" s="68" t="str">
        <f t="shared" si="536"/>
        <v>Hyprev7_20211115_08_00</v>
      </c>
      <c r="I1152" s="69">
        <f t="shared" si="540"/>
        <v>1</v>
      </c>
      <c r="J1152" s="76" t="str">
        <f t="shared" si="540"/>
        <v>Hypericum</v>
      </c>
      <c r="K1152" s="76" t="str">
        <f t="shared" si="540"/>
        <v>revolutum</v>
      </c>
      <c r="L1152" s="77">
        <f t="shared" si="540"/>
        <v>7</v>
      </c>
      <c r="M1152" s="77">
        <f t="shared" si="540"/>
        <v>2</v>
      </c>
      <c r="N1152" s="71">
        <f t="shared" si="540"/>
        <v>0</v>
      </c>
      <c r="O1152" s="44"/>
      <c r="P1152" s="45" t="str">
        <f t="shared" si="519"/>
        <v/>
      </c>
      <c r="Q1152" s="46" t="str">
        <f t="shared" si="520"/>
        <v/>
      </c>
      <c r="R1152" s="47" t="e">
        <f t="shared" si="521"/>
        <v>#VALUE!</v>
      </c>
      <c r="S1152" s="48" t="e">
        <f t="shared" si="511"/>
        <v>#VALUE!</v>
      </c>
      <c r="T1152" s="47" t="str">
        <f t="shared" si="522"/>
        <v/>
      </c>
      <c r="U1152" s="49"/>
      <c r="V1152" s="50"/>
      <c r="W1152" s="51" t="e">
        <f t="shared" si="523"/>
        <v>#VALUE!</v>
      </c>
      <c r="X1152" s="52"/>
      <c r="Y1152" s="52"/>
      <c r="Z1152" s="52"/>
      <c r="AA1152" s="47" t="e">
        <f>INDEX(VISITORS[INSECT ORDER], MATCH(X1152,VISITORS[NAME USED],0))</f>
        <v>#N/A</v>
      </c>
      <c r="AB1152" s="47" t="e">
        <f t="shared" si="524"/>
        <v>#N/A</v>
      </c>
      <c r="AC1152" s="53" t="e">
        <f t="shared" si="525"/>
        <v>#VALUE!</v>
      </c>
      <c r="AD1152" s="54" t="str">
        <f t="shared" si="526"/>
        <v/>
      </c>
      <c r="AE1152" s="54"/>
      <c r="AF1152" s="54"/>
      <c r="AG1152" s="55" t="str">
        <f t="shared" si="527"/>
        <v/>
      </c>
      <c r="AH1152" s="56" t="str">
        <f t="shared" si="528"/>
        <v/>
      </c>
      <c r="AI1152" s="55"/>
      <c r="AJ1152" s="56" t="str">
        <f t="shared" si="529"/>
        <v/>
      </c>
      <c r="AK1152" s="55"/>
      <c r="AL1152" s="56" t="str">
        <f t="shared" si="530"/>
        <v/>
      </c>
      <c r="AM1152" s="55"/>
      <c r="AN1152" s="56" t="str">
        <f t="shared" si="531"/>
        <v/>
      </c>
      <c r="AO1152" s="55"/>
      <c r="AP1152" s="56" t="str">
        <f t="shared" si="532"/>
        <v/>
      </c>
      <c r="AQ1152" s="55"/>
      <c r="AR1152" s="56" t="str">
        <f t="shared" si="533"/>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2021</v>
      </c>
      <c r="B1153" s="72" t="str">
        <f t="shared" si="517"/>
        <v>Nov</v>
      </c>
      <c r="C1153" s="73">
        <f t="shared" si="534"/>
        <v>15</v>
      </c>
      <c r="D1153" s="74">
        <f t="shared" si="518"/>
        <v>8</v>
      </c>
      <c r="E1153" s="75">
        <f t="shared" si="535"/>
        <v>36</v>
      </c>
      <c r="F1153" s="79"/>
      <c r="G1153" s="82"/>
      <c r="H1153" s="68" t="str">
        <f t="shared" si="536"/>
        <v>Hyprev7_20211115_08_00</v>
      </c>
      <c r="I1153" s="69">
        <f t="shared" si="540"/>
        <v>1</v>
      </c>
      <c r="J1153" s="76" t="str">
        <f t="shared" si="540"/>
        <v>Hypericum</v>
      </c>
      <c r="K1153" s="76" t="str">
        <f t="shared" si="540"/>
        <v>revolutum</v>
      </c>
      <c r="L1153" s="77">
        <f t="shared" si="540"/>
        <v>7</v>
      </c>
      <c r="M1153" s="77">
        <f t="shared" si="540"/>
        <v>2</v>
      </c>
      <c r="N1153" s="71">
        <f t="shared" si="540"/>
        <v>0</v>
      </c>
      <c r="O1153" s="44"/>
      <c r="P1153" s="45" t="str">
        <f t="shared" si="519"/>
        <v/>
      </c>
      <c r="Q1153" s="46" t="str">
        <f t="shared" si="520"/>
        <v/>
      </c>
      <c r="R1153" s="47" t="e">
        <f t="shared" si="521"/>
        <v>#VALUE!</v>
      </c>
      <c r="S1153" s="48" t="e">
        <f t="shared" si="511"/>
        <v>#VALUE!</v>
      </c>
      <c r="T1153" s="47" t="str">
        <f t="shared" si="522"/>
        <v/>
      </c>
      <c r="U1153" s="49"/>
      <c r="V1153" s="50"/>
      <c r="W1153" s="51" t="e">
        <f t="shared" si="523"/>
        <v>#VALUE!</v>
      </c>
      <c r="X1153" s="52"/>
      <c r="Y1153" s="52"/>
      <c r="Z1153" s="52"/>
      <c r="AA1153" s="47" t="e">
        <f>INDEX(VISITORS[INSECT ORDER], MATCH(X1153,VISITORS[NAME USED],0))</f>
        <v>#N/A</v>
      </c>
      <c r="AB1153" s="47" t="e">
        <f t="shared" si="524"/>
        <v>#N/A</v>
      </c>
      <c r="AC1153" s="53" t="e">
        <f t="shared" si="525"/>
        <v>#VALUE!</v>
      </c>
      <c r="AD1153" s="54" t="str">
        <f t="shared" si="526"/>
        <v/>
      </c>
      <c r="AE1153" s="54"/>
      <c r="AF1153" s="54"/>
      <c r="AG1153" s="55" t="str">
        <f t="shared" si="527"/>
        <v/>
      </c>
      <c r="AH1153" s="56" t="str">
        <f t="shared" si="528"/>
        <v/>
      </c>
      <c r="AI1153" s="55"/>
      <c r="AJ1153" s="56" t="str">
        <f t="shared" si="529"/>
        <v/>
      </c>
      <c r="AK1153" s="55"/>
      <c r="AL1153" s="56" t="str">
        <f t="shared" si="530"/>
        <v/>
      </c>
      <c r="AM1153" s="55"/>
      <c r="AN1153" s="56" t="str">
        <f t="shared" si="531"/>
        <v/>
      </c>
      <c r="AO1153" s="55"/>
      <c r="AP1153" s="56" t="str">
        <f t="shared" si="532"/>
        <v/>
      </c>
      <c r="AQ1153" s="55"/>
      <c r="AR1153" s="56" t="str">
        <f t="shared" si="533"/>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2021</v>
      </c>
      <c r="B1154" s="72" t="str">
        <f t="shared" si="517"/>
        <v>Nov</v>
      </c>
      <c r="C1154" s="73">
        <f t="shared" si="534"/>
        <v>15</v>
      </c>
      <c r="D1154" s="74">
        <f t="shared" si="518"/>
        <v>8</v>
      </c>
      <c r="E1154" s="75">
        <f t="shared" si="535"/>
        <v>37</v>
      </c>
      <c r="F1154" s="79"/>
      <c r="G1154" s="82"/>
      <c r="H1154" s="68" t="str">
        <f t="shared" si="536"/>
        <v>Hyprev7_20211115_08_00</v>
      </c>
      <c r="I1154" s="69">
        <f t="shared" si="540"/>
        <v>1</v>
      </c>
      <c r="J1154" s="76" t="str">
        <f t="shared" si="540"/>
        <v>Hypericum</v>
      </c>
      <c r="K1154" s="76" t="str">
        <f t="shared" si="540"/>
        <v>revolutum</v>
      </c>
      <c r="L1154" s="77">
        <f t="shared" si="540"/>
        <v>7</v>
      </c>
      <c r="M1154" s="77">
        <f t="shared" si="540"/>
        <v>2</v>
      </c>
      <c r="N1154" s="71">
        <f t="shared" si="540"/>
        <v>0</v>
      </c>
      <c r="O1154" s="44"/>
      <c r="P1154" s="45" t="str">
        <f t="shared" si="519"/>
        <v/>
      </c>
      <c r="Q1154" s="46" t="str">
        <f t="shared" si="520"/>
        <v/>
      </c>
      <c r="R1154" s="47" t="e">
        <f t="shared" si="521"/>
        <v>#VALUE!</v>
      </c>
      <c r="S1154" s="48" t="e">
        <f t="shared" si="511"/>
        <v>#VALUE!</v>
      </c>
      <c r="T1154" s="47" t="str">
        <f t="shared" si="522"/>
        <v/>
      </c>
      <c r="U1154" s="49"/>
      <c r="V1154" s="50"/>
      <c r="W1154" s="51" t="e">
        <f t="shared" si="523"/>
        <v>#VALUE!</v>
      </c>
      <c r="X1154" s="52"/>
      <c r="Y1154" s="52"/>
      <c r="Z1154" s="52"/>
      <c r="AA1154" s="47" t="e">
        <f>INDEX(VISITORS[INSECT ORDER], MATCH(X1154,VISITORS[NAME USED],0))</f>
        <v>#N/A</v>
      </c>
      <c r="AB1154" s="47" t="e">
        <f t="shared" si="524"/>
        <v>#N/A</v>
      </c>
      <c r="AC1154" s="53" t="e">
        <f t="shared" si="525"/>
        <v>#VALUE!</v>
      </c>
      <c r="AD1154" s="54" t="str">
        <f t="shared" si="526"/>
        <v/>
      </c>
      <c r="AE1154" s="54"/>
      <c r="AF1154" s="54"/>
      <c r="AG1154" s="55" t="str">
        <f t="shared" si="527"/>
        <v/>
      </c>
      <c r="AH1154" s="56" t="str">
        <f t="shared" si="528"/>
        <v/>
      </c>
      <c r="AI1154" s="55"/>
      <c r="AJ1154" s="56" t="str">
        <f t="shared" si="529"/>
        <v/>
      </c>
      <c r="AK1154" s="55"/>
      <c r="AL1154" s="56" t="str">
        <f t="shared" si="530"/>
        <v/>
      </c>
      <c r="AM1154" s="55"/>
      <c r="AN1154" s="56" t="str">
        <f t="shared" si="531"/>
        <v/>
      </c>
      <c r="AO1154" s="55"/>
      <c r="AP1154" s="56" t="str">
        <f t="shared" si="532"/>
        <v/>
      </c>
      <c r="AQ1154" s="55"/>
      <c r="AR1154" s="56" t="str">
        <f t="shared" si="533"/>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2021</v>
      </c>
      <c r="B1155" s="72" t="str">
        <f t="shared" si="517"/>
        <v>Nov</v>
      </c>
      <c r="C1155" s="73">
        <f t="shared" si="534"/>
        <v>15</v>
      </c>
      <c r="D1155" s="74">
        <f t="shared" si="518"/>
        <v>8</v>
      </c>
      <c r="E1155" s="75">
        <f t="shared" si="535"/>
        <v>38</v>
      </c>
      <c r="F1155" s="79">
        <v>48</v>
      </c>
      <c r="G1155" s="82"/>
      <c r="H1155" s="68" t="str">
        <f t="shared" si="536"/>
        <v>Hyprev7_20211115_08_00</v>
      </c>
      <c r="I1155" s="69">
        <f t="shared" si="540"/>
        <v>1</v>
      </c>
      <c r="J1155" s="76" t="str">
        <f t="shared" si="540"/>
        <v>Hypericum</v>
      </c>
      <c r="K1155" s="76" t="str">
        <f t="shared" si="540"/>
        <v>revolutum</v>
      </c>
      <c r="L1155" s="77">
        <f t="shared" si="540"/>
        <v>7</v>
      </c>
      <c r="M1155" s="77">
        <f t="shared" si="540"/>
        <v>2</v>
      </c>
      <c r="N1155" s="71">
        <f t="shared" si="540"/>
        <v>0</v>
      </c>
      <c r="O1155" s="44"/>
      <c r="P1155" s="45">
        <f t="shared" si="519"/>
        <v>1</v>
      </c>
      <c r="Q1155" s="46" t="str">
        <f t="shared" si="520"/>
        <v>08:38:48</v>
      </c>
      <c r="R1155" s="47" t="str">
        <f t="shared" si="521"/>
        <v>38:48</v>
      </c>
      <c r="S1155" s="48">
        <f t="shared" ref="S1155:S1218" si="541">IF(T1155&lt;D1155, (T1155*3600+U1155*60+V1155)+((23*3600+59*60+60)-(D1155*3600+E1155*60+LEFT(F1155,2))), (T1155*3600+U1155*60+V1155)-(D1155*3600+E1155*60+LEFT(F1155,2)))</f>
        <v>214</v>
      </c>
      <c r="T1155" s="47" t="str">
        <f t="shared" si="522"/>
        <v>08</v>
      </c>
      <c r="U1155" s="49">
        <v>42</v>
      </c>
      <c r="V1155" s="50">
        <v>22</v>
      </c>
      <c r="W1155" s="51" t="str">
        <f t="shared" si="523"/>
        <v>42:22</v>
      </c>
      <c r="X1155" s="52" t="s">
        <v>61</v>
      </c>
      <c r="Y1155" s="124" t="s">
        <v>237</v>
      </c>
      <c r="Z1155" s="124" t="s">
        <v>252</v>
      </c>
      <c r="AA1155" s="47" t="s">
        <v>254</v>
      </c>
      <c r="AB1155" s="47" t="str">
        <f t="shared" si="524"/>
        <v>NA</v>
      </c>
      <c r="AC1155" s="53" t="str">
        <f t="shared" si="525"/>
        <v/>
      </c>
      <c r="AD1155" s="54">
        <f t="shared" si="526"/>
        <v>1</v>
      </c>
      <c r="AE1155" s="54"/>
      <c r="AF1155" s="54"/>
      <c r="AG1155" s="55" t="str">
        <f t="shared" si="527"/>
        <v/>
      </c>
      <c r="AH1155" s="56" t="str">
        <f t="shared" si="528"/>
        <v/>
      </c>
      <c r="AI1155" s="55"/>
      <c r="AJ1155" s="56" t="str">
        <f t="shared" si="529"/>
        <v/>
      </c>
      <c r="AK1155" s="55"/>
      <c r="AL1155" s="56" t="str">
        <f t="shared" si="530"/>
        <v/>
      </c>
      <c r="AM1155" s="55"/>
      <c r="AN1155" s="56" t="str">
        <f t="shared" si="531"/>
        <v/>
      </c>
      <c r="AO1155" s="55"/>
      <c r="AP1155" s="56" t="str">
        <f t="shared" si="532"/>
        <v/>
      </c>
      <c r="AQ1155" s="55"/>
      <c r="AR1155" s="56" t="str">
        <f t="shared" si="533"/>
        <v/>
      </c>
      <c r="AS1155" s="57" t="s">
        <v>190</v>
      </c>
      <c r="AT1155" s="58"/>
      <c r="AU1155" s="58"/>
      <c r="AV1155" s="59"/>
      <c r="AW1155" s="60">
        <f t="shared" ref="AW1155:AW1218" si="542">IF(P1155=1,0,"")</f>
        <v>0</v>
      </c>
      <c r="AX1155" s="61" t="str">
        <f t="shared" ref="AX1155:AX1218" si="543">IF(AW1155=1,AD1155,"")</f>
        <v/>
      </c>
      <c r="AY1155" s="60">
        <f t="shared" ref="AY1155:AY1218" si="544">IF(P1155=1,0,"")</f>
        <v>0</v>
      </c>
      <c r="AZ1155" s="61" t="str">
        <f t="shared" ref="AZ1155:AZ1218" si="545">IF(AY1155=1,AD1155,"")</f>
        <v/>
      </c>
    </row>
    <row r="1156" spans="1:52" s="3" customFormat="1" hidden="1" x14ac:dyDescent="0.35">
      <c r="A1156" s="72">
        <f t="shared" ref="A1156:A1219" si="546">A1155</f>
        <v>2021</v>
      </c>
      <c r="B1156" s="72" t="str">
        <f t="shared" ref="B1156:B1219" si="547">IF(C1155-C1156&gt;0, TEXT(DATE(2016,(MONTH(DATEVALUE(B1155&amp;"1"))+1),1),"mmm"), B1155)</f>
        <v>Nov</v>
      </c>
      <c r="C1156" s="73">
        <f t="shared" si="534"/>
        <v>15</v>
      </c>
      <c r="D1156" s="74">
        <f t="shared" ref="D1156:D1219" si="548">IF(IF(E1155=59,D1155+1,D1155)=24,0,IF(E1155=59,D1155+1,D1155))</f>
        <v>8</v>
      </c>
      <c r="E1156" s="75">
        <f t="shared" ref="E1156:E1219" si="549">IF(E1155&lt;59,E1155+1,0)</f>
        <v>39</v>
      </c>
      <c r="F1156" s="79"/>
      <c r="G1156" s="82"/>
      <c r="H1156" s="68" t="str">
        <f t="shared" si="536"/>
        <v>Hyprev7_20211115_08_00</v>
      </c>
      <c r="I1156" s="69">
        <f t="shared" si="540"/>
        <v>1</v>
      </c>
      <c r="J1156" s="76" t="str">
        <f t="shared" si="540"/>
        <v>Hypericum</v>
      </c>
      <c r="K1156" s="76" t="str">
        <f t="shared" si="540"/>
        <v>revolutum</v>
      </c>
      <c r="L1156" s="77">
        <f t="shared" si="540"/>
        <v>7</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2021</v>
      </c>
      <c r="B1157" s="72" t="str">
        <f t="shared" si="547"/>
        <v>Nov</v>
      </c>
      <c r="C1157" s="73">
        <f t="shared" ref="C1157:C1220" si="565">IF(AND(D1157=0, E1157=0), IF(TEXT(C1156,"dd")=TEXT(EOMONTH(DATE(A1156,MONTH(DATEVALUE(B1156&amp;"1")),C1156),0), "dd"), 1, C1156+1), C1156)</f>
        <v>15</v>
      </c>
      <c r="D1157" s="74">
        <f t="shared" si="548"/>
        <v>8</v>
      </c>
      <c r="E1157" s="75">
        <f t="shared" si="549"/>
        <v>40</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Hyprev7_20211115_08_00</v>
      </c>
      <c r="I1157" s="69">
        <f t="shared" ref="I1157:N1172" si="567">I1156</f>
        <v>1</v>
      </c>
      <c r="J1157" s="76" t="str">
        <f t="shared" si="567"/>
        <v>Hypericum</v>
      </c>
      <c r="K1157" s="76" t="str">
        <f t="shared" si="567"/>
        <v>revolutum</v>
      </c>
      <c r="L1157" s="77">
        <f t="shared" si="567"/>
        <v>7</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2021</v>
      </c>
      <c r="B1158" s="72" t="str">
        <f t="shared" si="547"/>
        <v>Nov</v>
      </c>
      <c r="C1158" s="73">
        <f t="shared" si="565"/>
        <v>15</v>
      </c>
      <c r="D1158" s="74">
        <f t="shared" si="548"/>
        <v>8</v>
      </c>
      <c r="E1158" s="75">
        <f t="shared" si="549"/>
        <v>41</v>
      </c>
      <c r="F1158" s="79"/>
      <c r="G1158" s="82"/>
      <c r="H1158" s="68" t="str">
        <f t="shared" si="566"/>
        <v>Hyprev7_20211115_08_00</v>
      </c>
      <c r="I1158" s="69">
        <f t="shared" si="567"/>
        <v>1</v>
      </c>
      <c r="J1158" s="76" t="str">
        <f t="shared" si="567"/>
        <v>Hypericum</v>
      </c>
      <c r="K1158" s="76" t="str">
        <f t="shared" si="567"/>
        <v>revolutum</v>
      </c>
      <c r="L1158" s="77">
        <f t="shared" si="567"/>
        <v>7</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2021</v>
      </c>
      <c r="B1159" s="72" t="str">
        <f t="shared" si="547"/>
        <v>Nov</v>
      </c>
      <c r="C1159" s="73">
        <f t="shared" si="565"/>
        <v>15</v>
      </c>
      <c r="D1159" s="74">
        <f t="shared" si="548"/>
        <v>8</v>
      </c>
      <c r="E1159" s="75">
        <f t="shared" si="549"/>
        <v>42</v>
      </c>
      <c r="F1159" s="79"/>
      <c r="G1159" s="82"/>
      <c r="H1159" s="68" t="str">
        <f t="shared" si="566"/>
        <v>Hyprev7_20211115_08_00</v>
      </c>
      <c r="I1159" s="69">
        <f t="shared" si="567"/>
        <v>1</v>
      </c>
      <c r="J1159" s="76" t="str">
        <f t="shared" si="567"/>
        <v>Hypericum</v>
      </c>
      <c r="K1159" s="76" t="str">
        <f t="shared" si="567"/>
        <v>revolutum</v>
      </c>
      <c r="L1159" s="77">
        <f t="shared" si="567"/>
        <v>7</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2021</v>
      </c>
      <c r="B1160" s="72" t="str">
        <f t="shared" si="547"/>
        <v>Nov</v>
      </c>
      <c r="C1160" s="73">
        <f t="shared" si="565"/>
        <v>15</v>
      </c>
      <c r="D1160" s="74">
        <f t="shared" si="548"/>
        <v>8</v>
      </c>
      <c r="E1160" s="75">
        <f t="shared" si="549"/>
        <v>43</v>
      </c>
      <c r="F1160" s="79"/>
      <c r="G1160" s="82"/>
      <c r="H1160" s="68" t="str">
        <f t="shared" si="566"/>
        <v>Hyprev7_20211115_08_00</v>
      </c>
      <c r="I1160" s="69">
        <f t="shared" si="567"/>
        <v>1</v>
      </c>
      <c r="J1160" s="76" t="str">
        <f t="shared" si="567"/>
        <v>Hypericum</v>
      </c>
      <c r="K1160" s="76" t="str">
        <f t="shared" si="567"/>
        <v>revolutum</v>
      </c>
      <c r="L1160" s="77">
        <f t="shared" si="567"/>
        <v>7</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2021</v>
      </c>
      <c r="B1161" s="72" t="str">
        <f t="shared" si="547"/>
        <v>Nov</v>
      </c>
      <c r="C1161" s="73">
        <f t="shared" si="565"/>
        <v>15</v>
      </c>
      <c r="D1161" s="74">
        <f t="shared" si="548"/>
        <v>8</v>
      </c>
      <c r="E1161" s="75">
        <f t="shared" si="549"/>
        <v>44</v>
      </c>
      <c r="F1161" s="79"/>
      <c r="G1161" s="82"/>
      <c r="H1161" s="68" t="str">
        <f t="shared" si="566"/>
        <v>Hyprev7_20211115_08_00</v>
      </c>
      <c r="I1161" s="69">
        <f t="shared" si="567"/>
        <v>1</v>
      </c>
      <c r="J1161" s="76" t="str">
        <f t="shared" si="567"/>
        <v>Hypericum</v>
      </c>
      <c r="K1161" s="76" t="str">
        <f t="shared" si="567"/>
        <v>revolutum</v>
      </c>
      <c r="L1161" s="77">
        <f t="shared" si="567"/>
        <v>7</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2021</v>
      </c>
      <c r="B1162" s="72" t="str">
        <f t="shared" si="547"/>
        <v>Nov</v>
      </c>
      <c r="C1162" s="73">
        <f t="shared" si="565"/>
        <v>15</v>
      </c>
      <c r="D1162" s="74">
        <f t="shared" si="548"/>
        <v>8</v>
      </c>
      <c r="E1162" s="75">
        <f t="shared" si="549"/>
        <v>45</v>
      </c>
      <c r="F1162" s="79"/>
      <c r="G1162" s="82"/>
      <c r="H1162" s="68" t="str">
        <f t="shared" si="566"/>
        <v>Hyprev7_20211115_08_00</v>
      </c>
      <c r="I1162" s="69">
        <f t="shared" si="567"/>
        <v>1</v>
      </c>
      <c r="J1162" s="76" t="str">
        <f t="shared" si="567"/>
        <v>Hypericum</v>
      </c>
      <c r="K1162" s="76" t="str">
        <f t="shared" si="567"/>
        <v>revolutum</v>
      </c>
      <c r="L1162" s="77">
        <f t="shared" si="567"/>
        <v>7</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2021</v>
      </c>
      <c r="B1163" s="72" t="str">
        <f t="shared" si="547"/>
        <v>Nov</v>
      </c>
      <c r="C1163" s="73">
        <f t="shared" si="565"/>
        <v>15</v>
      </c>
      <c r="D1163" s="74">
        <f t="shared" si="548"/>
        <v>8</v>
      </c>
      <c r="E1163" s="75">
        <f t="shared" si="549"/>
        <v>46</v>
      </c>
      <c r="F1163" s="79"/>
      <c r="G1163" s="82"/>
      <c r="H1163" s="68" t="str">
        <f t="shared" si="566"/>
        <v>Hyprev7_20211115_08_00</v>
      </c>
      <c r="I1163" s="69">
        <f t="shared" si="567"/>
        <v>1</v>
      </c>
      <c r="J1163" s="76" t="str">
        <f t="shared" si="567"/>
        <v>Hypericum</v>
      </c>
      <c r="K1163" s="76" t="str">
        <f t="shared" si="567"/>
        <v>revolutum</v>
      </c>
      <c r="L1163" s="77">
        <f t="shared" si="567"/>
        <v>7</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2021</v>
      </c>
      <c r="B1164" s="72" t="str">
        <f t="shared" si="547"/>
        <v>Nov</v>
      </c>
      <c r="C1164" s="73">
        <f t="shared" si="565"/>
        <v>15</v>
      </c>
      <c r="D1164" s="74">
        <f t="shared" si="548"/>
        <v>8</v>
      </c>
      <c r="E1164" s="75">
        <f t="shared" si="549"/>
        <v>47</v>
      </c>
      <c r="F1164" s="79"/>
      <c r="G1164" s="82"/>
      <c r="H1164" s="68" t="str">
        <f t="shared" si="566"/>
        <v>Hyprev7_20211115_08_00</v>
      </c>
      <c r="I1164" s="69">
        <f t="shared" si="567"/>
        <v>1</v>
      </c>
      <c r="J1164" s="76" t="str">
        <f t="shared" si="567"/>
        <v>Hypericum</v>
      </c>
      <c r="K1164" s="76" t="str">
        <f t="shared" si="567"/>
        <v>revolutum</v>
      </c>
      <c r="L1164" s="77">
        <f t="shared" si="567"/>
        <v>7</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2021</v>
      </c>
      <c r="B1165" s="72" t="str">
        <f t="shared" si="547"/>
        <v>Nov</v>
      </c>
      <c r="C1165" s="73">
        <f t="shared" si="565"/>
        <v>15</v>
      </c>
      <c r="D1165" s="74">
        <f t="shared" si="548"/>
        <v>8</v>
      </c>
      <c r="E1165" s="75">
        <f t="shared" si="549"/>
        <v>48</v>
      </c>
      <c r="F1165" s="79"/>
      <c r="G1165" s="82"/>
      <c r="H1165" s="68" t="str">
        <f t="shared" si="566"/>
        <v>Hyprev7_20211115_08_00</v>
      </c>
      <c r="I1165" s="69">
        <f t="shared" si="567"/>
        <v>1</v>
      </c>
      <c r="J1165" s="76" t="str">
        <f t="shared" si="567"/>
        <v>Hypericum</v>
      </c>
      <c r="K1165" s="76" t="str">
        <f t="shared" si="567"/>
        <v>revolutum</v>
      </c>
      <c r="L1165" s="77">
        <f t="shared" si="567"/>
        <v>7</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2021</v>
      </c>
      <c r="B1166" s="72" t="str">
        <f t="shared" si="547"/>
        <v>Nov</v>
      </c>
      <c r="C1166" s="73">
        <f t="shared" si="565"/>
        <v>15</v>
      </c>
      <c r="D1166" s="74">
        <f t="shared" si="548"/>
        <v>8</v>
      </c>
      <c r="E1166" s="75">
        <f t="shared" si="549"/>
        <v>49</v>
      </c>
      <c r="F1166" s="79">
        <v>13</v>
      </c>
      <c r="G1166" s="82"/>
      <c r="H1166" s="68" t="str">
        <f t="shared" si="566"/>
        <v>Hyprev7_20211115_08_00</v>
      </c>
      <c r="I1166" s="69">
        <f t="shared" si="567"/>
        <v>1</v>
      </c>
      <c r="J1166" s="76" t="str">
        <f t="shared" si="567"/>
        <v>Hypericum</v>
      </c>
      <c r="K1166" s="76" t="str">
        <f t="shared" si="567"/>
        <v>revolutum</v>
      </c>
      <c r="L1166" s="77">
        <f t="shared" si="567"/>
        <v>7</v>
      </c>
      <c r="M1166" s="77">
        <f t="shared" si="567"/>
        <v>2</v>
      </c>
      <c r="N1166" s="71">
        <f t="shared" si="567"/>
        <v>0</v>
      </c>
      <c r="O1166" s="44"/>
      <c r="P1166" s="45">
        <f t="shared" si="550"/>
        <v>1</v>
      </c>
      <c r="Q1166" s="46" t="str">
        <f t="shared" si="551"/>
        <v>08:49:13</v>
      </c>
      <c r="R1166" s="47" t="str">
        <f t="shared" si="552"/>
        <v>49:13</v>
      </c>
      <c r="S1166" s="48">
        <f t="shared" si="541"/>
        <v>28</v>
      </c>
      <c r="T1166" s="47" t="str">
        <f t="shared" si="553"/>
        <v>08</v>
      </c>
      <c r="U1166" s="49">
        <v>49</v>
      </c>
      <c r="V1166" s="50">
        <v>41</v>
      </c>
      <c r="W1166" s="51" t="str">
        <f t="shared" si="554"/>
        <v>49:41</v>
      </c>
      <c r="X1166" s="52" t="s">
        <v>61</v>
      </c>
      <c r="Y1166" s="124" t="s">
        <v>240</v>
      </c>
      <c r="Z1166" s="124"/>
      <c r="AA1166" s="47" t="s">
        <v>254</v>
      </c>
      <c r="AB1166" s="47" t="str">
        <f t="shared" si="555"/>
        <v>NA</v>
      </c>
      <c r="AC1166" s="53" t="str">
        <f t="shared" si="556"/>
        <v/>
      </c>
      <c r="AD1166" s="54">
        <f t="shared" si="557"/>
        <v>1</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t="s">
        <v>191</v>
      </c>
      <c r="AT1166" s="58"/>
      <c r="AU1166" s="58"/>
      <c r="AV1166" s="59"/>
      <c r="AW1166" s="60">
        <f t="shared" si="542"/>
        <v>0</v>
      </c>
      <c r="AX1166" s="61" t="str">
        <f t="shared" si="543"/>
        <v/>
      </c>
      <c r="AY1166" s="60">
        <f t="shared" si="544"/>
        <v>0</v>
      </c>
      <c r="AZ1166" s="61" t="str">
        <f t="shared" si="545"/>
        <v/>
      </c>
    </row>
    <row r="1167" spans="1:52" s="3" customFormat="1" hidden="1" x14ac:dyDescent="0.35">
      <c r="A1167" s="72">
        <f t="shared" si="546"/>
        <v>2021</v>
      </c>
      <c r="B1167" s="72" t="str">
        <f t="shared" si="547"/>
        <v>Nov</v>
      </c>
      <c r="C1167" s="73">
        <f t="shared" si="565"/>
        <v>15</v>
      </c>
      <c r="D1167" s="74">
        <f t="shared" si="548"/>
        <v>8</v>
      </c>
      <c r="E1167" s="75">
        <f t="shared" si="549"/>
        <v>50</v>
      </c>
      <c r="F1167" s="79"/>
      <c r="G1167" s="82"/>
      <c r="H1167" s="68" t="str">
        <f t="shared" si="566"/>
        <v>Hyprev7_20211115_08_00</v>
      </c>
      <c r="I1167" s="69">
        <f t="shared" si="567"/>
        <v>1</v>
      </c>
      <c r="J1167" s="76" t="str">
        <f t="shared" si="567"/>
        <v>Hypericum</v>
      </c>
      <c r="K1167" s="76" t="str">
        <f t="shared" si="567"/>
        <v>revolutum</v>
      </c>
      <c r="L1167" s="77">
        <f t="shared" si="567"/>
        <v>7</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2021</v>
      </c>
      <c r="B1168" s="72" t="str">
        <f t="shared" si="547"/>
        <v>Nov</v>
      </c>
      <c r="C1168" s="73">
        <f t="shared" si="565"/>
        <v>15</v>
      </c>
      <c r="D1168" s="74">
        <f t="shared" si="548"/>
        <v>8</v>
      </c>
      <c r="E1168" s="75">
        <f t="shared" si="549"/>
        <v>51</v>
      </c>
      <c r="F1168" s="79"/>
      <c r="G1168" s="82"/>
      <c r="H1168" s="68" t="str">
        <f t="shared" si="566"/>
        <v>Hyprev7_20211115_08_00</v>
      </c>
      <c r="I1168" s="69">
        <f t="shared" si="567"/>
        <v>1</v>
      </c>
      <c r="J1168" s="76" t="str">
        <f t="shared" si="567"/>
        <v>Hypericum</v>
      </c>
      <c r="K1168" s="76" t="str">
        <f t="shared" si="567"/>
        <v>revolutum</v>
      </c>
      <c r="L1168" s="77">
        <f t="shared" si="567"/>
        <v>7</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2021</v>
      </c>
      <c r="B1169" s="72" t="str">
        <f t="shared" si="547"/>
        <v>Nov</v>
      </c>
      <c r="C1169" s="73">
        <f t="shared" si="565"/>
        <v>15</v>
      </c>
      <c r="D1169" s="74">
        <f t="shared" si="548"/>
        <v>8</v>
      </c>
      <c r="E1169" s="75">
        <f t="shared" si="549"/>
        <v>52</v>
      </c>
      <c r="F1169" s="79">
        <v>25</v>
      </c>
      <c r="G1169" s="82"/>
      <c r="H1169" s="68" t="str">
        <f t="shared" si="566"/>
        <v>Hyprev7_20211115_08_00</v>
      </c>
      <c r="I1169" s="69">
        <f t="shared" si="567"/>
        <v>1</v>
      </c>
      <c r="J1169" s="76" t="str">
        <f t="shared" si="567"/>
        <v>Hypericum</v>
      </c>
      <c r="K1169" s="76" t="str">
        <f t="shared" si="567"/>
        <v>revolutum</v>
      </c>
      <c r="L1169" s="77">
        <f t="shared" si="567"/>
        <v>7</v>
      </c>
      <c r="M1169" s="77">
        <f t="shared" si="567"/>
        <v>2</v>
      </c>
      <c r="N1169" s="71">
        <f t="shared" si="567"/>
        <v>0</v>
      </c>
      <c r="O1169" s="44"/>
      <c r="P1169" s="45">
        <f t="shared" si="550"/>
        <v>1</v>
      </c>
      <c r="Q1169" s="46" t="str">
        <f t="shared" si="551"/>
        <v>08:52:25</v>
      </c>
      <c r="R1169" s="47" t="str">
        <f t="shared" si="552"/>
        <v>52:25</v>
      </c>
      <c r="S1169" s="48">
        <f t="shared" si="541"/>
        <v>14</v>
      </c>
      <c r="T1169" s="47" t="str">
        <f t="shared" si="553"/>
        <v>08</v>
      </c>
      <c r="U1169" s="49">
        <v>52</v>
      </c>
      <c r="V1169" s="50">
        <v>39</v>
      </c>
      <c r="W1169" s="51" t="str">
        <f t="shared" si="554"/>
        <v>52:39</v>
      </c>
      <c r="X1169" s="52" t="s">
        <v>159</v>
      </c>
      <c r="Y1169" s="124" t="s">
        <v>238</v>
      </c>
      <c r="Z1169" s="124"/>
      <c r="AA1169" s="47" t="s">
        <v>253</v>
      </c>
      <c r="AB1169" s="47" t="str">
        <f t="shared" si="555"/>
        <v>NA</v>
      </c>
      <c r="AC1169" s="53" t="str">
        <f t="shared" si="556"/>
        <v/>
      </c>
      <c r="AD1169" s="54">
        <f t="shared" si="557"/>
        <v>1</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t="s">
        <v>113</v>
      </c>
      <c r="AT1169" s="58"/>
      <c r="AU1169" s="58"/>
      <c r="AV1169" s="59"/>
      <c r="AW1169" s="60">
        <f t="shared" si="542"/>
        <v>0</v>
      </c>
      <c r="AX1169" s="61" t="str">
        <f t="shared" si="543"/>
        <v/>
      </c>
      <c r="AY1169" s="60">
        <f t="shared" si="544"/>
        <v>0</v>
      </c>
      <c r="AZ1169" s="61" t="str">
        <f t="shared" si="545"/>
        <v/>
      </c>
    </row>
    <row r="1170" spans="1:52" s="3" customFormat="1" hidden="1" x14ac:dyDescent="0.35">
      <c r="A1170" s="72">
        <f t="shared" si="546"/>
        <v>2021</v>
      </c>
      <c r="B1170" s="72" t="str">
        <f t="shared" si="547"/>
        <v>Nov</v>
      </c>
      <c r="C1170" s="73">
        <f t="shared" si="565"/>
        <v>15</v>
      </c>
      <c r="D1170" s="74">
        <f t="shared" si="548"/>
        <v>8</v>
      </c>
      <c r="E1170" s="75">
        <f t="shared" si="549"/>
        <v>53</v>
      </c>
      <c r="F1170" s="79"/>
      <c r="G1170" s="82"/>
      <c r="H1170" s="68" t="str">
        <f t="shared" si="566"/>
        <v>Hyprev7_20211115_08_00</v>
      </c>
      <c r="I1170" s="69">
        <f t="shared" si="567"/>
        <v>1</v>
      </c>
      <c r="J1170" s="76" t="str">
        <f t="shared" si="567"/>
        <v>Hypericum</v>
      </c>
      <c r="K1170" s="76" t="str">
        <f t="shared" si="567"/>
        <v>revolutum</v>
      </c>
      <c r="L1170" s="77">
        <f t="shared" si="567"/>
        <v>7</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2021</v>
      </c>
      <c r="B1171" s="72" t="str">
        <f t="shared" si="547"/>
        <v>Nov</v>
      </c>
      <c r="C1171" s="73">
        <f t="shared" si="565"/>
        <v>15</v>
      </c>
      <c r="D1171" s="74">
        <f t="shared" si="548"/>
        <v>8</v>
      </c>
      <c r="E1171" s="75">
        <f t="shared" si="549"/>
        <v>54</v>
      </c>
      <c r="F1171" s="79"/>
      <c r="G1171" s="82"/>
      <c r="H1171" s="68" t="str">
        <f t="shared" si="566"/>
        <v>Hyprev7_20211115_08_00</v>
      </c>
      <c r="I1171" s="69">
        <f t="shared" si="567"/>
        <v>1</v>
      </c>
      <c r="J1171" s="76" t="str">
        <f t="shared" si="567"/>
        <v>Hypericum</v>
      </c>
      <c r="K1171" s="76" t="str">
        <f t="shared" si="567"/>
        <v>revolutum</v>
      </c>
      <c r="L1171" s="77">
        <f t="shared" si="567"/>
        <v>7</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2021</v>
      </c>
      <c r="B1172" s="72" t="str">
        <f t="shared" si="547"/>
        <v>Nov</v>
      </c>
      <c r="C1172" s="73">
        <f t="shared" si="565"/>
        <v>15</v>
      </c>
      <c r="D1172" s="74">
        <f t="shared" si="548"/>
        <v>8</v>
      </c>
      <c r="E1172" s="75">
        <f t="shared" si="549"/>
        <v>55</v>
      </c>
      <c r="F1172" s="79"/>
      <c r="G1172" s="82"/>
      <c r="H1172" s="68" t="str">
        <f t="shared" si="566"/>
        <v>Hyprev7_20211115_08_00</v>
      </c>
      <c r="I1172" s="69">
        <f t="shared" si="567"/>
        <v>1</v>
      </c>
      <c r="J1172" s="76" t="str">
        <f t="shared" si="567"/>
        <v>Hypericum</v>
      </c>
      <c r="K1172" s="76" t="str">
        <f t="shared" si="567"/>
        <v>revolutum</v>
      </c>
      <c r="L1172" s="77">
        <f t="shared" si="567"/>
        <v>7</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2021</v>
      </c>
      <c r="B1173" s="72" t="str">
        <f t="shared" si="547"/>
        <v>Nov</v>
      </c>
      <c r="C1173" s="73">
        <f t="shared" si="565"/>
        <v>15</v>
      </c>
      <c r="D1173" s="74">
        <f t="shared" si="548"/>
        <v>8</v>
      </c>
      <c r="E1173" s="75">
        <f t="shared" si="549"/>
        <v>56</v>
      </c>
      <c r="F1173" s="79"/>
      <c r="G1173" s="82"/>
      <c r="H1173" s="68" t="str">
        <f t="shared" si="566"/>
        <v>Hyprev7_20211115_08_00</v>
      </c>
      <c r="I1173" s="69">
        <f t="shared" ref="I1173:N1188" si="568">I1172</f>
        <v>1</v>
      </c>
      <c r="J1173" s="76" t="str">
        <f t="shared" si="568"/>
        <v>Hypericum</v>
      </c>
      <c r="K1173" s="76" t="str">
        <f t="shared" si="568"/>
        <v>revolutum</v>
      </c>
      <c r="L1173" s="77">
        <f t="shared" si="568"/>
        <v>7</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2021</v>
      </c>
      <c r="B1174" s="72" t="str">
        <f t="shared" si="547"/>
        <v>Nov</v>
      </c>
      <c r="C1174" s="73">
        <f t="shared" si="565"/>
        <v>15</v>
      </c>
      <c r="D1174" s="74">
        <f t="shared" si="548"/>
        <v>8</v>
      </c>
      <c r="E1174" s="75">
        <f t="shared" si="549"/>
        <v>57</v>
      </c>
      <c r="F1174" s="79"/>
      <c r="G1174" s="82"/>
      <c r="H1174" s="68" t="str">
        <f t="shared" si="566"/>
        <v>Hyprev7_20211115_08_00</v>
      </c>
      <c r="I1174" s="69">
        <f t="shared" si="568"/>
        <v>1</v>
      </c>
      <c r="J1174" s="76" t="str">
        <f t="shared" si="568"/>
        <v>Hypericum</v>
      </c>
      <c r="K1174" s="76" t="str">
        <f t="shared" si="568"/>
        <v>revolutum</v>
      </c>
      <c r="L1174" s="77">
        <f t="shared" si="568"/>
        <v>7</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2021</v>
      </c>
      <c r="B1175" s="72" t="str">
        <f t="shared" si="547"/>
        <v>Nov</v>
      </c>
      <c r="C1175" s="73">
        <f t="shared" si="565"/>
        <v>15</v>
      </c>
      <c r="D1175" s="74">
        <f t="shared" si="548"/>
        <v>8</v>
      </c>
      <c r="E1175" s="75">
        <f t="shared" si="549"/>
        <v>58</v>
      </c>
      <c r="F1175" s="79"/>
      <c r="G1175" s="82"/>
      <c r="H1175" s="68" t="str">
        <f t="shared" si="566"/>
        <v>Hyprev7_20211115_08_00</v>
      </c>
      <c r="I1175" s="69">
        <f t="shared" si="568"/>
        <v>1</v>
      </c>
      <c r="J1175" s="76" t="str">
        <f t="shared" si="568"/>
        <v>Hypericum</v>
      </c>
      <c r="K1175" s="76" t="str">
        <f t="shared" si="568"/>
        <v>revolutum</v>
      </c>
      <c r="L1175" s="77">
        <f t="shared" si="568"/>
        <v>7</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2021</v>
      </c>
      <c r="B1176" s="72" t="str">
        <f t="shared" si="547"/>
        <v>Nov</v>
      </c>
      <c r="C1176" s="73">
        <f t="shared" si="565"/>
        <v>15</v>
      </c>
      <c r="D1176" s="74">
        <f t="shared" si="548"/>
        <v>8</v>
      </c>
      <c r="E1176" s="75">
        <f t="shared" si="549"/>
        <v>59</v>
      </c>
      <c r="F1176" s="79">
        <v>13</v>
      </c>
      <c r="G1176" s="82"/>
      <c r="H1176" s="68" t="str">
        <f t="shared" si="566"/>
        <v>Hyprev7_20211115_08_00</v>
      </c>
      <c r="I1176" s="69">
        <f t="shared" si="568"/>
        <v>1</v>
      </c>
      <c r="J1176" s="76" t="str">
        <f t="shared" si="568"/>
        <v>Hypericum</v>
      </c>
      <c r="K1176" s="76" t="str">
        <f t="shared" si="568"/>
        <v>revolutum</v>
      </c>
      <c r="L1176" s="77">
        <f t="shared" si="568"/>
        <v>7</v>
      </c>
      <c r="M1176" s="77">
        <f t="shared" si="568"/>
        <v>2</v>
      </c>
      <c r="N1176" s="71">
        <f t="shared" si="568"/>
        <v>0</v>
      </c>
      <c r="O1176" s="44"/>
      <c r="P1176" s="45">
        <f t="shared" si="550"/>
        <v>1</v>
      </c>
      <c r="Q1176" s="46" t="str">
        <f t="shared" si="551"/>
        <v>08:59:13</v>
      </c>
      <c r="R1176" s="47" t="str">
        <f t="shared" si="552"/>
        <v>59:13</v>
      </c>
      <c r="S1176" s="48">
        <f t="shared" si="541"/>
        <v>60</v>
      </c>
      <c r="T1176" s="47">
        <v>9</v>
      </c>
      <c r="U1176" s="49">
        <v>0</v>
      </c>
      <c r="V1176" s="50">
        <v>13</v>
      </c>
      <c r="W1176" s="51" t="str">
        <f t="shared" si="554"/>
        <v>00:13</v>
      </c>
      <c r="X1176" s="52" t="s">
        <v>61</v>
      </c>
      <c r="Y1176" s="124" t="s">
        <v>237</v>
      </c>
      <c r="Z1176" s="124" t="s">
        <v>252</v>
      </c>
      <c r="AA1176" s="47" t="s">
        <v>254</v>
      </c>
      <c r="AB1176" s="47" t="str">
        <f t="shared" si="555"/>
        <v>NA</v>
      </c>
      <c r="AC1176" s="53" t="str">
        <f t="shared" si="556"/>
        <v/>
      </c>
      <c r="AD1176" s="54">
        <v>2</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t="s">
        <v>192</v>
      </c>
      <c r="AT1176" s="58"/>
      <c r="AU1176" s="58"/>
      <c r="AV1176" s="59"/>
      <c r="AW1176" s="60">
        <f t="shared" si="542"/>
        <v>0</v>
      </c>
      <c r="AX1176" s="61" t="str">
        <f t="shared" si="543"/>
        <v/>
      </c>
      <c r="AY1176" s="60">
        <f t="shared" si="544"/>
        <v>0</v>
      </c>
      <c r="AZ1176" s="61" t="str">
        <f t="shared" si="545"/>
        <v/>
      </c>
    </row>
    <row r="1177" spans="1:52" s="3" customFormat="1" hidden="1" x14ac:dyDescent="0.35">
      <c r="A1177" s="72">
        <f t="shared" si="546"/>
        <v>2021</v>
      </c>
      <c r="B1177" s="72" t="str">
        <f t="shared" si="547"/>
        <v>Nov</v>
      </c>
      <c r="C1177" s="73">
        <f t="shared" si="565"/>
        <v>15</v>
      </c>
      <c r="D1177" s="74">
        <f t="shared" si="548"/>
        <v>9</v>
      </c>
      <c r="E1177" s="75">
        <f t="shared" si="549"/>
        <v>0</v>
      </c>
      <c r="F1177" s="79">
        <v>5</v>
      </c>
      <c r="G1177" s="82"/>
      <c r="H1177" s="68" t="str">
        <f t="shared" si="566"/>
        <v>Hyprev7_20211115_09_00</v>
      </c>
      <c r="I1177" s="69">
        <f t="shared" si="568"/>
        <v>1</v>
      </c>
      <c r="J1177" s="76" t="str">
        <f t="shared" si="568"/>
        <v>Hypericum</v>
      </c>
      <c r="K1177" s="76" t="str">
        <f t="shared" si="568"/>
        <v>revolutum</v>
      </c>
      <c r="L1177" s="77">
        <f t="shared" si="568"/>
        <v>7</v>
      </c>
      <c r="M1177" s="77">
        <f t="shared" si="568"/>
        <v>2</v>
      </c>
      <c r="N1177" s="71">
        <f t="shared" si="568"/>
        <v>0</v>
      </c>
      <c r="O1177" s="44"/>
      <c r="P1177" s="45">
        <f t="shared" si="550"/>
        <v>1</v>
      </c>
      <c r="Q1177" s="46" t="str">
        <f t="shared" si="551"/>
        <v>09:00:05</v>
      </c>
      <c r="R1177" s="47" t="str">
        <f t="shared" si="552"/>
        <v>00:05</v>
      </c>
      <c r="S1177" s="48">
        <f t="shared" si="541"/>
        <v>20</v>
      </c>
      <c r="T1177" s="47" t="str">
        <f t="shared" si="553"/>
        <v>09</v>
      </c>
      <c r="U1177" s="49">
        <v>0</v>
      </c>
      <c r="V1177" s="50">
        <v>25</v>
      </c>
      <c r="W1177" s="51" t="str">
        <f t="shared" si="554"/>
        <v>00:25</v>
      </c>
      <c r="X1177" s="52" t="s">
        <v>61</v>
      </c>
      <c r="Y1177" s="124" t="s">
        <v>237</v>
      </c>
      <c r="Z1177" s="124" t="s">
        <v>252</v>
      </c>
      <c r="AA1177" s="47" t="s">
        <v>254</v>
      </c>
      <c r="AB1177" s="47" t="str">
        <f t="shared" si="555"/>
        <v>NA</v>
      </c>
      <c r="AC1177" s="53" t="str">
        <f t="shared" si="556"/>
        <v/>
      </c>
      <c r="AD1177" s="54">
        <f t="shared" si="557"/>
        <v>1</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t="s">
        <v>193</v>
      </c>
      <c r="AT1177" s="58"/>
      <c r="AU1177" s="58"/>
      <c r="AV1177" s="59"/>
      <c r="AW1177" s="60">
        <f t="shared" si="542"/>
        <v>0</v>
      </c>
      <c r="AX1177" s="61" t="str">
        <f t="shared" si="543"/>
        <v/>
      </c>
      <c r="AY1177" s="60">
        <f t="shared" si="544"/>
        <v>0</v>
      </c>
      <c r="AZ1177" s="61" t="str">
        <f t="shared" si="545"/>
        <v/>
      </c>
    </row>
    <row r="1178" spans="1:52" s="3" customFormat="1" hidden="1" x14ac:dyDescent="0.35">
      <c r="A1178" s="72">
        <f t="shared" si="546"/>
        <v>2021</v>
      </c>
      <c r="B1178" s="72" t="str">
        <f t="shared" si="547"/>
        <v>Nov</v>
      </c>
      <c r="C1178" s="73">
        <f t="shared" si="565"/>
        <v>15</v>
      </c>
      <c r="D1178" s="74">
        <f t="shared" si="548"/>
        <v>9</v>
      </c>
      <c r="E1178" s="75">
        <v>0</v>
      </c>
      <c r="F1178" s="79">
        <v>49</v>
      </c>
      <c r="G1178" s="82"/>
      <c r="H1178" s="68" t="str">
        <f t="shared" si="566"/>
        <v>Hyprev7_20211115_09_00</v>
      </c>
      <c r="I1178" s="69">
        <f t="shared" si="568"/>
        <v>1</v>
      </c>
      <c r="J1178" s="76" t="str">
        <f t="shared" si="568"/>
        <v>Hypericum</v>
      </c>
      <c r="K1178" s="76" t="str">
        <f t="shared" si="568"/>
        <v>revolutum</v>
      </c>
      <c r="L1178" s="77">
        <f t="shared" si="568"/>
        <v>7</v>
      </c>
      <c r="M1178" s="77">
        <f t="shared" si="568"/>
        <v>2</v>
      </c>
      <c r="N1178" s="71">
        <f t="shared" si="568"/>
        <v>0</v>
      </c>
      <c r="O1178" s="44"/>
      <c r="P1178" s="45">
        <f t="shared" si="550"/>
        <v>1</v>
      </c>
      <c r="Q1178" s="46" t="str">
        <f t="shared" si="551"/>
        <v>09:00:49</v>
      </c>
      <c r="R1178" s="47" t="str">
        <f t="shared" si="552"/>
        <v>00:49</v>
      </c>
      <c r="S1178" s="48">
        <f t="shared" si="541"/>
        <v>11</v>
      </c>
      <c r="T1178" s="47" t="str">
        <f t="shared" si="553"/>
        <v>09</v>
      </c>
      <c r="U1178" s="49">
        <v>1</v>
      </c>
      <c r="V1178" s="50">
        <v>0</v>
      </c>
      <c r="W1178" s="51" t="str">
        <f t="shared" si="554"/>
        <v>01:00</v>
      </c>
      <c r="X1178" s="52" t="s">
        <v>61</v>
      </c>
      <c r="Y1178" s="124" t="s">
        <v>239</v>
      </c>
      <c r="Z1178" s="124"/>
      <c r="AA1178" s="47" t="s">
        <v>254</v>
      </c>
      <c r="AB1178" s="47" t="str">
        <f t="shared" si="555"/>
        <v>NA</v>
      </c>
      <c r="AC1178" s="53" t="str">
        <f t="shared" si="556"/>
        <v/>
      </c>
      <c r="AD1178" s="54">
        <f t="shared" si="557"/>
        <v>1</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t="s">
        <v>98</v>
      </c>
      <c r="AT1178" s="58"/>
      <c r="AU1178" s="58"/>
      <c r="AV1178" s="59"/>
      <c r="AW1178" s="60">
        <f t="shared" si="542"/>
        <v>0</v>
      </c>
      <c r="AX1178" s="61" t="str">
        <f t="shared" si="543"/>
        <v/>
      </c>
      <c r="AY1178" s="60">
        <f t="shared" si="544"/>
        <v>0</v>
      </c>
      <c r="AZ1178" s="61" t="str">
        <f t="shared" si="545"/>
        <v/>
      </c>
    </row>
    <row r="1179" spans="1:52" s="3" customFormat="1" hidden="1" x14ac:dyDescent="0.35">
      <c r="A1179" s="72">
        <f t="shared" si="546"/>
        <v>2021</v>
      </c>
      <c r="B1179" s="72" t="str">
        <f t="shared" si="547"/>
        <v>Nov</v>
      </c>
      <c r="C1179" s="73">
        <f t="shared" si="565"/>
        <v>15</v>
      </c>
      <c r="D1179" s="74">
        <f t="shared" si="548"/>
        <v>9</v>
      </c>
      <c r="E1179" s="75">
        <v>0</v>
      </c>
      <c r="F1179" s="79">
        <v>56</v>
      </c>
      <c r="G1179" s="82"/>
      <c r="H1179" s="68" t="str">
        <f t="shared" si="566"/>
        <v>Hyprev7_20211115_09_00</v>
      </c>
      <c r="I1179" s="69">
        <f t="shared" si="568"/>
        <v>1</v>
      </c>
      <c r="J1179" s="76" t="str">
        <f t="shared" si="568"/>
        <v>Hypericum</v>
      </c>
      <c r="K1179" s="76" t="str">
        <f t="shared" si="568"/>
        <v>revolutum</v>
      </c>
      <c r="L1179" s="77">
        <f t="shared" si="568"/>
        <v>7</v>
      </c>
      <c r="M1179" s="77">
        <f t="shared" si="568"/>
        <v>2</v>
      </c>
      <c r="N1179" s="71">
        <f t="shared" si="568"/>
        <v>0</v>
      </c>
      <c r="O1179" s="44"/>
      <c r="P1179" s="45">
        <f t="shared" si="550"/>
        <v>1</v>
      </c>
      <c r="Q1179" s="46" t="str">
        <f t="shared" si="551"/>
        <v>09:00:56</v>
      </c>
      <c r="R1179" s="47" t="str">
        <f t="shared" si="552"/>
        <v>00:56</v>
      </c>
      <c r="S1179" s="48">
        <f t="shared" si="541"/>
        <v>9</v>
      </c>
      <c r="T1179" s="47" t="str">
        <f t="shared" si="553"/>
        <v>09</v>
      </c>
      <c r="U1179" s="49">
        <v>1</v>
      </c>
      <c r="V1179" s="50">
        <v>5</v>
      </c>
      <c r="W1179" s="51" t="str">
        <f t="shared" si="554"/>
        <v>01:05</v>
      </c>
      <c r="X1179" s="52" t="s">
        <v>61</v>
      </c>
      <c r="Y1179" s="124" t="s">
        <v>240</v>
      </c>
      <c r="Z1179" s="124"/>
      <c r="AA1179" s="47" t="s">
        <v>254</v>
      </c>
      <c r="AB1179" s="47" t="str">
        <f t="shared" si="555"/>
        <v>NA</v>
      </c>
      <c r="AC1179" s="53" t="str">
        <f t="shared" si="556"/>
        <v/>
      </c>
      <c r="AD1179" s="54">
        <f t="shared" si="557"/>
        <v>1</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t="s">
        <v>112</v>
      </c>
      <c r="AT1179" s="58"/>
      <c r="AU1179" s="58"/>
      <c r="AV1179" s="59"/>
      <c r="AW1179" s="60">
        <f t="shared" si="542"/>
        <v>0</v>
      </c>
      <c r="AX1179" s="61" t="str">
        <f t="shared" si="543"/>
        <v/>
      </c>
      <c r="AY1179" s="60">
        <f t="shared" si="544"/>
        <v>0</v>
      </c>
      <c r="AZ1179" s="61" t="str">
        <f t="shared" si="545"/>
        <v/>
      </c>
    </row>
    <row r="1180" spans="1:52" s="3" customFormat="1" hidden="1" x14ac:dyDescent="0.35">
      <c r="A1180" s="72">
        <f t="shared" si="546"/>
        <v>2021</v>
      </c>
      <c r="B1180" s="72" t="str">
        <f t="shared" si="547"/>
        <v>Nov</v>
      </c>
      <c r="C1180" s="73">
        <f t="shared" si="565"/>
        <v>15</v>
      </c>
      <c r="D1180" s="74">
        <f t="shared" si="548"/>
        <v>9</v>
      </c>
      <c r="E1180" s="75">
        <f t="shared" si="549"/>
        <v>1</v>
      </c>
      <c r="F1180" s="79">
        <v>5</v>
      </c>
      <c r="G1180" s="82"/>
      <c r="H1180" s="68" t="str">
        <f t="shared" si="566"/>
        <v>Hyprev7_20211115_09_00</v>
      </c>
      <c r="I1180" s="69">
        <f t="shared" si="568"/>
        <v>1</v>
      </c>
      <c r="J1180" s="76" t="str">
        <f t="shared" si="568"/>
        <v>Hypericum</v>
      </c>
      <c r="K1180" s="76" t="str">
        <f t="shared" si="568"/>
        <v>revolutum</v>
      </c>
      <c r="L1180" s="77">
        <f t="shared" si="568"/>
        <v>7</v>
      </c>
      <c r="M1180" s="77">
        <f t="shared" si="568"/>
        <v>2</v>
      </c>
      <c r="N1180" s="71">
        <f t="shared" si="568"/>
        <v>0</v>
      </c>
      <c r="O1180" s="44"/>
      <c r="P1180" s="45">
        <f t="shared" si="550"/>
        <v>1</v>
      </c>
      <c r="Q1180" s="46" t="str">
        <f t="shared" si="551"/>
        <v>09:01:05</v>
      </c>
      <c r="R1180" s="47" t="str">
        <f t="shared" si="552"/>
        <v>01:05</v>
      </c>
      <c r="S1180" s="48">
        <f t="shared" si="541"/>
        <v>10</v>
      </c>
      <c r="T1180" s="47" t="str">
        <f t="shared" si="553"/>
        <v>09</v>
      </c>
      <c r="U1180" s="49">
        <v>1</v>
      </c>
      <c r="V1180" s="50">
        <v>15</v>
      </c>
      <c r="W1180" s="51" t="str">
        <f t="shared" si="554"/>
        <v>01:15</v>
      </c>
      <c r="X1180" s="52" t="s">
        <v>61</v>
      </c>
      <c r="Y1180" s="124" t="s">
        <v>239</v>
      </c>
      <c r="Z1180" s="124"/>
      <c r="AA1180" s="47" t="s">
        <v>254</v>
      </c>
      <c r="AB1180" s="47" t="str">
        <f t="shared" si="555"/>
        <v>NA</v>
      </c>
      <c r="AC1180" s="53" t="str">
        <f t="shared" si="556"/>
        <v/>
      </c>
      <c r="AD1180" s="54">
        <v>2</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t="s">
        <v>98</v>
      </c>
      <c r="AT1180" s="58"/>
      <c r="AU1180" s="58"/>
      <c r="AV1180" s="59"/>
      <c r="AW1180" s="60">
        <f t="shared" si="542"/>
        <v>0</v>
      </c>
      <c r="AX1180" s="61" t="str">
        <f t="shared" si="543"/>
        <v/>
      </c>
      <c r="AY1180" s="60">
        <f t="shared" si="544"/>
        <v>0</v>
      </c>
      <c r="AZ1180" s="61" t="str">
        <f t="shared" si="545"/>
        <v/>
      </c>
    </row>
    <row r="1181" spans="1:52" s="3" customFormat="1" hidden="1" x14ac:dyDescent="0.35">
      <c r="A1181" s="72">
        <f t="shared" si="546"/>
        <v>2021</v>
      </c>
      <c r="B1181" s="72" t="str">
        <f t="shared" si="547"/>
        <v>Nov</v>
      </c>
      <c r="C1181" s="73">
        <f t="shared" si="565"/>
        <v>15</v>
      </c>
      <c r="D1181" s="74">
        <f t="shared" si="548"/>
        <v>9</v>
      </c>
      <c r="E1181" s="75">
        <v>1</v>
      </c>
      <c r="F1181" s="79">
        <v>51</v>
      </c>
      <c r="G1181" s="82"/>
      <c r="H1181" s="68" t="str">
        <f t="shared" si="566"/>
        <v>Hyprev7_20211115_09_00</v>
      </c>
      <c r="I1181" s="69">
        <f t="shared" si="568"/>
        <v>1</v>
      </c>
      <c r="J1181" s="76" t="str">
        <f t="shared" si="568"/>
        <v>Hypericum</v>
      </c>
      <c r="K1181" s="76" t="str">
        <f t="shared" si="568"/>
        <v>revolutum</v>
      </c>
      <c r="L1181" s="77">
        <f t="shared" si="568"/>
        <v>7</v>
      </c>
      <c r="M1181" s="77">
        <f t="shared" si="568"/>
        <v>2</v>
      </c>
      <c r="N1181" s="71">
        <f t="shared" si="568"/>
        <v>0</v>
      </c>
      <c r="O1181" s="44"/>
      <c r="P1181" s="45">
        <f t="shared" si="550"/>
        <v>1</v>
      </c>
      <c r="Q1181" s="46" t="str">
        <f t="shared" si="551"/>
        <v>09:01:51</v>
      </c>
      <c r="R1181" s="47" t="str">
        <f t="shared" si="552"/>
        <v>01:51</v>
      </c>
      <c r="S1181" s="48">
        <f t="shared" si="541"/>
        <v>49</v>
      </c>
      <c r="T1181" s="47" t="str">
        <f t="shared" si="553"/>
        <v>09</v>
      </c>
      <c r="U1181" s="49">
        <v>2</v>
      </c>
      <c r="V1181" s="50">
        <v>40</v>
      </c>
      <c r="W1181" s="51" t="str">
        <f t="shared" si="554"/>
        <v>02:40</v>
      </c>
      <c r="X1181" s="52" t="s">
        <v>61</v>
      </c>
      <c r="Y1181" s="124" t="s">
        <v>237</v>
      </c>
      <c r="Z1181" s="124" t="s">
        <v>252</v>
      </c>
      <c r="AA1181" s="47" t="s">
        <v>254</v>
      </c>
      <c r="AB1181" s="47" t="str">
        <f t="shared" si="555"/>
        <v>NA</v>
      </c>
      <c r="AC1181" s="53" t="str">
        <f t="shared" si="556"/>
        <v/>
      </c>
      <c r="AD1181" s="54">
        <f t="shared" si="557"/>
        <v>1</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t="s">
        <v>194</v>
      </c>
      <c r="AT1181" s="58"/>
      <c r="AU1181" s="58"/>
      <c r="AV1181" s="59"/>
      <c r="AW1181" s="60">
        <f t="shared" si="542"/>
        <v>0</v>
      </c>
      <c r="AX1181" s="61" t="str">
        <f t="shared" si="543"/>
        <v/>
      </c>
      <c r="AY1181" s="60">
        <f t="shared" si="544"/>
        <v>0</v>
      </c>
      <c r="AZ1181" s="61" t="str">
        <f t="shared" si="545"/>
        <v/>
      </c>
    </row>
    <row r="1182" spans="1:52" s="3" customFormat="1" hidden="1" x14ac:dyDescent="0.35">
      <c r="A1182" s="72">
        <f t="shared" si="546"/>
        <v>2021</v>
      </c>
      <c r="B1182" s="72" t="str">
        <f t="shared" si="547"/>
        <v>Nov</v>
      </c>
      <c r="C1182" s="73">
        <f t="shared" si="565"/>
        <v>15</v>
      </c>
      <c r="D1182" s="74">
        <f t="shared" si="548"/>
        <v>9</v>
      </c>
      <c r="E1182" s="75">
        <v>1</v>
      </c>
      <c r="F1182" s="79">
        <v>57</v>
      </c>
      <c r="G1182" s="82"/>
      <c r="H1182" s="68" t="str">
        <f t="shared" si="566"/>
        <v>Hyprev7_20211115_09_00</v>
      </c>
      <c r="I1182" s="69">
        <f t="shared" si="568"/>
        <v>1</v>
      </c>
      <c r="J1182" s="76" t="str">
        <f t="shared" si="568"/>
        <v>Hypericum</v>
      </c>
      <c r="K1182" s="76" t="str">
        <f t="shared" si="568"/>
        <v>revolutum</v>
      </c>
      <c r="L1182" s="77">
        <f t="shared" si="568"/>
        <v>7</v>
      </c>
      <c r="M1182" s="77">
        <f t="shared" si="568"/>
        <v>2</v>
      </c>
      <c r="N1182" s="71">
        <f t="shared" si="568"/>
        <v>0</v>
      </c>
      <c r="O1182" s="44"/>
      <c r="P1182" s="45">
        <f t="shared" si="550"/>
        <v>1</v>
      </c>
      <c r="Q1182" s="46" t="str">
        <f t="shared" si="551"/>
        <v>09:01:57</v>
      </c>
      <c r="R1182" s="47" t="str">
        <f t="shared" si="552"/>
        <v>01:57</v>
      </c>
      <c r="S1182" s="48">
        <f t="shared" si="541"/>
        <v>8</v>
      </c>
      <c r="T1182" s="47" t="str">
        <f t="shared" si="553"/>
        <v>09</v>
      </c>
      <c r="U1182" s="49">
        <v>2</v>
      </c>
      <c r="V1182" s="50">
        <v>5</v>
      </c>
      <c r="W1182" s="51" t="str">
        <f t="shared" si="554"/>
        <v>02:05</v>
      </c>
      <c r="X1182" s="52" t="s">
        <v>69</v>
      </c>
      <c r="Y1182" s="124" t="s">
        <v>241</v>
      </c>
      <c r="Z1182" s="124" t="s">
        <v>252</v>
      </c>
      <c r="AA1182" s="47" t="s">
        <v>253</v>
      </c>
      <c r="AB1182" s="47" t="str">
        <f t="shared" si="555"/>
        <v>NA</v>
      </c>
      <c r="AC1182" s="53" t="str">
        <f t="shared" si="556"/>
        <v/>
      </c>
      <c r="AD1182" s="54">
        <f t="shared" si="557"/>
        <v>1</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t="s">
        <v>195</v>
      </c>
      <c r="AT1182" s="58"/>
      <c r="AU1182" s="58"/>
      <c r="AV1182" s="59"/>
      <c r="AW1182" s="60">
        <f t="shared" si="542"/>
        <v>0</v>
      </c>
      <c r="AX1182" s="61" t="str">
        <f t="shared" si="543"/>
        <v/>
      </c>
      <c r="AY1182" s="60">
        <f t="shared" si="544"/>
        <v>0</v>
      </c>
      <c r="AZ1182" s="61" t="str">
        <f t="shared" si="545"/>
        <v/>
      </c>
    </row>
    <row r="1183" spans="1:52" s="3" customFormat="1" hidden="1" x14ac:dyDescent="0.35">
      <c r="A1183" s="72">
        <f t="shared" si="546"/>
        <v>2021</v>
      </c>
      <c r="B1183" s="72" t="str">
        <f t="shared" si="547"/>
        <v>Nov</v>
      </c>
      <c r="C1183" s="73">
        <f t="shared" si="565"/>
        <v>15</v>
      </c>
      <c r="D1183" s="74">
        <f t="shared" si="548"/>
        <v>9</v>
      </c>
      <c r="E1183" s="75">
        <f t="shared" si="549"/>
        <v>2</v>
      </c>
      <c r="F1183" s="79">
        <v>33</v>
      </c>
      <c r="G1183" s="82"/>
      <c r="H1183" s="68" t="str">
        <f t="shared" si="566"/>
        <v>Hyprev7_20211115_09_00</v>
      </c>
      <c r="I1183" s="69">
        <f t="shared" si="568"/>
        <v>1</v>
      </c>
      <c r="J1183" s="76" t="str">
        <f t="shared" si="568"/>
        <v>Hypericum</v>
      </c>
      <c r="K1183" s="76" t="str">
        <f t="shared" si="568"/>
        <v>revolutum</v>
      </c>
      <c r="L1183" s="77">
        <f t="shared" si="568"/>
        <v>7</v>
      </c>
      <c r="M1183" s="77">
        <f t="shared" si="568"/>
        <v>2</v>
      </c>
      <c r="N1183" s="71">
        <f t="shared" si="568"/>
        <v>0</v>
      </c>
      <c r="O1183" s="44"/>
      <c r="P1183" s="45">
        <f t="shared" si="550"/>
        <v>1</v>
      </c>
      <c r="Q1183" s="46" t="str">
        <f t="shared" si="551"/>
        <v>09:02:33</v>
      </c>
      <c r="R1183" s="47" t="str">
        <f t="shared" si="552"/>
        <v>02:33</v>
      </c>
      <c r="S1183" s="48">
        <f t="shared" si="541"/>
        <v>3</v>
      </c>
      <c r="T1183" s="47" t="str">
        <f t="shared" si="553"/>
        <v>09</v>
      </c>
      <c r="U1183" s="49">
        <v>2</v>
      </c>
      <c r="V1183" s="50">
        <v>36</v>
      </c>
      <c r="W1183" s="51" t="str">
        <f t="shared" si="554"/>
        <v>02:36</v>
      </c>
      <c r="X1183" s="52" t="s">
        <v>61</v>
      </c>
      <c r="Y1183" s="124" t="s">
        <v>240</v>
      </c>
      <c r="Z1183" s="124"/>
      <c r="AA1183" s="47" t="s">
        <v>254</v>
      </c>
      <c r="AB1183" s="47" t="str">
        <f t="shared" si="555"/>
        <v>NA</v>
      </c>
      <c r="AC1183" s="53" t="str">
        <f t="shared" si="556"/>
        <v/>
      </c>
      <c r="AD1183" s="54">
        <f t="shared" si="557"/>
        <v>1</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t="s">
        <v>98</v>
      </c>
      <c r="AT1183" s="58"/>
      <c r="AU1183" s="58"/>
      <c r="AV1183" s="59"/>
      <c r="AW1183" s="60">
        <f t="shared" si="542"/>
        <v>0</v>
      </c>
      <c r="AX1183" s="61" t="str">
        <f t="shared" si="543"/>
        <v/>
      </c>
      <c r="AY1183" s="60">
        <f t="shared" si="544"/>
        <v>0</v>
      </c>
      <c r="AZ1183" s="61" t="str">
        <f t="shared" si="545"/>
        <v/>
      </c>
    </row>
    <row r="1184" spans="1:52" s="3" customFormat="1" hidden="1" x14ac:dyDescent="0.35">
      <c r="A1184" s="72">
        <f t="shared" si="546"/>
        <v>2021</v>
      </c>
      <c r="B1184" s="72" t="str">
        <f t="shared" si="547"/>
        <v>Nov</v>
      </c>
      <c r="C1184" s="73">
        <f t="shared" si="565"/>
        <v>15</v>
      </c>
      <c r="D1184" s="74">
        <f t="shared" si="548"/>
        <v>9</v>
      </c>
      <c r="E1184" s="75">
        <f t="shared" si="549"/>
        <v>3</v>
      </c>
      <c r="F1184" s="79"/>
      <c r="G1184" s="82"/>
      <c r="H1184" s="68" t="str">
        <f t="shared" si="566"/>
        <v>Hyprev7_20211115_09_00</v>
      </c>
      <c r="I1184" s="69">
        <f t="shared" si="568"/>
        <v>1</v>
      </c>
      <c r="J1184" s="76" t="str">
        <f t="shared" si="568"/>
        <v>Hypericum</v>
      </c>
      <c r="K1184" s="76" t="str">
        <f t="shared" si="568"/>
        <v>revolutum</v>
      </c>
      <c r="L1184" s="77">
        <f t="shared" si="568"/>
        <v>7</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2021</v>
      </c>
      <c r="B1185" s="72" t="str">
        <f t="shared" si="547"/>
        <v>Nov</v>
      </c>
      <c r="C1185" s="73">
        <f t="shared" si="565"/>
        <v>15</v>
      </c>
      <c r="D1185" s="74">
        <f t="shared" si="548"/>
        <v>9</v>
      </c>
      <c r="E1185" s="75">
        <f t="shared" si="549"/>
        <v>4</v>
      </c>
      <c r="F1185" s="79">
        <v>31</v>
      </c>
      <c r="G1185" s="82"/>
      <c r="H1185" s="68" t="str">
        <f t="shared" si="566"/>
        <v>Hyprev7_20211115_09_00</v>
      </c>
      <c r="I1185" s="69">
        <f t="shared" si="568"/>
        <v>1</v>
      </c>
      <c r="J1185" s="76" t="str">
        <f t="shared" si="568"/>
        <v>Hypericum</v>
      </c>
      <c r="K1185" s="76" t="str">
        <f t="shared" si="568"/>
        <v>revolutum</v>
      </c>
      <c r="L1185" s="77">
        <f t="shared" si="568"/>
        <v>7</v>
      </c>
      <c r="M1185" s="77">
        <f t="shared" si="568"/>
        <v>2</v>
      </c>
      <c r="N1185" s="71">
        <f t="shared" si="568"/>
        <v>0</v>
      </c>
      <c r="O1185" s="44"/>
      <c r="P1185" s="45">
        <f t="shared" si="550"/>
        <v>1</v>
      </c>
      <c r="Q1185" s="46" t="str">
        <f t="shared" si="551"/>
        <v>09:04:31</v>
      </c>
      <c r="R1185" s="47" t="str">
        <f t="shared" si="552"/>
        <v>04:31</v>
      </c>
      <c r="S1185" s="48">
        <f t="shared" si="541"/>
        <v>89</v>
      </c>
      <c r="T1185" s="47" t="str">
        <f t="shared" si="553"/>
        <v>09</v>
      </c>
      <c r="U1185" s="49">
        <v>6</v>
      </c>
      <c r="V1185" s="50">
        <v>0</v>
      </c>
      <c r="W1185" s="51" t="str">
        <f t="shared" si="554"/>
        <v>06:00</v>
      </c>
      <c r="X1185" s="52" t="s">
        <v>61</v>
      </c>
      <c r="Y1185" s="124" t="s">
        <v>239</v>
      </c>
      <c r="Z1185" s="124"/>
      <c r="AA1185" s="47" t="s">
        <v>254</v>
      </c>
      <c r="AB1185" s="47" t="str">
        <f t="shared" si="555"/>
        <v>NA</v>
      </c>
      <c r="AC1185" s="53" t="str">
        <f t="shared" si="556"/>
        <v/>
      </c>
      <c r="AD1185" s="54">
        <v>2</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t="s">
        <v>196</v>
      </c>
      <c r="AT1185" s="58"/>
      <c r="AU1185" s="58"/>
      <c r="AV1185" s="59"/>
      <c r="AW1185" s="60">
        <f t="shared" si="542"/>
        <v>0</v>
      </c>
      <c r="AX1185" s="61" t="str">
        <f t="shared" si="543"/>
        <v/>
      </c>
      <c r="AY1185" s="60">
        <f t="shared" si="544"/>
        <v>0</v>
      </c>
      <c r="AZ1185" s="61" t="str">
        <f t="shared" si="545"/>
        <v/>
      </c>
    </row>
    <row r="1186" spans="1:52" s="3" customFormat="1" hidden="1" x14ac:dyDescent="0.35">
      <c r="A1186" s="72">
        <f t="shared" si="546"/>
        <v>2021</v>
      </c>
      <c r="B1186" s="72" t="str">
        <f t="shared" si="547"/>
        <v>Nov</v>
      </c>
      <c r="C1186" s="73">
        <f t="shared" si="565"/>
        <v>15</v>
      </c>
      <c r="D1186" s="74">
        <f t="shared" si="548"/>
        <v>9</v>
      </c>
      <c r="E1186" s="75">
        <f t="shared" si="549"/>
        <v>5</v>
      </c>
      <c r="F1186" s="79"/>
      <c r="G1186" s="82"/>
      <c r="H1186" s="68" t="str">
        <f t="shared" si="566"/>
        <v>Hyprev7_20211115_09_00</v>
      </c>
      <c r="I1186" s="69">
        <f t="shared" si="568"/>
        <v>1</v>
      </c>
      <c r="J1186" s="76" t="str">
        <f t="shared" si="568"/>
        <v>Hypericum</v>
      </c>
      <c r="K1186" s="76" t="str">
        <f t="shared" si="568"/>
        <v>revolutum</v>
      </c>
      <c r="L1186" s="77">
        <f t="shared" si="568"/>
        <v>7</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2021</v>
      </c>
      <c r="B1187" s="72" t="str">
        <f t="shared" si="547"/>
        <v>Nov</v>
      </c>
      <c r="C1187" s="73">
        <f t="shared" si="565"/>
        <v>15</v>
      </c>
      <c r="D1187" s="74">
        <f t="shared" si="548"/>
        <v>9</v>
      </c>
      <c r="E1187" s="75">
        <f t="shared" si="549"/>
        <v>6</v>
      </c>
      <c r="F1187" s="79"/>
      <c r="G1187" s="82"/>
      <c r="H1187" s="68" t="str">
        <f t="shared" si="566"/>
        <v>Hyprev7_20211115_09_00</v>
      </c>
      <c r="I1187" s="69">
        <f t="shared" si="568"/>
        <v>1</v>
      </c>
      <c r="J1187" s="76" t="str">
        <f t="shared" si="568"/>
        <v>Hypericum</v>
      </c>
      <c r="K1187" s="76" t="str">
        <f t="shared" si="568"/>
        <v>revolutum</v>
      </c>
      <c r="L1187" s="77">
        <f t="shared" si="568"/>
        <v>7</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2021</v>
      </c>
      <c r="B1188" s="72" t="str">
        <f t="shared" si="547"/>
        <v>Nov</v>
      </c>
      <c r="C1188" s="73">
        <f t="shared" si="565"/>
        <v>15</v>
      </c>
      <c r="D1188" s="74">
        <f t="shared" si="548"/>
        <v>9</v>
      </c>
      <c r="E1188" s="75">
        <f t="shared" si="549"/>
        <v>7</v>
      </c>
      <c r="F1188" s="79"/>
      <c r="G1188" s="82"/>
      <c r="H1188" s="68" t="str">
        <f t="shared" si="566"/>
        <v>Hyprev7_20211115_09_00</v>
      </c>
      <c r="I1188" s="69">
        <f t="shared" si="568"/>
        <v>1</v>
      </c>
      <c r="J1188" s="76" t="str">
        <f t="shared" si="568"/>
        <v>Hypericum</v>
      </c>
      <c r="K1188" s="76" t="str">
        <f t="shared" si="568"/>
        <v>revolutum</v>
      </c>
      <c r="L1188" s="77">
        <f t="shared" si="568"/>
        <v>7</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2021</v>
      </c>
      <c r="B1189" s="72" t="str">
        <f t="shared" si="547"/>
        <v>Nov</v>
      </c>
      <c r="C1189" s="73">
        <f t="shared" si="565"/>
        <v>15</v>
      </c>
      <c r="D1189" s="74">
        <f t="shared" si="548"/>
        <v>9</v>
      </c>
      <c r="E1189" s="75">
        <f t="shared" si="549"/>
        <v>8</v>
      </c>
      <c r="F1189" s="79"/>
      <c r="G1189" s="82"/>
      <c r="H1189" s="68" t="str">
        <f t="shared" si="566"/>
        <v>Hyprev7_20211115_09_00</v>
      </c>
      <c r="I1189" s="69">
        <f t="shared" ref="I1189:N1204" si="569">I1188</f>
        <v>1</v>
      </c>
      <c r="J1189" s="76" t="str">
        <f t="shared" si="569"/>
        <v>Hypericum</v>
      </c>
      <c r="K1189" s="76" t="str">
        <f t="shared" si="569"/>
        <v>revolutum</v>
      </c>
      <c r="L1189" s="77">
        <f t="shared" si="569"/>
        <v>7</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2021</v>
      </c>
      <c r="B1190" s="72" t="str">
        <f t="shared" si="547"/>
        <v>Nov</v>
      </c>
      <c r="C1190" s="73">
        <f t="shared" si="565"/>
        <v>15</v>
      </c>
      <c r="D1190" s="74">
        <f t="shared" si="548"/>
        <v>9</v>
      </c>
      <c r="E1190" s="75">
        <f t="shared" si="549"/>
        <v>9</v>
      </c>
      <c r="F1190" s="79"/>
      <c r="G1190" s="82"/>
      <c r="H1190" s="68" t="str">
        <f t="shared" si="566"/>
        <v>Hyprev7_20211115_09_00</v>
      </c>
      <c r="I1190" s="69">
        <f t="shared" si="569"/>
        <v>1</v>
      </c>
      <c r="J1190" s="76" t="str">
        <f t="shared" si="569"/>
        <v>Hypericum</v>
      </c>
      <c r="K1190" s="76" t="str">
        <f t="shared" si="569"/>
        <v>revolutum</v>
      </c>
      <c r="L1190" s="77">
        <f t="shared" si="569"/>
        <v>7</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2021</v>
      </c>
      <c r="B1191" s="72" t="str">
        <f t="shared" si="547"/>
        <v>Nov</v>
      </c>
      <c r="C1191" s="73">
        <f t="shared" si="565"/>
        <v>15</v>
      </c>
      <c r="D1191" s="74">
        <f t="shared" si="548"/>
        <v>9</v>
      </c>
      <c r="E1191" s="75">
        <f t="shared" si="549"/>
        <v>10</v>
      </c>
      <c r="F1191" s="79"/>
      <c r="G1191" s="82"/>
      <c r="H1191" s="68" t="str">
        <f t="shared" si="566"/>
        <v>Hyprev7_20211115_09_00</v>
      </c>
      <c r="I1191" s="69">
        <f t="shared" si="569"/>
        <v>1</v>
      </c>
      <c r="J1191" s="76" t="str">
        <f t="shared" si="569"/>
        <v>Hypericum</v>
      </c>
      <c r="K1191" s="76" t="str">
        <f t="shared" si="569"/>
        <v>revolutum</v>
      </c>
      <c r="L1191" s="77">
        <f t="shared" si="569"/>
        <v>7</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2021</v>
      </c>
      <c r="B1192" s="72" t="str">
        <f t="shared" si="547"/>
        <v>Nov</v>
      </c>
      <c r="C1192" s="73">
        <f t="shared" si="565"/>
        <v>15</v>
      </c>
      <c r="D1192" s="74">
        <f t="shared" si="548"/>
        <v>9</v>
      </c>
      <c r="E1192" s="75">
        <f t="shared" si="549"/>
        <v>11</v>
      </c>
      <c r="F1192" s="79"/>
      <c r="G1192" s="82"/>
      <c r="H1192" s="68" t="str">
        <f t="shared" si="566"/>
        <v>Hyprev7_20211115_09_00</v>
      </c>
      <c r="I1192" s="69">
        <f t="shared" si="569"/>
        <v>1</v>
      </c>
      <c r="J1192" s="76" t="str">
        <f t="shared" si="569"/>
        <v>Hypericum</v>
      </c>
      <c r="K1192" s="76" t="str">
        <f t="shared" si="569"/>
        <v>revolutum</v>
      </c>
      <c r="L1192" s="77">
        <f t="shared" si="569"/>
        <v>7</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2021</v>
      </c>
      <c r="B1193" s="72" t="str">
        <f t="shared" si="547"/>
        <v>Nov</v>
      </c>
      <c r="C1193" s="73">
        <f t="shared" si="565"/>
        <v>15</v>
      </c>
      <c r="D1193" s="74">
        <f t="shared" si="548"/>
        <v>9</v>
      </c>
      <c r="E1193" s="75">
        <f t="shared" si="549"/>
        <v>12</v>
      </c>
      <c r="F1193" s="79"/>
      <c r="G1193" s="82"/>
      <c r="H1193" s="68" t="str">
        <f t="shared" si="566"/>
        <v>Hyprev7_20211115_09_00</v>
      </c>
      <c r="I1193" s="69">
        <f t="shared" si="569"/>
        <v>1</v>
      </c>
      <c r="J1193" s="76" t="str">
        <f t="shared" si="569"/>
        <v>Hypericum</v>
      </c>
      <c r="K1193" s="76" t="str">
        <f t="shared" si="569"/>
        <v>revolutum</v>
      </c>
      <c r="L1193" s="77">
        <f t="shared" si="569"/>
        <v>7</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2021</v>
      </c>
      <c r="B1194" s="72" t="str">
        <f t="shared" si="547"/>
        <v>Nov</v>
      </c>
      <c r="C1194" s="73">
        <f t="shared" si="565"/>
        <v>15</v>
      </c>
      <c r="D1194" s="74">
        <f t="shared" si="548"/>
        <v>9</v>
      </c>
      <c r="E1194" s="75">
        <f t="shared" si="549"/>
        <v>13</v>
      </c>
      <c r="F1194" s="79"/>
      <c r="G1194" s="82"/>
      <c r="H1194" s="68" t="str">
        <f t="shared" si="566"/>
        <v>Hyprev7_20211115_09_00</v>
      </c>
      <c r="I1194" s="69">
        <f t="shared" si="569"/>
        <v>1</v>
      </c>
      <c r="J1194" s="76" t="str">
        <f t="shared" si="569"/>
        <v>Hypericum</v>
      </c>
      <c r="K1194" s="76" t="str">
        <f t="shared" si="569"/>
        <v>revolutum</v>
      </c>
      <c r="L1194" s="77">
        <f t="shared" si="569"/>
        <v>7</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2021</v>
      </c>
      <c r="B1195" s="72" t="str">
        <f t="shared" si="547"/>
        <v>Nov</v>
      </c>
      <c r="C1195" s="73">
        <f t="shared" si="565"/>
        <v>15</v>
      </c>
      <c r="D1195" s="74">
        <f t="shared" si="548"/>
        <v>9</v>
      </c>
      <c r="E1195" s="75">
        <f t="shared" si="549"/>
        <v>14</v>
      </c>
      <c r="F1195" s="79">
        <v>47</v>
      </c>
      <c r="G1195" s="82"/>
      <c r="H1195" s="68" t="str">
        <f t="shared" si="566"/>
        <v>Hyprev7_20211115_09_00</v>
      </c>
      <c r="I1195" s="69">
        <f t="shared" si="569"/>
        <v>1</v>
      </c>
      <c r="J1195" s="76" t="str">
        <f t="shared" si="569"/>
        <v>Hypericum</v>
      </c>
      <c r="K1195" s="76" t="str">
        <f t="shared" si="569"/>
        <v>revolutum</v>
      </c>
      <c r="L1195" s="77">
        <f t="shared" si="569"/>
        <v>7</v>
      </c>
      <c r="M1195" s="77">
        <f t="shared" si="569"/>
        <v>2</v>
      </c>
      <c r="N1195" s="71">
        <f t="shared" si="569"/>
        <v>0</v>
      </c>
      <c r="O1195" s="44"/>
      <c r="P1195" s="45">
        <f t="shared" si="550"/>
        <v>1</v>
      </c>
      <c r="Q1195" s="46" t="str">
        <f t="shared" si="551"/>
        <v>09:14:47</v>
      </c>
      <c r="R1195" s="47" t="str">
        <f t="shared" si="552"/>
        <v>14:47</v>
      </c>
      <c r="S1195" s="48">
        <f t="shared" si="541"/>
        <v>71</v>
      </c>
      <c r="T1195" s="47" t="str">
        <f t="shared" si="553"/>
        <v>09</v>
      </c>
      <c r="U1195" s="49">
        <v>15</v>
      </c>
      <c r="V1195" s="50">
        <v>58</v>
      </c>
      <c r="W1195" s="51" t="str">
        <f t="shared" si="554"/>
        <v>15:58</v>
      </c>
      <c r="X1195" s="52" t="s">
        <v>59</v>
      </c>
      <c r="Y1195" s="124" t="s">
        <v>249</v>
      </c>
      <c r="Z1195" s="124"/>
      <c r="AA1195" s="47" t="s">
        <v>253</v>
      </c>
      <c r="AB1195" s="47" t="str">
        <f t="shared" si="555"/>
        <v>NA</v>
      </c>
      <c r="AC1195" s="53" t="str">
        <f t="shared" si="556"/>
        <v/>
      </c>
      <c r="AD1195" s="54">
        <v>2</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t="s">
        <v>197</v>
      </c>
      <c r="AT1195" s="58"/>
      <c r="AU1195" s="58"/>
      <c r="AV1195" s="59"/>
      <c r="AW1195" s="60">
        <f t="shared" si="542"/>
        <v>0</v>
      </c>
      <c r="AX1195" s="61" t="str">
        <f t="shared" si="543"/>
        <v/>
      </c>
      <c r="AY1195" s="60">
        <f t="shared" si="544"/>
        <v>0</v>
      </c>
      <c r="AZ1195" s="61" t="str">
        <f t="shared" si="545"/>
        <v/>
      </c>
    </row>
    <row r="1196" spans="1:52" s="3" customFormat="1" hidden="1" x14ac:dyDescent="0.35">
      <c r="A1196" s="72">
        <f t="shared" si="546"/>
        <v>2021</v>
      </c>
      <c r="B1196" s="72" t="str">
        <f t="shared" si="547"/>
        <v>Nov</v>
      </c>
      <c r="C1196" s="73">
        <f t="shared" si="565"/>
        <v>15</v>
      </c>
      <c r="D1196" s="74">
        <f t="shared" si="548"/>
        <v>9</v>
      </c>
      <c r="E1196" s="75">
        <f t="shared" si="549"/>
        <v>15</v>
      </c>
      <c r="F1196" s="79">
        <v>50</v>
      </c>
      <c r="G1196" s="82"/>
      <c r="H1196" s="68" t="str">
        <f t="shared" si="566"/>
        <v>Hyprev7_20211115_09_00</v>
      </c>
      <c r="I1196" s="69">
        <f t="shared" si="569"/>
        <v>1</v>
      </c>
      <c r="J1196" s="76" t="str">
        <f t="shared" si="569"/>
        <v>Hypericum</v>
      </c>
      <c r="K1196" s="76" t="str">
        <f t="shared" si="569"/>
        <v>revolutum</v>
      </c>
      <c r="L1196" s="77">
        <f t="shared" si="569"/>
        <v>7</v>
      </c>
      <c r="M1196" s="77">
        <f t="shared" si="569"/>
        <v>2</v>
      </c>
      <c r="N1196" s="71">
        <f t="shared" si="569"/>
        <v>0</v>
      </c>
      <c r="O1196" s="44"/>
      <c r="P1196" s="45">
        <f t="shared" si="550"/>
        <v>1</v>
      </c>
      <c r="Q1196" s="46" t="str">
        <f t="shared" si="551"/>
        <v>09:15:50</v>
      </c>
      <c r="R1196" s="47" t="str">
        <f t="shared" si="552"/>
        <v>15:50</v>
      </c>
      <c r="S1196" s="48">
        <f t="shared" si="541"/>
        <v>208</v>
      </c>
      <c r="T1196" s="47" t="str">
        <f t="shared" si="553"/>
        <v>09</v>
      </c>
      <c r="U1196" s="49">
        <v>19</v>
      </c>
      <c r="V1196" s="50">
        <v>18</v>
      </c>
      <c r="W1196" s="51" t="str">
        <f t="shared" si="554"/>
        <v>19:18</v>
      </c>
      <c r="X1196" s="52" t="s">
        <v>59</v>
      </c>
      <c r="Y1196" s="124" t="s">
        <v>249</v>
      </c>
      <c r="Z1196" s="124"/>
      <c r="AA1196" s="47" t="s">
        <v>253</v>
      </c>
      <c r="AB1196" s="47" t="str">
        <f t="shared" si="555"/>
        <v>NA</v>
      </c>
      <c r="AC1196" s="53" t="str">
        <f t="shared" si="556"/>
        <v/>
      </c>
      <c r="AD1196" s="54">
        <f t="shared" si="557"/>
        <v>1</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t="s">
        <v>198</v>
      </c>
      <c r="AT1196" s="58"/>
      <c r="AU1196" s="58"/>
      <c r="AV1196" s="59"/>
      <c r="AW1196" s="60">
        <f t="shared" si="542"/>
        <v>0</v>
      </c>
      <c r="AX1196" s="61" t="str">
        <f t="shared" si="543"/>
        <v/>
      </c>
      <c r="AY1196" s="60">
        <f t="shared" si="544"/>
        <v>0</v>
      </c>
      <c r="AZ1196" s="61" t="str">
        <f t="shared" si="545"/>
        <v/>
      </c>
    </row>
    <row r="1197" spans="1:52" s="3" customFormat="1" hidden="1" x14ac:dyDescent="0.35">
      <c r="A1197" s="72">
        <f t="shared" si="546"/>
        <v>2021</v>
      </c>
      <c r="B1197" s="72" t="str">
        <f t="shared" si="547"/>
        <v>Nov</v>
      </c>
      <c r="C1197" s="73">
        <f t="shared" si="565"/>
        <v>15</v>
      </c>
      <c r="D1197" s="74">
        <f t="shared" si="548"/>
        <v>9</v>
      </c>
      <c r="E1197" s="75">
        <v>15</v>
      </c>
      <c r="F1197" s="79">
        <v>56</v>
      </c>
      <c r="G1197" s="82"/>
      <c r="H1197" s="68" t="str">
        <f t="shared" si="566"/>
        <v>Hyprev7_20211115_09_00</v>
      </c>
      <c r="I1197" s="69">
        <f t="shared" si="569"/>
        <v>1</v>
      </c>
      <c r="J1197" s="76" t="str">
        <f t="shared" si="569"/>
        <v>Hypericum</v>
      </c>
      <c r="K1197" s="76" t="str">
        <f t="shared" si="569"/>
        <v>revolutum</v>
      </c>
      <c r="L1197" s="77">
        <f t="shared" si="569"/>
        <v>7</v>
      </c>
      <c r="M1197" s="77">
        <f t="shared" si="569"/>
        <v>2</v>
      </c>
      <c r="N1197" s="71">
        <f t="shared" si="569"/>
        <v>0</v>
      </c>
      <c r="O1197" s="44"/>
      <c r="P1197" s="45">
        <f t="shared" si="550"/>
        <v>1</v>
      </c>
      <c r="Q1197" s="46" t="str">
        <f t="shared" si="551"/>
        <v>09:15:56</v>
      </c>
      <c r="R1197" s="47" t="str">
        <f t="shared" si="552"/>
        <v>15:56</v>
      </c>
      <c r="S1197" s="48">
        <f t="shared" si="541"/>
        <v>326</v>
      </c>
      <c r="T1197" s="47" t="str">
        <f t="shared" si="553"/>
        <v>09</v>
      </c>
      <c r="U1197" s="49">
        <v>21</v>
      </c>
      <c r="V1197" s="50">
        <v>22</v>
      </c>
      <c r="W1197" s="51" t="str">
        <f t="shared" si="554"/>
        <v>21:22</v>
      </c>
      <c r="X1197" s="52" t="s">
        <v>59</v>
      </c>
      <c r="Y1197" s="124" t="s">
        <v>240</v>
      </c>
      <c r="Z1197" s="124"/>
      <c r="AA1197" s="47" t="s">
        <v>254</v>
      </c>
      <c r="AB1197" s="47" t="str">
        <f t="shared" si="555"/>
        <v>NA</v>
      </c>
      <c r="AC1197" s="53" t="str">
        <f t="shared" si="556"/>
        <v/>
      </c>
      <c r="AD1197" s="54">
        <f t="shared" si="557"/>
        <v>1</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t="s">
        <v>199</v>
      </c>
      <c r="AT1197" s="58"/>
      <c r="AU1197" s="58"/>
      <c r="AV1197" s="59"/>
      <c r="AW1197" s="60">
        <f t="shared" si="542"/>
        <v>0</v>
      </c>
      <c r="AX1197" s="61" t="str">
        <f t="shared" si="543"/>
        <v/>
      </c>
      <c r="AY1197" s="60">
        <f t="shared" si="544"/>
        <v>0</v>
      </c>
      <c r="AZ1197" s="61" t="str">
        <f t="shared" si="545"/>
        <v/>
      </c>
    </row>
    <row r="1198" spans="1:52" s="3" customFormat="1" hidden="1" x14ac:dyDescent="0.35">
      <c r="A1198" s="72">
        <f t="shared" si="546"/>
        <v>2021</v>
      </c>
      <c r="B1198" s="72" t="str">
        <f t="shared" si="547"/>
        <v>Nov</v>
      </c>
      <c r="C1198" s="73">
        <f t="shared" si="565"/>
        <v>15</v>
      </c>
      <c r="D1198" s="74">
        <f t="shared" si="548"/>
        <v>9</v>
      </c>
      <c r="E1198" s="75">
        <f t="shared" si="549"/>
        <v>16</v>
      </c>
      <c r="F1198" s="79"/>
      <c r="G1198" s="82"/>
      <c r="H1198" s="68" t="str">
        <f t="shared" si="566"/>
        <v>Hyprev7_20211115_09_00</v>
      </c>
      <c r="I1198" s="69">
        <f t="shared" si="569"/>
        <v>1</v>
      </c>
      <c r="J1198" s="76" t="str">
        <f t="shared" si="569"/>
        <v>Hypericum</v>
      </c>
      <c r="K1198" s="76" t="str">
        <f t="shared" si="569"/>
        <v>revolutum</v>
      </c>
      <c r="L1198" s="77">
        <f t="shared" si="569"/>
        <v>7</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2021</v>
      </c>
      <c r="B1199" s="72" t="str">
        <f t="shared" si="547"/>
        <v>Nov</v>
      </c>
      <c r="C1199" s="73">
        <f t="shared" si="565"/>
        <v>15</v>
      </c>
      <c r="D1199" s="74">
        <f t="shared" si="548"/>
        <v>9</v>
      </c>
      <c r="E1199" s="75">
        <f t="shared" si="549"/>
        <v>17</v>
      </c>
      <c r="F1199" s="79"/>
      <c r="G1199" s="82"/>
      <c r="H1199" s="68" t="str">
        <f t="shared" si="566"/>
        <v>Hyprev7_20211115_09_00</v>
      </c>
      <c r="I1199" s="69">
        <f t="shared" si="569"/>
        <v>1</v>
      </c>
      <c r="J1199" s="76" t="str">
        <f t="shared" si="569"/>
        <v>Hypericum</v>
      </c>
      <c r="K1199" s="76" t="str">
        <f t="shared" si="569"/>
        <v>revolutum</v>
      </c>
      <c r="L1199" s="77">
        <f t="shared" si="569"/>
        <v>7</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2021</v>
      </c>
      <c r="B1200" s="72" t="str">
        <f t="shared" si="547"/>
        <v>Nov</v>
      </c>
      <c r="C1200" s="73">
        <f t="shared" si="565"/>
        <v>15</v>
      </c>
      <c r="D1200" s="74">
        <f t="shared" si="548"/>
        <v>9</v>
      </c>
      <c r="E1200" s="75">
        <f t="shared" si="549"/>
        <v>18</v>
      </c>
      <c r="F1200" s="79"/>
      <c r="G1200" s="82"/>
      <c r="H1200" s="68" t="str">
        <f t="shared" si="566"/>
        <v>Hyprev7_20211115_09_00</v>
      </c>
      <c r="I1200" s="69">
        <f t="shared" si="569"/>
        <v>1</v>
      </c>
      <c r="J1200" s="76" t="str">
        <f t="shared" si="569"/>
        <v>Hypericum</v>
      </c>
      <c r="K1200" s="76" t="str">
        <f t="shared" si="569"/>
        <v>revolutum</v>
      </c>
      <c r="L1200" s="77">
        <f t="shared" si="569"/>
        <v>7</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2021</v>
      </c>
      <c r="B1201" s="72" t="str">
        <f t="shared" si="547"/>
        <v>Nov</v>
      </c>
      <c r="C1201" s="73">
        <f t="shared" si="565"/>
        <v>15</v>
      </c>
      <c r="D1201" s="74">
        <f t="shared" si="548"/>
        <v>9</v>
      </c>
      <c r="E1201" s="75">
        <f t="shared" si="549"/>
        <v>19</v>
      </c>
      <c r="F1201" s="79"/>
      <c r="G1201" s="82"/>
      <c r="H1201" s="68" t="str">
        <f t="shared" si="566"/>
        <v>Hyprev7_20211115_09_00</v>
      </c>
      <c r="I1201" s="69">
        <f t="shared" si="569"/>
        <v>1</v>
      </c>
      <c r="J1201" s="76" t="str">
        <f t="shared" si="569"/>
        <v>Hypericum</v>
      </c>
      <c r="K1201" s="76" t="str">
        <f t="shared" si="569"/>
        <v>revolutum</v>
      </c>
      <c r="L1201" s="77">
        <f t="shared" si="569"/>
        <v>7</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2021</v>
      </c>
      <c r="B1202" s="72" t="str">
        <f t="shared" si="547"/>
        <v>Nov</v>
      </c>
      <c r="C1202" s="73">
        <f t="shared" si="565"/>
        <v>15</v>
      </c>
      <c r="D1202" s="74">
        <f t="shared" si="548"/>
        <v>9</v>
      </c>
      <c r="E1202" s="75">
        <f t="shared" si="549"/>
        <v>20</v>
      </c>
      <c r="F1202" s="79"/>
      <c r="G1202" s="82"/>
      <c r="H1202" s="68" t="str">
        <f t="shared" si="566"/>
        <v>Hyprev7_20211115_09_00</v>
      </c>
      <c r="I1202" s="69">
        <f t="shared" si="569"/>
        <v>1</v>
      </c>
      <c r="J1202" s="76" t="str">
        <f t="shared" si="569"/>
        <v>Hypericum</v>
      </c>
      <c r="K1202" s="76" t="str">
        <f t="shared" si="569"/>
        <v>revolutum</v>
      </c>
      <c r="L1202" s="77">
        <f t="shared" si="569"/>
        <v>7</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2021</v>
      </c>
      <c r="B1203" s="72" t="str">
        <f t="shared" si="547"/>
        <v>Nov</v>
      </c>
      <c r="C1203" s="73">
        <f t="shared" si="565"/>
        <v>15</v>
      </c>
      <c r="D1203" s="74">
        <f t="shared" si="548"/>
        <v>9</v>
      </c>
      <c r="E1203" s="75">
        <f t="shared" si="549"/>
        <v>21</v>
      </c>
      <c r="F1203" s="79"/>
      <c r="G1203" s="82"/>
      <c r="H1203" s="68" t="str">
        <f t="shared" si="566"/>
        <v>Hyprev7_20211115_09_00</v>
      </c>
      <c r="I1203" s="69">
        <f t="shared" si="569"/>
        <v>1</v>
      </c>
      <c r="J1203" s="76" t="str">
        <f t="shared" si="569"/>
        <v>Hypericum</v>
      </c>
      <c r="K1203" s="76" t="str">
        <f t="shared" si="569"/>
        <v>revolutum</v>
      </c>
      <c r="L1203" s="77">
        <f t="shared" si="569"/>
        <v>7</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2021</v>
      </c>
      <c r="B1204" s="72" t="str">
        <f t="shared" si="547"/>
        <v>Nov</v>
      </c>
      <c r="C1204" s="73">
        <f t="shared" si="565"/>
        <v>15</v>
      </c>
      <c r="D1204" s="74">
        <f t="shared" si="548"/>
        <v>9</v>
      </c>
      <c r="E1204" s="75">
        <f t="shared" si="549"/>
        <v>22</v>
      </c>
      <c r="F1204" s="79"/>
      <c r="G1204" s="82"/>
      <c r="H1204" s="68" t="str">
        <f t="shared" si="566"/>
        <v>Hyprev7_20211115_09_00</v>
      </c>
      <c r="I1204" s="69">
        <f t="shared" si="569"/>
        <v>1</v>
      </c>
      <c r="J1204" s="76" t="str">
        <f t="shared" si="569"/>
        <v>Hypericum</v>
      </c>
      <c r="K1204" s="76" t="str">
        <f t="shared" si="569"/>
        <v>revolutum</v>
      </c>
      <c r="L1204" s="77">
        <f t="shared" si="569"/>
        <v>7</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2021</v>
      </c>
      <c r="B1205" s="72" t="str">
        <f t="shared" si="547"/>
        <v>Nov</v>
      </c>
      <c r="C1205" s="73">
        <f t="shared" si="565"/>
        <v>15</v>
      </c>
      <c r="D1205" s="74">
        <f t="shared" si="548"/>
        <v>9</v>
      </c>
      <c r="E1205" s="75">
        <f t="shared" si="549"/>
        <v>23</v>
      </c>
      <c r="F1205" s="79"/>
      <c r="G1205" s="82"/>
      <c r="H1205" s="68" t="str">
        <f t="shared" si="566"/>
        <v>Hyprev7_20211115_09_00</v>
      </c>
      <c r="I1205" s="69">
        <f t="shared" ref="I1205:N1220" si="570">I1204</f>
        <v>1</v>
      </c>
      <c r="J1205" s="76" t="str">
        <f t="shared" si="570"/>
        <v>Hypericum</v>
      </c>
      <c r="K1205" s="76" t="str">
        <f t="shared" si="570"/>
        <v>revolutum</v>
      </c>
      <c r="L1205" s="77">
        <f t="shared" si="570"/>
        <v>7</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2021</v>
      </c>
      <c r="B1206" s="72" t="str">
        <f t="shared" si="547"/>
        <v>Nov</v>
      </c>
      <c r="C1206" s="73">
        <f t="shared" si="565"/>
        <v>15</v>
      </c>
      <c r="D1206" s="74">
        <f t="shared" si="548"/>
        <v>9</v>
      </c>
      <c r="E1206" s="75">
        <f t="shared" si="549"/>
        <v>24</v>
      </c>
      <c r="F1206" s="79"/>
      <c r="G1206" s="82"/>
      <c r="H1206" s="68" t="str">
        <f t="shared" si="566"/>
        <v>Hyprev7_20211115_09_00</v>
      </c>
      <c r="I1206" s="69">
        <f t="shared" si="570"/>
        <v>1</v>
      </c>
      <c r="J1206" s="76" t="str">
        <f t="shared" si="570"/>
        <v>Hypericum</v>
      </c>
      <c r="K1206" s="76" t="str">
        <f t="shared" si="570"/>
        <v>revolutum</v>
      </c>
      <c r="L1206" s="77">
        <f t="shared" si="570"/>
        <v>7</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2021</v>
      </c>
      <c r="B1207" s="72" t="str">
        <f t="shared" si="547"/>
        <v>Nov</v>
      </c>
      <c r="C1207" s="73">
        <f t="shared" si="565"/>
        <v>15</v>
      </c>
      <c r="D1207" s="74">
        <f t="shared" si="548"/>
        <v>9</v>
      </c>
      <c r="E1207" s="75">
        <f t="shared" si="549"/>
        <v>25</v>
      </c>
      <c r="F1207" s="79">
        <v>52</v>
      </c>
      <c r="G1207" s="82"/>
      <c r="H1207" s="68" t="str">
        <f t="shared" si="566"/>
        <v>Hyprev7_20211115_09_00</v>
      </c>
      <c r="I1207" s="69">
        <f t="shared" si="570"/>
        <v>1</v>
      </c>
      <c r="J1207" s="76" t="str">
        <f t="shared" si="570"/>
        <v>Hypericum</v>
      </c>
      <c r="K1207" s="76" t="str">
        <f t="shared" si="570"/>
        <v>revolutum</v>
      </c>
      <c r="L1207" s="77">
        <f t="shared" si="570"/>
        <v>7</v>
      </c>
      <c r="M1207" s="77">
        <f t="shared" si="570"/>
        <v>2</v>
      </c>
      <c r="N1207" s="71">
        <f t="shared" si="570"/>
        <v>0</v>
      </c>
      <c r="O1207" s="44"/>
      <c r="P1207" s="45">
        <f t="shared" si="550"/>
        <v>1</v>
      </c>
      <c r="Q1207" s="46" t="str">
        <f t="shared" si="551"/>
        <v>09:25:52</v>
      </c>
      <c r="R1207" s="47" t="str">
        <f t="shared" si="552"/>
        <v>25:52</v>
      </c>
      <c r="S1207" s="48">
        <f t="shared" si="541"/>
        <v>107</v>
      </c>
      <c r="T1207" s="47" t="str">
        <f t="shared" si="553"/>
        <v>09</v>
      </c>
      <c r="U1207" s="49">
        <v>27</v>
      </c>
      <c r="V1207" s="50">
        <v>39</v>
      </c>
      <c r="W1207" s="51" t="str">
        <f t="shared" si="554"/>
        <v>27:39</v>
      </c>
      <c r="X1207" s="52" t="s">
        <v>59</v>
      </c>
      <c r="Y1207" s="124" t="s">
        <v>243</v>
      </c>
      <c r="Z1207" s="124"/>
      <c r="AA1207" s="47" t="s">
        <v>254</v>
      </c>
      <c r="AB1207" s="47" t="str">
        <f t="shared" si="555"/>
        <v>NA</v>
      </c>
      <c r="AC1207" s="53" t="str">
        <f t="shared" si="556"/>
        <v/>
      </c>
      <c r="AD1207" s="54">
        <f t="shared" si="557"/>
        <v>1</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t="s">
        <v>200</v>
      </c>
      <c r="AT1207" s="58"/>
      <c r="AU1207" s="58"/>
      <c r="AV1207" s="59"/>
      <c r="AW1207" s="60">
        <f t="shared" si="542"/>
        <v>0</v>
      </c>
      <c r="AX1207" s="61" t="str">
        <f t="shared" si="543"/>
        <v/>
      </c>
      <c r="AY1207" s="60">
        <f t="shared" si="544"/>
        <v>0</v>
      </c>
      <c r="AZ1207" s="61" t="str">
        <f t="shared" si="545"/>
        <v/>
      </c>
    </row>
    <row r="1208" spans="1:52" s="3" customFormat="1" hidden="1" x14ac:dyDescent="0.35">
      <c r="A1208" s="72">
        <f t="shared" si="546"/>
        <v>2021</v>
      </c>
      <c r="B1208" s="72" t="str">
        <f t="shared" si="547"/>
        <v>Nov</v>
      </c>
      <c r="C1208" s="73">
        <f t="shared" si="565"/>
        <v>15</v>
      </c>
      <c r="D1208" s="74">
        <f t="shared" si="548"/>
        <v>9</v>
      </c>
      <c r="E1208" s="75">
        <f t="shared" si="549"/>
        <v>26</v>
      </c>
      <c r="F1208" s="79"/>
      <c r="G1208" s="82"/>
      <c r="H1208" s="68" t="str">
        <f t="shared" si="566"/>
        <v>Hyprev7_20211115_09_00</v>
      </c>
      <c r="I1208" s="69">
        <f t="shared" si="570"/>
        <v>1</v>
      </c>
      <c r="J1208" s="76" t="str">
        <f t="shared" si="570"/>
        <v>Hypericum</v>
      </c>
      <c r="K1208" s="76" t="str">
        <f t="shared" si="570"/>
        <v>revolutum</v>
      </c>
      <c r="L1208" s="77">
        <f t="shared" si="570"/>
        <v>7</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2021</v>
      </c>
      <c r="B1209" s="72" t="str">
        <f t="shared" si="547"/>
        <v>Nov</v>
      </c>
      <c r="C1209" s="73">
        <f t="shared" si="565"/>
        <v>15</v>
      </c>
      <c r="D1209" s="74">
        <f t="shared" si="548"/>
        <v>9</v>
      </c>
      <c r="E1209" s="75">
        <f t="shared" si="549"/>
        <v>27</v>
      </c>
      <c r="F1209" s="79"/>
      <c r="G1209" s="82"/>
      <c r="H1209" s="68" t="str">
        <f t="shared" si="566"/>
        <v>Hyprev7_20211115_09_00</v>
      </c>
      <c r="I1209" s="69">
        <f t="shared" si="570"/>
        <v>1</v>
      </c>
      <c r="J1209" s="76" t="str">
        <f t="shared" si="570"/>
        <v>Hypericum</v>
      </c>
      <c r="K1209" s="76" t="str">
        <f t="shared" si="570"/>
        <v>revolutum</v>
      </c>
      <c r="L1209" s="77">
        <f t="shared" si="570"/>
        <v>7</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2021</v>
      </c>
      <c r="B1210" s="72" t="str">
        <f t="shared" si="547"/>
        <v>Nov</v>
      </c>
      <c r="C1210" s="73">
        <f t="shared" si="565"/>
        <v>15</v>
      </c>
      <c r="D1210" s="74">
        <f t="shared" si="548"/>
        <v>9</v>
      </c>
      <c r="E1210" s="75">
        <f t="shared" si="549"/>
        <v>28</v>
      </c>
      <c r="F1210" s="79"/>
      <c r="G1210" s="82"/>
      <c r="H1210" s="68" t="str">
        <f t="shared" si="566"/>
        <v>Hyprev7_20211115_09_00</v>
      </c>
      <c r="I1210" s="69">
        <f t="shared" si="570"/>
        <v>1</v>
      </c>
      <c r="J1210" s="76" t="str">
        <f t="shared" si="570"/>
        <v>Hypericum</v>
      </c>
      <c r="K1210" s="76" t="str">
        <f t="shared" si="570"/>
        <v>revolutum</v>
      </c>
      <c r="L1210" s="77">
        <f t="shared" si="570"/>
        <v>7</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2021</v>
      </c>
      <c r="B1211" s="72" t="str">
        <f t="shared" si="547"/>
        <v>Nov</v>
      </c>
      <c r="C1211" s="73">
        <f t="shared" si="565"/>
        <v>15</v>
      </c>
      <c r="D1211" s="74">
        <f t="shared" si="548"/>
        <v>9</v>
      </c>
      <c r="E1211" s="75">
        <f t="shared" si="549"/>
        <v>29</v>
      </c>
      <c r="F1211" s="79"/>
      <c r="G1211" s="82"/>
      <c r="H1211" s="68" t="str">
        <f t="shared" si="566"/>
        <v>Hyprev7_20211115_09_00</v>
      </c>
      <c r="I1211" s="69">
        <f t="shared" si="570"/>
        <v>1</v>
      </c>
      <c r="J1211" s="76" t="str">
        <f t="shared" si="570"/>
        <v>Hypericum</v>
      </c>
      <c r="K1211" s="76" t="str">
        <f t="shared" si="570"/>
        <v>revolutum</v>
      </c>
      <c r="L1211" s="77">
        <f t="shared" si="570"/>
        <v>7</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2021</v>
      </c>
      <c r="B1212" s="72" t="str">
        <f t="shared" si="547"/>
        <v>Nov</v>
      </c>
      <c r="C1212" s="73">
        <f t="shared" si="565"/>
        <v>15</v>
      </c>
      <c r="D1212" s="74">
        <f t="shared" si="548"/>
        <v>9</v>
      </c>
      <c r="E1212" s="75">
        <f t="shared" si="549"/>
        <v>30</v>
      </c>
      <c r="F1212" s="79"/>
      <c r="G1212" s="82"/>
      <c r="H1212" s="68" t="str">
        <f t="shared" si="566"/>
        <v>Hyprev7_20211115_09_00</v>
      </c>
      <c r="I1212" s="69">
        <f t="shared" si="570"/>
        <v>1</v>
      </c>
      <c r="J1212" s="76" t="str">
        <f t="shared" si="570"/>
        <v>Hypericum</v>
      </c>
      <c r="K1212" s="76" t="str">
        <f t="shared" si="570"/>
        <v>revolutum</v>
      </c>
      <c r="L1212" s="77">
        <f t="shared" si="570"/>
        <v>7</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2021</v>
      </c>
      <c r="B1213" s="72" t="str">
        <f t="shared" si="547"/>
        <v>Nov</v>
      </c>
      <c r="C1213" s="73">
        <f t="shared" si="565"/>
        <v>15</v>
      </c>
      <c r="D1213" s="74">
        <f t="shared" si="548"/>
        <v>9</v>
      </c>
      <c r="E1213" s="75">
        <f t="shared" si="549"/>
        <v>31</v>
      </c>
      <c r="F1213" s="79"/>
      <c r="G1213" s="82"/>
      <c r="H1213" s="68" t="str">
        <f t="shared" si="566"/>
        <v>Hyprev7_20211115_09_00</v>
      </c>
      <c r="I1213" s="69">
        <f t="shared" si="570"/>
        <v>1</v>
      </c>
      <c r="J1213" s="76" t="str">
        <f t="shared" si="570"/>
        <v>Hypericum</v>
      </c>
      <c r="K1213" s="76" t="str">
        <f t="shared" si="570"/>
        <v>revolutum</v>
      </c>
      <c r="L1213" s="77">
        <f t="shared" si="570"/>
        <v>7</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2021</v>
      </c>
      <c r="B1214" s="72" t="str">
        <f t="shared" si="547"/>
        <v>Nov</v>
      </c>
      <c r="C1214" s="73">
        <f t="shared" si="565"/>
        <v>15</v>
      </c>
      <c r="D1214" s="74">
        <f t="shared" si="548"/>
        <v>9</v>
      </c>
      <c r="E1214" s="75">
        <f t="shared" si="549"/>
        <v>32</v>
      </c>
      <c r="F1214" s="79">
        <v>2</v>
      </c>
      <c r="G1214" s="82"/>
      <c r="H1214" s="68" t="str">
        <f t="shared" si="566"/>
        <v>Hyprev7_20211115_09_00</v>
      </c>
      <c r="I1214" s="69">
        <f t="shared" si="570"/>
        <v>1</v>
      </c>
      <c r="J1214" s="76" t="str">
        <f t="shared" si="570"/>
        <v>Hypericum</v>
      </c>
      <c r="K1214" s="76" t="str">
        <f t="shared" si="570"/>
        <v>revolutum</v>
      </c>
      <c r="L1214" s="77">
        <f t="shared" si="570"/>
        <v>7</v>
      </c>
      <c r="M1214" s="77">
        <f t="shared" si="570"/>
        <v>2</v>
      </c>
      <c r="N1214" s="71">
        <f t="shared" si="570"/>
        <v>0</v>
      </c>
      <c r="O1214" s="44"/>
      <c r="P1214" s="45">
        <f t="shared" si="550"/>
        <v>1</v>
      </c>
      <c r="Q1214" s="46" t="str">
        <f t="shared" si="551"/>
        <v>09:32:02</v>
      </c>
      <c r="R1214" s="47" t="str">
        <f t="shared" si="552"/>
        <v>32:02</v>
      </c>
      <c r="S1214" s="48">
        <f t="shared" si="541"/>
        <v>6</v>
      </c>
      <c r="T1214" s="47" t="str">
        <f t="shared" si="553"/>
        <v>09</v>
      </c>
      <c r="U1214" s="49">
        <v>32</v>
      </c>
      <c r="V1214" s="50">
        <v>8</v>
      </c>
      <c r="W1214" s="51" t="str">
        <f t="shared" si="554"/>
        <v>32:08</v>
      </c>
      <c r="X1214" s="52" t="s">
        <v>59</v>
      </c>
      <c r="Y1214" s="124" t="s">
        <v>242</v>
      </c>
      <c r="Z1214" s="124"/>
      <c r="AA1214" s="47" t="s">
        <v>264</v>
      </c>
      <c r="AB1214" s="47" t="str">
        <f t="shared" si="555"/>
        <v>NA</v>
      </c>
      <c r="AC1214" s="53" t="str">
        <f t="shared" si="556"/>
        <v/>
      </c>
      <c r="AD1214" s="54">
        <f t="shared" si="557"/>
        <v>1</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t="s">
        <v>98</v>
      </c>
      <c r="AT1214" s="58"/>
      <c r="AU1214" s="58"/>
      <c r="AV1214" s="59"/>
      <c r="AW1214" s="60">
        <f t="shared" si="542"/>
        <v>0</v>
      </c>
      <c r="AX1214" s="61" t="str">
        <f t="shared" si="543"/>
        <v/>
      </c>
      <c r="AY1214" s="60">
        <f t="shared" si="544"/>
        <v>0</v>
      </c>
      <c r="AZ1214" s="61" t="str">
        <f t="shared" si="545"/>
        <v/>
      </c>
    </row>
    <row r="1215" spans="1:52" s="3" customFormat="1" hidden="1" x14ac:dyDescent="0.35">
      <c r="A1215" s="72">
        <f t="shared" si="546"/>
        <v>2021</v>
      </c>
      <c r="B1215" s="72" t="str">
        <f t="shared" si="547"/>
        <v>Nov</v>
      </c>
      <c r="C1215" s="73">
        <f t="shared" si="565"/>
        <v>15</v>
      </c>
      <c r="D1215" s="74">
        <f t="shared" si="548"/>
        <v>9</v>
      </c>
      <c r="E1215" s="75">
        <f t="shared" si="549"/>
        <v>33</v>
      </c>
      <c r="F1215" s="79">
        <v>52</v>
      </c>
      <c r="G1215" s="82"/>
      <c r="H1215" s="68" t="str">
        <f t="shared" si="566"/>
        <v>Hyprev7_20211115_09_00</v>
      </c>
      <c r="I1215" s="69">
        <f t="shared" si="570"/>
        <v>1</v>
      </c>
      <c r="J1215" s="76" t="str">
        <f t="shared" si="570"/>
        <v>Hypericum</v>
      </c>
      <c r="K1215" s="76" t="str">
        <f t="shared" si="570"/>
        <v>revolutum</v>
      </c>
      <c r="L1215" s="77">
        <f t="shared" si="570"/>
        <v>7</v>
      </c>
      <c r="M1215" s="77">
        <f t="shared" si="570"/>
        <v>2</v>
      </c>
      <c r="N1215" s="71">
        <f t="shared" si="570"/>
        <v>0</v>
      </c>
      <c r="O1215" s="44"/>
      <c r="P1215" s="45">
        <f t="shared" si="550"/>
        <v>1</v>
      </c>
      <c r="Q1215" s="46" t="str">
        <f t="shared" si="551"/>
        <v>09:33:52</v>
      </c>
      <c r="R1215" s="47" t="str">
        <f t="shared" si="552"/>
        <v>33:52</v>
      </c>
      <c r="S1215" s="48">
        <f t="shared" si="541"/>
        <v>46</v>
      </c>
      <c r="T1215" s="47" t="str">
        <f t="shared" si="553"/>
        <v>09</v>
      </c>
      <c r="U1215" s="49">
        <v>34</v>
      </c>
      <c r="V1215" s="50">
        <v>38</v>
      </c>
      <c r="W1215" s="51" t="str">
        <f t="shared" si="554"/>
        <v>34:38</v>
      </c>
      <c r="X1215" s="52" t="s">
        <v>59</v>
      </c>
      <c r="Y1215" s="124" t="s">
        <v>238</v>
      </c>
      <c r="Z1215" s="124"/>
      <c r="AA1215" s="47" t="s">
        <v>253</v>
      </c>
      <c r="AB1215" s="47" t="str">
        <f t="shared" si="555"/>
        <v>NA</v>
      </c>
      <c r="AC1215" s="53" t="str">
        <f t="shared" si="556"/>
        <v/>
      </c>
      <c r="AD1215" s="54">
        <f t="shared" si="557"/>
        <v>1</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t="s">
        <v>98</v>
      </c>
      <c r="AT1215" s="58"/>
      <c r="AU1215" s="58"/>
      <c r="AV1215" s="59"/>
      <c r="AW1215" s="60">
        <f t="shared" si="542"/>
        <v>0</v>
      </c>
      <c r="AX1215" s="61" t="str">
        <f t="shared" si="543"/>
        <v/>
      </c>
      <c r="AY1215" s="60">
        <f t="shared" si="544"/>
        <v>0</v>
      </c>
      <c r="AZ1215" s="61" t="str">
        <f t="shared" si="545"/>
        <v/>
      </c>
    </row>
    <row r="1216" spans="1:52" s="3" customFormat="1" hidden="1" x14ac:dyDescent="0.35">
      <c r="A1216" s="72">
        <f t="shared" si="546"/>
        <v>2021</v>
      </c>
      <c r="B1216" s="72" t="str">
        <f t="shared" si="547"/>
        <v>Nov</v>
      </c>
      <c r="C1216" s="73">
        <f t="shared" si="565"/>
        <v>15</v>
      </c>
      <c r="D1216" s="74">
        <f t="shared" si="548"/>
        <v>9</v>
      </c>
      <c r="E1216" s="75">
        <f t="shared" si="549"/>
        <v>34</v>
      </c>
      <c r="F1216" s="79"/>
      <c r="G1216" s="82"/>
      <c r="H1216" s="68" t="str">
        <f t="shared" si="566"/>
        <v>Hyprev7_20211115_09_00</v>
      </c>
      <c r="I1216" s="69">
        <f t="shared" si="570"/>
        <v>1</v>
      </c>
      <c r="J1216" s="76" t="str">
        <f t="shared" si="570"/>
        <v>Hypericum</v>
      </c>
      <c r="K1216" s="76" t="str">
        <f t="shared" si="570"/>
        <v>revolutum</v>
      </c>
      <c r="L1216" s="77">
        <f t="shared" si="570"/>
        <v>7</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2021</v>
      </c>
      <c r="B1217" s="72" t="str">
        <f t="shared" si="547"/>
        <v>Nov</v>
      </c>
      <c r="C1217" s="73">
        <f t="shared" si="565"/>
        <v>15</v>
      </c>
      <c r="D1217" s="74">
        <f t="shared" si="548"/>
        <v>9</v>
      </c>
      <c r="E1217" s="75">
        <f t="shared" si="549"/>
        <v>35</v>
      </c>
      <c r="F1217" s="79"/>
      <c r="G1217" s="82"/>
      <c r="H1217" s="68" t="str">
        <f t="shared" si="566"/>
        <v>Hyprev7_20211115_09_00</v>
      </c>
      <c r="I1217" s="69">
        <f t="shared" si="570"/>
        <v>1</v>
      </c>
      <c r="J1217" s="76" t="str">
        <f t="shared" si="570"/>
        <v>Hypericum</v>
      </c>
      <c r="K1217" s="76" t="str">
        <f t="shared" si="570"/>
        <v>revolutum</v>
      </c>
      <c r="L1217" s="77">
        <f t="shared" si="570"/>
        <v>7</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2021</v>
      </c>
      <c r="B1218" s="72" t="str">
        <f t="shared" si="547"/>
        <v>Nov</v>
      </c>
      <c r="C1218" s="73">
        <f t="shared" si="565"/>
        <v>15</v>
      </c>
      <c r="D1218" s="74">
        <f t="shared" si="548"/>
        <v>9</v>
      </c>
      <c r="E1218" s="75">
        <f t="shared" si="549"/>
        <v>36</v>
      </c>
      <c r="F1218" s="79"/>
      <c r="G1218" s="82"/>
      <c r="H1218" s="68" t="str">
        <f t="shared" si="566"/>
        <v>Hyprev7_20211115_09_00</v>
      </c>
      <c r="I1218" s="69">
        <f t="shared" si="570"/>
        <v>1</v>
      </c>
      <c r="J1218" s="76" t="str">
        <f t="shared" si="570"/>
        <v>Hypericum</v>
      </c>
      <c r="K1218" s="76" t="str">
        <f t="shared" si="570"/>
        <v>revolutum</v>
      </c>
      <c r="L1218" s="77">
        <f t="shared" si="570"/>
        <v>7</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2021</v>
      </c>
      <c r="B1219" s="72" t="str">
        <f t="shared" si="547"/>
        <v>Nov</v>
      </c>
      <c r="C1219" s="73">
        <f t="shared" si="565"/>
        <v>15</v>
      </c>
      <c r="D1219" s="74">
        <f t="shared" si="548"/>
        <v>9</v>
      </c>
      <c r="E1219" s="75">
        <f t="shared" si="549"/>
        <v>37</v>
      </c>
      <c r="F1219" s="79"/>
      <c r="G1219" s="82"/>
      <c r="H1219" s="68" t="str">
        <f t="shared" si="566"/>
        <v>Hyprev7_20211115_09_00</v>
      </c>
      <c r="I1219" s="69">
        <f t="shared" si="570"/>
        <v>1</v>
      </c>
      <c r="J1219" s="76" t="str">
        <f t="shared" si="570"/>
        <v>Hypericum</v>
      </c>
      <c r="K1219" s="76" t="str">
        <f t="shared" si="570"/>
        <v>revolutum</v>
      </c>
      <c r="L1219" s="77">
        <f t="shared" si="570"/>
        <v>7</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2021</v>
      </c>
      <c r="B1220" s="72" t="str">
        <f t="shared" ref="B1220:B1283" si="577">IF(C1219-C1220&gt;0, TEXT(DATE(2016,(MONTH(DATEVALUE(B1219&amp;"1"))+1),1),"mmm"), B1219)</f>
        <v>Nov</v>
      </c>
      <c r="C1220" s="73">
        <f t="shared" si="565"/>
        <v>15</v>
      </c>
      <c r="D1220" s="74">
        <f t="shared" ref="D1220:D1283" si="578">IF(IF(E1219=59,D1219+1,D1219)=24,0,IF(E1219=59,D1219+1,D1219))</f>
        <v>9</v>
      </c>
      <c r="E1220" s="75">
        <f t="shared" ref="E1220:E1283" si="579">IF(E1219&lt;59,E1219+1,0)</f>
        <v>38</v>
      </c>
      <c r="F1220" s="79"/>
      <c r="G1220" s="82"/>
      <c r="H1220" s="68" t="str">
        <f t="shared" si="566"/>
        <v>Hyprev7_20211115_09_00</v>
      </c>
      <c r="I1220" s="69">
        <f t="shared" si="570"/>
        <v>1</v>
      </c>
      <c r="J1220" s="76" t="str">
        <f t="shared" si="570"/>
        <v>Hypericum</v>
      </c>
      <c r="K1220" s="76" t="str">
        <f t="shared" si="570"/>
        <v>revolutum</v>
      </c>
      <c r="L1220" s="77">
        <f t="shared" si="570"/>
        <v>7</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2021</v>
      </c>
      <c r="B1221" s="72" t="str">
        <f t="shared" si="577"/>
        <v>Nov</v>
      </c>
      <c r="C1221" s="73">
        <f t="shared" ref="C1221:C1284" si="595">IF(AND(D1221=0, E1221=0), IF(TEXT(C1220,"dd")=TEXT(EOMONTH(DATE(A1220,MONTH(DATEVALUE(B1220&amp;"1")),C1220),0), "dd"), 1, C1220+1), C1220)</f>
        <v>15</v>
      </c>
      <c r="D1221" s="74">
        <f t="shared" si="578"/>
        <v>9</v>
      </c>
      <c r="E1221" s="75">
        <f t="shared" si="579"/>
        <v>39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Hyprev7_20211115_09_00</v>
      </c>
      <c r="I1221" s="69">
        <f t="shared" ref="I1221:N1236" si="597">I1220</f>
        <v>1</v>
      </c>
      <c r="J1221" s="76" t="str">
        <f t="shared" si="597"/>
        <v>Hypericum</v>
      </c>
      <c r="K1221" s="76" t="str">
        <f t="shared" si="597"/>
        <v>revolutum</v>
      </c>
      <c r="L1221" s="77">
        <f t="shared" si="597"/>
        <v>7</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2021</v>
      </c>
      <c r="B1222" s="72" t="str">
        <f t="shared" si="577"/>
        <v>Nov</v>
      </c>
      <c r="C1222" s="73">
        <f t="shared" si="595"/>
        <v>15</v>
      </c>
      <c r="D1222" s="74">
        <f t="shared" si="578"/>
        <v>9</v>
      </c>
      <c r="E1222" s="75">
        <f t="shared" si="579"/>
        <v>40</v>
      </c>
      <c r="F1222" s="79"/>
      <c r="G1222" s="82"/>
      <c r="H1222" s="68" t="str">
        <f t="shared" si="596"/>
        <v>Hyprev7_20211115_09_00</v>
      </c>
      <c r="I1222" s="69">
        <f t="shared" si="597"/>
        <v>1</v>
      </c>
      <c r="J1222" s="76" t="str">
        <f t="shared" si="597"/>
        <v>Hypericum</v>
      </c>
      <c r="K1222" s="76" t="str">
        <f t="shared" si="597"/>
        <v>revolutum</v>
      </c>
      <c r="L1222" s="77">
        <f t="shared" si="597"/>
        <v>7</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2021</v>
      </c>
      <c r="B1223" s="72" t="str">
        <f t="shared" si="577"/>
        <v>Nov</v>
      </c>
      <c r="C1223" s="73">
        <f t="shared" si="595"/>
        <v>15</v>
      </c>
      <c r="D1223" s="74">
        <f t="shared" si="578"/>
        <v>9</v>
      </c>
      <c r="E1223" s="75">
        <f t="shared" si="579"/>
        <v>41</v>
      </c>
      <c r="F1223" s="79"/>
      <c r="G1223" s="82"/>
      <c r="H1223" s="68" t="str">
        <f t="shared" si="596"/>
        <v>Hyprev7_20211115_09_00</v>
      </c>
      <c r="I1223" s="69">
        <f t="shared" si="597"/>
        <v>1</v>
      </c>
      <c r="J1223" s="76" t="str">
        <f t="shared" si="597"/>
        <v>Hypericum</v>
      </c>
      <c r="K1223" s="76" t="str">
        <f t="shared" si="597"/>
        <v>revolutum</v>
      </c>
      <c r="L1223" s="77">
        <f t="shared" si="597"/>
        <v>7</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2021</v>
      </c>
      <c r="B1224" s="72" t="str">
        <f t="shared" si="577"/>
        <v>Nov</v>
      </c>
      <c r="C1224" s="73">
        <f t="shared" si="595"/>
        <v>15</v>
      </c>
      <c r="D1224" s="74">
        <f t="shared" si="578"/>
        <v>9</v>
      </c>
      <c r="E1224" s="75">
        <f t="shared" si="579"/>
        <v>42</v>
      </c>
      <c r="F1224" s="79"/>
      <c r="G1224" s="82"/>
      <c r="H1224" s="68" t="str">
        <f t="shared" si="596"/>
        <v>Hyprev7_20211115_09_00</v>
      </c>
      <c r="I1224" s="69">
        <f t="shared" si="597"/>
        <v>1</v>
      </c>
      <c r="J1224" s="76" t="str">
        <f t="shared" si="597"/>
        <v>Hypericum</v>
      </c>
      <c r="K1224" s="76" t="str">
        <f t="shared" si="597"/>
        <v>revolutum</v>
      </c>
      <c r="L1224" s="77">
        <f t="shared" si="597"/>
        <v>7</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2021</v>
      </c>
      <c r="B1225" s="72" t="str">
        <f t="shared" si="577"/>
        <v>Nov</v>
      </c>
      <c r="C1225" s="73">
        <f t="shared" si="595"/>
        <v>15</v>
      </c>
      <c r="D1225" s="74">
        <f t="shared" si="578"/>
        <v>9</v>
      </c>
      <c r="E1225" s="75">
        <f t="shared" si="579"/>
        <v>43</v>
      </c>
      <c r="F1225" s="79"/>
      <c r="G1225" s="82"/>
      <c r="H1225" s="68" t="str">
        <f t="shared" si="596"/>
        <v>Hyprev7_20211115_09_00</v>
      </c>
      <c r="I1225" s="69">
        <f t="shared" si="597"/>
        <v>1</v>
      </c>
      <c r="J1225" s="76" t="str">
        <f t="shared" si="597"/>
        <v>Hypericum</v>
      </c>
      <c r="K1225" s="76" t="str">
        <f t="shared" si="597"/>
        <v>revolutum</v>
      </c>
      <c r="L1225" s="77">
        <f t="shared" si="597"/>
        <v>7</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2021</v>
      </c>
      <c r="B1226" s="72" t="str">
        <f t="shared" si="577"/>
        <v>Nov</v>
      </c>
      <c r="C1226" s="73">
        <f t="shared" si="595"/>
        <v>15</v>
      </c>
      <c r="D1226" s="74">
        <f t="shared" si="578"/>
        <v>9</v>
      </c>
      <c r="E1226" s="75">
        <f t="shared" si="579"/>
        <v>44</v>
      </c>
      <c r="F1226" s="79"/>
      <c r="G1226" s="82"/>
      <c r="H1226" s="68" t="str">
        <f t="shared" si="596"/>
        <v>Hyprev7_20211115_09_00</v>
      </c>
      <c r="I1226" s="69">
        <f t="shared" si="597"/>
        <v>1</v>
      </c>
      <c r="J1226" s="76" t="str">
        <f t="shared" si="597"/>
        <v>Hypericum</v>
      </c>
      <c r="K1226" s="76" t="str">
        <f t="shared" si="597"/>
        <v>revolutum</v>
      </c>
      <c r="L1226" s="77">
        <f t="shared" si="597"/>
        <v>7</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2021</v>
      </c>
      <c r="B1227" s="72" t="str">
        <f t="shared" si="577"/>
        <v>Nov</v>
      </c>
      <c r="C1227" s="73">
        <f t="shared" si="595"/>
        <v>15</v>
      </c>
      <c r="D1227" s="74">
        <f t="shared" si="578"/>
        <v>9</v>
      </c>
      <c r="E1227" s="75">
        <f t="shared" si="579"/>
        <v>45</v>
      </c>
      <c r="F1227" s="79"/>
      <c r="G1227" s="82"/>
      <c r="H1227" s="68" t="str">
        <f t="shared" si="596"/>
        <v>Hyprev7_20211115_09_00</v>
      </c>
      <c r="I1227" s="69">
        <f t="shared" si="597"/>
        <v>1</v>
      </c>
      <c r="J1227" s="76" t="str">
        <f t="shared" si="597"/>
        <v>Hypericum</v>
      </c>
      <c r="K1227" s="76" t="str">
        <f t="shared" si="597"/>
        <v>revolutum</v>
      </c>
      <c r="L1227" s="77">
        <f t="shared" si="597"/>
        <v>7</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2021</v>
      </c>
      <c r="B1228" s="72" t="str">
        <f t="shared" si="577"/>
        <v>Nov</v>
      </c>
      <c r="C1228" s="73">
        <f t="shared" si="595"/>
        <v>15</v>
      </c>
      <c r="D1228" s="74">
        <f t="shared" si="578"/>
        <v>9</v>
      </c>
      <c r="E1228" s="75">
        <f t="shared" si="579"/>
        <v>46</v>
      </c>
      <c r="F1228" s="79"/>
      <c r="G1228" s="82"/>
      <c r="H1228" s="68" t="str">
        <f t="shared" si="596"/>
        <v>Hyprev7_20211115_09_00</v>
      </c>
      <c r="I1228" s="69">
        <f t="shared" si="597"/>
        <v>1</v>
      </c>
      <c r="J1228" s="76" t="str">
        <f t="shared" si="597"/>
        <v>Hypericum</v>
      </c>
      <c r="K1228" s="76" t="str">
        <f t="shared" si="597"/>
        <v>revolutum</v>
      </c>
      <c r="L1228" s="77">
        <f t="shared" si="597"/>
        <v>7</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2021</v>
      </c>
      <c r="B1229" s="72" t="str">
        <f t="shared" si="577"/>
        <v>Nov</v>
      </c>
      <c r="C1229" s="73">
        <f t="shared" si="595"/>
        <v>15</v>
      </c>
      <c r="D1229" s="74">
        <f t="shared" si="578"/>
        <v>9</v>
      </c>
      <c r="E1229" s="75">
        <f t="shared" si="579"/>
        <v>47</v>
      </c>
      <c r="F1229" s="79"/>
      <c r="G1229" s="82"/>
      <c r="H1229" s="68" t="str">
        <f t="shared" si="596"/>
        <v>Hyprev7_20211115_09_00</v>
      </c>
      <c r="I1229" s="69">
        <f t="shared" si="597"/>
        <v>1</v>
      </c>
      <c r="J1229" s="76" t="str">
        <f t="shared" si="597"/>
        <v>Hypericum</v>
      </c>
      <c r="K1229" s="76" t="str">
        <f t="shared" si="597"/>
        <v>revolutum</v>
      </c>
      <c r="L1229" s="77">
        <f t="shared" si="597"/>
        <v>7</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2021</v>
      </c>
      <c r="B1230" s="72" t="str">
        <f t="shared" si="577"/>
        <v>Nov</v>
      </c>
      <c r="C1230" s="73">
        <f t="shared" si="595"/>
        <v>15</v>
      </c>
      <c r="D1230" s="74">
        <f t="shared" si="578"/>
        <v>9</v>
      </c>
      <c r="E1230" s="75">
        <f t="shared" si="579"/>
        <v>48</v>
      </c>
      <c r="F1230" s="79"/>
      <c r="G1230" s="82"/>
      <c r="H1230" s="68" t="str">
        <f t="shared" si="596"/>
        <v>Hyprev7_20211115_09_00</v>
      </c>
      <c r="I1230" s="69">
        <f t="shared" si="597"/>
        <v>1</v>
      </c>
      <c r="J1230" s="76" t="str">
        <f t="shared" si="597"/>
        <v>Hypericum</v>
      </c>
      <c r="K1230" s="76" t="str">
        <f t="shared" si="597"/>
        <v>revolutum</v>
      </c>
      <c r="L1230" s="77">
        <f t="shared" si="597"/>
        <v>7</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2021</v>
      </c>
      <c r="B1231" s="72" t="str">
        <f t="shared" si="577"/>
        <v>Nov</v>
      </c>
      <c r="C1231" s="73">
        <f t="shared" si="595"/>
        <v>15</v>
      </c>
      <c r="D1231" s="74">
        <f t="shared" si="578"/>
        <v>9</v>
      </c>
      <c r="E1231" s="75">
        <f t="shared" si="579"/>
        <v>49</v>
      </c>
      <c r="F1231" s="79"/>
      <c r="G1231" s="82"/>
      <c r="H1231" s="68" t="str">
        <f t="shared" si="596"/>
        <v>Hyprev7_20211115_09_00</v>
      </c>
      <c r="I1231" s="69">
        <f t="shared" si="597"/>
        <v>1</v>
      </c>
      <c r="J1231" s="76" t="str">
        <f t="shared" si="597"/>
        <v>Hypericum</v>
      </c>
      <c r="K1231" s="76" t="str">
        <f t="shared" si="597"/>
        <v>revolutum</v>
      </c>
      <c r="L1231" s="77">
        <f t="shared" si="597"/>
        <v>7</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2021</v>
      </c>
      <c r="B1232" s="72" t="str">
        <f t="shared" si="577"/>
        <v>Nov</v>
      </c>
      <c r="C1232" s="73">
        <f t="shared" si="595"/>
        <v>15</v>
      </c>
      <c r="D1232" s="74">
        <f t="shared" si="578"/>
        <v>9</v>
      </c>
      <c r="E1232" s="75">
        <f t="shared" si="579"/>
        <v>50</v>
      </c>
      <c r="F1232" s="79"/>
      <c r="G1232" s="82"/>
      <c r="H1232" s="68" t="str">
        <f t="shared" si="596"/>
        <v>Hyprev7_20211115_09_00</v>
      </c>
      <c r="I1232" s="69">
        <f t="shared" si="597"/>
        <v>1</v>
      </c>
      <c r="J1232" s="76" t="str">
        <f t="shared" si="597"/>
        <v>Hypericum</v>
      </c>
      <c r="K1232" s="76" t="str">
        <f t="shared" si="597"/>
        <v>revolutum</v>
      </c>
      <c r="L1232" s="77">
        <f t="shared" si="597"/>
        <v>7</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2021</v>
      </c>
      <c r="B1233" s="72" t="str">
        <f t="shared" si="577"/>
        <v>Nov</v>
      </c>
      <c r="C1233" s="73">
        <f t="shared" si="595"/>
        <v>15</v>
      </c>
      <c r="D1233" s="74">
        <f t="shared" si="578"/>
        <v>9</v>
      </c>
      <c r="E1233" s="75">
        <f t="shared" si="579"/>
        <v>51</v>
      </c>
      <c r="F1233" s="79"/>
      <c r="G1233" s="82"/>
      <c r="H1233" s="68" t="str">
        <f t="shared" si="596"/>
        <v>Hyprev7_20211115_09_00</v>
      </c>
      <c r="I1233" s="69">
        <f t="shared" si="597"/>
        <v>1</v>
      </c>
      <c r="J1233" s="76" t="str">
        <f t="shared" si="597"/>
        <v>Hypericum</v>
      </c>
      <c r="K1233" s="76" t="str">
        <f t="shared" si="597"/>
        <v>revolutum</v>
      </c>
      <c r="L1233" s="77">
        <f t="shared" si="597"/>
        <v>7</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2021</v>
      </c>
      <c r="B1234" s="72" t="str">
        <f t="shared" si="577"/>
        <v>Nov</v>
      </c>
      <c r="C1234" s="73">
        <f t="shared" si="595"/>
        <v>15</v>
      </c>
      <c r="D1234" s="74">
        <f t="shared" si="578"/>
        <v>9</v>
      </c>
      <c r="E1234" s="75">
        <f t="shared" si="579"/>
        <v>52</v>
      </c>
      <c r="F1234" s="79">
        <v>44</v>
      </c>
      <c r="G1234" s="82"/>
      <c r="H1234" s="68" t="str">
        <f t="shared" si="596"/>
        <v>Hyprev7_20211115_09_00</v>
      </c>
      <c r="I1234" s="69">
        <f t="shared" si="597"/>
        <v>1</v>
      </c>
      <c r="J1234" s="76" t="str">
        <f t="shared" si="597"/>
        <v>Hypericum</v>
      </c>
      <c r="K1234" s="76" t="str">
        <f t="shared" si="597"/>
        <v>revolutum</v>
      </c>
      <c r="L1234" s="77">
        <f t="shared" si="597"/>
        <v>7</v>
      </c>
      <c r="M1234" s="77">
        <f t="shared" si="597"/>
        <v>2</v>
      </c>
      <c r="N1234" s="71">
        <f t="shared" si="597"/>
        <v>0</v>
      </c>
      <c r="O1234" s="44"/>
      <c r="P1234" s="45">
        <f t="shared" si="580"/>
        <v>1</v>
      </c>
      <c r="Q1234" s="46" t="str">
        <f t="shared" si="581"/>
        <v>09:52:44</v>
      </c>
      <c r="R1234" s="47" t="str">
        <f t="shared" si="582"/>
        <v>52:44</v>
      </c>
      <c r="S1234" s="48">
        <f t="shared" si="571"/>
        <v>1650</v>
      </c>
      <c r="T1234" s="47">
        <v>10</v>
      </c>
      <c r="U1234" s="49">
        <v>20</v>
      </c>
      <c r="V1234" s="50">
        <v>14</v>
      </c>
      <c r="W1234" s="51" t="str">
        <f t="shared" si="584"/>
        <v>20:14</v>
      </c>
      <c r="X1234" s="52" t="s">
        <v>69</v>
      </c>
      <c r="Y1234" s="124" t="s">
        <v>241</v>
      </c>
      <c r="Z1234" s="124" t="s">
        <v>252</v>
      </c>
      <c r="AA1234" s="47" t="s">
        <v>253</v>
      </c>
      <c r="AB1234" s="47" t="str">
        <f t="shared" si="585"/>
        <v>NA</v>
      </c>
      <c r="AC1234" s="53" t="str">
        <f t="shared" si="586"/>
        <v/>
      </c>
      <c r="AD1234" s="54">
        <f t="shared" si="587"/>
        <v>1</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t="s">
        <v>201</v>
      </c>
      <c r="AT1234" s="58"/>
      <c r="AU1234" s="58"/>
      <c r="AV1234" s="59"/>
      <c r="AW1234" s="60">
        <f t="shared" si="572"/>
        <v>0</v>
      </c>
      <c r="AX1234" s="61" t="str">
        <f t="shared" si="573"/>
        <v/>
      </c>
      <c r="AY1234" s="60">
        <f t="shared" si="574"/>
        <v>0</v>
      </c>
      <c r="AZ1234" s="61" t="str">
        <f t="shared" si="575"/>
        <v/>
      </c>
    </row>
    <row r="1235" spans="1:52" s="3" customFormat="1" hidden="1" x14ac:dyDescent="0.35">
      <c r="A1235" s="72">
        <f t="shared" si="576"/>
        <v>2021</v>
      </c>
      <c r="B1235" s="72" t="str">
        <f t="shared" si="577"/>
        <v>Nov</v>
      </c>
      <c r="C1235" s="73">
        <f t="shared" si="595"/>
        <v>15</v>
      </c>
      <c r="D1235" s="74">
        <f t="shared" si="578"/>
        <v>9</v>
      </c>
      <c r="E1235" s="75">
        <f t="shared" si="579"/>
        <v>53</v>
      </c>
      <c r="F1235" s="79"/>
      <c r="G1235" s="82"/>
      <c r="H1235" s="68" t="str">
        <f t="shared" si="596"/>
        <v>Hyprev7_20211115_09_00</v>
      </c>
      <c r="I1235" s="69">
        <f t="shared" si="597"/>
        <v>1</v>
      </c>
      <c r="J1235" s="76" t="str">
        <f t="shared" si="597"/>
        <v>Hypericum</v>
      </c>
      <c r="K1235" s="76" t="str">
        <f t="shared" si="597"/>
        <v>revolutum</v>
      </c>
      <c r="L1235" s="77">
        <f t="shared" si="597"/>
        <v>7</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2021</v>
      </c>
      <c r="B1236" s="72" t="str">
        <f t="shared" si="577"/>
        <v>Nov</v>
      </c>
      <c r="C1236" s="73">
        <f t="shared" si="595"/>
        <v>15</v>
      </c>
      <c r="D1236" s="74">
        <f t="shared" si="578"/>
        <v>9</v>
      </c>
      <c r="E1236" s="75">
        <f t="shared" si="579"/>
        <v>54</v>
      </c>
      <c r="F1236" s="79">
        <v>45</v>
      </c>
      <c r="G1236" s="82"/>
      <c r="H1236" s="68" t="str">
        <f t="shared" si="596"/>
        <v>Hyprev7_20211115_09_00</v>
      </c>
      <c r="I1236" s="69">
        <f t="shared" si="597"/>
        <v>1</v>
      </c>
      <c r="J1236" s="76" t="str">
        <f t="shared" si="597"/>
        <v>Hypericum</v>
      </c>
      <c r="K1236" s="76" t="str">
        <f t="shared" si="597"/>
        <v>revolutum</v>
      </c>
      <c r="L1236" s="77">
        <f t="shared" si="597"/>
        <v>7</v>
      </c>
      <c r="M1236" s="77">
        <f t="shared" si="597"/>
        <v>2</v>
      </c>
      <c r="N1236" s="71">
        <f t="shared" si="597"/>
        <v>0</v>
      </c>
      <c r="O1236" s="44"/>
      <c r="P1236" s="45">
        <f t="shared" si="580"/>
        <v>1</v>
      </c>
      <c r="Q1236" s="46" t="str">
        <f t="shared" si="581"/>
        <v>09:54:45</v>
      </c>
      <c r="R1236" s="47" t="str">
        <f t="shared" si="582"/>
        <v>54:45</v>
      </c>
      <c r="S1236" s="48">
        <f t="shared" si="571"/>
        <v>50</v>
      </c>
      <c r="T1236" s="47" t="str">
        <f t="shared" si="583"/>
        <v>09</v>
      </c>
      <c r="U1236" s="49">
        <v>55</v>
      </c>
      <c r="V1236" s="50">
        <v>35</v>
      </c>
      <c r="W1236" s="51" t="str">
        <f t="shared" si="584"/>
        <v>55:35</v>
      </c>
      <c r="X1236" s="52" t="s">
        <v>61</v>
      </c>
      <c r="Y1236" s="124" t="s">
        <v>240</v>
      </c>
      <c r="Z1236" s="124"/>
      <c r="AA1236" s="47" t="s">
        <v>254</v>
      </c>
      <c r="AB1236" s="47" t="str">
        <f t="shared" si="585"/>
        <v>NA</v>
      </c>
      <c r="AC1236" s="53" t="str">
        <f t="shared" si="586"/>
        <v/>
      </c>
      <c r="AD1236" s="54">
        <f t="shared" si="587"/>
        <v>1</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t="s">
        <v>98</v>
      </c>
      <c r="AT1236" s="58"/>
      <c r="AU1236" s="58"/>
      <c r="AV1236" s="59"/>
      <c r="AW1236" s="60">
        <f t="shared" si="572"/>
        <v>0</v>
      </c>
      <c r="AX1236" s="61" t="str">
        <f t="shared" si="573"/>
        <v/>
      </c>
      <c r="AY1236" s="60">
        <f t="shared" si="574"/>
        <v>0</v>
      </c>
      <c r="AZ1236" s="61" t="str">
        <f t="shared" si="575"/>
        <v/>
      </c>
    </row>
    <row r="1237" spans="1:52" s="3" customFormat="1" hidden="1" x14ac:dyDescent="0.35">
      <c r="A1237" s="72">
        <f t="shared" si="576"/>
        <v>2021</v>
      </c>
      <c r="B1237" s="72" t="str">
        <f t="shared" si="577"/>
        <v>Nov</v>
      </c>
      <c r="C1237" s="73">
        <f t="shared" si="595"/>
        <v>15</v>
      </c>
      <c r="D1237" s="74">
        <f t="shared" si="578"/>
        <v>9</v>
      </c>
      <c r="E1237" s="75">
        <f t="shared" si="579"/>
        <v>55</v>
      </c>
      <c r="F1237" s="79"/>
      <c r="G1237" s="82"/>
      <c r="H1237" s="68" t="str">
        <f t="shared" si="596"/>
        <v>Hyprev7_20211115_09_00</v>
      </c>
      <c r="I1237" s="69">
        <f t="shared" ref="I1237:N1252" si="598">I1236</f>
        <v>1</v>
      </c>
      <c r="J1237" s="76" t="str">
        <f t="shared" si="598"/>
        <v>Hypericum</v>
      </c>
      <c r="K1237" s="76" t="str">
        <f t="shared" si="598"/>
        <v>revolutum</v>
      </c>
      <c r="L1237" s="77">
        <f t="shared" si="598"/>
        <v>7</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2021</v>
      </c>
      <c r="B1238" s="72" t="str">
        <f t="shared" si="577"/>
        <v>Nov</v>
      </c>
      <c r="C1238" s="73">
        <f t="shared" si="595"/>
        <v>15</v>
      </c>
      <c r="D1238" s="74">
        <f t="shared" si="578"/>
        <v>9</v>
      </c>
      <c r="E1238" s="75">
        <f t="shared" si="579"/>
        <v>56</v>
      </c>
      <c r="F1238" s="79"/>
      <c r="G1238" s="82"/>
      <c r="H1238" s="68" t="str">
        <f t="shared" si="596"/>
        <v>Hyprev7_20211115_09_00</v>
      </c>
      <c r="I1238" s="69">
        <f t="shared" si="598"/>
        <v>1</v>
      </c>
      <c r="J1238" s="76" t="str">
        <f t="shared" si="598"/>
        <v>Hypericum</v>
      </c>
      <c r="K1238" s="76" t="str">
        <f t="shared" si="598"/>
        <v>revolutum</v>
      </c>
      <c r="L1238" s="77">
        <f t="shared" si="598"/>
        <v>7</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2021</v>
      </c>
      <c r="B1239" s="72" t="str">
        <f t="shared" si="577"/>
        <v>Nov</v>
      </c>
      <c r="C1239" s="73">
        <f t="shared" si="595"/>
        <v>15</v>
      </c>
      <c r="D1239" s="74">
        <f t="shared" si="578"/>
        <v>9</v>
      </c>
      <c r="E1239" s="75">
        <f t="shared" si="579"/>
        <v>57</v>
      </c>
      <c r="F1239" s="79">
        <v>29</v>
      </c>
      <c r="G1239" s="82"/>
      <c r="H1239" s="68" t="str">
        <f t="shared" si="596"/>
        <v>Hyprev7_20211115_09_00</v>
      </c>
      <c r="I1239" s="69">
        <f t="shared" si="598"/>
        <v>1</v>
      </c>
      <c r="J1239" s="76" t="str">
        <f t="shared" si="598"/>
        <v>Hypericum</v>
      </c>
      <c r="K1239" s="76" t="str">
        <f t="shared" si="598"/>
        <v>revolutum</v>
      </c>
      <c r="L1239" s="77">
        <f t="shared" si="598"/>
        <v>7</v>
      </c>
      <c r="M1239" s="77">
        <f t="shared" si="598"/>
        <v>2</v>
      </c>
      <c r="N1239" s="71">
        <f t="shared" si="598"/>
        <v>0</v>
      </c>
      <c r="O1239" s="44"/>
      <c r="P1239" s="45">
        <f t="shared" si="580"/>
        <v>1</v>
      </c>
      <c r="Q1239" s="46" t="str">
        <f t="shared" si="581"/>
        <v>09:57:29</v>
      </c>
      <c r="R1239" s="47" t="str">
        <f t="shared" si="582"/>
        <v>57:29</v>
      </c>
      <c r="S1239" s="48">
        <f t="shared" si="571"/>
        <v>55</v>
      </c>
      <c r="T1239" s="47" t="str">
        <f t="shared" si="583"/>
        <v>09</v>
      </c>
      <c r="U1239" s="49">
        <v>58</v>
      </c>
      <c r="V1239" s="50">
        <v>24</v>
      </c>
      <c r="W1239" s="51" t="str">
        <f t="shared" si="584"/>
        <v>58:24</v>
      </c>
      <c r="X1239" s="52" t="s">
        <v>59</v>
      </c>
      <c r="Y1239" s="124" t="s">
        <v>236</v>
      </c>
      <c r="Z1239" s="124"/>
      <c r="AA1239" s="47" t="s">
        <v>254</v>
      </c>
      <c r="AB1239" s="47" t="str">
        <f t="shared" si="585"/>
        <v>NA</v>
      </c>
      <c r="AC1239" s="53" t="str">
        <f t="shared" si="586"/>
        <v/>
      </c>
      <c r="AD1239" s="54">
        <f t="shared" si="587"/>
        <v>1</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t="s">
        <v>62</v>
      </c>
      <c r="AT1239" s="58"/>
      <c r="AU1239" s="58"/>
      <c r="AV1239" s="59"/>
      <c r="AW1239" s="60">
        <f t="shared" si="572"/>
        <v>0</v>
      </c>
      <c r="AX1239" s="61" t="str">
        <f t="shared" si="573"/>
        <v/>
      </c>
      <c r="AY1239" s="60">
        <f t="shared" si="574"/>
        <v>0</v>
      </c>
      <c r="AZ1239" s="61" t="str">
        <f t="shared" si="575"/>
        <v/>
      </c>
    </row>
    <row r="1240" spans="1:52" s="3" customFormat="1" hidden="1" x14ac:dyDescent="0.35">
      <c r="A1240" s="72">
        <f t="shared" si="576"/>
        <v>2021</v>
      </c>
      <c r="B1240" s="72" t="str">
        <f t="shared" si="577"/>
        <v>Nov</v>
      </c>
      <c r="C1240" s="73">
        <f t="shared" si="595"/>
        <v>15</v>
      </c>
      <c r="D1240" s="74">
        <f t="shared" si="578"/>
        <v>9</v>
      </c>
      <c r="E1240" s="75">
        <f t="shared" si="579"/>
        <v>58</v>
      </c>
      <c r="F1240" s="79"/>
      <c r="G1240" s="82"/>
      <c r="H1240" s="68" t="str">
        <f t="shared" si="596"/>
        <v>Hyprev7_20211115_09_00</v>
      </c>
      <c r="I1240" s="69">
        <f t="shared" si="598"/>
        <v>1</v>
      </c>
      <c r="J1240" s="76" t="str">
        <f t="shared" si="598"/>
        <v>Hypericum</v>
      </c>
      <c r="K1240" s="76" t="str">
        <f t="shared" si="598"/>
        <v>revolutum</v>
      </c>
      <c r="L1240" s="77">
        <f t="shared" si="598"/>
        <v>7</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2021</v>
      </c>
      <c r="B1241" s="72" t="str">
        <f t="shared" si="577"/>
        <v>Nov</v>
      </c>
      <c r="C1241" s="73">
        <f t="shared" si="595"/>
        <v>15</v>
      </c>
      <c r="D1241" s="74">
        <f t="shared" si="578"/>
        <v>9</v>
      </c>
      <c r="E1241" s="75">
        <f t="shared" si="579"/>
        <v>59</v>
      </c>
      <c r="F1241" s="79"/>
      <c r="G1241" s="82"/>
      <c r="H1241" s="68" t="str">
        <f t="shared" si="596"/>
        <v>Hyprev7_20211115_09_00</v>
      </c>
      <c r="I1241" s="69">
        <f t="shared" si="598"/>
        <v>1</v>
      </c>
      <c r="J1241" s="76" t="str">
        <f t="shared" si="598"/>
        <v>Hypericum</v>
      </c>
      <c r="K1241" s="76" t="str">
        <f t="shared" si="598"/>
        <v>revolutum</v>
      </c>
      <c r="L1241" s="77">
        <f t="shared" si="598"/>
        <v>7</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2021</v>
      </c>
      <c r="B1242" s="72" t="str">
        <f t="shared" si="577"/>
        <v>Nov</v>
      </c>
      <c r="C1242" s="73">
        <f t="shared" si="595"/>
        <v>15</v>
      </c>
      <c r="D1242" s="74">
        <f t="shared" si="578"/>
        <v>10</v>
      </c>
      <c r="E1242" s="75">
        <f t="shared" si="579"/>
        <v>0</v>
      </c>
      <c r="F1242" s="79"/>
      <c r="G1242" s="82"/>
      <c r="H1242" s="68" t="str">
        <f t="shared" si="596"/>
        <v>Hyprev7_20211115_10_00</v>
      </c>
      <c r="I1242" s="69">
        <f t="shared" si="598"/>
        <v>1</v>
      </c>
      <c r="J1242" s="76" t="str">
        <f t="shared" si="598"/>
        <v>Hypericum</v>
      </c>
      <c r="K1242" s="76" t="str">
        <f t="shared" si="598"/>
        <v>revolutum</v>
      </c>
      <c r="L1242" s="77">
        <f t="shared" si="598"/>
        <v>7</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2021</v>
      </c>
      <c r="B1243" s="72" t="str">
        <f t="shared" si="577"/>
        <v>Nov</v>
      </c>
      <c r="C1243" s="73">
        <f t="shared" si="595"/>
        <v>15</v>
      </c>
      <c r="D1243" s="74">
        <f t="shared" si="578"/>
        <v>10</v>
      </c>
      <c r="E1243" s="75">
        <f t="shared" si="579"/>
        <v>1</v>
      </c>
      <c r="F1243" s="79"/>
      <c r="G1243" s="82"/>
      <c r="H1243" s="68" t="str">
        <f t="shared" si="596"/>
        <v>Hyprev7_20211115_10_00</v>
      </c>
      <c r="I1243" s="69">
        <f t="shared" si="598"/>
        <v>1</v>
      </c>
      <c r="J1243" s="76" t="str">
        <f t="shared" si="598"/>
        <v>Hypericum</v>
      </c>
      <c r="K1243" s="76" t="str">
        <f t="shared" si="598"/>
        <v>revolutum</v>
      </c>
      <c r="L1243" s="77">
        <f t="shared" si="598"/>
        <v>7</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2021</v>
      </c>
      <c r="B1244" s="72" t="str">
        <f t="shared" si="577"/>
        <v>Nov</v>
      </c>
      <c r="C1244" s="73">
        <f t="shared" si="595"/>
        <v>15</v>
      </c>
      <c r="D1244" s="74">
        <f t="shared" si="578"/>
        <v>10</v>
      </c>
      <c r="E1244" s="75">
        <f t="shared" si="579"/>
        <v>2</v>
      </c>
      <c r="F1244" s="79"/>
      <c r="G1244" s="82"/>
      <c r="H1244" s="68" t="str">
        <f t="shared" si="596"/>
        <v>Hyprev7_20211115_10_00</v>
      </c>
      <c r="I1244" s="69">
        <f t="shared" si="598"/>
        <v>1</v>
      </c>
      <c r="J1244" s="76" t="str">
        <f t="shared" si="598"/>
        <v>Hypericum</v>
      </c>
      <c r="K1244" s="76" t="str">
        <f t="shared" si="598"/>
        <v>revolutum</v>
      </c>
      <c r="L1244" s="77">
        <f t="shared" si="598"/>
        <v>7</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2021</v>
      </c>
      <c r="B1245" s="72" t="str">
        <f t="shared" si="577"/>
        <v>Nov</v>
      </c>
      <c r="C1245" s="73">
        <f t="shared" si="595"/>
        <v>15</v>
      </c>
      <c r="D1245" s="74">
        <f t="shared" si="578"/>
        <v>10</v>
      </c>
      <c r="E1245" s="75">
        <f t="shared" si="579"/>
        <v>3</v>
      </c>
      <c r="F1245" s="79"/>
      <c r="G1245" s="82"/>
      <c r="H1245" s="68" t="str">
        <f t="shared" si="596"/>
        <v>Hyprev7_20211115_10_00</v>
      </c>
      <c r="I1245" s="69">
        <f t="shared" si="598"/>
        <v>1</v>
      </c>
      <c r="J1245" s="76" t="str">
        <f t="shared" si="598"/>
        <v>Hypericum</v>
      </c>
      <c r="K1245" s="76" t="str">
        <f t="shared" si="598"/>
        <v>revolutum</v>
      </c>
      <c r="L1245" s="77">
        <f t="shared" si="598"/>
        <v>7</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2021</v>
      </c>
      <c r="B1246" s="72" t="str">
        <f t="shared" si="577"/>
        <v>Nov</v>
      </c>
      <c r="C1246" s="73">
        <f t="shared" si="595"/>
        <v>15</v>
      </c>
      <c r="D1246" s="74">
        <f t="shared" si="578"/>
        <v>10</v>
      </c>
      <c r="E1246" s="75">
        <f t="shared" si="579"/>
        <v>4</v>
      </c>
      <c r="F1246" s="79"/>
      <c r="G1246" s="82"/>
      <c r="H1246" s="68" t="str">
        <f t="shared" si="596"/>
        <v>Hyprev7_20211115_10_00</v>
      </c>
      <c r="I1246" s="69">
        <f t="shared" si="598"/>
        <v>1</v>
      </c>
      <c r="J1246" s="76" t="str">
        <f t="shared" si="598"/>
        <v>Hypericum</v>
      </c>
      <c r="K1246" s="76" t="str">
        <f t="shared" si="598"/>
        <v>revolutum</v>
      </c>
      <c r="L1246" s="77">
        <f t="shared" si="598"/>
        <v>7</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2021</v>
      </c>
      <c r="B1247" s="72" t="str">
        <f t="shared" si="577"/>
        <v>Nov</v>
      </c>
      <c r="C1247" s="73">
        <f t="shared" si="595"/>
        <v>15</v>
      </c>
      <c r="D1247" s="74">
        <f t="shared" si="578"/>
        <v>10</v>
      </c>
      <c r="E1247" s="75">
        <f t="shared" si="579"/>
        <v>5</v>
      </c>
      <c r="F1247" s="79"/>
      <c r="G1247" s="82"/>
      <c r="H1247" s="68" t="str">
        <f t="shared" si="596"/>
        <v>Hyprev7_20211115_10_00</v>
      </c>
      <c r="I1247" s="69">
        <f t="shared" si="598"/>
        <v>1</v>
      </c>
      <c r="J1247" s="76" t="str">
        <f t="shared" si="598"/>
        <v>Hypericum</v>
      </c>
      <c r="K1247" s="76" t="str">
        <f t="shared" si="598"/>
        <v>revolutum</v>
      </c>
      <c r="L1247" s="77">
        <f t="shared" si="598"/>
        <v>7</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2021</v>
      </c>
      <c r="B1248" s="72" t="str">
        <f t="shared" si="577"/>
        <v>Nov</v>
      </c>
      <c r="C1248" s="73">
        <f t="shared" si="595"/>
        <v>15</v>
      </c>
      <c r="D1248" s="74">
        <f t="shared" si="578"/>
        <v>10</v>
      </c>
      <c r="E1248" s="75">
        <f t="shared" si="579"/>
        <v>6</v>
      </c>
      <c r="F1248" s="79"/>
      <c r="G1248" s="82"/>
      <c r="H1248" s="68" t="str">
        <f t="shared" si="596"/>
        <v>Hyprev7_20211115_10_00</v>
      </c>
      <c r="I1248" s="69">
        <f t="shared" si="598"/>
        <v>1</v>
      </c>
      <c r="J1248" s="76" t="str">
        <f t="shared" si="598"/>
        <v>Hypericum</v>
      </c>
      <c r="K1248" s="76" t="str">
        <f t="shared" si="598"/>
        <v>revolutum</v>
      </c>
      <c r="L1248" s="77">
        <f t="shared" si="598"/>
        <v>7</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2021</v>
      </c>
      <c r="B1249" s="72" t="str">
        <f t="shared" si="577"/>
        <v>Nov</v>
      </c>
      <c r="C1249" s="73">
        <f t="shared" si="595"/>
        <v>15</v>
      </c>
      <c r="D1249" s="74">
        <f t="shared" si="578"/>
        <v>10</v>
      </c>
      <c r="E1249" s="75">
        <f t="shared" si="579"/>
        <v>7</v>
      </c>
      <c r="F1249" s="79"/>
      <c r="G1249" s="82"/>
      <c r="H1249" s="68" t="str">
        <f t="shared" si="596"/>
        <v>Hyprev7_20211115_10_00</v>
      </c>
      <c r="I1249" s="69">
        <f t="shared" si="598"/>
        <v>1</v>
      </c>
      <c r="J1249" s="76" t="str">
        <f t="shared" si="598"/>
        <v>Hypericum</v>
      </c>
      <c r="K1249" s="76" t="str">
        <f t="shared" si="598"/>
        <v>revolutum</v>
      </c>
      <c r="L1249" s="77">
        <f t="shared" si="598"/>
        <v>7</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2021</v>
      </c>
      <c r="B1250" s="72" t="str">
        <f t="shared" si="577"/>
        <v>Nov</v>
      </c>
      <c r="C1250" s="73">
        <f t="shared" si="595"/>
        <v>15</v>
      </c>
      <c r="D1250" s="74">
        <f t="shared" si="578"/>
        <v>10</v>
      </c>
      <c r="E1250" s="75">
        <f t="shared" si="579"/>
        <v>8</v>
      </c>
      <c r="F1250" s="79"/>
      <c r="G1250" s="82"/>
      <c r="H1250" s="68" t="str">
        <f t="shared" si="596"/>
        <v>Hyprev7_20211115_10_00</v>
      </c>
      <c r="I1250" s="69">
        <f t="shared" si="598"/>
        <v>1</v>
      </c>
      <c r="J1250" s="76" t="str">
        <f t="shared" si="598"/>
        <v>Hypericum</v>
      </c>
      <c r="K1250" s="76" t="str">
        <f t="shared" si="598"/>
        <v>revolutum</v>
      </c>
      <c r="L1250" s="77">
        <f t="shared" si="598"/>
        <v>7</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2021</v>
      </c>
      <c r="B1251" s="72" t="str">
        <f t="shared" si="577"/>
        <v>Nov</v>
      </c>
      <c r="C1251" s="73">
        <f t="shared" si="595"/>
        <v>15</v>
      </c>
      <c r="D1251" s="74">
        <f t="shared" si="578"/>
        <v>10</v>
      </c>
      <c r="E1251" s="75">
        <f t="shared" si="579"/>
        <v>9</v>
      </c>
      <c r="F1251" s="79"/>
      <c r="G1251" s="82"/>
      <c r="H1251" s="68" t="str">
        <f t="shared" si="596"/>
        <v>Hyprev7_20211115_10_00</v>
      </c>
      <c r="I1251" s="69">
        <f t="shared" si="598"/>
        <v>1</v>
      </c>
      <c r="J1251" s="76" t="str">
        <f t="shared" si="598"/>
        <v>Hypericum</v>
      </c>
      <c r="K1251" s="76" t="str">
        <f t="shared" si="598"/>
        <v>revolutum</v>
      </c>
      <c r="L1251" s="77">
        <f t="shared" si="598"/>
        <v>7</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2021</v>
      </c>
      <c r="B1252" s="72" t="str">
        <f t="shared" si="577"/>
        <v>Nov</v>
      </c>
      <c r="C1252" s="73">
        <f t="shared" si="595"/>
        <v>15</v>
      </c>
      <c r="D1252" s="74">
        <f t="shared" si="578"/>
        <v>10</v>
      </c>
      <c r="E1252" s="75">
        <f t="shared" si="579"/>
        <v>10</v>
      </c>
      <c r="F1252" s="79"/>
      <c r="G1252" s="82"/>
      <c r="H1252" s="68" t="str">
        <f t="shared" si="596"/>
        <v>Hyprev7_20211115_10_00</v>
      </c>
      <c r="I1252" s="69">
        <f t="shared" si="598"/>
        <v>1</v>
      </c>
      <c r="J1252" s="76" t="str">
        <f t="shared" si="598"/>
        <v>Hypericum</v>
      </c>
      <c r="K1252" s="76" t="str">
        <f t="shared" si="598"/>
        <v>revolutum</v>
      </c>
      <c r="L1252" s="77">
        <f t="shared" si="598"/>
        <v>7</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2021</v>
      </c>
      <c r="B1253" s="72" t="str">
        <f t="shared" si="577"/>
        <v>Nov</v>
      </c>
      <c r="C1253" s="73">
        <f t="shared" si="595"/>
        <v>15</v>
      </c>
      <c r="D1253" s="74">
        <f t="shared" si="578"/>
        <v>10</v>
      </c>
      <c r="E1253" s="75">
        <f t="shared" si="579"/>
        <v>11</v>
      </c>
      <c r="F1253" s="79"/>
      <c r="G1253" s="82"/>
      <c r="H1253" s="68" t="str">
        <f t="shared" si="596"/>
        <v>Hyprev7_20211115_10_00</v>
      </c>
      <c r="I1253" s="69">
        <f t="shared" ref="I1253:N1268" si="599">I1252</f>
        <v>1</v>
      </c>
      <c r="J1253" s="76" t="str">
        <f t="shared" si="599"/>
        <v>Hypericum</v>
      </c>
      <c r="K1253" s="76" t="str">
        <f t="shared" si="599"/>
        <v>revolutum</v>
      </c>
      <c r="L1253" s="77">
        <f t="shared" si="599"/>
        <v>7</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2021</v>
      </c>
      <c r="B1254" s="72" t="str">
        <f t="shared" si="577"/>
        <v>Nov</v>
      </c>
      <c r="C1254" s="73">
        <f t="shared" si="595"/>
        <v>15</v>
      </c>
      <c r="D1254" s="74">
        <f t="shared" si="578"/>
        <v>10</v>
      </c>
      <c r="E1254" s="75">
        <f t="shared" si="579"/>
        <v>12</v>
      </c>
      <c r="F1254" s="79"/>
      <c r="G1254" s="82"/>
      <c r="H1254" s="68" t="str">
        <f t="shared" si="596"/>
        <v>Hyprev7_20211115_10_00</v>
      </c>
      <c r="I1254" s="69">
        <f t="shared" si="599"/>
        <v>1</v>
      </c>
      <c r="J1254" s="76" t="str">
        <f t="shared" si="599"/>
        <v>Hypericum</v>
      </c>
      <c r="K1254" s="76" t="str">
        <f t="shared" si="599"/>
        <v>revolutum</v>
      </c>
      <c r="L1254" s="77">
        <f t="shared" si="599"/>
        <v>7</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2021</v>
      </c>
      <c r="B1255" s="72" t="str">
        <f t="shared" si="577"/>
        <v>Nov</v>
      </c>
      <c r="C1255" s="73">
        <f t="shared" si="595"/>
        <v>15</v>
      </c>
      <c r="D1255" s="74">
        <f t="shared" si="578"/>
        <v>10</v>
      </c>
      <c r="E1255" s="75">
        <f t="shared" si="579"/>
        <v>13</v>
      </c>
      <c r="F1255" s="79"/>
      <c r="G1255" s="82"/>
      <c r="H1255" s="68" t="str">
        <f t="shared" si="596"/>
        <v>Hyprev7_20211115_10_00</v>
      </c>
      <c r="I1255" s="69">
        <f t="shared" si="599"/>
        <v>1</v>
      </c>
      <c r="J1255" s="76" t="str">
        <f t="shared" si="599"/>
        <v>Hypericum</v>
      </c>
      <c r="K1255" s="76" t="str">
        <f t="shared" si="599"/>
        <v>revolutum</v>
      </c>
      <c r="L1255" s="77">
        <f t="shared" si="599"/>
        <v>7</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2021</v>
      </c>
      <c r="B1256" s="72" t="str">
        <f t="shared" si="577"/>
        <v>Nov</v>
      </c>
      <c r="C1256" s="73">
        <f t="shared" si="595"/>
        <v>15</v>
      </c>
      <c r="D1256" s="74">
        <f t="shared" si="578"/>
        <v>10</v>
      </c>
      <c r="E1256" s="75">
        <f t="shared" si="579"/>
        <v>14</v>
      </c>
      <c r="F1256" s="79"/>
      <c r="G1256" s="82"/>
      <c r="H1256" s="68" t="str">
        <f t="shared" si="596"/>
        <v>Hyprev7_20211115_10_00</v>
      </c>
      <c r="I1256" s="69">
        <f t="shared" si="599"/>
        <v>1</v>
      </c>
      <c r="J1256" s="76" t="str">
        <f t="shared" si="599"/>
        <v>Hypericum</v>
      </c>
      <c r="K1256" s="76" t="str">
        <f t="shared" si="599"/>
        <v>revolutum</v>
      </c>
      <c r="L1256" s="77">
        <f t="shared" si="599"/>
        <v>7</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2021</v>
      </c>
      <c r="B1257" s="72" t="str">
        <f t="shared" si="577"/>
        <v>Nov</v>
      </c>
      <c r="C1257" s="73">
        <f t="shared" si="595"/>
        <v>15</v>
      </c>
      <c r="D1257" s="74">
        <f t="shared" si="578"/>
        <v>10</v>
      </c>
      <c r="E1257" s="75">
        <f t="shared" si="579"/>
        <v>15</v>
      </c>
      <c r="F1257" s="79"/>
      <c r="G1257" s="82"/>
      <c r="H1257" s="68" t="str">
        <f t="shared" si="596"/>
        <v>Hyprev7_20211115_10_00</v>
      </c>
      <c r="I1257" s="69">
        <f t="shared" si="599"/>
        <v>1</v>
      </c>
      <c r="J1257" s="76" t="str">
        <f t="shared" si="599"/>
        <v>Hypericum</v>
      </c>
      <c r="K1257" s="76" t="str">
        <f t="shared" si="599"/>
        <v>revolutum</v>
      </c>
      <c r="L1257" s="77">
        <f t="shared" si="599"/>
        <v>7</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2021</v>
      </c>
      <c r="B1258" s="72" t="str">
        <f t="shared" si="577"/>
        <v>Nov</v>
      </c>
      <c r="C1258" s="73">
        <f t="shared" si="595"/>
        <v>15</v>
      </c>
      <c r="D1258" s="74">
        <f t="shared" si="578"/>
        <v>10</v>
      </c>
      <c r="E1258" s="75">
        <f t="shared" si="579"/>
        <v>16</v>
      </c>
      <c r="F1258" s="79"/>
      <c r="G1258" s="82"/>
      <c r="H1258" s="68" t="str">
        <f t="shared" si="596"/>
        <v>Hyprev7_20211115_10_00</v>
      </c>
      <c r="I1258" s="69">
        <f t="shared" si="599"/>
        <v>1</v>
      </c>
      <c r="J1258" s="76" t="str">
        <f t="shared" si="599"/>
        <v>Hypericum</v>
      </c>
      <c r="K1258" s="76" t="str">
        <f t="shared" si="599"/>
        <v>revolutum</v>
      </c>
      <c r="L1258" s="77">
        <f t="shared" si="599"/>
        <v>7</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2021</v>
      </c>
      <c r="B1259" s="72" t="str">
        <f t="shared" si="577"/>
        <v>Nov</v>
      </c>
      <c r="C1259" s="73">
        <f t="shared" si="595"/>
        <v>15</v>
      </c>
      <c r="D1259" s="74">
        <f t="shared" si="578"/>
        <v>10</v>
      </c>
      <c r="E1259" s="75">
        <f t="shared" si="579"/>
        <v>17</v>
      </c>
      <c r="F1259" s="79"/>
      <c r="G1259" s="82"/>
      <c r="H1259" s="68" t="str">
        <f t="shared" si="596"/>
        <v>Hyprev7_20211115_10_00</v>
      </c>
      <c r="I1259" s="69">
        <f t="shared" si="599"/>
        <v>1</v>
      </c>
      <c r="J1259" s="76" t="str">
        <f t="shared" si="599"/>
        <v>Hypericum</v>
      </c>
      <c r="K1259" s="76" t="str">
        <f t="shared" si="599"/>
        <v>revolutum</v>
      </c>
      <c r="L1259" s="77">
        <f t="shared" si="599"/>
        <v>7</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2021</v>
      </c>
      <c r="B1260" s="72" t="str">
        <f t="shared" si="577"/>
        <v>Nov</v>
      </c>
      <c r="C1260" s="73">
        <f t="shared" si="595"/>
        <v>15</v>
      </c>
      <c r="D1260" s="74">
        <f t="shared" si="578"/>
        <v>10</v>
      </c>
      <c r="E1260" s="75">
        <f t="shared" si="579"/>
        <v>18</v>
      </c>
      <c r="F1260" s="79">
        <v>57</v>
      </c>
      <c r="G1260" s="82"/>
      <c r="H1260" s="68" t="str">
        <f t="shared" si="596"/>
        <v>Hyprev7_20211115_10_00</v>
      </c>
      <c r="I1260" s="69">
        <f t="shared" si="599"/>
        <v>1</v>
      </c>
      <c r="J1260" s="76" t="str">
        <f t="shared" si="599"/>
        <v>Hypericum</v>
      </c>
      <c r="K1260" s="76" t="str">
        <f t="shared" si="599"/>
        <v>revolutum</v>
      </c>
      <c r="L1260" s="77">
        <f t="shared" si="599"/>
        <v>7</v>
      </c>
      <c r="M1260" s="77">
        <f t="shared" si="599"/>
        <v>2</v>
      </c>
      <c r="N1260" s="71">
        <f t="shared" si="599"/>
        <v>0</v>
      </c>
      <c r="O1260" s="44"/>
      <c r="P1260" s="45">
        <f t="shared" si="580"/>
        <v>1</v>
      </c>
      <c r="Q1260" s="46" t="str">
        <f t="shared" si="581"/>
        <v>10:18:57</v>
      </c>
      <c r="R1260" s="47" t="str">
        <f t="shared" si="582"/>
        <v>18:57</v>
      </c>
      <c r="S1260" s="48">
        <f t="shared" si="571"/>
        <v>89</v>
      </c>
      <c r="T1260" s="47" t="str">
        <f t="shared" si="583"/>
        <v>10</v>
      </c>
      <c r="U1260" s="49">
        <v>20</v>
      </c>
      <c r="V1260" s="50">
        <v>26</v>
      </c>
      <c r="W1260" s="51" t="str">
        <f t="shared" si="584"/>
        <v>20:26</v>
      </c>
      <c r="X1260" s="52" t="s">
        <v>61</v>
      </c>
      <c r="Y1260" s="124" t="s">
        <v>240</v>
      </c>
      <c r="Z1260" s="124"/>
      <c r="AA1260" s="47" t="s">
        <v>254</v>
      </c>
      <c r="AB1260" s="47" t="str">
        <f t="shared" si="585"/>
        <v>NA</v>
      </c>
      <c r="AC1260" s="53" t="str">
        <f t="shared" si="586"/>
        <v/>
      </c>
      <c r="AD1260" s="54">
        <f t="shared" si="587"/>
        <v>1</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t="s">
        <v>202</v>
      </c>
      <c r="AT1260" s="58"/>
      <c r="AU1260" s="58"/>
      <c r="AV1260" s="59"/>
      <c r="AW1260" s="60">
        <f t="shared" si="572"/>
        <v>0</v>
      </c>
      <c r="AX1260" s="61" t="str">
        <f t="shared" si="573"/>
        <v/>
      </c>
      <c r="AY1260" s="60">
        <f t="shared" si="574"/>
        <v>0</v>
      </c>
      <c r="AZ1260" s="61" t="str">
        <f t="shared" si="575"/>
        <v/>
      </c>
    </row>
    <row r="1261" spans="1:52" s="3" customFormat="1" hidden="1" x14ac:dyDescent="0.35">
      <c r="A1261" s="72">
        <f t="shared" si="576"/>
        <v>2021</v>
      </c>
      <c r="B1261" s="72" t="str">
        <f t="shared" si="577"/>
        <v>Nov</v>
      </c>
      <c r="C1261" s="73">
        <f t="shared" si="595"/>
        <v>15</v>
      </c>
      <c r="D1261" s="74">
        <f t="shared" si="578"/>
        <v>10</v>
      </c>
      <c r="E1261" s="75">
        <f t="shared" si="579"/>
        <v>19</v>
      </c>
      <c r="F1261" s="79"/>
      <c r="G1261" s="82"/>
      <c r="H1261" s="68" t="str">
        <f t="shared" si="596"/>
        <v>Hyprev7_20211115_10_00</v>
      </c>
      <c r="I1261" s="69">
        <f t="shared" si="599"/>
        <v>1</v>
      </c>
      <c r="J1261" s="76" t="str">
        <f t="shared" si="599"/>
        <v>Hypericum</v>
      </c>
      <c r="K1261" s="76" t="str">
        <f t="shared" si="599"/>
        <v>revolutum</v>
      </c>
      <c r="L1261" s="77">
        <f t="shared" si="599"/>
        <v>7</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2021</v>
      </c>
      <c r="B1262" s="72" t="str">
        <f t="shared" si="577"/>
        <v>Nov</v>
      </c>
      <c r="C1262" s="73">
        <f t="shared" si="595"/>
        <v>15</v>
      </c>
      <c r="D1262" s="74">
        <f t="shared" si="578"/>
        <v>10</v>
      </c>
      <c r="E1262" s="75">
        <f t="shared" si="579"/>
        <v>20</v>
      </c>
      <c r="F1262" s="79"/>
      <c r="G1262" s="82"/>
      <c r="H1262" s="68" t="str">
        <f t="shared" si="596"/>
        <v>Hyprev7_20211115_10_00</v>
      </c>
      <c r="I1262" s="69">
        <f t="shared" si="599"/>
        <v>1</v>
      </c>
      <c r="J1262" s="76" t="str">
        <f t="shared" si="599"/>
        <v>Hypericum</v>
      </c>
      <c r="K1262" s="76" t="str">
        <f t="shared" si="599"/>
        <v>revolutum</v>
      </c>
      <c r="L1262" s="77">
        <f t="shared" si="599"/>
        <v>7</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2021</v>
      </c>
      <c r="B1263" s="72" t="str">
        <f t="shared" si="577"/>
        <v>Nov</v>
      </c>
      <c r="C1263" s="73">
        <f t="shared" si="595"/>
        <v>15</v>
      </c>
      <c r="D1263" s="74">
        <f t="shared" si="578"/>
        <v>10</v>
      </c>
      <c r="E1263" s="75">
        <f t="shared" si="579"/>
        <v>21</v>
      </c>
      <c r="F1263" s="79"/>
      <c r="G1263" s="82"/>
      <c r="H1263" s="68" t="str">
        <f t="shared" si="596"/>
        <v>Hyprev7_20211115_10_00</v>
      </c>
      <c r="I1263" s="69">
        <f t="shared" si="599"/>
        <v>1</v>
      </c>
      <c r="J1263" s="76" t="str">
        <f t="shared" si="599"/>
        <v>Hypericum</v>
      </c>
      <c r="K1263" s="76" t="str">
        <f t="shared" si="599"/>
        <v>revolutum</v>
      </c>
      <c r="L1263" s="77">
        <f t="shared" si="599"/>
        <v>7</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2021</v>
      </c>
      <c r="B1264" s="72" t="str">
        <f t="shared" si="577"/>
        <v>Nov</v>
      </c>
      <c r="C1264" s="73">
        <f t="shared" si="595"/>
        <v>15</v>
      </c>
      <c r="D1264" s="74">
        <f t="shared" si="578"/>
        <v>10</v>
      </c>
      <c r="E1264" s="75">
        <f t="shared" si="579"/>
        <v>22</v>
      </c>
      <c r="F1264" s="79"/>
      <c r="G1264" s="82"/>
      <c r="H1264" s="68" t="str">
        <f t="shared" si="596"/>
        <v>Hyprev7_20211115_10_00</v>
      </c>
      <c r="I1264" s="69">
        <f t="shared" si="599"/>
        <v>1</v>
      </c>
      <c r="J1264" s="76" t="str">
        <f t="shared" si="599"/>
        <v>Hypericum</v>
      </c>
      <c r="K1264" s="76" t="str">
        <f t="shared" si="599"/>
        <v>revolutum</v>
      </c>
      <c r="L1264" s="77">
        <f t="shared" si="599"/>
        <v>7</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2021</v>
      </c>
      <c r="B1265" s="72" t="str">
        <f t="shared" si="577"/>
        <v>Nov</v>
      </c>
      <c r="C1265" s="73">
        <f t="shared" si="595"/>
        <v>15</v>
      </c>
      <c r="D1265" s="74">
        <f t="shared" si="578"/>
        <v>10</v>
      </c>
      <c r="E1265" s="75">
        <f t="shared" si="579"/>
        <v>23</v>
      </c>
      <c r="F1265" s="79"/>
      <c r="G1265" s="82"/>
      <c r="H1265" s="68" t="str">
        <f t="shared" si="596"/>
        <v>Hyprev7_20211115_10_00</v>
      </c>
      <c r="I1265" s="69">
        <f t="shared" si="599"/>
        <v>1</v>
      </c>
      <c r="J1265" s="76" t="str">
        <f t="shared" si="599"/>
        <v>Hypericum</v>
      </c>
      <c r="K1265" s="76" t="str">
        <f t="shared" si="599"/>
        <v>revolutum</v>
      </c>
      <c r="L1265" s="77">
        <f t="shared" si="599"/>
        <v>7</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2021</v>
      </c>
      <c r="B1266" s="72" t="str">
        <f t="shared" si="577"/>
        <v>Nov</v>
      </c>
      <c r="C1266" s="73">
        <f t="shared" si="595"/>
        <v>15</v>
      </c>
      <c r="D1266" s="74">
        <f t="shared" si="578"/>
        <v>10</v>
      </c>
      <c r="E1266" s="75">
        <f t="shared" si="579"/>
        <v>24</v>
      </c>
      <c r="F1266" s="79"/>
      <c r="G1266" s="82"/>
      <c r="H1266" s="68" t="str">
        <f t="shared" si="596"/>
        <v>Hyprev7_20211115_10_00</v>
      </c>
      <c r="I1266" s="69">
        <f t="shared" si="599"/>
        <v>1</v>
      </c>
      <c r="J1266" s="76" t="str">
        <f t="shared" si="599"/>
        <v>Hypericum</v>
      </c>
      <c r="K1266" s="76" t="str">
        <f t="shared" si="599"/>
        <v>revolutum</v>
      </c>
      <c r="L1266" s="77">
        <f t="shared" si="599"/>
        <v>7</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2021</v>
      </c>
      <c r="B1267" s="72" t="str">
        <f t="shared" si="577"/>
        <v>Nov</v>
      </c>
      <c r="C1267" s="73">
        <f t="shared" si="595"/>
        <v>15</v>
      </c>
      <c r="D1267" s="74">
        <f t="shared" si="578"/>
        <v>10</v>
      </c>
      <c r="E1267" s="75">
        <f t="shared" si="579"/>
        <v>25</v>
      </c>
      <c r="F1267" s="79"/>
      <c r="G1267" s="82"/>
      <c r="H1267" s="68" t="str">
        <f t="shared" si="596"/>
        <v>Hyprev7_20211115_10_00</v>
      </c>
      <c r="I1267" s="69">
        <f t="shared" si="599"/>
        <v>1</v>
      </c>
      <c r="J1267" s="76" t="str">
        <f t="shared" si="599"/>
        <v>Hypericum</v>
      </c>
      <c r="K1267" s="76" t="str">
        <f t="shared" si="599"/>
        <v>revolutum</v>
      </c>
      <c r="L1267" s="77">
        <f t="shared" si="599"/>
        <v>7</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2021</v>
      </c>
      <c r="B1268" s="72" t="str">
        <f t="shared" si="577"/>
        <v>Nov</v>
      </c>
      <c r="C1268" s="73">
        <f t="shared" si="595"/>
        <v>15</v>
      </c>
      <c r="D1268" s="74">
        <f t="shared" si="578"/>
        <v>10</v>
      </c>
      <c r="E1268" s="75">
        <f t="shared" si="579"/>
        <v>26</v>
      </c>
      <c r="F1268" s="79"/>
      <c r="G1268" s="82"/>
      <c r="H1268" s="68" t="str">
        <f t="shared" si="596"/>
        <v>Hyprev7_20211115_10_00</v>
      </c>
      <c r="I1268" s="69">
        <f t="shared" si="599"/>
        <v>1</v>
      </c>
      <c r="J1268" s="76" t="str">
        <f t="shared" si="599"/>
        <v>Hypericum</v>
      </c>
      <c r="K1268" s="76" t="str">
        <f t="shared" si="599"/>
        <v>revolutum</v>
      </c>
      <c r="L1268" s="77">
        <f t="shared" si="599"/>
        <v>7</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2021</v>
      </c>
      <c r="B1269" s="72" t="str">
        <f t="shared" si="577"/>
        <v>Nov</v>
      </c>
      <c r="C1269" s="73">
        <f t="shared" si="595"/>
        <v>15</v>
      </c>
      <c r="D1269" s="74">
        <f t="shared" si="578"/>
        <v>10</v>
      </c>
      <c r="E1269" s="75">
        <f t="shared" si="579"/>
        <v>27</v>
      </c>
      <c r="F1269" s="79"/>
      <c r="G1269" s="82"/>
      <c r="H1269" s="68" t="str">
        <f t="shared" si="596"/>
        <v>Hyprev7_20211115_10_00</v>
      </c>
      <c r="I1269" s="69">
        <f t="shared" ref="I1269:N1284" si="600">I1268</f>
        <v>1</v>
      </c>
      <c r="J1269" s="76" t="str">
        <f t="shared" si="600"/>
        <v>Hypericum</v>
      </c>
      <c r="K1269" s="76" t="str">
        <f t="shared" si="600"/>
        <v>revolutum</v>
      </c>
      <c r="L1269" s="77">
        <f t="shared" si="600"/>
        <v>7</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2021</v>
      </c>
      <c r="B1270" s="72" t="str">
        <f t="shared" si="577"/>
        <v>Nov</v>
      </c>
      <c r="C1270" s="73">
        <f t="shared" si="595"/>
        <v>15</v>
      </c>
      <c r="D1270" s="74">
        <f t="shared" si="578"/>
        <v>10</v>
      </c>
      <c r="E1270" s="75">
        <f t="shared" si="579"/>
        <v>28</v>
      </c>
      <c r="F1270" s="79"/>
      <c r="G1270" s="82"/>
      <c r="H1270" s="68" t="str">
        <f t="shared" si="596"/>
        <v>Hyprev7_20211115_10_00</v>
      </c>
      <c r="I1270" s="69">
        <f t="shared" si="600"/>
        <v>1</v>
      </c>
      <c r="J1270" s="76" t="str">
        <f t="shared" si="600"/>
        <v>Hypericum</v>
      </c>
      <c r="K1270" s="76" t="str">
        <f t="shared" si="600"/>
        <v>revolutum</v>
      </c>
      <c r="L1270" s="77">
        <f t="shared" si="600"/>
        <v>7</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2021</v>
      </c>
      <c r="B1271" s="72" t="str">
        <f t="shared" si="577"/>
        <v>Nov</v>
      </c>
      <c r="C1271" s="73">
        <f t="shared" si="595"/>
        <v>15</v>
      </c>
      <c r="D1271" s="74">
        <f t="shared" si="578"/>
        <v>10</v>
      </c>
      <c r="E1271" s="75">
        <f t="shared" si="579"/>
        <v>29</v>
      </c>
      <c r="F1271" s="79"/>
      <c r="G1271" s="82"/>
      <c r="H1271" s="68" t="str">
        <f t="shared" si="596"/>
        <v>Hyprev7_20211115_10_00</v>
      </c>
      <c r="I1271" s="69">
        <f t="shared" si="600"/>
        <v>1</v>
      </c>
      <c r="J1271" s="76" t="str">
        <f t="shared" si="600"/>
        <v>Hypericum</v>
      </c>
      <c r="K1271" s="76" t="str">
        <f t="shared" si="600"/>
        <v>revolutum</v>
      </c>
      <c r="L1271" s="77">
        <f t="shared" si="600"/>
        <v>7</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2021</v>
      </c>
      <c r="B1272" s="72" t="str">
        <f t="shared" si="577"/>
        <v>Nov</v>
      </c>
      <c r="C1272" s="73">
        <f t="shared" si="595"/>
        <v>15</v>
      </c>
      <c r="D1272" s="74">
        <f t="shared" si="578"/>
        <v>10</v>
      </c>
      <c r="E1272" s="75">
        <f t="shared" si="579"/>
        <v>30</v>
      </c>
      <c r="F1272" s="79"/>
      <c r="G1272" s="82"/>
      <c r="H1272" s="68" t="str">
        <f t="shared" si="596"/>
        <v>Hyprev7_20211115_10_00</v>
      </c>
      <c r="I1272" s="69">
        <f t="shared" si="600"/>
        <v>1</v>
      </c>
      <c r="J1272" s="76" t="str">
        <f t="shared" si="600"/>
        <v>Hypericum</v>
      </c>
      <c r="K1272" s="76" t="str">
        <f t="shared" si="600"/>
        <v>revolutum</v>
      </c>
      <c r="L1272" s="77">
        <f t="shared" si="600"/>
        <v>7</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2021</v>
      </c>
      <c r="B1273" s="72" t="str">
        <f t="shared" si="577"/>
        <v>Nov</v>
      </c>
      <c r="C1273" s="73">
        <f t="shared" si="595"/>
        <v>15</v>
      </c>
      <c r="D1273" s="74">
        <f t="shared" si="578"/>
        <v>10</v>
      </c>
      <c r="E1273" s="75">
        <f t="shared" si="579"/>
        <v>31</v>
      </c>
      <c r="F1273" s="79"/>
      <c r="G1273" s="82"/>
      <c r="H1273" s="68" t="str">
        <f t="shared" si="596"/>
        <v>Hyprev7_20211115_10_00</v>
      </c>
      <c r="I1273" s="69">
        <f t="shared" si="600"/>
        <v>1</v>
      </c>
      <c r="J1273" s="76" t="str">
        <f t="shared" si="600"/>
        <v>Hypericum</v>
      </c>
      <c r="K1273" s="76" t="str">
        <f t="shared" si="600"/>
        <v>revolutum</v>
      </c>
      <c r="L1273" s="77">
        <f t="shared" si="600"/>
        <v>7</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2021</v>
      </c>
      <c r="B1274" s="72" t="str">
        <f t="shared" si="577"/>
        <v>Nov</v>
      </c>
      <c r="C1274" s="73">
        <f t="shared" si="595"/>
        <v>15</v>
      </c>
      <c r="D1274" s="74">
        <f t="shared" si="578"/>
        <v>10</v>
      </c>
      <c r="E1274" s="75">
        <f t="shared" si="579"/>
        <v>32</v>
      </c>
      <c r="F1274" s="79"/>
      <c r="G1274" s="82"/>
      <c r="H1274" s="68" t="str">
        <f t="shared" si="596"/>
        <v>Hyprev7_20211115_10_00</v>
      </c>
      <c r="I1274" s="69">
        <f t="shared" si="600"/>
        <v>1</v>
      </c>
      <c r="J1274" s="76" t="str">
        <f t="shared" si="600"/>
        <v>Hypericum</v>
      </c>
      <c r="K1274" s="76" t="str">
        <f t="shared" si="600"/>
        <v>revolutum</v>
      </c>
      <c r="L1274" s="77">
        <f t="shared" si="600"/>
        <v>7</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2021</v>
      </c>
      <c r="B1275" s="72" t="str">
        <f t="shared" si="577"/>
        <v>Nov</v>
      </c>
      <c r="C1275" s="73">
        <f t="shared" si="595"/>
        <v>15</v>
      </c>
      <c r="D1275" s="74">
        <f t="shared" si="578"/>
        <v>10</v>
      </c>
      <c r="E1275" s="75">
        <f t="shared" si="579"/>
        <v>33</v>
      </c>
      <c r="F1275" s="79"/>
      <c r="G1275" s="82"/>
      <c r="H1275" s="68" t="str">
        <f t="shared" si="596"/>
        <v>Hyprev7_20211115_10_00</v>
      </c>
      <c r="I1275" s="69">
        <f t="shared" si="600"/>
        <v>1</v>
      </c>
      <c r="J1275" s="76" t="str">
        <f t="shared" si="600"/>
        <v>Hypericum</v>
      </c>
      <c r="K1275" s="76" t="str">
        <f t="shared" si="600"/>
        <v>revolutum</v>
      </c>
      <c r="L1275" s="77">
        <f t="shared" si="600"/>
        <v>7</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2021</v>
      </c>
      <c r="B1276" s="72" t="str">
        <f t="shared" si="577"/>
        <v>Nov</v>
      </c>
      <c r="C1276" s="73">
        <f t="shared" si="595"/>
        <v>15</v>
      </c>
      <c r="D1276" s="74">
        <f t="shared" si="578"/>
        <v>10</v>
      </c>
      <c r="E1276" s="75">
        <f t="shared" si="579"/>
        <v>34</v>
      </c>
      <c r="F1276" s="79"/>
      <c r="G1276" s="82"/>
      <c r="H1276" s="68" t="str">
        <f t="shared" si="596"/>
        <v>Hyprev7_20211115_10_00</v>
      </c>
      <c r="I1276" s="69">
        <f t="shared" si="600"/>
        <v>1</v>
      </c>
      <c r="J1276" s="76" t="str">
        <f t="shared" si="600"/>
        <v>Hypericum</v>
      </c>
      <c r="K1276" s="76" t="str">
        <f t="shared" si="600"/>
        <v>revolutum</v>
      </c>
      <c r="L1276" s="77">
        <f t="shared" si="600"/>
        <v>7</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2021</v>
      </c>
      <c r="B1277" s="72" t="str">
        <f t="shared" si="577"/>
        <v>Nov</v>
      </c>
      <c r="C1277" s="73">
        <f t="shared" si="595"/>
        <v>15</v>
      </c>
      <c r="D1277" s="74">
        <f t="shared" si="578"/>
        <v>10</v>
      </c>
      <c r="E1277" s="75">
        <f t="shared" si="579"/>
        <v>35</v>
      </c>
      <c r="F1277" s="79"/>
      <c r="G1277" s="82"/>
      <c r="H1277" s="68" t="str">
        <f t="shared" si="596"/>
        <v>Hyprev7_20211115_10_00</v>
      </c>
      <c r="I1277" s="69">
        <f t="shared" si="600"/>
        <v>1</v>
      </c>
      <c r="J1277" s="76" t="str">
        <f t="shared" si="600"/>
        <v>Hypericum</v>
      </c>
      <c r="K1277" s="76" t="str">
        <f t="shared" si="600"/>
        <v>revolutum</v>
      </c>
      <c r="L1277" s="77">
        <f t="shared" si="600"/>
        <v>7</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2021</v>
      </c>
      <c r="B1278" s="72" t="str">
        <f t="shared" si="577"/>
        <v>Nov</v>
      </c>
      <c r="C1278" s="73">
        <f t="shared" si="595"/>
        <v>15</v>
      </c>
      <c r="D1278" s="74">
        <f t="shared" si="578"/>
        <v>10</v>
      </c>
      <c r="E1278" s="75">
        <f t="shared" si="579"/>
        <v>36</v>
      </c>
      <c r="F1278" s="79"/>
      <c r="G1278" s="82"/>
      <c r="H1278" s="68" t="str">
        <f t="shared" si="596"/>
        <v>Hyprev7_20211115_10_00</v>
      </c>
      <c r="I1278" s="69">
        <f t="shared" si="600"/>
        <v>1</v>
      </c>
      <c r="J1278" s="76" t="str">
        <f t="shared" si="600"/>
        <v>Hypericum</v>
      </c>
      <c r="K1278" s="76" t="str">
        <f t="shared" si="600"/>
        <v>revolutum</v>
      </c>
      <c r="L1278" s="77">
        <f t="shared" si="600"/>
        <v>7</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2021</v>
      </c>
      <c r="B1279" s="72" t="str">
        <f t="shared" si="577"/>
        <v>Nov</v>
      </c>
      <c r="C1279" s="73">
        <f t="shared" si="595"/>
        <v>15</v>
      </c>
      <c r="D1279" s="74">
        <f t="shared" si="578"/>
        <v>10</v>
      </c>
      <c r="E1279" s="75">
        <f t="shared" si="579"/>
        <v>37</v>
      </c>
      <c r="F1279" s="79"/>
      <c r="G1279" s="82"/>
      <c r="H1279" s="68" t="str">
        <f t="shared" si="596"/>
        <v>Hyprev7_20211115_10_00</v>
      </c>
      <c r="I1279" s="69">
        <f t="shared" si="600"/>
        <v>1</v>
      </c>
      <c r="J1279" s="76" t="str">
        <f t="shared" si="600"/>
        <v>Hypericum</v>
      </c>
      <c r="K1279" s="76" t="str">
        <f t="shared" si="600"/>
        <v>revolutum</v>
      </c>
      <c r="L1279" s="77">
        <f t="shared" si="600"/>
        <v>7</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2021</v>
      </c>
      <c r="B1280" s="72" t="str">
        <f t="shared" si="577"/>
        <v>Nov</v>
      </c>
      <c r="C1280" s="73">
        <f t="shared" si="595"/>
        <v>15</v>
      </c>
      <c r="D1280" s="74">
        <f t="shared" si="578"/>
        <v>10</v>
      </c>
      <c r="E1280" s="75">
        <f t="shared" si="579"/>
        <v>38</v>
      </c>
      <c r="F1280" s="79"/>
      <c r="G1280" s="82"/>
      <c r="H1280" s="68" t="str">
        <f t="shared" si="596"/>
        <v>Hyprev7_20211115_10_00</v>
      </c>
      <c r="I1280" s="69">
        <f t="shared" si="600"/>
        <v>1</v>
      </c>
      <c r="J1280" s="76" t="str">
        <f t="shared" si="600"/>
        <v>Hypericum</v>
      </c>
      <c r="K1280" s="76" t="str">
        <f t="shared" si="600"/>
        <v>revolutum</v>
      </c>
      <c r="L1280" s="77">
        <f t="shared" si="600"/>
        <v>7</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2021</v>
      </c>
      <c r="B1281" s="72" t="str">
        <f t="shared" si="577"/>
        <v>Nov</v>
      </c>
      <c r="C1281" s="73">
        <f t="shared" si="595"/>
        <v>15</v>
      </c>
      <c r="D1281" s="74">
        <f t="shared" si="578"/>
        <v>10</v>
      </c>
      <c r="E1281" s="75">
        <f t="shared" si="579"/>
        <v>39</v>
      </c>
      <c r="F1281" s="79"/>
      <c r="G1281" s="82"/>
      <c r="H1281" s="68" t="str">
        <f t="shared" si="596"/>
        <v>Hyprev7_20211115_10_00</v>
      </c>
      <c r="I1281" s="69">
        <f t="shared" si="600"/>
        <v>1</v>
      </c>
      <c r="J1281" s="76" t="str">
        <f t="shared" si="600"/>
        <v>Hypericum</v>
      </c>
      <c r="K1281" s="76" t="str">
        <f t="shared" si="600"/>
        <v>revolutum</v>
      </c>
      <c r="L1281" s="77">
        <f t="shared" si="600"/>
        <v>7</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2021</v>
      </c>
      <c r="B1282" s="72" t="str">
        <f t="shared" si="577"/>
        <v>Nov</v>
      </c>
      <c r="C1282" s="73">
        <f t="shared" si="595"/>
        <v>15</v>
      </c>
      <c r="D1282" s="74">
        <f t="shared" si="578"/>
        <v>10</v>
      </c>
      <c r="E1282" s="75">
        <f t="shared" si="579"/>
        <v>40</v>
      </c>
      <c r="F1282" s="79"/>
      <c r="G1282" s="82"/>
      <c r="H1282" s="68" t="str">
        <f t="shared" si="596"/>
        <v>Hyprev7_20211115_10_00</v>
      </c>
      <c r="I1282" s="69">
        <f t="shared" si="600"/>
        <v>1</v>
      </c>
      <c r="J1282" s="76" t="str">
        <f t="shared" si="600"/>
        <v>Hypericum</v>
      </c>
      <c r="K1282" s="76" t="str">
        <f t="shared" si="600"/>
        <v>revolutum</v>
      </c>
      <c r="L1282" s="77">
        <f t="shared" si="600"/>
        <v>7</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2021</v>
      </c>
      <c r="B1283" s="72" t="str">
        <f t="shared" si="577"/>
        <v>Nov</v>
      </c>
      <c r="C1283" s="73">
        <f t="shared" si="595"/>
        <v>15</v>
      </c>
      <c r="D1283" s="74">
        <f t="shared" si="578"/>
        <v>10</v>
      </c>
      <c r="E1283" s="75">
        <f t="shared" si="579"/>
        <v>41</v>
      </c>
      <c r="F1283" s="79"/>
      <c r="G1283" s="82"/>
      <c r="H1283" s="68" t="str">
        <f t="shared" si="596"/>
        <v>Hyprev7_20211115_10_00</v>
      </c>
      <c r="I1283" s="69">
        <f t="shared" si="600"/>
        <v>1</v>
      </c>
      <c r="J1283" s="76" t="str">
        <f t="shared" si="600"/>
        <v>Hypericum</v>
      </c>
      <c r="K1283" s="76" t="str">
        <f t="shared" si="600"/>
        <v>revolutum</v>
      </c>
      <c r="L1283" s="77">
        <f t="shared" si="600"/>
        <v>7</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2021</v>
      </c>
      <c r="B1284" s="72" t="str">
        <f t="shared" ref="B1284:B1347" si="607">IF(C1283-C1284&gt;0, TEXT(DATE(2016,(MONTH(DATEVALUE(B1283&amp;"1"))+1),1),"mmm"), B1283)</f>
        <v>Nov</v>
      </c>
      <c r="C1284" s="73">
        <f t="shared" si="595"/>
        <v>15</v>
      </c>
      <c r="D1284" s="74">
        <f t="shared" ref="D1284:D1347" si="608">IF(IF(E1283=59,D1283+1,D1283)=24,0,IF(E1283=59,D1283+1,D1283))</f>
        <v>10</v>
      </c>
      <c r="E1284" s="75">
        <f t="shared" ref="E1284:E1347" si="609">IF(E1283&lt;59,E1283+1,0)</f>
        <v>42</v>
      </c>
      <c r="F1284" s="79"/>
      <c r="G1284" s="82"/>
      <c r="H1284" s="68" t="str">
        <f t="shared" si="596"/>
        <v>Hyprev7_20211115_10_00</v>
      </c>
      <c r="I1284" s="69">
        <f t="shared" si="600"/>
        <v>1</v>
      </c>
      <c r="J1284" s="76" t="str">
        <f t="shared" si="600"/>
        <v>Hypericum</v>
      </c>
      <c r="K1284" s="76" t="str">
        <f t="shared" si="600"/>
        <v>revolutum</v>
      </c>
      <c r="L1284" s="77">
        <f t="shared" si="600"/>
        <v>7</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2021</v>
      </c>
      <c r="B1285" s="72" t="str">
        <f t="shared" si="607"/>
        <v>Nov</v>
      </c>
      <c r="C1285" s="73">
        <f t="shared" ref="C1285:C1348" si="625">IF(AND(D1285=0, E1285=0), IF(TEXT(C1284,"dd")=TEXT(EOMONTH(DATE(A1284,MONTH(DATEVALUE(B1284&amp;"1")),C1284),0), "dd"), 1, C1284+1), C1284)</f>
        <v>15</v>
      </c>
      <c r="D1285" s="74">
        <f t="shared" si="608"/>
        <v>10</v>
      </c>
      <c r="E1285" s="75">
        <f t="shared" si="609"/>
        <v>43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Hyprev7_20211115_10_00</v>
      </c>
      <c r="I1285" s="69">
        <f t="shared" ref="I1285:N1300" si="627">I1284</f>
        <v>1</v>
      </c>
      <c r="J1285" s="76" t="str">
        <f t="shared" si="627"/>
        <v>Hypericum</v>
      </c>
      <c r="K1285" s="76" t="str">
        <f t="shared" si="627"/>
        <v>revolutum</v>
      </c>
      <c r="L1285" s="77">
        <f t="shared" si="627"/>
        <v>7</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2021</v>
      </c>
      <c r="B1286" s="72" t="str">
        <f t="shared" si="607"/>
        <v>Nov</v>
      </c>
      <c r="C1286" s="73">
        <f t="shared" si="625"/>
        <v>15</v>
      </c>
      <c r="D1286" s="74">
        <f t="shared" si="608"/>
        <v>10</v>
      </c>
      <c r="E1286" s="75">
        <f t="shared" si="609"/>
        <v>44</v>
      </c>
      <c r="F1286" s="79"/>
      <c r="G1286" s="82"/>
      <c r="H1286" s="68" t="str">
        <f t="shared" si="626"/>
        <v>Hyprev7_20211115_10_00</v>
      </c>
      <c r="I1286" s="69">
        <f t="shared" si="627"/>
        <v>1</v>
      </c>
      <c r="J1286" s="76" t="str">
        <f t="shared" si="627"/>
        <v>Hypericum</v>
      </c>
      <c r="K1286" s="76" t="str">
        <f t="shared" si="627"/>
        <v>revolutum</v>
      </c>
      <c r="L1286" s="77">
        <f t="shared" si="627"/>
        <v>7</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2021</v>
      </c>
      <c r="B1287" s="72" t="str">
        <f t="shared" si="607"/>
        <v>Nov</v>
      </c>
      <c r="C1287" s="73">
        <f t="shared" si="625"/>
        <v>15</v>
      </c>
      <c r="D1287" s="74">
        <f t="shared" si="608"/>
        <v>10</v>
      </c>
      <c r="E1287" s="75">
        <f t="shared" si="609"/>
        <v>45</v>
      </c>
      <c r="F1287" s="79"/>
      <c r="G1287" s="82"/>
      <c r="H1287" s="68" t="str">
        <f t="shared" si="626"/>
        <v>Hyprev7_20211115_10_00</v>
      </c>
      <c r="I1287" s="69">
        <f t="shared" si="627"/>
        <v>1</v>
      </c>
      <c r="J1287" s="76" t="str">
        <f t="shared" si="627"/>
        <v>Hypericum</v>
      </c>
      <c r="K1287" s="76" t="str">
        <f t="shared" si="627"/>
        <v>revolutum</v>
      </c>
      <c r="L1287" s="77">
        <f t="shared" si="627"/>
        <v>7</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2021</v>
      </c>
      <c r="B1288" s="72" t="str">
        <f t="shared" si="607"/>
        <v>Nov</v>
      </c>
      <c r="C1288" s="73">
        <f t="shared" si="625"/>
        <v>15</v>
      </c>
      <c r="D1288" s="74">
        <f t="shared" si="608"/>
        <v>10</v>
      </c>
      <c r="E1288" s="75">
        <f t="shared" si="609"/>
        <v>46</v>
      </c>
      <c r="F1288" s="79"/>
      <c r="G1288" s="82"/>
      <c r="H1288" s="68" t="str">
        <f t="shared" si="626"/>
        <v>Hyprev7_20211115_10_00</v>
      </c>
      <c r="I1288" s="69">
        <f t="shared" si="627"/>
        <v>1</v>
      </c>
      <c r="J1288" s="76" t="str">
        <f t="shared" si="627"/>
        <v>Hypericum</v>
      </c>
      <c r="K1288" s="76" t="str">
        <f t="shared" si="627"/>
        <v>revolutum</v>
      </c>
      <c r="L1288" s="77">
        <f t="shared" si="627"/>
        <v>7</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2021</v>
      </c>
      <c r="B1289" s="72" t="str">
        <f t="shared" si="607"/>
        <v>Nov</v>
      </c>
      <c r="C1289" s="73">
        <f t="shared" si="625"/>
        <v>15</v>
      </c>
      <c r="D1289" s="74">
        <f t="shared" si="608"/>
        <v>10</v>
      </c>
      <c r="E1289" s="75">
        <f t="shared" si="609"/>
        <v>47</v>
      </c>
      <c r="F1289" s="79"/>
      <c r="G1289" s="82"/>
      <c r="H1289" s="68" t="str">
        <f t="shared" si="626"/>
        <v>Hyprev7_20211115_10_00</v>
      </c>
      <c r="I1289" s="69">
        <f t="shared" si="627"/>
        <v>1</v>
      </c>
      <c r="J1289" s="76" t="str">
        <f t="shared" si="627"/>
        <v>Hypericum</v>
      </c>
      <c r="K1289" s="76" t="str">
        <f t="shared" si="627"/>
        <v>revolutum</v>
      </c>
      <c r="L1289" s="77">
        <f t="shared" si="627"/>
        <v>7</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2021</v>
      </c>
      <c r="B1290" s="72" t="str">
        <f t="shared" si="607"/>
        <v>Nov</v>
      </c>
      <c r="C1290" s="73">
        <f t="shared" si="625"/>
        <v>15</v>
      </c>
      <c r="D1290" s="74">
        <f t="shared" si="608"/>
        <v>10</v>
      </c>
      <c r="E1290" s="75">
        <f t="shared" si="609"/>
        <v>48</v>
      </c>
      <c r="F1290" s="79"/>
      <c r="G1290" s="82"/>
      <c r="H1290" s="68" t="str">
        <f t="shared" si="626"/>
        <v>Hyprev7_20211115_10_00</v>
      </c>
      <c r="I1290" s="69">
        <f t="shared" si="627"/>
        <v>1</v>
      </c>
      <c r="J1290" s="76" t="str">
        <f t="shared" si="627"/>
        <v>Hypericum</v>
      </c>
      <c r="K1290" s="76" t="str">
        <f t="shared" si="627"/>
        <v>revolutum</v>
      </c>
      <c r="L1290" s="77">
        <f t="shared" si="627"/>
        <v>7</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2021</v>
      </c>
      <c r="B1291" s="72" t="str">
        <f t="shared" si="607"/>
        <v>Nov</v>
      </c>
      <c r="C1291" s="73">
        <f t="shared" si="625"/>
        <v>15</v>
      </c>
      <c r="D1291" s="74">
        <f t="shared" si="608"/>
        <v>10</v>
      </c>
      <c r="E1291" s="75">
        <f t="shared" si="609"/>
        <v>49</v>
      </c>
      <c r="F1291" s="79"/>
      <c r="G1291" s="82"/>
      <c r="H1291" s="68" t="str">
        <f t="shared" si="626"/>
        <v>Hyprev7_20211115_10_00</v>
      </c>
      <c r="I1291" s="69">
        <f t="shared" si="627"/>
        <v>1</v>
      </c>
      <c r="J1291" s="76" t="str">
        <f t="shared" si="627"/>
        <v>Hypericum</v>
      </c>
      <c r="K1291" s="76" t="str">
        <f t="shared" si="627"/>
        <v>revolutum</v>
      </c>
      <c r="L1291" s="77">
        <f t="shared" si="627"/>
        <v>7</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2021</v>
      </c>
      <c r="B1292" s="72" t="str">
        <f t="shared" si="607"/>
        <v>Nov</v>
      </c>
      <c r="C1292" s="73">
        <f t="shared" si="625"/>
        <v>15</v>
      </c>
      <c r="D1292" s="74">
        <f t="shared" si="608"/>
        <v>10</v>
      </c>
      <c r="E1292" s="75">
        <f t="shared" si="609"/>
        <v>50</v>
      </c>
      <c r="F1292" s="79">
        <v>15</v>
      </c>
      <c r="G1292" s="82"/>
      <c r="H1292" s="68" t="str">
        <f t="shared" si="626"/>
        <v>Hyprev7_20211115_10_00</v>
      </c>
      <c r="I1292" s="69">
        <f t="shared" si="627"/>
        <v>1</v>
      </c>
      <c r="J1292" s="76" t="str">
        <f t="shared" si="627"/>
        <v>Hypericum</v>
      </c>
      <c r="K1292" s="76" t="str">
        <f t="shared" si="627"/>
        <v>revolutum</v>
      </c>
      <c r="L1292" s="77">
        <f t="shared" si="627"/>
        <v>7</v>
      </c>
      <c r="M1292" s="77">
        <f t="shared" si="627"/>
        <v>2</v>
      </c>
      <c r="N1292" s="71">
        <f t="shared" si="627"/>
        <v>0</v>
      </c>
      <c r="O1292" s="44"/>
      <c r="P1292" s="45">
        <f t="shared" si="610"/>
        <v>1</v>
      </c>
      <c r="Q1292" s="46" t="str">
        <f t="shared" si="611"/>
        <v>10:50:15</v>
      </c>
      <c r="R1292" s="47" t="str">
        <f t="shared" si="612"/>
        <v>50:15</v>
      </c>
      <c r="S1292" s="48">
        <f t="shared" si="601"/>
        <v>70</v>
      </c>
      <c r="T1292" s="47" t="str">
        <f t="shared" si="613"/>
        <v>10</v>
      </c>
      <c r="U1292" s="49">
        <v>51</v>
      </c>
      <c r="V1292" s="50">
        <v>25</v>
      </c>
      <c r="W1292" s="51" t="str">
        <f t="shared" si="614"/>
        <v>51:25</v>
      </c>
      <c r="X1292" s="52" t="s">
        <v>61</v>
      </c>
      <c r="Y1292" s="124" t="s">
        <v>239</v>
      </c>
      <c r="Z1292" s="124"/>
      <c r="AA1292" s="47" t="s">
        <v>254</v>
      </c>
      <c r="AB1292" s="47" t="str">
        <f t="shared" si="615"/>
        <v>NA</v>
      </c>
      <c r="AC1292" s="53" t="str">
        <f t="shared" si="616"/>
        <v/>
      </c>
      <c r="AD1292" s="54">
        <v>2</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t="s">
        <v>203</v>
      </c>
      <c r="AT1292" s="58"/>
      <c r="AU1292" s="58"/>
      <c r="AV1292" s="59"/>
      <c r="AW1292" s="60">
        <f t="shared" si="602"/>
        <v>0</v>
      </c>
      <c r="AX1292" s="61" t="str">
        <f t="shared" si="603"/>
        <v/>
      </c>
      <c r="AY1292" s="60">
        <f t="shared" si="604"/>
        <v>0</v>
      </c>
      <c r="AZ1292" s="61" t="str">
        <f t="shared" si="605"/>
        <v/>
      </c>
    </row>
    <row r="1293" spans="1:52" s="3" customFormat="1" hidden="1" x14ac:dyDescent="0.35">
      <c r="A1293" s="72">
        <f t="shared" si="606"/>
        <v>2021</v>
      </c>
      <c r="B1293" s="72" t="str">
        <f t="shared" si="607"/>
        <v>Nov</v>
      </c>
      <c r="C1293" s="73">
        <f t="shared" si="625"/>
        <v>15</v>
      </c>
      <c r="D1293" s="74">
        <f t="shared" si="608"/>
        <v>10</v>
      </c>
      <c r="E1293" s="75">
        <f t="shared" si="609"/>
        <v>51</v>
      </c>
      <c r="F1293" s="79"/>
      <c r="G1293" s="82"/>
      <c r="H1293" s="68" t="str">
        <f t="shared" si="626"/>
        <v>Hyprev7_20211115_10_00</v>
      </c>
      <c r="I1293" s="69">
        <f t="shared" si="627"/>
        <v>1</v>
      </c>
      <c r="J1293" s="76" t="str">
        <f t="shared" si="627"/>
        <v>Hypericum</v>
      </c>
      <c r="K1293" s="76" t="str">
        <f t="shared" si="627"/>
        <v>revolutum</v>
      </c>
      <c r="L1293" s="77">
        <f t="shared" si="627"/>
        <v>7</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2021</v>
      </c>
      <c r="B1294" s="72" t="str">
        <f t="shared" si="607"/>
        <v>Nov</v>
      </c>
      <c r="C1294" s="73">
        <f t="shared" si="625"/>
        <v>15</v>
      </c>
      <c r="D1294" s="74">
        <f t="shared" si="608"/>
        <v>10</v>
      </c>
      <c r="E1294" s="75">
        <f t="shared" si="609"/>
        <v>52</v>
      </c>
      <c r="F1294" s="79"/>
      <c r="G1294" s="82"/>
      <c r="H1294" s="68" t="str">
        <f t="shared" si="626"/>
        <v>Hyprev7_20211115_10_00</v>
      </c>
      <c r="I1294" s="69">
        <f t="shared" si="627"/>
        <v>1</v>
      </c>
      <c r="J1294" s="76" t="str">
        <f t="shared" si="627"/>
        <v>Hypericum</v>
      </c>
      <c r="K1294" s="76" t="str">
        <f t="shared" si="627"/>
        <v>revolutum</v>
      </c>
      <c r="L1294" s="77">
        <f t="shared" si="627"/>
        <v>7</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2021</v>
      </c>
      <c r="B1295" s="72" t="str">
        <f t="shared" si="607"/>
        <v>Nov</v>
      </c>
      <c r="C1295" s="73">
        <f t="shared" si="625"/>
        <v>15</v>
      </c>
      <c r="D1295" s="74">
        <f t="shared" si="608"/>
        <v>10</v>
      </c>
      <c r="E1295" s="75">
        <f t="shared" si="609"/>
        <v>53</v>
      </c>
      <c r="F1295" s="79"/>
      <c r="G1295" s="82"/>
      <c r="H1295" s="68" t="str">
        <f t="shared" si="626"/>
        <v>Hyprev7_20211115_10_00</v>
      </c>
      <c r="I1295" s="69">
        <f t="shared" si="627"/>
        <v>1</v>
      </c>
      <c r="J1295" s="76" t="str">
        <f t="shared" si="627"/>
        <v>Hypericum</v>
      </c>
      <c r="K1295" s="76" t="str">
        <f t="shared" si="627"/>
        <v>revolutum</v>
      </c>
      <c r="L1295" s="77">
        <f t="shared" si="627"/>
        <v>7</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2021</v>
      </c>
      <c r="B1296" s="72" t="str">
        <f t="shared" si="607"/>
        <v>Nov</v>
      </c>
      <c r="C1296" s="73">
        <f t="shared" si="625"/>
        <v>15</v>
      </c>
      <c r="D1296" s="74">
        <f t="shared" si="608"/>
        <v>10</v>
      </c>
      <c r="E1296" s="75">
        <f t="shared" si="609"/>
        <v>54</v>
      </c>
      <c r="F1296" s="79"/>
      <c r="G1296" s="82"/>
      <c r="H1296" s="68" t="str">
        <f t="shared" si="626"/>
        <v>Hyprev7_20211115_10_00</v>
      </c>
      <c r="I1296" s="69">
        <f t="shared" si="627"/>
        <v>1</v>
      </c>
      <c r="J1296" s="76" t="str">
        <f t="shared" si="627"/>
        <v>Hypericum</v>
      </c>
      <c r="K1296" s="76" t="str">
        <f t="shared" si="627"/>
        <v>revolutum</v>
      </c>
      <c r="L1296" s="77">
        <f t="shared" si="627"/>
        <v>7</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2021</v>
      </c>
      <c r="B1297" s="72" t="str">
        <f t="shared" si="607"/>
        <v>Nov</v>
      </c>
      <c r="C1297" s="73">
        <f t="shared" si="625"/>
        <v>15</v>
      </c>
      <c r="D1297" s="74">
        <f t="shared" si="608"/>
        <v>10</v>
      </c>
      <c r="E1297" s="75">
        <f t="shared" si="609"/>
        <v>55</v>
      </c>
      <c r="F1297" s="79"/>
      <c r="G1297" s="82"/>
      <c r="H1297" s="68" t="str">
        <f t="shared" si="626"/>
        <v>Hyprev7_20211115_10_00</v>
      </c>
      <c r="I1297" s="69">
        <f t="shared" si="627"/>
        <v>1</v>
      </c>
      <c r="J1297" s="76" t="str">
        <f t="shared" si="627"/>
        <v>Hypericum</v>
      </c>
      <c r="K1297" s="76" t="str">
        <f t="shared" si="627"/>
        <v>revolutum</v>
      </c>
      <c r="L1297" s="77">
        <f t="shared" si="627"/>
        <v>7</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2021</v>
      </c>
      <c r="B1298" s="72" t="str">
        <f t="shared" si="607"/>
        <v>Nov</v>
      </c>
      <c r="C1298" s="73">
        <f t="shared" si="625"/>
        <v>15</v>
      </c>
      <c r="D1298" s="74">
        <f t="shared" si="608"/>
        <v>10</v>
      </c>
      <c r="E1298" s="75">
        <f t="shared" si="609"/>
        <v>56</v>
      </c>
      <c r="F1298" s="79"/>
      <c r="G1298" s="82"/>
      <c r="H1298" s="68" t="str">
        <f t="shared" si="626"/>
        <v>Hyprev7_20211115_10_00</v>
      </c>
      <c r="I1298" s="69">
        <f t="shared" si="627"/>
        <v>1</v>
      </c>
      <c r="J1298" s="76" t="str">
        <f t="shared" si="627"/>
        <v>Hypericum</v>
      </c>
      <c r="K1298" s="76" t="str">
        <f t="shared" si="627"/>
        <v>revolutum</v>
      </c>
      <c r="L1298" s="77">
        <f t="shared" si="627"/>
        <v>7</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2021</v>
      </c>
      <c r="B1299" s="72" t="str">
        <f t="shared" si="607"/>
        <v>Nov</v>
      </c>
      <c r="C1299" s="73">
        <f t="shared" si="625"/>
        <v>15</v>
      </c>
      <c r="D1299" s="74">
        <f t="shared" si="608"/>
        <v>10</v>
      </c>
      <c r="E1299" s="75">
        <f t="shared" si="609"/>
        <v>57</v>
      </c>
      <c r="F1299" s="79"/>
      <c r="G1299" s="82"/>
      <c r="H1299" s="68" t="str">
        <f t="shared" si="626"/>
        <v>Hyprev7_20211115_10_00</v>
      </c>
      <c r="I1299" s="69">
        <f t="shared" si="627"/>
        <v>1</v>
      </c>
      <c r="J1299" s="76" t="str">
        <f t="shared" si="627"/>
        <v>Hypericum</v>
      </c>
      <c r="K1299" s="76" t="str">
        <f t="shared" si="627"/>
        <v>revolutum</v>
      </c>
      <c r="L1299" s="77">
        <f t="shared" si="627"/>
        <v>7</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2021</v>
      </c>
      <c r="B1300" s="72" t="str">
        <f t="shared" si="607"/>
        <v>Nov</v>
      </c>
      <c r="C1300" s="73">
        <f t="shared" si="625"/>
        <v>15</v>
      </c>
      <c r="D1300" s="74">
        <f t="shared" si="608"/>
        <v>10</v>
      </c>
      <c r="E1300" s="75">
        <f t="shared" si="609"/>
        <v>58</v>
      </c>
      <c r="F1300" s="79">
        <v>43</v>
      </c>
      <c r="G1300" s="82"/>
      <c r="H1300" s="68" t="str">
        <f t="shared" si="626"/>
        <v>Hyprev7_20211115_10_00</v>
      </c>
      <c r="I1300" s="69">
        <f t="shared" si="627"/>
        <v>1</v>
      </c>
      <c r="J1300" s="76" t="str">
        <f t="shared" si="627"/>
        <v>Hypericum</v>
      </c>
      <c r="K1300" s="76" t="str">
        <f t="shared" si="627"/>
        <v>revolutum</v>
      </c>
      <c r="L1300" s="77">
        <f t="shared" si="627"/>
        <v>7</v>
      </c>
      <c r="M1300" s="77">
        <f t="shared" si="627"/>
        <v>2</v>
      </c>
      <c r="N1300" s="71">
        <f t="shared" si="627"/>
        <v>0</v>
      </c>
      <c r="O1300" s="44"/>
      <c r="P1300" s="45">
        <f t="shared" si="610"/>
        <v>1</v>
      </c>
      <c r="Q1300" s="46" t="str">
        <f t="shared" si="611"/>
        <v>10:58:43</v>
      </c>
      <c r="R1300" s="47" t="str">
        <f t="shared" si="612"/>
        <v>58:43</v>
      </c>
      <c r="S1300" s="48">
        <f t="shared" si="601"/>
        <v>607</v>
      </c>
      <c r="T1300" s="47">
        <v>11</v>
      </c>
      <c r="U1300" s="49">
        <v>8</v>
      </c>
      <c r="V1300" s="50">
        <v>50</v>
      </c>
      <c r="W1300" s="51" t="str">
        <f t="shared" si="614"/>
        <v>08:50</v>
      </c>
      <c r="X1300" s="52" t="s">
        <v>159</v>
      </c>
      <c r="Y1300" s="124" t="s">
        <v>242</v>
      </c>
      <c r="Z1300" s="124"/>
      <c r="AA1300" s="47" t="s">
        <v>264</v>
      </c>
      <c r="AB1300" s="47" t="str">
        <f t="shared" si="615"/>
        <v>NA</v>
      </c>
      <c r="AC1300" s="53" t="str">
        <f t="shared" si="616"/>
        <v/>
      </c>
      <c r="AD1300" s="54">
        <f t="shared" si="617"/>
        <v>1</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t="s">
        <v>204</v>
      </c>
      <c r="AT1300" s="58"/>
      <c r="AU1300" s="58"/>
      <c r="AV1300" s="59"/>
      <c r="AW1300" s="60">
        <f t="shared" si="602"/>
        <v>0</v>
      </c>
      <c r="AX1300" s="61" t="str">
        <f t="shared" si="603"/>
        <v/>
      </c>
      <c r="AY1300" s="60">
        <f t="shared" si="604"/>
        <v>0</v>
      </c>
      <c r="AZ1300" s="61" t="str">
        <f t="shared" si="605"/>
        <v/>
      </c>
    </row>
    <row r="1301" spans="1:52" s="3" customFormat="1" hidden="1" x14ac:dyDescent="0.35">
      <c r="A1301" s="72">
        <f t="shared" si="606"/>
        <v>2021</v>
      </c>
      <c r="B1301" s="72" t="str">
        <f t="shared" si="607"/>
        <v>Nov</v>
      </c>
      <c r="C1301" s="73">
        <f t="shared" si="625"/>
        <v>15</v>
      </c>
      <c r="D1301" s="74">
        <f t="shared" si="608"/>
        <v>10</v>
      </c>
      <c r="E1301" s="75">
        <f t="shared" si="609"/>
        <v>59</v>
      </c>
      <c r="F1301" s="79">
        <v>12</v>
      </c>
      <c r="G1301" s="82"/>
      <c r="H1301" s="68" t="str">
        <f t="shared" si="626"/>
        <v>Hyprev7_20211115_10_00</v>
      </c>
      <c r="I1301" s="69">
        <f t="shared" ref="I1301:N1316" si="628">I1300</f>
        <v>1</v>
      </c>
      <c r="J1301" s="76" t="str">
        <f t="shared" si="628"/>
        <v>Hypericum</v>
      </c>
      <c r="K1301" s="76" t="str">
        <f t="shared" si="628"/>
        <v>revolutum</v>
      </c>
      <c r="L1301" s="77">
        <f t="shared" si="628"/>
        <v>7</v>
      </c>
      <c r="M1301" s="77">
        <f t="shared" si="628"/>
        <v>2</v>
      </c>
      <c r="N1301" s="71">
        <f t="shared" si="628"/>
        <v>0</v>
      </c>
      <c r="O1301" s="44"/>
      <c r="P1301" s="45">
        <f t="shared" si="610"/>
        <v>1</v>
      </c>
      <c r="Q1301" s="46" t="str">
        <f t="shared" si="611"/>
        <v>10:59:12</v>
      </c>
      <c r="R1301" s="47" t="str">
        <f t="shared" si="612"/>
        <v>59:12</v>
      </c>
      <c r="S1301" s="48">
        <f t="shared" si="601"/>
        <v>1</v>
      </c>
      <c r="T1301" s="47" t="str">
        <f t="shared" si="613"/>
        <v>10</v>
      </c>
      <c r="U1301" s="49">
        <v>59</v>
      </c>
      <c r="V1301" s="50">
        <v>13</v>
      </c>
      <c r="W1301" s="51" t="str">
        <f t="shared" si="614"/>
        <v>59:13</v>
      </c>
      <c r="X1301" s="52" t="s">
        <v>59</v>
      </c>
      <c r="Y1301" s="124" t="s">
        <v>236</v>
      </c>
      <c r="Z1301" s="124"/>
      <c r="AA1301" s="47" t="s">
        <v>254</v>
      </c>
      <c r="AB1301" s="47" t="str">
        <f t="shared" si="615"/>
        <v>NA</v>
      </c>
      <c r="AC1301" s="53" t="str">
        <f t="shared" si="616"/>
        <v/>
      </c>
      <c r="AD1301" s="54">
        <f t="shared" si="617"/>
        <v>1</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t="s">
        <v>205</v>
      </c>
      <c r="AT1301" s="58"/>
      <c r="AU1301" s="58"/>
      <c r="AV1301" s="59"/>
      <c r="AW1301" s="60">
        <f t="shared" si="602"/>
        <v>0</v>
      </c>
      <c r="AX1301" s="61" t="str">
        <f t="shared" si="603"/>
        <v/>
      </c>
      <c r="AY1301" s="60">
        <f t="shared" si="604"/>
        <v>0</v>
      </c>
      <c r="AZ1301" s="61" t="str">
        <f t="shared" si="605"/>
        <v/>
      </c>
    </row>
    <row r="1302" spans="1:52" s="3" customFormat="1" hidden="1" x14ac:dyDescent="0.35">
      <c r="A1302" s="72">
        <f t="shared" si="606"/>
        <v>2021</v>
      </c>
      <c r="B1302" s="72" t="str">
        <f t="shared" si="607"/>
        <v>Nov</v>
      </c>
      <c r="C1302" s="73">
        <f t="shared" si="625"/>
        <v>15</v>
      </c>
      <c r="D1302" s="74">
        <v>10</v>
      </c>
      <c r="E1302" s="75">
        <v>59</v>
      </c>
      <c r="F1302" s="79">
        <v>27</v>
      </c>
      <c r="G1302" s="82"/>
      <c r="H1302" s="68" t="str">
        <f t="shared" si="626"/>
        <v>Hyprev7_20211115_10_00</v>
      </c>
      <c r="I1302" s="69">
        <f t="shared" si="628"/>
        <v>1</v>
      </c>
      <c r="J1302" s="76" t="str">
        <f t="shared" si="628"/>
        <v>Hypericum</v>
      </c>
      <c r="K1302" s="76" t="str">
        <f t="shared" si="628"/>
        <v>revolutum</v>
      </c>
      <c r="L1302" s="77">
        <f t="shared" si="628"/>
        <v>7</v>
      </c>
      <c r="M1302" s="77">
        <f t="shared" si="628"/>
        <v>2</v>
      </c>
      <c r="N1302" s="71">
        <f t="shared" si="628"/>
        <v>0</v>
      </c>
      <c r="O1302" s="44"/>
      <c r="P1302" s="45">
        <f t="shared" si="610"/>
        <v>1</v>
      </c>
      <c r="Q1302" s="46" t="str">
        <f t="shared" si="611"/>
        <v>10:59:27</v>
      </c>
      <c r="R1302" s="47" t="str">
        <f t="shared" si="612"/>
        <v>59:27</v>
      </c>
      <c r="S1302" s="48">
        <f t="shared" si="601"/>
        <v>2</v>
      </c>
      <c r="T1302" s="47" t="str">
        <f t="shared" si="613"/>
        <v>10</v>
      </c>
      <c r="U1302" s="49">
        <v>59</v>
      </c>
      <c r="V1302" s="50">
        <v>29</v>
      </c>
      <c r="W1302" s="51" t="str">
        <f t="shared" si="614"/>
        <v>59:29</v>
      </c>
      <c r="X1302" s="52" t="s">
        <v>61</v>
      </c>
      <c r="Y1302" s="124" t="s">
        <v>250</v>
      </c>
      <c r="Z1302" s="124"/>
      <c r="AA1302" s="47" t="s">
        <v>254</v>
      </c>
      <c r="AB1302" s="47" t="str">
        <f t="shared" si="615"/>
        <v>NA</v>
      </c>
      <c r="AC1302" s="53" t="str">
        <f t="shared" si="616"/>
        <v/>
      </c>
      <c r="AD1302" s="54">
        <f t="shared" si="617"/>
        <v>1</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t="s">
        <v>125</v>
      </c>
      <c r="AT1302" s="58"/>
      <c r="AU1302" s="58"/>
      <c r="AV1302" s="59"/>
      <c r="AW1302" s="60">
        <f t="shared" si="602"/>
        <v>0</v>
      </c>
      <c r="AX1302" s="61" t="str">
        <f t="shared" si="603"/>
        <v/>
      </c>
      <c r="AY1302" s="60">
        <f t="shared" si="604"/>
        <v>0</v>
      </c>
      <c r="AZ1302" s="61" t="str">
        <f t="shared" si="605"/>
        <v/>
      </c>
    </row>
    <row r="1303" spans="1:52" s="3" customFormat="1" hidden="1" x14ac:dyDescent="0.35">
      <c r="A1303" s="72">
        <f t="shared" si="606"/>
        <v>2021</v>
      </c>
      <c r="B1303" s="72" t="str">
        <f t="shared" si="607"/>
        <v>Nov</v>
      </c>
      <c r="C1303" s="73">
        <f t="shared" si="625"/>
        <v>15</v>
      </c>
      <c r="D1303" s="74">
        <v>10</v>
      </c>
      <c r="E1303" s="75">
        <v>59</v>
      </c>
      <c r="F1303" s="79">
        <v>34</v>
      </c>
      <c r="G1303" s="82"/>
      <c r="H1303" s="68" t="str">
        <f t="shared" si="626"/>
        <v>Hyprev7_20211115_10_00</v>
      </c>
      <c r="I1303" s="69">
        <f t="shared" si="628"/>
        <v>1</v>
      </c>
      <c r="J1303" s="76" t="str">
        <f t="shared" si="628"/>
        <v>Hypericum</v>
      </c>
      <c r="K1303" s="76" t="str">
        <f t="shared" si="628"/>
        <v>revolutum</v>
      </c>
      <c r="L1303" s="77">
        <f t="shared" si="628"/>
        <v>7</v>
      </c>
      <c r="M1303" s="77">
        <f t="shared" si="628"/>
        <v>2</v>
      </c>
      <c r="N1303" s="71">
        <f t="shared" si="628"/>
        <v>0</v>
      </c>
      <c r="O1303" s="44"/>
      <c r="P1303" s="45">
        <f t="shared" si="610"/>
        <v>1</v>
      </c>
      <c r="Q1303" s="46" t="str">
        <f t="shared" si="611"/>
        <v>10:59:34</v>
      </c>
      <c r="R1303" s="47" t="str">
        <f t="shared" si="612"/>
        <v>59:34</v>
      </c>
      <c r="S1303" s="48">
        <f t="shared" si="601"/>
        <v>767</v>
      </c>
      <c r="T1303" s="47">
        <v>11</v>
      </c>
      <c r="U1303" s="49">
        <v>12</v>
      </c>
      <c r="V1303" s="50">
        <v>21</v>
      </c>
      <c r="W1303" s="51" t="str">
        <f t="shared" si="614"/>
        <v>12:21</v>
      </c>
      <c r="X1303" s="52" t="s">
        <v>59</v>
      </c>
      <c r="Y1303" s="124" t="s">
        <v>236</v>
      </c>
      <c r="Z1303" s="124"/>
      <c r="AA1303" s="47" t="s">
        <v>254</v>
      </c>
      <c r="AB1303" s="47" t="str">
        <f t="shared" si="615"/>
        <v>NA</v>
      </c>
      <c r="AC1303" s="53" t="str">
        <f t="shared" si="616"/>
        <v/>
      </c>
      <c r="AD1303" s="54">
        <f t="shared" si="617"/>
        <v>1</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t="s">
        <v>206</v>
      </c>
      <c r="AT1303" s="58"/>
      <c r="AU1303" s="58"/>
      <c r="AV1303" s="59"/>
      <c r="AW1303" s="60">
        <f t="shared" si="602"/>
        <v>0</v>
      </c>
      <c r="AX1303" s="61" t="str">
        <f t="shared" si="603"/>
        <v/>
      </c>
      <c r="AY1303" s="60">
        <f t="shared" si="604"/>
        <v>0</v>
      </c>
      <c r="AZ1303" s="61" t="str">
        <f t="shared" si="605"/>
        <v/>
      </c>
    </row>
    <row r="1304" spans="1:52" s="3" customFormat="1" hidden="1" x14ac:dyDescent="0.35">
      <c r="A1304" s="72">
        <f t="shared" si="606"/>
        <v>2021</v>
      </c>
      <c r="B1304" s="72" t="str">
        <f t="shared" si="607"/>
        <v>Nov</v>
      </c>
      <c r="C1304" s="73">
        <f t="shared" si="625"/>
        <v>15</v>
      </c>
      <c r="D1304" s="74">
        <f t="shared" si="608"/>
        <v>11</v>
      </c>
      <c r="E1304" s="75">
        <f t="shared" si="609"/>
        <v>0</v>
      </c>
      <c r="F1304" s="79"/>
      <c r="G1304" s="82"/>
      <c r="H1304" s="68" t="str">
        <f t="shared" si="626"/>
        <v>Hyprev7_20211115_11_00</v>
      </c>
      <c r="I1304" s="69">
        <f t="shared" si="628"/>
        <v>1</v>
      </c>
      <c r="J1304" s="76" t="str">
        <f t="shared" si="628"/>
        <v>Hypericum</v>
      </c>
      <c r="K1304" s="76" t="str">
        <f t="shared" si="628"/>
        <v>revolutum</v>
      </c>
      <c r="L1304" s="77">
        <f t="shared" si="628"/>
        <v>7</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2021</v>
      </c>
      <c r="B1305" s="72" t="str">
        <f t="shared" si="607"/>
        <v>Nov</v>
      </c>
      <c r="C1305" s="73">
        <f t="shared" si="625"/>
        <v>15</v>
      </c>
      <c r="D1305" s="74">
        <f t="shared" si="608"/>
        <v>11</v>
      </c>
      <c r="E1305" s="75">
        <f t="shared" si="609"/>
        <v>1</v>
      </c>
      <c r="F1305" s="79"/>
      <c r="G1305" s="82"/>
      <c r="H1305" s="68" t="str">
        <f t="shared" si="626"/>
        <v>Hyprev7_20211115_11_00</v>
      </c>
      <c r="I1305" s="69">
        <f t="shared" si="628"/>
        <v>1</v>
      </c>
      <c r="J1305" s="76" t="str">
        <f t="shared" si="628"/>
        <v>Hypericum</v>
      </c>
      <c r="K1305" s="76" t="str">
        <f t="shared" si="628"/>
        <v>revolutum</v>
      </c>
      <c r="L1305" s="77">
        <f t="shared" si="628"/>
        <v>7</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2021</v>
      </c>
      <c r="B1306" s="72" t="str">
        <f t="shared" si="607"/>
        <v>Nov</v>
      </c>
      <c r="C1306" s="73">
        <f t="shared" si="625"/>
        <v>15</v>
      </c>
      <c r="D1306" s="74">
        <f t="shared" si="608"/>
        <v>11</v>
      </c>
      <c r="E1306" s="75">
        <f t="shared" si="609"/>
        <v>2</v>
      </c>
      <c r="F1306" s="79"/>
      <c r="G1306" s="82"/>
      <c r="H1306" s="68" t="str">
        <f t="shared" si="626"/>
        <v>Hyprev7_20211115_11_00</v>
      </c>
      <c r="I1306" s="69">
        <f t="shared" si="628"/>
        <v>1</v>
      </c>
      <c r="J1306" s="76" t="str">
        <f t="shared" si="628"/>
        <v>Hypericum</v>
      </c>
      <c r="K1306" s="76" t="str">
        <f t="shared" si="628"/>
        <v>revolutum</v>
      </c>
      <c r="L1306" s="77">
        <f t="shared" si="628"/>
        <v>7</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2021</v>
      </c>
      <c r="B1307" s="72" t="str">
        <f t="shared" si="607"/>
        <v>Nov</v>
      </c>
      <c r="C1307" s="73">
        <f t="shared" si="625"/>
        <v>15</v>
      </c>
      <c r="D1307" s="74">
        <f t="shared" si="608"/>
        <v>11</v>
      </c>
      <c r="E1307" s="75">
        <f t="shared" si="609"/>
        <v>3</v>
      </c>
      <c r="F1307" s="79"/>
      <c r="G1307" s="82"/>
      <c r="H1307" s="68" t="str">
        <f t="shared" si="626"/>
        <v>Hyprev7_20211115_11_00</v>
      </c>
      <c r="I1307" s="69">
        <f t="shared" si="628"/>
        <v>1</v>
      </c>
      <c r="J1307" s="76" t="str">
        <f t="shared" si="628"/>
        <v>Hypericum</v>
      </c>
      <c r="K1307" s="76" t="str">
        <f t="shared" si="628"/>
        <v>revolutum</v>
      </c>
      <c r="L1307" s="77">
        <f t="shared" si="628"/>
        <v>7</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2021</v>
      </c>
      <c r="B1308" s="72" t="str">
        <f t="shared" si="607"/>
        <v>Nov</v>
      </c>
      <c r="C1308" s="73">
        <f t="shared" si="625"/>
        <v>15</v>
      </c>
      <c r="D1308" s="74">
        <f t="shared" si="608"/>
        <v>11</v>
      </c>
      <c r="E1308" s="75">
        <f t="shared" si="609"/>
        <v>4</v>
      </c>
      <c r="F1308" s="79"/>
      <c r="G1308" s="82"/>
      <c r="H1308" s="68" t="str">
        <f t="shared" si="626"/>
        <v>Hyprev7_20211115_11_00</v>
      </c>
      <c r="I1308" s="69">
        <f t="shared" si="628"/>
        <v>1</v>
      </c>
      <c r="J1308" s="76" t="str">
        <f t="shared" si="628"/>
        <v>Hypericum</v>
      </c>
      <c r="K1308" s="76" t="str">
        <f t="shared" si="628"/>
        <v>revolutum</v>
      </c>
      <c r="L1308" s="77">
        <f t="shared" si="628"/>
        <v>7</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2021</v>
      </c>
      <c r="B1309" s="72" t="str">
        <f t="shared" si="607"/>
        <v>Nov</v>
      </c>
      <c r="C1309" s="73">
        <f t="shared" si="625"/>
        <v>15</v>
      </c>
      <c r="D1309" s="74">
        <f t="shared" si="608"/>
        <v>11</v>
      </c>
      <c r="E1309" s="75">
        <f t="shared" si="609"/>
        <v>5</v>
      </c>
      <c r="F1309" s="79"/>
      <c r="G1309" s="82"/>
      <c r="H1309" s="68" t="str">
        <f t="shared" si="626"/>
        <v>Hyprev7_20211115_11_00</v>
      </c>
      <c r="I1309" s="69">
        <f t="shared" si="628"/>
        <v>1</v>
      </c>
      <c r="J1309" s="76" t="str">
        <f t="shared" si="628"/>
        <v>Hypericum</v>
      </c>
      <c r="K1309" s="76" t="str">
        <f t="shared" si="628"/>
        <v>revolutum</v>
      </c>
      <c r="L1309" s="77">
        <f t="shared" si="628"/>
        <v>7</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2021</v>
      </c>
      <c r="B1310" s="72" t="str">
        <f t="shared" si="607"/>
        <v>Nov</v>
      </c>
      <c r="C1310" s="73">
        <f t="shared" si="625"/>
        <v>15</v>
      </c>
      <c r="D1310" s="74">
        <f t="shared" si="608"/>
        <v>11</v>
      </c>
      <c r="E1310" s="75">
        <f t="shared" si="609"/>
        <v>6</v>
      </c>
      <c r="F1310" s="79"/>
      <c r="G1310" s="82"/>
      <c r="H1310" s="68" t="str">
        <f t="shared" si="626"/>
        <v>Hyprev7_20211115_11_00</v>
      </c>
      <c r="I1310" s="69">
        <f t="shared" si="628"/>
        <v>1</v>
      </c>
      <c r="J1310" s="76" t="str">
        <f t="shared" si="628"/>
        <v>Hypericum</v>
      </c>
      <c r="K1310" s="76" t="str">
        <f t="shared" si="628"/>
        <v>revolutum</v>
      </c>
      <c r="L1310" s="77">
        <f t="shared" si="628"/>
        <v>7</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2021</v>
      </c>
      <c r="B1311" s="72" t="str">
        <f t="shared" si="607"/>
        <v>Nov</v>
      </c>
      <c r="C1311" s="73">
        <f t="shared" si="625"/>
        <v>15</v>
      </c>
      <c r="D1311" s="74">
        <f t="shared" si="608"/>
        <v>11</v>
      </c>
      <c r="E1311" s="75">
        <f t="shared" si="609"/>
        <v>7</v>
      </c>
      <c r="F1311" s="79"/>
      <c r="G1311" s="82"/>
      <c r="H1311" s="68" t="str">
        <f t="shared" si="626"/>
        <v>Hyprev7_20211115_11_00</v>
      </c>
      <c r="I1311" s="69">
        <f t="shared" si="628"/>
        <v>1</v>
      </c>
      <c r="J1311" s="76" t="str">
        <f t="shared" si="628"/>
        <v>Hypericum</v>
      </c>
      <c r="K1311" s="76" t="str">
        <f t="shared" si="628"/>
        <v>revolutum</v>
      </c>
      <c r="L1311" s="77">
        <f t="shared" si="628"/>
        <v>7</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2021</v>
      </c>
      <c r="B1312" s="72" t="str">
        <f t="shared" si="607"/>
        <v>Nov</v>
      </c>
      <c r="C1312" s="73">
        <f t="shared" si="625"/>
        <v>15</v>
      </c>
      <c r="D1312" s="74">
        <f t="shared" si="608"/>
        <v>11</v>
      </c>
      <c r="E1312" s="75">
        <f t="shared" si="609"/>
        <v>8</v>
      </c>
      <c r="F1312" s="79">
        <v>51</v>
      </c>
      <c r="G1312" s="82"/>
      <c r="H1312" s="68" t="str">
        <f t="shared" si="626"/>
        <v>Hyprev7_20211115_11_00</v>
      </c>
      <c r="I1312" s="69">
        <f t="shared" si="628"/>
        <v>1</v>
      </c>
      <c r="J1312" s="76" t="str">
        <f t="shared" si="628"/>
        <v>Hypericum</v>
      </c>
      <c r="K1312" s="76" t="str">
        <f t="shared" si="628"/>
        <v>revolutum</v>
      </c>
      <c r="L1312" s="77">
        <f t="shared" si="628"/>
        <v>7</v>
      </c>
      <c r="M1312" s="77">
        <f t="shared" si="628"/>
        <v>2</v>
      </c>
      <c r="N1312" s="71">
        <f t="shared" si="628"/>
        <v>0</v>
      </c>
      <c r="O1312" s="44"/>
      <c r="P1312" s="45">
        <f t="shared" si="610"/>
        <v>1</v>
      </c>
      <c r="Q1312" s="46" t="str">
        <f t="shared" si="611"/>
        <v>11:08:51</v>
      </c>
      <c r="R1312" s="47" t="str">
        <f t="shared" si="612"/>
        <v>08:51</v>
      </c>
      <c r="S1312" s="48">
        <f t="shared" si="601"/>
        <v>33</v>
      </c>
      <c r="T1312" s="47" t="str">
        <f t="shared" si="613"/>
        <v>11</v>
      </c>
      <c r="U1312" s="49">
        <v>9</v>
      </c>
      <c r="V1312" s="50">
        <v>24</v>
      </c>
      <c r="W1312" s="51" t="str">
        <f t="shared" si="614"/>
        <v>09:24</v>
      </c>
      <c r="X1312" s="52" t="s">
        <v>59</v>
      </c>
      <c r="Y1312" s="124" t="s">
        <v>236</v>
      </c>
      <c r="Z1312" s="124"/>
      <c r="AA1312" s="47" t="s">
        <v>254</v>
      </c>
      <c r="AB1312" s="47" t="str">
        <f t="shared" si="615"/>
        <v>NA</v>
      </c>
      <c r="AC1312" s="53" t="str">
        <f t="shared" si="616"/>
        <v/>
      </c>
      <c r="AD1312" s="54">
        <f t="shared" si="617"/>
        <v>1</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t="s">
        <v>207</v>
      </c>
      <c r="AT1312" s="58"/>
      <c r="AU1312" s="58"/>
      <c r="AV1312" s="59"/>
      <c r="AW1312" s="60">
        <f t="shared" si="602"/>
        <v>0</v>
      </c>
      <c r="AX1312" s="61" t="str">
        <f t="shared" si="603"/>
        <v/>
      </c>
      <c r="AY1312" s="60">
        <f t="shared" si="604"/>
        <v>0</v>
      </c>
      <c r="AZ1312" s="61" t="str">
        <f t="shared" si="605"/>
        <v/>
      </c>
    </row>
    <row r="1313" spans="1:52" s="3" customFormat="1" hidden="1" x14ac:dyDescent="0.35">
      <c r="A1313" s="72">
        <f t="shared" si="606"/>
        <v>2021</v>
      </c>
      <c r="B1313" s="72" t="str">
        <f t="shared" si="607"/>
        <v>Nov</v>
      </c>
      <c r="C1313" s="73">
        <f t="shared" si="625"/>
        <v>15</v>
      </c>
      <c r="D1313" s="74">
        <f t="shared" si="608"/>
        <v>11</v>
      </c>
      <c r="E1313" s="75">
        <v>8</v>
      </c>
      <c r="F1313" s="79">
        <v>51</v>
      </c>
      <c r="G1313" s="82"/>
      <c r="H1313" s="68" t="str">
        <f t="shared" si="626"/>
        <v>Hyprev7_20211115_11_00</v>
      </c>
      <c r="I1313" s="69">
        <f t="shared" si="628"/>
        <v>1</v>
      </c>
      <c r="J1313" s="76" t="str">
        <f t="shared" si="628"/>
        <v>Hypericum</v>
      </c>
      <c r="K1313" s="76" t="str">
        <f t="shared" si="628"/>
        <v>revolutum</v>
      </c>
      <c r="L1313" s="77">
        <f t="shared" si="628"/>
        <v>7</v>
      </c>
      <c r="M1313" s="77">
        <f t="shared" si="628"/>
        <v>2</v>
      </c>
      <c r="N1313" s="71">
        <f t="shared" si="628"/>
        <v>0</v>
      </c>
      <c r="O1313" s="44"/>
      <c r="P1313" s="45">
        <f t="shared" si="610"/>
        <v>1</v>
      </c>
      <c r="Q1313" s="46" t="str">
        <f t="shared" si="611"/>
        <v>11:08:51</v>
      </c>
      <c r="R1313" s="47" t="str">
        <f t="shared" si="612"/>
        <v>08:51</v>
      </c>
      <c r="S1313" s="48">
        <f t="shared" si="601"/>
        <v>27</v>
      </c>
      <c r="T1313" s="47" t="str">
        <f t="shared" si="613"/>
        <v>11</v>
      </c>
      <c r="U1313" s="49">
        <v>9</v>
      </c>
      <c r="V1313" s="50">
        <v>18</v>
      </c>
      <c r="W1313" s="51" t="str">
        <f t="shared" si="614"/>
        <v>09:18</v>
      </c>
      <c r="X1313" s="52" t="s">
        <v>61</v>
      </c>
      <c r="Y1313" s="124" t="s">
        <v>239</v>
      </c>
      <c r="Z1313" s="124"/>
      <c r="AA1313" s="47" t="s">
        <v>254</v>
      </c>
      <c r="AB1313" s="47" t="str">
        <f t="shared" si="615"/>
        <v>NA</v>
      </c>
      <c r="AC1313" s="53" t="str">
        <f t="shared" si="616"/>
        <v/>
      </c>
      <c r="AD1313" s="54">
        <f t="shared" si="617"/>
        <v>1</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t="s">
        <v>208</v>
      </c>
      <c r="AT1313" s="58"/>
      <c r="AU1313" s="58"/>
      <c r="AV1313" s="59"/>
      <c r="AW1313" s="60">
        <f t="shared" si="602"/>
        <v>0</v>
      </c>
      <c r="AX1313" s="61" t="str">
        <f t="shared" si="603"/>
        <v/>
      </c>
      <c r="AY1313" s="60">
        <f t="shared" si="604"/>
        <v>0</v>
      </c>
      <c r="AZ1313" s="61" t="str">
        <f t="shared" si="605"/>
        <v/>
      </c>
    </row>
    <row r="1314" spans="1:52" s="3" customFormat="1" hidden="1" x14ac:dyDescent="0.35">
      <c r="A1314" s="72">
        <f t="shared" si="606"/>
        <v>2021</v>
      </c>
      <c r="B1314" s="72" t="str">
        <f t="shared" si="607"/>
        <v>Nov</v>
      </c>
      <c r="C1314" s="73">
        <f t="shared" si="625"/>
        <v>15</v>
      </c>
      <c r="D1314" s="74">
        <f t="shared" si="608"/>
        <v>11</v>
      </c>
      <c r="E1314" s="75">
        <f t="shared" si="609"/>
        <v>9</v>
      </c>
      <c r="F1314" s="79">
        <v>28</v>
      </c>
      <c r="G1314" s="82"/>
      <c r="H1314" s="68" t="str">
        <f t="shared" si="626"/>
        <v>Hyprev7_20211115_11_00</v>
      </c>
      <c r="I1314" s="69">
        <f t="shared" si="628"/>
        <v>1</v>
      </c>
      <c r="J1314" s="76" t="str">
        <f t="shared" si="628"/>
        <v>Hypericum</v>
      </c>
      <c r="K1314" s="76" t="str">
        <f t="shared" si="628"/>
        <v>revolutum</v>
      </c>
      <c r="L1314" s="77">
        <f t="shared" si="628"/>
        <v>7</v>
      </c>
      <c r="M1314" s="77">
        <f t="shared" si="628"/>
        <v>2</v>
      </c>
      <c r="N1314" s="71">
        <f t="shared" si="628"/>
        <v>0</v>
      </c>
      <c r="O1314" s="44"/>
      <c r="P1314" s="45">
        <f t="shared" si="610"/>
        <v>1</v>
      </c>
      <c r="Q1314" s="46" t="str">
        <f t="shared" si="611"/>
        <v>11:09:28</v>
      </c>
      <c r="R1314" s="47" t="str">
        <f t="shared" si="612"/>
        <v>09:28</v>
      </c>
      <c r="S1314" s="48">
        <f t="shared" si="601"/>
        <v>70</v>
      </c>
      <c r="T1314" s="47" t="str">
        <f t="shared" si="613"/>
        <v>11</v>
      </c>
      <c r="U1314" s="49">
        <v>10</v>
      </c>
      <c r="V1314" s="50">
        <v>38</v>
      </c>
      <c r="W1314" s="51" t="str">
        <f t="shared" si="614"/>
        <v>10:38</v>
      </c>
      <c r="X1314" s="52" t="s">
        <v>59</v>
      </c>
      <c r="Y1314" s="124" t="s">
        <v>236</v>
      </c>
      <c r="Z1314" s="124"/>
      <c r="AA1314" s="47" t="s">
        <v>254</v>
      </c>
      <c r="AB1314" s="47" t="str">
        <f t="shared" si="615"/>
        <v>NA</v>
      </c>
      <c r="AC1314" s="53" t="str">
        <f t="shared" si="616"/>
        <v/>
      </c>
      <c r="AD1314" s="54">
        <f t="shared" si="617"/>
        <v>1</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t="s">
        <v>209</v>
      </c>
      <c r="AT1314" s="58"/>
      <c r="AU1314" s="58"/>
      <c r="AV1314" s="59"/>
      <c r="AW1314" s="60">
        <f t="shared" si="602"/>
        <v>0</v>
      </c>
      <c r="AX1314" s="61" t="str">
        <f t="shared" si="603"/>
        <v/>
      </c>
      <c r="AY1314" s="60">
        <f t="shared" si="604"/>
        <v>0</v>
      </c>
      <c r="AZ1314" s="61" t="str">
        <f t="shared" si="605"/>
        <v/>
      </c>
    </row>
    <row r="1315" spans="1:52" s="3" customFormat="1" hidden="1" x14ac:dyDescent="0.35">
      <c r="A1315" s="72">
        <f t="shared" si="606"/>
        <v>2021</v>
      </c>
      <c r="B1315" s="72" t="str">
        <f t="shared" si="607"/>
        <v>Nov</v>
      </c>
      <c r="C1315" s="73">
        <f t="shared" si="625"/>
        <v>15</v>
      </c>
      <c r="D1315" s="74">
        <f t="shared" si="608"/>
        <v>11</v>
      </c>
      <c r="E1315" s="75">
        <f t="shared" si="609"/>
        <v>10</v>
      </c>
      <c r="F1315" s="79">
        <v>32</v>
      </c>
      <c r="G1315" s="82"/>
      <c r="H1315" s="68" t="str">
        <f t="shared" si="626"/>
        <v>Hyprev7_20211115_11_00</v>
      </c>
      <c r="I1315" s="69">
        <f t="shared" si="628"/>
        <v>1</v>
      </c>
      <c r="J1315" s="76" t="str">
        <f t="shared" si="628"/>
        <v>Hypericum</v>
      </c>
      <c r="K1315" s="76" t="str">
        <f t="shared" si="628"/>
        <v>revolutum</v>
      </c>
      <c r="L1315" s="77">
        <f t="shared" si="628"/>
        <v>7</v>
      </c>
      <c r="M1315" s="77">
        <f t="shared" si="628"/>
        <v>2</v>
      </c>
      <c r="N1315" s="71">
        <f t="shared" si="628"/>
        <v>0</v>
      </c>
      <c r="O1315" s="44"/>
      <c r="P1315" s="45">
        <f t="shared" si="610"/>
        <v>1</v>
      </c>
      <c r="Q1315" s="46" t="str">
        <f t="shared" si="611"/>
        <v>11:10:32</v>
      </c>
      <c r="R1315" s="47" t="str">
        <f t="shared" si="612"/>
        <v>10:32</v>
      </c>
      <c r="S1315" s="48">
        <f t="shared" si="601"/>
        <v>68</v>
      </c>
      <c r="T1315" s="47" t="str">
        <f t="shared" si="613"/>
        <v>11</v>
      </c>
      <c r="U1315" s="49">
        <v>11</v>
      </c>
      <c r="V1315" s="50">
        <v>40</v>
      </c>
      <c r="W1315" s="51" t="str">
        <f t="shared" si="614"/>
        <v>11:40</v>
      </c>
      <c r="X1315" s="52" t="s">
        <v>59</v>
      </c>
      <c r="Y1315" s="124" t="s">
        <v>238</v>
      </c>
      <c r="Z1315" s="124"/>
      <c r="AA1315" s="47" t="s">
        <v>253</v>
      </c>
      <c r="AB1315" s="47" t="str">
        <f t="shared" si="615"/>
        <v>NA</v>
      </c>
      <c r="AC1315" s="53" t="str">
        <f t="shared" si="616"/>
        <v/>
      </c>
      <c r="AD1315" s="54">
        <f t="shared" si="617"/>
        <v>1</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t="s">
        <v>210</v>
      </c>
      <c r="AT1315" s="58"/>
      <c r="AU1315" s="58"/>
      <c r="AV1315" s="59"/>
      <c r="AW1315" s="60">
        <f t="shared" si="602"/>
        <v>0</v>
      </c>
      <c r="AX1315" s="61" t="str">
        <f t="shared" si="603"/>
        <v/>
      </c>
      <c r="AY1315" s="60">
        <f t="shared" si="604"/>
        <v>0</v>
      </c>
      <c r="AZ1315" s="61" t="str">
        <f t="shared" si="605"/>
        <v/>
      </c>
    </row>
    <row r="1316" spans="1:52" s="3" customFormat="1" hidden="1" x14ac:dyDescent="0.35">
      <c r="A1316" s="72">
        <f t="shared" si="606"/>
        <v>2021</v>
      </c>
      <c r="B1316" s="72" t="str">
        <f t="shared" si="607"/>
        <v>Nov</v>
      </c>
      <c r="C1316" s="73">
        <f t="shared" si="625"/>
        <v>15</v>
      </c>
      <c r="D1316" s="74">
        <f t="shared" si="608"/>
        <v>11</v>
      </c>
      <c r="E1316" s="75">
        <v>10</v>
      </c>
      <c r="F1316" s="79">
        <v>49</v>
      </c>
      <c r="G1316" s="82"/>
      <c r="H1316" s="68" t="str">
        <f t="shared" si="626"/>
        <v>Hyprev7_20211115_11_00</v>
      </c>
      <c r="I1316" s="69">
        <f t="shared" si="628"/>
        <v>1</v>
      </c>
      <c r="J1316" s="76" t="str">
        <f t="shared" si="628"/>
        <v>Hypericum</v>
      </c>
      <c r="K1316" s="76" t="str">
        <f t="shared" si="628"/>
        <v>revolutum</v>
      </c>
      <c r="L1316" s="77">
        <f t="shared" si="628"/>
        <v>7</v>
      </c>
      <c r="M1316" s="77">
        <f t="shared" si="628"/>
        <v>2</v>
      </c>
      <c r="N1316" s="71">
        <f t="shared" si="628"/>
        <v>0</v>
      </c>
      <c r="O1316" s="44"/>
      <c r="P1316" s="45">
        <f t="shared" si="610"/>
        <v>1</v>
      </c>
      <c r="Q1316" s="46" t="str">
        <f t="shared" si="611"/>
        <v>11:10:49</v>
      </c>
      <c r="R1316" s="47" t="str">
        <f t="shared" si="612"/>
        <v>10:49</v>
      </c>
      <c r="S1316" s="48">
        <f t="shared" si="601"/>
        <v>24</v>
      </c>
      <c r="T1316" s="47" t="str">
        <f t="shared" si="613"/>
        <v>11</v>
      </c>
      <c r="U1316" s="49">
        <v>11</v>
      </c>
      <c r="V1316" s="50">
        <v>13</v>
      </c>
      <c r="W1316" s="51" t="str">
        <f t="shared" si="614"/>
        <v>11:13</v>
      </c>
      <c r="X1316" s="52" t="s">
        <v>59</v>
      </c>
      <c r="Y1316" s="124" t="s">
        <v>236</v>
      </c>
      <c r="Z1316" s="124"/>
      <c r="AA1316" s="47" t="s">
        <v>254</v>
      </c>
      <c r="AB1316" s="47" t="str">
        <f t="shared" si="615"/>
        <v>NA</v>
      </c>
      <c r="AC1316" s="53" t="str">
        <f t="shared" si="616"/>
        <v/>
      </c>
      <c r="AD1316" s="54">
        <f t="shared" si="617"/>
        <v>1</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t="s">
        <v>98</v>
      </c>
      <c r="AT1316" s="58"/>
      <c r="AU1316" s="58"/>
      <c r="AV1316" s="59"/>
      <c r="AW1316" s="60">
        <f t="shared" si="602"/>
        <v>0</v>
      </c>
      <c r="AX1316" s="61" t="str">
        <f t="shared" si="603"/>
        <v/>
      </c>
      <c r="AY1316" s="60">
        <f t="shared" si="604"/>
        <v>0</v>
      </c>
      <c r="AZ1316" s="61" t="str">
        <f t="shared" si="605"/>
        <v/>
      </c>
    </row>
    <row r="1317" spans="1:52" s="3" customFormat="1" hidden="1" x14ac:dyDescent="0.35">
      <c r="A1317" s="72">
        <f t="shared" si="606"/>
        <v>2021</v>
      </c>
      <c r="B1317" s="72" t="str">
        <f t="shared" si="607"/>
        <v>Nov</v>
      </c>
      <c r="C1317" s="73">
        <f t="shared" si="625"/>
        <v>15</v>
      </c>
      <c r="D1317" s="74">
        <f t="shared" si="608"/>
        <v>11</v>
      </c>
      <c r="E1317" s="75">
        <f t="shared" si="609"/>
        <v>11</v>
      </c>
      <c r="F1317" s="79">
        <v>17</v>
      </c>
      <c r="G1317" s="82"/>
      <c r="H1317" s="68" t="str">
        <f t="shared" si="626"/>
        <v>Hyprev7_20211115_11_00</v>
      </c>
      <c r="I1317" s="69">
        <f t="shared" ref="I1317:N1332" si="629">I1316</f>
        <v>1</v>
      </c>
      <c r="J1317" s="76" t="str">
        <f t="shared" si="629"/>
        <v>Hypericum</v>
      </c>
      <c r="K1317" s="76" t="str">
        <f t="shared" si="629"/>
        <v>revolutum</v>
      </c>
      <c r="L1317" s="77">
        <f t="shared" si="629"/>
        <v>7</v>
      </c>
      <c r="M1317" s="77">
        <f t="shared" si="629"/>
        <v>2</v>
      </c>
      <c r="N1317" s="71">
        <f t="shared" si="629"/>
        <v>0</v>
      </c>
      <c r="O1317" s="44"/>
      <c r="P1317" s="45">
        <f t="shared" si="610"/>
        <v>1</v>
      </c>
      <c r="Q1317" s="46" t="str">
        <f t="shared" si="611"/>
        <v>11:11:17</v>
      </c>
      <c r="R1317" s="47" t="str">
        <f t="shared" si="612"/>
        <v>11:17</v>
      </c>
      <c r="S1317" s="48">
        <f t="shared" si="601"/>
        <v>14</v>
      </c>
      <c r="T1317" s="47" t="str">
        <f t="shared" si="613"/>
        <v>11</v>
      </c>
      <c r="U1317" s="49">
        <v>11</v>
      </c>
      <c r="V1317" s="50">
        <v>31</v>
      </c>
      <c r="W1317" s="51" t="str">
        <f t="shared" si="614"/>
        <v>11:31</v>
      </c>
      <c r="X1317" s="52" t="s">
        <v>59</v>
      </c>
      <c r="Y1317" s="124" t="s">
        <v>236</v>
      </c>
      <c r="Z1317" s="124"/>
      <c r="AA1317" s="47" t="s">
        <v>254</v>
      </c>
      <c r="AB1317" s="47" t="str">
        <f t="shared" si="615"/>
        <v>NA</v>
      </c>
      <c r="AC1317" s="53" t="str">
        <f t="shared" si="616"/>
        <v/>
      </c>
      <c r="AD1317" s="54">
        <f t="shared" si="617"/>
        <v>1</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t="s">
        <v>211</v>
      </c>
      <c r="AT1317" s="58"/>
      <c r="AU1317" s="58"/>
      <c r="AV1317" s="59"/>
      <c r="AW1317" s="60">
        <f t="shared" si="602"/>
        <v>0</v>
      </c>
      <c r="AX1317" s="61" t="str">
        <f t="shared" si="603"/>
        <v/>
      </c>
      <c r="AY1317" s="60">
        <f t="shared" si="604"/>
        <v>0</v>
      </c>
      <c r="AZ1317" s="61" t="str">
        <f t="shared" si="605"/>
        <v/>
      </c>
    </row>
    <row r="1318" spans="1:52" s="3" customFormat="1" hidden="1" x14ac:dyDescent="0.35">
      <c r="A1318" s="72">
        <f t="shared" si="606"/>
        <v>2021</v>
      </c>
      <c r="B1318" s="72" t="str">
        <f t="shared" si="607"/>
        <v>Nov</v>
      </c>
      <c r="C1318" s="73">
        <f t="shared" si="625"/>
        <v>15</v>
      </c>
      <c r="D1318" s="74">
        <f t="shared" si="608"/>
        <v>11</v>
      </c>
      <c r="E1318" s="75">
        <f t="shared" si="609"/>
        <v>12</v>
      </c>
      <c r="F1318" s="79"/>
      <c r="G1318" s="82"/>
      <c r="H1318" s="68" t="str">
        <f t="shared" si="626"/>
        <v>Hyprev7_20211115_11_00</v>
      </c>
      <c r="I1318" s="69">
        <f t="shared" si="629"/>
        <v>1</v>
      </c>
      <c r="J1318" s="76" t="str">
        <f t="shared" si="629"/>
        <v>Hypericum</v>
      </c>
      <c r="K1318" s="76" t="str">
        <f t="shared" si="629"/>
        <v>revolutum</v>
      </c>
      <c r="L1318" s="77">
        <f t="shared" si="629"/>
        <v>7</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2021</v>
      </c>
      <c r="B1319" s="72" t="str">
        <f t="shared" si="607"/>
        <v>Nov</v>
      </c>
      <c r="C1319" s="73">
        <f t="shared" si="625"/>
        <v>15</v>
      </c>
      <c r="D1319" s="74">
        <f t="shared" si="608"/>
        <v>11</v>
      </c>
      <c r="E1319" s="75">
        <f t="shared" si="609"/>
        <v>13</v>
      </c>
      <c r="F1319" s="79">
        <v>33</v>
      </c>
      <c r="G1319" s="82"/>
      <c r="H1319" s="68" t="str">
        <f t="shared" si="626"/>
        <v>Hyprev7_20211115_11_00</v>
      </c>
      <c r="I1319" s="69">
        <f t="shared" si="629"/>
        <v>1</v>
      </c>
      <c r="J1319" s="76" t="str">
        <f t="shared" si="629"/>
        <v>Hypericum</v>
      </c>
      <c r="K1319" s="76" t="str">
        <f t="shared" si="629"/>
        <v>revolutum</v>
      </c>
      <c r="L1319" s="77">
        <f t="shared" si="629"/>
        <v>7</v>
      </c>
      <c r="M1319" s="77">
        <f t="shared" si="629"/>
        <v>2</v>
      </c>
      <c r="N1319" s="71">
        <f t="shared" si="629"/>
        <v>0</v>
      </c>
      <c r="O1319" s="44"/>
      <c r="P1319" s="45">
        <f t="shared" si="610"/>
        <v>1</v>
      </c>
      <c r="Q1319" s="46" t="str">
        <f t="shared" si="611"/>
        <v>11:13:33</v>
      </c>
      <c r="R1319" s="47" t="str">
        <f t="shared" si="612"/>
        <v>13:33</v>
      </c>
      <c r="S1319" s="48">
        <f t="shared" si="601"/>
        <v>7</v>
      </c>
      <c r="T1319" s="47" t="str">
        <f t="shared" si="613"/>
        <v>11</v>
      </c>
      <c r="U1319" s="49">
        <v>13</v>
      </c>
      <c r="V1319" s="50">
        <v>40</v>
      </c>
      <c r="W1319" s="51" t="str">
        <f t="shared" si="614"/>
        <v>13:40</v>
      </c>
      <c r="X1319" s="52" t="s">
        <v>61</v>
      </c>
      <c r="Y1319" s="124" t="s">
        <v>237</v>
      </c>
      <c r="Z1319" s="124" t="s">
        <v>252</v>
      </c>
      <c r="AA1319" s="47" t="s">
        <v>254</v>
      </c>
      <c r="AB1319" s="47" t="str">
        <f t="shared" si="615"/>
        <v>NA</v>
      </c>
      <c r="AC1319" s="53" t="str">
        <f t="shared" si="616"/>
        <v/>
      </c>
      <c r="AD1319" s="54">
        <f t="shared" si="617"/>
        <v>1</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t="s">
        <v>102</v>
      </c>
      <c r="AT1319" s="58"/>
      <c r="AU1319" s="58"/>
      <c r="AV1319" s="59"/>
      <c r="AW1319" s="60">
        <f t="shared" si="602"/>
        <v>0</v>
      </c>
      <c r="AX1319" s="61" t="str">
        <f t="shared" si="603"/>
        <v/>
      </c>
      <c r="AY1319" s="60">
        <f t="shared" si="604"/>
        <v>0</v>
      </c>
      <c r="AZ1319" s="61" t="str">
        <f t="shared" si="605"/>
        <v/>
      </c>
    </row>
    <row r="1320" spans="1:52" s="3" customFormat="1" hidden="1" x14ac:dyDescent="0.35">
      <c r="A1320" s="72">
        <f t="shared" si="606"/>
        <v>2021</v>
      </c>
      <c r="B1320" s="72" t="str">
        <f t="shared" si="607"/>
        <v>Nov</v>
      </c>
      <c r="C1320" s="73">
        <f t="shared" si="625"/>
        <v>15</v>
      </c>
      <c r="D1320" s="74">
        <f t="shared" si="608"/>
        <v>11</v>
      </c>
      <c r="E1320" s="75">
        <f t="shared" si="609"/>
        <v>14</v>
      </c>
      <c r="F1320" s="79">
        <v>4</v>
      </c>
      <c r="G1320" s="82"/>
      <c r="H1320" s="68" t="str">
        <f t="shared" si="626"/>
        <v>Hyprev7_20211115_11_00</v>
      </c>
      <c r="I1320" s="69">
        <f t="shared" si="629"/>
        <v>1</v>
      </c>
      <c r="J1320" s="76" t="str">
        <f t="shared" si="629"/>
        <v>Hypericum</v>
      </c>
      <c r="K1320" s="76" t="str">
        <f t="shared" si="629"/>
        <v>revolutum</v>
      </c>
      <c r="L1320" s="77">
        <f t="shared" si="629"/>
        <v>7</v>
      </c>
      <c r="M1320" s="77">
        <f t="shared" si="629"/>
        <v>2</v>
      </c>
      <c r="N1320" s="71">
        <f t="shared" si="629"/>
        <v>0</v>
      </c>
      <c r="O1320" s="44"/>
      <c r="P1320" s="45">
        <f t="shared" si="610"/>
        <v>1</v>
      </c>
      <c r="Q1320" s="46" t="str">
        <f t="shared" si="611"/>
        <v>11:14:04</v>
      </c>
      <c r="R1320" s="47" t="str">
        <f t="shared" si="612"/>
        <v>14:04</v>
      </c>
      <c r="S1320" s="48">
        <f t="shared" si="601"/>
        <v>21</v>
      </c>
      <c r="T1320" s="47" t="str">
        <f t="shared" si="613"/>
        <v>11</v>
      </c>
      <c r="U1320" s="49">
        <v>14</v>
      </c>
      <c r="V1320" s="50">
        <v>25</v>
      </c>
      <c r="W1320" s="51" t="str">
        <f t="shared" si="614"/>
        <v>14:25</v>
      </c>
      <c r="X1320" s="52" t="s">
        <v>59</v>
      </c>
      <c r="Y1320" s="124" t="s">
        <v>238</v>
      </c>
      <c r="Z1320" s="124"/>
      <c r="AA1320" s="47" t="s">
        <v>253</v>
      </c>
      <c r="AB1320" s="47" t="str">
        <f t="shared" si="615"/>
        <v>NA</v>
      </c>
      <c r="AC1320" s="53" t="str">
        <f t="shared" si="616"/>
        <v/>
      </c>
      <c r="AD1320" s="54">
        <f t="shared" si="617"/>
        <v>1</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t="s">
        <v>98</v>
      </c>
      <c r="AT1320" s="58"/>
      <c r="AU1320" s="58"/>
      <c r="AV1320" s="59"/>
      <c r="AW1320" s="60">
        <f t="shared" si="602"/>
        <v>0</v>
      </c>
      <c r="AX1320" s="61" t="str">
        <f t="shared" si="603"/>
        <v/>
      </c>
      <c r="AY1320" s="60">
        <f t="shared" si="604"/>
        <v>0</v>
      </c>
      <c r="AZ1320" s="61" t="str">
        <f t="shared" si="605"/>
        <v/>
      </c>
    </row>
    <row r="1321" spans="1:52" s="3" customFormat="1" hidden="1" x14ac:dyDescent="0.35">
      <c r="A1321" s="72">
        <f t="shared" si="606"/>
        <v>2021</v>
      </c>
      <c r="B1321" s="72" t="str">
        <f t="shared" si="607"/>
        <v>Nov</v>
      </c>
      <c r="C1321" s="73">
        <f t="shared" si="625"/>
        <v>15</v>
      </c>
      <c r="D1321" s="74">
        <f t="shared" si="608"/>
        <v>11</v>
      </c>
      <c r="E1321" s="75">
        <v>14</v>
      </c>
      <c r="F1321" s="79">
        <v>29</v>
      </c>
      <c r="G1321" s="82"/>
      <c r="H1321" s="68" t="str">
        <f t="shared" si="626"/>
        <v>Hyprev7_20211115_11_00</v>
      </c>
      <c r="I1321" s="69">
        <f t="shared" si="629"/>
        <v>1</v>
      </c>
      <c r="J1321" s="76" t="str">
        <f t="shared" si="629"/>
        <v>Hypericum</v>
      </c>
      <c r="K1321" s="76" t="str">
        <f t="shared" si="629"/>
        <v>revolutum</v>
      </c>
      <c r="L1321" s="77">
        <f t="shared" si="629"/>
        <v>7</v>
      </c>
      <c r="M1321" s="77">
        <f t="shared" si="629"/>
        <v>2</v>
      </c>
      <c r="N1321" s="71">
        <f t="shared" si="629"/>
        <v>0</v>
      </c>
      <c r="O1321" s="44"/>
      <c r="P1321" s="45">
        <f t="shared" si="610"/>
        <v>1</v>
      </c>
      <c r="Q1321" s="46" t="str">
        <f t="shared" si="611"/>
        <v>11:14:29</v>
      </c>
      <c r="R1321" s="47" t="str">
        <f t="shared" si="612"/>
        <v>14:29</v>
      </c>
      <c r="S1321" s="48">
        <f t="shared" si="601"/>
        <v>30</v>
      </c>
      <c r="T1321" s="47" t="str">
        <f t="shared" si="613"/>
        <v>11</v>
      </c>
      <c r="U1321" s="49">
        <v>14</v>
      </c>
      <c r="V1321" s="50">
        <v>59</v>
      </c>
      <c r="W1321" s="51" t="str">
        <f t="shared" si="614"/>
        <v>14:59</v>
      </c>
      <c r="X1321" s="52" t="s">
        <v>59</v>
      </c>
      <c r="Y1321" s="124" t="s">
        <v>238</v>
      </c>
      <c r="Z1321" s="124"/>
      <c r="AA1321" s="47" t="s">
        <v>253</v>
      </c>
      <c r="AB1321" s="47" t="str">
        <f t="shared" si="615"/>
        <v>NA</v>
      </c>
      <c r="AC1321" s="53" t="str">
        <f t="shared" si="616"/>
        <v/>
      </c>
      <c r="AD1321" s="54">
        <f t="shared" si="617"/>
        <v>1</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t="s">
        <v>212</v>
      </c>
      <c r="AT1321" s="58"/>
      <c r="AU1321" s="58"/>
      <c r="AV1321" s="59"/>
      <c r="AW1321" s="60">
        <f t="shared" si="602"/>
        <v>0</v>
      </c>
      <c r="AX1321" s="61" t="str">
        <f t="shared" si="603"/>
        <v/>
      </c>
      <c r="AY1321" s="60">
        <f t="shared" si="604"/>
        <v>0</v>
      </c>
      <c r="AZ1321" s="61" t="str">
        <f t="shared" si="605"/>
        <v/>
      </c>
    </row>
    <row r="1322" spans="1:52" s="3" customFormat="1" hidden="1" x14ac:dyDescent="0.35">
      <c r="A1322" s="72">
        <f t="shared" si="606"/>
        <v>2021</v>
      </c>
      <c r="B1322" s="72" t="str">
        <f t="shared" si="607"/>
        <v>Nov</v>
      </c>
      <c r="C1322" s="73">
        <f t="shared" si="625"/>
        <v>15</v>
      </c>
      <c r="D1322" s="74">
        <f t="shared" si="608"/>
        <v>11</v>
      </c>
      <c r="E1322" s="75">
        <f t="shared" si="609"/>
        <v>15</v>
      </c>
      <c r="F1322" s="79"/>
      <c r="G1322" s="82"/>
      <c r="H1322" s="68" t="str">
        <f t="shared" si="626"/>
        <v>Hyprev7_20211115_11_00</v>
      </c>
      <c r="I1322" s="69">
        <f t="shared" si="629"/>
        <v>1</v>
      </c>
      <c r="J1322" s="76" t="str">
        <f t="shared" si="629"/>
        <v>Hypericum</v>
      </c>
      <c r="K1322" s="76" t="str">
        <f t="shared" si="629"/>
        <v>revolutum</v>
      </c>
      <c r="L1322" s="77">
        <f t="shared" si="629"/>
        <v>7</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2021</v>
      </c>
      <c r="B1323" s="72" t="str">
        <f t="shared" si="607"/>
        <v>Nov</v>
      </c>
      <c r="C1323" s="73">
        <f t="shared" si="625"/>
        <v>15</v>
      </c>
      <c r="D1323" s="74">
        <f t="shared" si="608"/>
        <v>11</v>
      </c>
      <c r="E1323" s="75">
        <f t="shared" si="609"/>
        <v>16</v>
      </c>
      <c r="F1323" s="79">
        <v>13</v>
      </c>
      <c r="G1323" s="82"/>
      <c r="H1323" s="68" t="str">
        <f t="shared" si="626"/>
        <v>Hyprev7_20211115_11_00</v>
      </c>
      <c r="I1323" s="69">
        <f t="shared" si="629"/>
        <v>1</v>
      </c>
      <c r="J1323" s="76" t="str">
        <f t="shared" si="629"/>
        <v>Hypericum</v>
      </c>
      <c r="K1323" s="76" t="str">
        <f t="shared" si="629"/>
        <v>revolutum</v>
      </c>
      <c r="L1323" s="77">
        <f t="shared" si="629"/>
        <v>7</v>
      </c>
      <c r="M1323" s="77">
        <f t="shared" si="629"/>
        <v>2</v>
      </c>
      <c r="N1323" s="71">
        <f t="shared" si="629"/>
        <v>0</v>
      </c>
      <c r="O1323" s="44"/>
      <c r="P1323" s="45">
        <f t="shared" si="610"/>
        <v>1</v>
      </c>
      <c r="Q1323" s="46" t="str">
        <f t="shared" si="611"/>
        <v>11:16:13</v>
      </c>
      <c r="R1323" s="47" t="str">
        <f t="shared" si="612"/>
        <v>16:13</v>
      </c>
      <c r="S1323" s="48">
        <f t="shared" si="601"/>
        <v>682</v>
      </c>
      <c r="T1323" s="47" t="str">
        <f t="shared" si="613"/>
        <v>11</v>
      </c>
      <c r="U1323" s="49">
        <v>27</v>
      </c>
      <c r="V1323" s="50">
        <v>35</v>
      </c>
      <c r="W1323" s="51" t="str">
        <f t="shared" si="614"/>
        <v>27:35</v>
      </c>
      <c r="X1323" s="52" t="s">
        <v>61</v>
      </c>
      <c r="Y1323" s="124" t="s">
        <v>237</v>
      </c>
      <c r="Z1323" s="124" t="s">
        <v>252</v>
      </c>
      <c r="AA1323" s="47" t="s">
        <v>254</v>
      </c>
      <c r="AB1323" s="47" t="str">
        <f t="shared" si="615"/>
        <v>NA</v>
      </c>
      <c r="AC1323" s="53" t="str">
        <f t="shared" si="616"/>
        <v/>
      </c>
      <c r="AD1323" s="54">
        <f t="shared" si="617"/>
        <v>1</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t="s">
        <v>213</v>
      </c>
      <c r="AT1323" s="58"/>
      <c r="AU1323" s="58"/>
      <c r="AV1323" s="59"/>
      <c r="AW1323" s="60">
        <f t="shared" si="602"/>
        <v>0</v>
      </c>
      <c r="AX1323" s="61" t="str">
        <f t="shared" si="603"/>
        <v/>
      </c>
      <c r="AY1323" s="60">
        <f t="shared" si="604"/>
        <v>0</v>
      </c>
      <c r="AZ1323" s="61" t="str">
        <f t="shared" si="605"/>
        <v/>
      </c>
    </row>
    <row r="1324" spans="1:52" s="3" customFormat="1" hidden="1" x14ac:dyDescent="0.35">
      <c r="A1324" s="72">
        <f t="shared" si="606"/>
        <v>2021</v>
      </c>
      <c r="B1324" s="72" t="str">
        <f t="shared" si="607"/>
        <v>Nov</v>
      </c>
      <c r="C1324" s="73">
        <f t="shared" si="625"/>
        <v>15</v>
      </c>
      <c r="D1324" s="74">
        <f t="shared" si="608"/>
        <v>11</v>
      </c>
      <c r="E1324" s="75">
        <f t="shared" si="609"/>
        <v>17</v>
      </c>
      <c r="F1324" s="79"/>
      <c r="G1324" s="82"/>
      <c r="H1324" s="68" t="str">
        <f t="shared" si="626"/>
        <v>Hyprev7_20211115_11_00</v>
      </c>
      <c r="I1324" s="69">
        <f t="shared" si="629"/>
        <v>1</v>
      </c>
      <c r="J1324" s="76" t="str">
        <f t="shared" si="629"/>
        <v>Hypericum</v>
      </c>
      <c r="K1324" s="76" t="str">
        <f t="shared" si="629"/>
        <v>revolutum</v>
      </c>
      <c r="L1324" s="77">
        <f t="shared" si="629"/>
        <v>7</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2021</v>
      </c>
      <c r="B1325" s="72" t="str">
        <f t="shared" si="607"/>
        <v>Nov</v>
      </c>
      <c r="C1325" s="73">
        <f t="shared" si="625"/>
        <v>15</v>
      </c>
      <c r="D1325" s="74">
        <f t="shared" si="608"/>
        <v>11</v>
      </c>
      <c r="E1325" s="75">
        <f t="shared" si="609"/>
        <v>18</v>
      </c>
      <c r="F1325" s="79"/>
      <c r="G1325" s="82"/>
      <c r="H1325" s="68" t="str">
        <f t="shared" si="626"/>
        <v>Hyprev7_20211115_11_00</v>
      </c>
      <c r="I1325" s="69">
        <f t="shared" si="629"/>
        <v>1</v>
      </c>
      <c r="J1325" s="76" t="str">
        <f t="shared" si="629"/>
        <v>Hypericum</v>
      </c>
      <c r="K1325" s="76" t="str">
        <f t="shared" si="629"/>
        <v>revolutum</v>
      </c>
      <c r="L1325" s="77">
        <f t="shared" si="629"/>
        <v>7</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2021</v>
      </c>
      <c r="B1326" s="72" t="str">
        <f t="shared" si="607"/>
        <v>Nov</v>
      </c>
      <c r="C1326" s="73">
        <f t="shared" si="625"/>
        <v>15</v>
      </c>
      <c r="D1326" s="74">
        <f t="shared" si="608"/>
        <v>11</v>
      </c>
      <c r="E1326" s="75">
        <f t="shared" si="609"/>
        <v>19</v>
      </c>
      <c r="F1326" s="79"/>
      <c r="G1326" s="82"/>
      <c r="H1326" s="68" t="str">
        <f t="shared" si="626"/>
        <v>Hyprev7_20211115_11_00</v>
      </c>
      <c r="I1326" s="69">
        <f t="shared" si="629"/>
        <v>1</v>
      </c>
      <c r="J1326" s="76" t="str">
        <f t="shared" si="629"/>
        <v>Hypericum</v>
      </c>
      <c r="K1326" s="76" t="str">
        <f t="shared" si="629"/>
        <v>revolutum</v>
      </c>
      <c r="L1326" s="77">
        <f t="shared" si="629"/>
        <v>7</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2021</v>
      </c>
      <c r="B1327" s="72" t="str">
        <f t="shared" si="607"/>
        <v>Nov</v>
      </c>
      <c r="C1327" s="73">
        <f t="shared" si="625"/>
        <v>15</v>
      </c>
      <c r="D1327" s="74">
        <f t="shared" si="608"/>
        <v>11</v>
      </c>
      <c r="E1327" s="75">
        <f t="shared" si="609"/>
        <v>20</v>
      </c>
      <c r="F1327" s="79">
        <v>11</v>
      </c>
      <c r="G1327" s="82"/>
      <c r="H1327" s="68" t="str">
        <f t="shared" si="626"/>
        <v>Hyprev7_20211115_11_00</v>
      </c>
      <c r="I1327" s="69">
        <f t="shared" si="629"/>
        <v>1</v>
      </c>
      <c r="J1327" s="76" t="str">
        <f t="shared" si="629"/>
        <v>Hypericum</v>
      </c>
      <c r="K1327" s="76" t="str">
        <f t="shared" si="629"/>
        <v>revolutum</v>
      </c>
      <c r="L1327" s="77">
        <f t="shared" si="629"/>
        <v>7</v>
      </c>
      <c r="M1327" s="77">
        <f t="shared" si="629"/>
        <v>2</v>
      </c>
      <c r="N1327" s="71">
        <f t="shared" si="629"/>
        <v>0</v>
      </c>
      <c r="O1327" s="44"/>
      <c r="P1327" s="45">
        <f t="shared" si="610"/>
        <v>1</v>
      </c>
      <c r="Q1327" s="46" t="str">
        <f t="shared" si="611"/>
        <v>11:20:11</v>
      </c>
      <c r="R1327" s="47" t="str">
        <f t="shared" si="612"/>
        <v>20:11</v>
      </c>
      <c r="S1327" s="48">
        <f t="shared" si="601"/>
        <v>188</v>
      </c>
      <c r="T1327" s="47" t="str">
        <f t="shared" si="613"/>
        <v>11</v>
      </c>
      <c r="U1327" s="49">
        <v>23</v>
      </c>
      <c r="V1327" s="50">
        <v>19</v>
      </c>
      <c r="W1327" s="51" t="str">
        <f t="shared" si="614"/>
        <v>23:19</v>
      </c>
      <c r="X1327" s="52" t="s">
        <v>61</v>
      </c>
      <c r="Y1327" s="124" t="s">
        <v>237</v>
      </c>
      <c r="Z1327" s="124" t="s">
        <v>252</v>
      </c>
      <c r="AA1327" s="47" t="s">
        <v>254</v>
      </c>
      <c r="AB1327" s="47" t="str">
        <f t="shared" si="615"/>
        <v>NA</v>
      </c>
      <c r="AC1327" s="53" t="str">
        <f t="shared" si="616"/>
        <v/>
      </c>
      <c r="AD1327" s="54">
        <v>2</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t="s">
        <v>214</v>
      </c>
      <c r="AT1327" s="58"/>
      <c r="AU1327" s="58"/>
      <c r="AV1327" s="59"/>
      <c r="AW1327" s="60">
        <f t="shared" si="602"/>
        <v>0</v>
      </c>
      <c r="AX1327" s="61" t="str">
        <f t="shared" si="603"/>
        <v/>
      </c>
      <c r="AY1327" s="60">
        <f t="shared" si="604"/>
        <v>0</v>
      </c>
      <c r="AZ1327" s="61" t="str">
        <f t="shared" si="605"/>
        <v/>
      </c>
    </row>
    <row r="1328" spans="1:52" s="3" customFormat="1" hidden="1" x14ac:dyDescent="0.35">
      <c r="A1328" s="72">
        <f t="shared" si="606"/>
        <v>2021</v>
      </c>
      <c r="B1328" s="72" t="str">
        <f t="shared" si="607"/>
        <v>Nov</v>
      </c>
      <c r="C1328" s="73">
        <f t="shared" si="625"/>
        <v>15</v>
      </c>
      <c r="D1328" s="74">
        <f t="shared" si="608"/>
        <v>11</v>
      </c>
      <c r="E1328" s="75">
        <f t="shared" si="609"/>
        <v>21</v>
      </c>
      <c r="F1328" s="79">
        <v>56</v>
      </c>
      <c r="G1328" s="82"/>
      <c r="H1328" s="68" t="str">
        <f t="shared" si="626"/>
        <v>Hyprev7_20211115_11_00</v>
      </c>
      <c r="I1328" s="69">
        <f t="shared" si="629"/>
        <v>1</v>
      </c>
      <c r="J1328" s="76" t="str">
        <f t="shared" si="629"/>
        <v>Hypericum</v>
      </c>
      <c r="K1328" s="76" t="str">
        <f t="shared" si="629"/>
        <v>revolutum</v>
      </c>
      <c r="L1328" s="77">
        <f t="shared" si="629"/>
        <v>7</v>
      </c>
      <c r="M1328" s="77">
        <f t="shared" si="629"/>
        <v>2</v>
      </c>
      <c r="N1328" s="71">
        <f t="shared" si="629"/>
        <v>0</v>
      </c>
      <c r="O1328" s="44"/>
      <c r="P1328" s="45">
        <f t="shared" si="610"/>
        <v>1</v>
      </c>
      <c r="Q1328" s="46" t="str">
        <f t="shared" si="611"/>
        <v>11:21:56</v>
      </c>
      <c r="R1328" s="47" t="str">
        <f t="shared" si="612"/>
        <v>21:56</v>
      </c>
      <c r="S1328" s="48">
        <f t="shared" si="601"/>
        <v>2</v>
      </c>
      <c r="T1328" s="47" t="str">
        <f t="shared" si="613"/>
        <v>11</v>
      </c>
      <c r="U1328" s="49">
        <v>21</v>
      </c>
      <c r="V1328" s="50">
        <v>58</v>
      </c>
      <c r="W1328" s="51" t="str">
        <f t="shared" si="614"/>
        <v>21:58</v>
      </c>
      <c r="X1328" s="52" t="s">
        <v>69</v>
      </c>
      <c r="Y1328" s="124" t="s">
        <v>241</v>
      </c>
      <c r="Z1328" s="124" t="s">
        <v>252</v>
      </c>
      <c r="AA1328" s="47" t="s">
        <v>253</v>
      </c>
      <c r="AB1328" s="47" t="str">
        <f t="shared" si="615"/>
        <v>NA</v>
      </c>
      <c r="AC1328" s="53" t="str">
        <f t="shared" si="616"/>
        <v/>
      </c>
      <c r="AD1328" s="54">
        <f t="shared" si="617"/>
        <v>1</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t="s">
        <v>76</v>
      </c>
      <c r="AT1328" s="58"/>
      <c r="AU1328" s="58"/>
      <c r="AV1328" s="59"/>
      <c r="AW1328" s="60">
        <f t="shared" si="602"/>
        <v>0</v>
      </c>
      <c r="AX1328" s="61" t="str">
        <f t="shared" si="603"/>
        <v/>
      </c>
      <c r="AY1328" s="60">
        <f t="shared" si="604"/>
        <v>0</v>
      </c>
      <c r="AZ1328" s="61" t="str">
        <f t="shared" si="605"/>
        <v/>
      </c>
    </row>
    <row r="1329" spans="1:52" s="3" customFormat="1" hidden="1" x14ac:dyDescent="0.35">
      <c r="A1329" s="72">
        <f t="shared" si="606"/>
        <v>2021</v>
      </c>
      <c r="B1329" s="72" t="str">
        <f t="shared" si="607"/>
        <v>Nov</v>
      </c>
      <c r="C1329" s="73">
        <f t="shared" si="625"/>
        <v>15</v>
      </c>
      <c r="D1329" s="74">
        <f t="shared" si="608"/>
        <v>11</v>
      </c>
      <c r="E1329" s="75">
        <f t="shared" si="609"/>
        <v>22</v>
      </c>
      <c r="F1329" s="79"/>
      <c r="G1329" s="82"/>
      <c r="H1329" s="68" t="str">
        <f t="shared" si="626"/>
        <v>Hyprev7_20211115_11_00</v>
      </c>
      <c r="I1329" s="69">
        <f t="shared" si="629"/>
        <v>1</v>
      </c>
      <c r="J1329" s="76" t="str">
        <f t="shared" si="629"/>
        <v>Hypericum</v>
      </c>
      <c r="K1329" s="76" t="str">
        <f t="shared" si="629"/>
        <v>revolutum</v>
      </c>
      <c r="L1329" s="77">
        <f t="shared" si="629"/>
        <v>7</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2021</v>
      </c>
      <c r="B1330" s="72" t="str">
        <f t="shared" si="607"/>
        <v>Nov</v>
      </c>
      <c r="C1330" s="73">
        <f t="shared" si="625"/>
        <v>15</v>
      </c>
      <c r="D1330" s="74">
        <f t="shared" si="608"/>
        <v>11</v>
      </c>
      <c r="E1330" s="75">
        <f t="shared" si="609"/>
        <v>23</v>
      </c>
      <c r="F1330" s="79"/>
      <c r="G1330" s="82"/>
      <c r="H1330" s="68" t="str">
        <f t="shared" si="626"/>
        <v>Hyprev7_20211115_11_00</v>
      </c>
      <c r="I1330" s="69">
        <f t="shared" si="629"/>
        <v>1</v>
      </c>
      <c r="J1330" s="76" t="str">
        <f t="shared" si="629"/>
        <v>Hypericum</v>
      </c>
      <c r="K1330" s="76" t="str">
        <f t="shared" si="629"/>
        <v>revolutum</v>
      </c>
      <c r="L1330" s="77">
        <f t="shared" si="629"/>
        <v>7</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2021</v>
      </c>
      <c r="B1331" s="72" t="str">
        <f t="shared" si="607"/>
        <v>Nov</v>
      </c>
      <c r="C1331" s="73">
        <f t="shared" si="625"/>
        <v>15</v>
      </c>
      <c r="D1331" s="74">
        <f t="shared" si="608"/>
        <v>11</v>
      </c>
      <c r="E1331" s="75">
        <f t="shared" si="609"/>
        <v>24</v>
      </c>
      <c r="F1331" s="79"/>
      <c r="G1331" s="82"/>
      <c r="H1331" s="68" t="str">
        <f t="shared" si="626"/>
        <v>Hyprev7_20211115_11_00</v>
      </c>
      <c r="I1331" s="69">
        <f t="shared" si="629"/>
        <v>1</v>
      </c>
      <c r="J1331" s="76" t="str">
        <f t="shared" si="629"/>
        <v>Hypericum</v>
      </c>
      <c r="K1331" s="76" t="str">
        <f t="shared" si="629"/>
        <v>revolutum</v>
      </c>
      <c r="L1331" s="77">
        <f t="shared" si="629"/>
        <v>7</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2021</v>
      </c>
      <c r="B1332" s="72" t="str">
        <f t="shared" si="607"/>
        <v>Nov</v>
      </c>
      <c r="C1332" s="73">
        <f t="shared" si="625"/>
        <v>15</v>
      </c>
      <c r="D1332" s="74">
        <f t="shared" si="608"/>
        <v>11</v>
      </c>
      <c r="E1332" s="75">
        <f t="shared" si="609"/>
        <v>25</v>
      </c>
      <c r="F1332" s="79">
        <v>55</v>
      </c>
      <c r="G1332" s="82"/>
      <c r="H1332" s="68" t="str">
        <f t="shared" si="626"/>
        <v>Hyprev7_20211115_11_00</v>
      </c>
      <c r="I1332" s="69">
        <f t="shared" si="629"/>
        <v>1</v>
      </c>
      <c r="J1332" s="76" t="str">
        <f t="shared" si="629"/>
        <v>Hypericum</v>
      </c>
      <c r="K1332" s="76" t="str">
        <f t="shared" si="629"/>
        <v>revolutum</v>
      </c>
      <c r="L1332" s="77">
        <f t="shared" si="629"/>
        <v>7</v>
      </c>
      <c r="M1332" s="77">
        <f t="shared" si="629"/>
        <v>2</v>
      </c>
      <c r="N1332" s="71">
        <f t="shared" si="629"/>
        <v>0</v>
      </c>
      <c r="O1332" s="44"/>
      <c r="P1332" s="45">
        <f t="shared" si="610"/>
        <v>1</v>
      </c>
      <c r="Q1332" s="46" t="str">
        <f t="shared" si="611"/>
        <v>11:25:55</v>
      </c>
      <c r="R1332" s="47" t="str">
        <f t="shared" si="612"/>
        <v>25:55</v>
      </c>
      <c r="S1332" s="48">
        <f t="shared" si="601"/>
        <v>32</v>
      </c>
      <c r="T1332" s="47" t="str">
        <f t="shared" si="613"/>
        <v>11</v>
      </c>
      <c r="U1332" s="49">
        <v>26</v>
      </c>
      <c r="V1332" s="50">
        <v>27</v>
      </c>
      <c r="W1332" s="51" t="str">
        <f t="shared" si="614"/>
        <v>26:27</v>
      </c>
      <c r="X1332" s="52" t="s">
        <v>61</v>
      </c>
      <c r="Y1332" s="124" t="s">
        <v>240</v>
      </c>
      <c r="Z1332" s="124"/>
      <c r="AA1332" s="47" t="s">
        <v>254</v>
      </c>
      <c r="AB1332" s="47" t="str">
        <f t="shared" si="615"/>
        <v>NA</v>
      </c>
      <c r="AC1332" s="53" t="str">
        <f t="shared" si="616"/>
        <v/>
      </c>
      <c r="AD1332" s="54">
        <f t="shared" si="617"/>
        <v>1</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t="s">
        <v>98</v>
      </c>
      <c r="AT1332" s="58"/>
      <c r="AU1332" s="58"/>
      <c r="AV1332" s="59"/>
      <c r="AW1332" s="60">
        <f t="shared" si="602"/>
        <v>0</v>
      </c>
      <c r="AX1332" s="61" t="str">
        <f t="shared" si="603"/>
        <v/>
      </c>
      <c r="AY1332" s="60">
        <f t="shared" si="604"/>
        <v>0</v>
      </c>
      <c r="AZ1332" s="61" t="str">
        <f t="shared" si="605"/>
        <v/>
      </c>
    </row>
    <row r="1333" spans="1:52" s="3" customFormat="1" hidden="1" x14ac:dyDescent="0.35">
      <c r="A1333" s="72">
        <f t="shared" si="606"/>
        <v>2021</v>
      </c>
      <c r="B1333" s="72" t="str">
        <f t="shared" si="607"/>
        <v>Nov</v>
      </c>
      <c r="C1333" s="73">
        <f t="shared" si="625"/>
        <v>15</v>
      </c>
      <c r="D1333" s="74">
        <f t="shared" si="608"/>
        <v>11</v>
      </c>
      <c r="E1333" s="75">
        <f t="shared" si="609"/>
        <v>26</v>
      </c>
      <c r="F1333" s="79"/>
      <c r="G1333" s="82"/>
      <c r="H1333" s="68" t="str">
        <f t="shared" si="626"/>
        <v>Hyprev7_20211115_11_00</v>
      </c>
      <c r="I1333" s="69">
        <f t="shared" ref="I1333:N1348" si="630">I1332</f>
        <v>1</v>
      </c>
      <c r="J1333" s="76" t="str">
        <f t="shared" si="630"/>
        <v>Hypericum</v>
      </c>
      <c r="K1333" s="76" t="str">
        <f t="shared" si="630"/>
        <v>revolutum</v>
      </c>
      <c r="L1333" s="77">
        <f t="shared" si="630"/>
        <v>7</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2021</v>
      </c>
      <c r="B1334" s="72" t="str">
        <f t="shared" si="607"/>
        <v>Nov</v>
      </c>
      <c r="C1334" s="73">
        <f t="shared" si="625"/>
        <v>15</v>
      </c>
      <c r="D1334" s="74">
        <f t="shared" si="608"/>
        <v>11</v>
      </c>
      <c r="E1334" s="75">
        <f t="shared" si="609"/>
        <v>27</v>
      </c>
      <c r="F1334" s="79"/>
      <c r="G1334" s="82"/>
      <c r="H1334" s="68" t="str">
        <f t="shared" si="626"/>
        <v>Hyprev7_20211115_11_00</v>
      </c>
      <c r="I1334" s="69">
        <f t="shared" si="630"/>
        <v>1</v>
      </c>
      <c r="J1334" s="76" t="str">
        <f t="shared" si="630"/>
        <v>Hypericum</v>
      </c>
      <c r="K1334" s="76" t="str">
        <f t="shared" si="630"/>
        <v>revolutum</v>
      </c>
      <c r="L1334" s="77">
        <f t="shared" si="630"/>
        <v>7</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2021</v>
      </c>
      <c r="B1335" s="72" t="str">
        <f t="shared" si="607"/>
        <v>Nov</v>
      </c>
      <c r="C1335" s="73">
        <f t="shared" si="625"/>
        <v>15</v>
      </c>
      <c r="D1335" s="74">
        <f t="shared" si="608"/>
        <v>11</v>
      </c>
      <c r="E1335" s="75">
        <f t="shared" si="609"/>
        <v>28</v>
      </c>
      <c r="F1335" s="79"/>
      <c r="G1335" s="82"/>
      <c r="H1335" s="68" t="str">
        <f t="shared" si="626"/>
        <v>Hyprev7_20211115_11_00</v>
      </c>
      <c r="I1335" s="69">
        <f t="shared" si="630"/>
        <v>1</v>
      </c>
      <c r="J1335" s="76" t="str">
        <f t="shared" si="630"/>
        <v>Hypericum</v>
      </c>
      <c r="K1335" s="76" t="str">
        <f t="shared" si="630"/>
        <v>revolutum</v>
      </c>
      <c r="L1335" s="77">
        <f t="shared" si="630"/>
        <v>7</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2021</v>
      </c>
      <c r="B1336" s="72" t="str">
        <f t="shared" si="607"/>
        <v>Nov</v>
      </c>
      <c r="C1336" s="73">
        <f t="shared" si="625"/>
        <v>15</v>
      </c>
      <c r="D1336" s="74">
        <f t="shared" si="608"/>
        <v>11</v>
      </c>
      <c r="E1336" s="75">
        <f t="shared" si="609"/>
        <v>29</v>
      </c>
      <c r="F1336" s="79"/>
      <c r="G1336" s="82"/>
      <c r="H1336" s="68" t="str">
        <f t="shared" si="626"/>
        <v>Hyprev7_20211115_11_00</v>
      </c>
      <c r="I1336" s="69">
        <f t="shared" si="630"/>
        <v>1</v>
      </c>
      <c r="J1336" s="76" t="str">
        <f t="shared" si="630"/>
        <v>Hypericum</v>
      </c>
      <c r="K1336" s="76" t="str">
        <f t="shared" si="630"/>
        <v>revolutum</v>
      </c>
      <c r="L1336" s="77">
        <f t="shared" si="630"/>
        <v>7</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2021</v>
      </c>
      <c r="B1337" s="72" t="str">
        <f t="shared" si="607"/>
        <v>Nov</v>
      </c>
      <c r="C1337" s="73">
        <f t="shared" si="625"/>
        <v>15</v>
      </c>
      <c r="D1337" s="74">
        <f t="shared" si="608"/>
        <v>11</v>
      </c>
      <c r="E1337" s="75">
        <f t="shared" si="609"/>
        <v>30</v>
      </c>
      <c r="F1337" s="79"/>
      <c r="G1337" s="82"/>
      <c r="H1337" s="68" t="str">
        <f t="shared" si="626"/>
        <v>Hyprev7_20211115_11_00</v>
      </c>
      <c r="I1337" s="69">
        <f t="shared" si="630"/>
        <v>1</v>
      </c>
      <c r="J1337" s="76" t="str">
        <f t="shared" si="630"/>
        <v>Hypericum</v>
      </c>
      <c r="K1337" s="76" t="str">
        <f t="shared" si="630"/>
        <v>revolutum</v>
      </c>
      <c r="L1337" s="77">
        <f t="shared" si="630"/>
        <v>7</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2021</v>
      </c>
      <c r="B1338" s="72" t="str">
        <f t="shared" si="607"/>
        <v>Nov</v>
      </c>
      <c r="C1338" s="73">
        <f t="shared" si="625"/>
        <v>15</v>
      </c>
      <c r="D1338" s="74">
        <f t="shared" si="608"/>
        <v>11</v>
      </c>
      <c r="E1338" s="75">
        <f t="shared" si="609"/>
        <v>31</v>
      </c>
      <c r="F1338" s="79"/>
      <c r="G1338" s="82"/>
      <c r="H1338" s="68" t="str">
        <f t="shared" si="626"/>
        <v>Hyprev7_20211115_11_00</v>
      </c>
      <c r="I1338" s="69">
        <f t="shared" si="630"/>
        <v>1</v>
      </c>
      <c r="J1338" s="76" t="str">
        <f t="shared" si="630"/>
        <v>Hypericum</v>
      </c>
      <c r="K1338" s="76" t="str">
        <f t="shared" si="630"/>
        <v>revolutum</v>
      </c>
      <c r="L1338" s="77">
        <f t="shared" si="630"/>
        <v>7</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2021</v>
      </c>
      <c r="B1339" s="72" t="str">
        <f t="shared" si="607"/>
        <v>Nov</v>
      </c>
      <c r="C1339" s="73">
        <f t="shared" si="625"/>
        <v>15</v>
      </c>
      <c r="D1339" s="74">
        <f t="shared" si="608"/>
        <v>11</v>
      </c>
      <c r="E1339" s="75">
        <f t="shared" si="609"/>
        <v>32</v>
      </c>
      <c r="F1339" s="79"/>
      <c r="G1339" s="82"/>
      <c r="H1339" s="68" t="str">
        <f t="shared" si="626"/>
        <v>Hyprev7_20211115_11_00</v>
      </c>
      <c r="I1339" s="69">
        <f t="shared" si="630"/>
        <v>1</v>
      </c>
      <c r="J1339" s="76" t="str">
        <f t="shared" si="630"/>
        <v>Hypericum</v>
      </c>
      <c r="K1339" s="76" t="str">
        <f t="shared" si="630"/>
        <v>revolutum</v>
      </c>
      <c r="L1339" s="77">
        <f t="shared" si="630"/>
        <v>7</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2021</v>
      </c>
      <c r="B1340" s="72" t="str">
        <f t="shared" si="607"/>
        <v>Nov</v>
      </c>
      <c r="C1340" s="73">
        <f t="shared" si="625"/>
        <v>15</v>
      </c>
      <c r="D1340" s="74">
        <f t="shared" si="608"/>
        <v>11</v>
      </c>
      <c r="E1340" s="75">
        <f t="shared" si="609"/>
        <v>33</v>
      </c>
      <c r="F1340" s="79"/>
      <c r="G1340" s="82"/>
      <c r="H1340" s="68" t="str">
        <f t="shared" si="626"/>
        <v>Hyprev7_20211115_11_00</v>
      </c>
      <c r="I1340" s="69">
        <f t="shared" si="630"/>
        <v>1</v>
      </c>
      <c r="J1340" s="76" t="str">
        <f t="shared" si="630"/>
        <v>Hypericum</v>
      </c>
      <c r="K1340" s="76" t="str">
        <f t="shared" si="630"/>
        <v>revolutum</v>
      </c>
      <c r="L1340" s="77">
        <f t="shared" si="630"/>
        <v>7</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2021</v>
      </c>
      <c r="B1341" s="72" t="str">
        <f t="shared" si="607"/>
        <v>Nov</v>
      </c>
      <c r="C1341" s="73">
        <f t="shared" si="625"/>
        <v>15</v>
      </c>
      <c r="D1341" s="74">
        <f t="shared" si="608"/>
        <v>11</v>
      </c>
      <c r="E1341" s="75">
        <f t="shared" si="609"/>
        <v>34</v>
      </c>
      <c r="F1341" s="79"/>
      <c r="G1341" s="82"/>
      <c r="H1341" s="68" t="str">
        <f t="shared" si="626"/>
        <v>Hyprev7_20211115_11_00</v>
      </c>
      <c r="I1341" s="69">
        <f t="shared" si="630"/>
        <v>1</v>
      </c>
      <c r="J1341" s="76" t="str">
        <f t="shared" si="630"/>
        <v>Hypericum</v>
      </c>
      <c r="K1341" s="76" t="str">
        <f t="shared" si="630"/>
        <v>revolutum</v>
      </c>
      <c r="L1341" s="77">
        <f t="shared" si="630"/>
        <v>7</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2021</v>
      </c>
      <c r="B1342" s="72" t="str">
        <f t="shared" si="607"/>
        <v>Nov</v>
      </c>
      <c r="C1342" s="73">
        <f t="shared" si="625"/>
        <v>15</v>
      </c>
      <c r="D1342" s="74">
        <f t="shared" si="608"/>
        <v>11</v>
      </c>
      <c r="E1342" s="75">
        <f t="shared" si="609"/>
        <v>35</v>
      </c>
      <c r="F1342" s="79"/>
      <c r="G1342" s="82"/>
      <c r="H1342" s="68" t="str">
        <f t="shared" si="626"/>
        <v>Hyprev7_20211115_11_00</v>
      </c>
      <c r="I1342" s="69">
        <f t="shared" si="630"/>
        <v>1</v>
      </c>
      <c r="J1342" s="76" t="str">
        <f t="shared" si="630"/>
        <v>Hypericum</v>
      </c>
      <c r="K1342" s="76" t="str">
        <f t="shared" si="630"/>
        <v>revolutum</v>
      </c>
      <c r="L1342" s="77">
        <f t="shared" si="630"/>
        <v>7</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2021</v>
      </c>
      <c r="B1343" s="72" t="str">
        <f t="shared" si="607"/>
        <v>Nov</v>
      </c>
      <c r="C1343" s="73">
        <f t="shared" si="625"/>
        <v>15</v>
      </c>
      <c r="D1343" s="74">
        <f t="shared" si="608"/>
        <v>11</v>
      </c>
      <c r="E1343" s="75">
        <f t="shared" si="609"/>
        <v>36</v>
      </c>
      <c r="F1343" s="79"/>
      <c r="G1343" s="82"/>
      <c r="H1343" s="68" t="str">
        <f t="shared" si="626"/>
        <v>Hyprev7_20211115_11_00</v>
      </c>
      <c r="I1343" s="69">
        <f t="shared" si="630"/>
        <v>1</v>
      </c>
      <c r="J1343" s="76" t="str">
        <f t="shared" si="630"/>
        <v>Hypericum</v>
      </c>
      <c r="K1343" s="76" t="str">
        <f t="shared" si="630"/>
        <v>revolutum</v>
      </c>
      <c r="L1343" s="77">
        <f t="shared" si="630"/>
        <v>7</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2021</v>
      </c>
      <c r="B1344" s="72" t="str">
        <f t="shared" si="607"/>
        <v>Nov</v>
      </c>
      <c r="C1344" s="73">
        <f t="shared" si="625"/>
        <v>15</v>
      </c>
      <c r="D1344" s="74">
        <f t="shared" si="608"/>
        <v>11</v>
      </c>
      <c r="E1344" s="75">
        <f t="shared" si="609"/>
        <v>37</v>
      </c>
      <c r="F1344" s="79"/>
      <c r="G1344" s="82"/>
      <c r="H1344" s="68" t="str">
        <f t="shared" si="626"/>
        <v>Hyprev7_20211115_11_00</v>
      </c>
      <c r="I1344" s="69">
        <f t="shared" si="630"/>
        <v>1</v>
      </c>
      <c r="J1344" s="76" t="str">
        <f t="shared" si="630"/>
        <v>Hypericum</v>
      </c>
      <c r="K1344" s="76" t="str">
        <f t="shared" si="630"/>
        <v>revolutum</v>
      </c>
      <c r="L1344" s="77">
        <f t="shared" si="630"/>
        <v>7</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2021</v>
      </c>
      <c r="B1345" s="72" t="str">
        <f t="shared" si="607"/>
        <v>Nov</v>
      </c>
      <c r="C1345" s="73">
        <f t="shared" si="625"/>
        <v>15</v>
      </c>
      <c r="D1345" s="74">
        <f t="shared" si="608"/>
        <v>11</v>
      </c>
      <c r="E1345" s="75">
        <f t="shared" si="609"/>
        <v>38</v>
      </c>
      <c r="F1345" s="79"/>
      <c r="G1345" s="82"/>
      <c r="H1345" s="68" t="str">
        <f t="shared" si="626"/>
        <v>Hyprev7_20211115_11_00</v>
      </c>
      <c r="I1345" s="69">
        <f t="shared" si="630"/>
        <v>1</v>
      </c>
      <c r="J1345" s="76" t="str">
        <f t="shared" si="630"/>
        <v>Hypericum</v>
      </c>
      <c r="K1345" s="76" t="str">
        <f t="shared" si="630"/>
        <v>revolutum</v>
      </c>
      <c r="L1345" s="77">
        <f t="shared" si="630"/>
        <v>7</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2021</v>
      </c>
      <c r="B1346" s="72" t="str">
        <f t="shared" si="607"/>
        <v>Nov</v>
      </c>
      <c r="C1346" s="73">
        <f t="shared" si="625"/>
        <v>15</v>
      </c>
      <c r="D1346" s="74">
        <f t="shared" si="608"/>
        <v>11</v>
      </c>
      <c r="E1346" s="75">
        <f t="shared" si="609"/>
        <v>39</v>
      </c>
      <c r="F1346" s="79"/>
      <c r="G1346" s="82"/>
      <c r="H1346" s="68" t="str">
        <f t="shared" si="626"/>
        <v>Hyprev7_20211115_11_00</v>
      </c>
      <c r="I1346" s="69">
        <f t="shared" si="630"/>
        <v>1</v>
      </c>
      <c r="J1346" s="76" t="str">
        <f t="shared" si="630"/>
        <v>Hypericum</v>
      </c>
      <c r="K1346" s="76" t="str">
        <f t="shared" si="630"/>
        <v>revolutum</v>
      </c>
      <c r="L1346" s="77">
        <f t="shared" si="630"/>
        <v>7</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2021</v>
      </c>
      <c r="B1347" s="72" t="str">
        <f t="shared" si="607"/>
        <v>Nov</v>
      </c>
      <c r="C1347" s="73">
        <f t="shared" si="625"/>
        <v>15</v>
      </c>
      <c r="D1347" s="74">
        <f t="shared" si="608"/>
        <v>11</v>
      </c>
      <c r="E1347" s="75">
        <f t="shared" si="609"/>
        <v>40</v>
      </c>
      <c r="F1347" s="79"/>
      <c r="G1347" s="82"/>
      <c r="H1347" s="68" t="str">
        <f t="shared" si="626"/>
        <v>Hyprev7_20211115_11_00</v>
      </c>
      <c r="I1347" s="69">
        <f t="shared" si="630"/>
        <v>1</v>
      </c>
      <c r="J1347" s="76" t="str">
        <f t="shared" si="630"/>
        <v>Hypericum</v>
      </c>
      <c r="K1347" s="76" t="str">
        <f t="shared" si="630"/>
        <v>revolutum</v>
      </c>
      <c r="L1347" s="77">
        <f t="shared" si="630"/>
        <v>7</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2021</v>
      </c>
      <c r="B1348" s="72" t="str">
        <f t="shared" ref="B1348:B1411" si="637">IF(C1347-C1348&gt;0, TEXT(DATE(2016,(MONTH(DATEVALUE(B1347&amp;"1"))+1),1),"mmm"), B1347)</f>
        <v>Nov</v>
      </c>
      <c r="C1348" s="73">
        <f t="shared" si="625"/>
        <v>15</v>
      </c>
      <c r="D1348" s="74">
        <f t="shared" ref="D1348:D1411" si="638">IF(IF(E1347=59,D1347+1,D1347)=24,0,IF(E1347=59,D1347+1,D1347))</f>
        <v>11</v>
      </c>
      <c r="E1348" s="75">
        <f t="shared" ref="E1348:E1411" si="639">IF(E1347&lt;59,E1347+1,0)</f>
        <v>41</v>
      </c>
      <c r="F1348" s="79"/>
      <c r="G1348" s="82"/>
      <c r="H1348" s="68" t="str">
        <f t="shared" si="626"/>
        <v>Hyprev7_20211115_11_00</v>
      </c>
      <c r="I1348" s="69">
        <f t="shared" si="630"/>
        <v>1</v>
      </c>
      <c r="J1348" s="76" t="str">
        <f t="shared" si="630"/>
        <v>Hypericum</v>
      </c>
      <c r="K1348" s="76" t="str">
        <f t="shared" si="630"/>
        <v>revolutum</v>
      </c>
      <c r="L1348" s="77">
        <f t="shared" si="630"/>
        <v>7</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2021</v>
      </c>
      <c r="B1349" s="72" t="str">
        <f t="shared" si="637"/>
        <v>Nov</v>
      </c>
      <c r="C1349" s="73">
        <f t="shared" ref="C1349:C1412" si="655">IF(AND(D1349=0, E1349=0), IF(TEXT(C1348,"dd")=TEXT(EOMONTH(DATE(A1348,MONTH(DATEVALUE(B1348&amp;"1")),C1348),0), "dd"), 1, C1348+1), C1348)</f>
        <v>15</v>
      </c>
      <c r="D1349" s="74">
        <f t="shared" si="638"/>
        <v>11</v>
      </c>
      <c r="E1349" s="75">
        <f t="shared" si="639"/>
        <v>42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Hyprev7_20211115_11_00</v>
      </c>
      <c r="I1349" s="69">
        <f t="shared" ref="I1349:N1364" si="657">I1348</f>
        <v>1</v>
      </c>
      <c r="J1349" s="76" t="str">
        <f t="shared" si="657"/>
        <v>Hypericum</v>
      </c>
      <c r="K1349" s="76" t="str">
        <f t="shared" si="657"/>
        <v>revolutum</v>
      </c>
      <c r="L1349" s="77">
        <f t="shared" si="657"/>
        <v>7</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2021</v>
      </c>
      <c r="B1350" s="72" t="str">
        <f t="shared" si="637"/>
        <v>Nov</v>
      </c>
      <c r="C1350" s="73">
        <f t="shared" si="655"/>
        <v>15</v>
      </c>
      <c r="D1350" s="74">
        <f t="shared" si="638"/>
        <v>11</v>
      </c>
      <c r="E1350" s="75">
        <f t="shared" si="639"/>
        <v>43</v>
      </c>
      <c r="F1350" s="79"/>
      <c r="G1350" s="82"/>
      <c r="H1350" s="68" t="str">
        <f t="shared" si="656"/>
        <v>Hyprev7_20211115_11_00</v>
      </c>
      <c r="I1350" s="69">
        <f t="shared" si="657"/>
        <v>1</v>
      </c>
      <c r="J1350" s="76" t="str">
        <f t="shared" si="657"/>
        <v>Hypericum</v>
      </c>
      <c r="K1350" s="76" t="str">
        <f t="shared" si="657"/>
        <v>revolutum</v>
      </c>
      <c r="L1350" s="77">
        <f t="shared" si="657"/>
        <v>7</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2021</v>
      </c>
      <c r="B1351" s="72" t="str">
        <f t="shared" si="637"/>
        <v>Nov</v>
      </c>
      <c r="C1351" s="73">
        <f t="shared" si="655"/>
        <v>15</v>
      </c>
      <c r="D1351" s="74">
        <f t="shared" si="638"/>
        <v>11</v>
      </c>
      <c r="E1351" s="75">
        <f t="shared" si="639"/>
        <v>44</v>
      </c>
      <c r="F1351" s="79"/>
      <c r="G1351" s="82"/>
      <c r="H1351" s="68" t="str">
        <f t="shared" si="656"/>
        <v>Hyprev7_20211115_11_00</v>
      </c>
      <c r="I1351" s="69">
        <f t="shared" si="657"/>
        <v>1</v>
      </c>
      <c r="J1351" s="76" t="str">
        <f t="shared" si="657"/>
        <v>Hypericum</v>
      </c>
      <c r="K1351" s="76" t="str">
        <f t="shared" si="657"/>
        <v>revolutum</v>
      </c>
      <c r="L1351" s="77">
        <f t="shared" si="657"/>
        <v>7</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2021</v>
      </c>
      <c r="B1352" s="72" t="str">
        <f t="shared" si="637"/>
        <v>Nov</v>
      </c>
      <c r="C1352" s="73">
        <f t="shared" si="655"/>
        <v>15</v>
      </c>
      <c r="D1352" s="74">
        <f t="shared" si="638"/>
        <v>11</v>
      </c>
      <c r="E1352" s="75">
        <f t="shared" si="639"/>
        <v>45</v>
      </c>
      <c r="F1352" s="79"/>
      <c r="G1352" s="82"/>
      <c r="H1352" s="68" t="str">
        <f t="shared" si="656"/>
        <v>Hyprev7_20211115_11_00</v>
      </c>
      <c r="I1352" s="69">
        <f t="shared" si="657"/>
        <v>1</v>
      </c>
      <c r="J1352" s="76" t="str">
        <f t="shared" si="657"/>
        <v>Hypericum</v>
      </c>
      <c r="K1352" s="76" t="str">
        <f t="shared" si="657"/>
        <v>revolutum</v>
      </c>
      <c r="L1352" s="77">
        <f t="shared" si="657"/>
        <v>7</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2021</v>
      </c>
      <c r="B1353" s="72" t="str">
        <f t="shared" si="637"/>
        <v>Nov</v>
      </c>
      <c r="C1353" s="73">
        <f t="shared" si="655"/>
        <v>15</v>
      </c>
      <c r="D1353" s="74">
        <f t="shared" si="638"/>
        <v>11</v>
      </c>
      <c r="E1353" s="75">
        <f t="shared" si="639"/>
        <v>46</v>
      </c>
      <c r="F1353" s="79"/>
      <c r="G1353" s="82"/>
      <c r="H1353" s="68" t="str">
        <f t="shared" si="656"/>
        <v>Hyprev7_20211115_11_00</v>
      </c>
      <c r="I1353" s="69">
        <f t="shared" si="657"/>
        <v>1</v>
      </c>
      <c r="J1353" s="76" t="str">
        <f t="shared" si="657"/>
        <v>Hypericum</v>
      </c>
      <c r="K1353" s="76" t="str">
        <f t="shared" si="657"/>
        <v>revolutum</v>
      </c>
      <c r="L1353" s="77">
        <f t="shared" si="657"/>
        <v>7</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2021</v>
      </c>
      <c r="B1354" s="72" t="str">
        <f t="shared" si="637"/>
        <v>Nov</v>
      </c>
      <c r="C1354" s="73">
        <f t="shared" si="655"/>
        <v>15</v>
      </c>
      <c r="D1354" s="74">
        <f t="shared" si="638"/>
        <v>11</v>
      </c>
      <c r="E1354" s="75">
        <f t="shared" si="639"/>
        <v>47</v>
      </c>
      <c r="F1354" s="79"/>
      <c r="G1354" s="82"/>
      <c r="H1354" s="68" t="str">
        <f t="shared" si="656"/>
        <v>Hyprev7_20211115_11_00</v>
      </c>
      <c r="I1354" s="69">
        <f t="shared" si="657"/>
        <v>1</v>
      </c>
      <c r="J1354" s="76" t="str">
        <f t="shared" si="657"/>
        <v>Hypericum</v>
      </c>
      <c r="K1354" s="76" t="str">
        <f t="shared" si="657"/>
        <v>revolutum</v>
      </c>
      <c r="L1354" s="77">
        <f t="shared" si="657"/>
        <v>7</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2021</v>
      </c>
      <c r="B1355" s="72" t="str">
        <f t="shared" si="637"/>
        <v>Nov</v>
      </c>
      <c r="C1355" s="73">
        <f t="shared" si="655"/>
        <v>15</v>
      </c>
      <c r="D1355" s="74">
        <f t="shared" si="638"/>
        <v>11</v>
      </c>
      <c r="E1355" s="75">
        <f t="shared" si="639"/>
        <v>48</v>
      </c>
      <c r="F1355" s="79"/>
      <c r="G1355" s="82"/>
      <c r="H1355" s="68" t="str">
        <f t="shared" si="656"/>
        <v>Hyprev7_20211115_11_00</v>
      </c>
      <c r="I1355" s="69">
        <f t="shared" si="657"/>
        <v>1</v>
      </c>
      <c r="J1355" s="76" t="str">
        <f t="shared" si="657"/>
        <v>Hypericum</v>
      </c>
      <c r="K1355" s="76" t="str">
        <f t="shared" si="657"/>
        <v>revolutum</v>
      </c>
      <c r="L1355" s="77">
        <f t="shared" si="657"/>
        <v>7</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2021</v>
      </c>
      <c r="B1356" s="72" t="str">
        <f t="shared" si="637"/>
        <v>Nov</v>
      </c>
      <c r="C1356" s="73">
        <f t="shared" si="655"/>
        <v>15</v>
      </c>
      <c r="D1356" s="74">
        <f t="shared" si="638"/>
        <v>11</v>
      </c>
      <c r="E1356" s="75">
        <f t="shared" si="639"/>
        <v>49</v>
      </c>
      <c r="F1356" s="79"/>
      <c r="G1356" s="82"/>
      <c r="H1356" s="68" t="str">
        <f t="shared" si="656"/>
        <v>Hyprev7_20211115_11_00</v>
      </c>
      <c r="I1356" s="69">
        <f t="shared" si="657"/>
        <v>1</v>
      </c>
      <c r="J1356" s="76" t="str">
        <f t="shared" si="657"/>
        <v>Hypericum</v>
      </c>
      <c r="K1356" s="76" t="str">
        <f t="shared" si="657"/>
        <v>revolutum</v>
      </c>
      <c r="L1356" s="77">
        <f t="shared" si="657"/>
        <v>7</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2021</v>
      </c>
      <c r="B1357" s="72" t="str">
        <f t="shared" si="637"/>
        <v>Nov</v>
      </c>
      <c r="C1357" s="73">
        <f t="shared" si="655"/>
        <v>15</v>
      </c>
      <c r="D1357" s="74">
        <f t="shared" si="638"/>
        <v>11</v>
      </c>
      <c r="E1357" s="75">
        <f t="shared" si="639"/>
        <v>50</v>
      </c>
      <c r="F1357" s="79"/>
      <c r="G1357" s="82"/>
      <c r="H1357" s="68" t="str">
        <f t="shared" si="656"/>
        <v>Hyprev7_20211115_11_00</v>
      </c>
      <c r="I1357" s="69">
        <f t="shared" si="657"/>
        <v>1</v>
      </c>
      <c r="J1357" s="76" t="str">
        <f t="shared" si="657"/>
        <v>Hypericum</v>
      </c>
      <c r="K1357" s="76" t="str">
        <f t="shared" si="657"/>
        <v>revolutum</v>
      </c>
      <c r="L1357" s="77">
        <f t="shared" si="657"/>
        <v>7</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2021</v>
      </c>
      <c r="B1358" s="72" t="str">
        <f t="shared" si="637"/>
        <v>Nov</v>
      </c>
      <c r="C1358" s="73">
        <f t="shared" si="655"/>
        <v>15</v>
      </c>
      <c r="D1358" s="74">
        <f t="shared" si="638"/>
        <v>11</v>
      </c>
      <c r="E1358" s="75">
        <f t="shared" si="639"/>
        <v>51</v>
      </c>
      <c r="F1358" s="79"/>
      <c r="G1358" s="82"/>
      <c r="H1358" s="68" t="str">
        <f t="shared" si="656"/>
        <v>Hyprev7_20211115_11_00</v>
      </c>
      <c r="I1358" s="69">
        <f t="shared" si="657"/>
        <v>1</v>
      </c>
      <c r="J1358" s="76" t="str">
        <f t="shared" si="657"/>
        <v>Hypericum</v>
      </c>
      <c r="K1358" s="76" t="str">
        <f t="shared" si="657"/>
        <v>revolutum</v>
      </c>
      <c r="L1358" s="77">
        <f t="shared" si="657"/>
        <v>7</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2021</v>
      </c>
      <c r="B1359" s="72" t="str">
        <f t="shared" si="637"/>
        <v>Nov</v>
      </c>
      <c r="C1359" s="73">
        <f t="shared" si="655"/>
        <v>15</v>
      </c>
      <c r="D1359" s="74">
        <f t="shared" si="638"/>
        <v>11</v>
      </c>
      <c r="E1359" s="75">
        <f t="shared" si="639"/>
        <v>52</v>
      </c>
      <c r="F1359" s="79"/>
      <c r="G1359" s="82"/>
      <c r="H1359" s="68" t="str">
        <f t="shared" si="656"/>
        <v>Hyprev7_20211115_11_00</v>
      </c>
      <c r="I1359" s="69">
        <f t="shared" si="657"/>
        <v>1</v>
      </c>
      <c r="J1359" s="76" t="str">
        <f t="shared" si="657"/>
        <v>Hypericum</v>
      </c>
      <c r="K1359" s="76" t="str">
        <f t="shared" si="657"/>
        <v>revolutum</v>
      </c>
      <c r="L1359" s="77">
        <f t="shared" si="657"/>
        <v>7</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2021</v>
      </c>
      <c r="B1360" s="72" t="str">
        <f t="shared" si="637"/>
        <v>Nov</v>
      </c>
      <c r="C1360" s="73">
        <f t="shared" si="655"/>
        <v>15</v>
      </c>
      <c r="D1360" s="74">
        <f t="shared" si="638"/>
        <v>11</v>
      </c>
      <c r="E1360" s="75">
        <f t="shared" si="639"/>
        <v>53</v>
      </c>
      <c r="F1360" s="79"/>
      <c r="G1360" s="82"/>
      <c r="H1360" s="68" t="str">
        <f t="shared" si="656"/>
        <v>Hyprev7_20211115_11_00</v>
      </c>
      <c r="I1360" s="69">
        <f t="shared" si="657"/>
        <v>1</v>
      </c>
      <c r="J1360" s="76" t="str">
        <f t="shared" si="657"/>
        <v>Hypericum</v>
      </c>
      <c r="K1360" s="76" t="str">
        <f t="shared" si="657"/>
        <v>revolutum</v>
      </c>
      <c r="L1360" s="77">
        <f t="shared" si="657"/>
        <v>7</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2021</v>
      </c>
      <c r="B1361" s="72" t="str">
        <f t="shared" si="637"/>
        <v>Nov</v>
      </c>
      <c r="C1361" s="73">
        <f t="shared" si="655"/>
        <v>15</v>
      </c>
      <c r="D1361" s="74">
        <f t="shared" si="638"/>
        <v>11</v>
      </c>
      <c r="E1361" s="75">
        <f t="shared" si="639"/>
        <v>54</v>
      </c>
      <c r="F1361" s="79"/>
      <c r="G1361" s="82"/>
      <c r="H1361" s="68" t="str">
        <f t="shared" si="656"/>
        <v>Hyprev7_20211115_11_00</v>
      </c>
      <c r="I1361" s="69">
        <f t="shared" si="657"/>
        <v>1</v>
      </c>
      <c r="J1361" s="76" t="str">
        <f t="shared" si="657"/>
        <v>Hypericum</v>
      </c>
      <c r="K1361" s="76" t="str">
        <f t="shared" si="657"/>
        <v>revolutum</v>
      </c>
      <c r="L1361" s="77">
        <f t="shared" si="657"/>
        <v>7</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2021</v>
      </c>
      <c r="B1362" s="72" t="str">
        <f t="shared" si="637"/>
        <v>Nov</v>
      </c>
      <c r="C1362" s="73">
        <f t="shared" si="655"/>
        <v>15</v>
      </c>
      <c r="D1362" s="74">
        <f t="shared" si="638"/>
        <v>11</v>
      </c>
      <c r="E1362" s="75">
        <f t="shared" si="639"/>
        <v>55</v>
      </c>
      <c r="F1362" s="79"/>
      <c r="G1362" s="82"/>
      <c r="H1362" s="68" t="str">
        <f t="shared" si="656"/>
        <v>Hyprev7_20211115_11_00</v>
      </c>
      <c r="I1362" s="69">
        <f t="shared" si="657"/>
        <v>1</v>
      </c>
      <c r="J1362" s="76" t="str">
        <f t="shared" si="657"/>
        <v>Hypericum</v>
      </c>
      <c r="K1362" s="76" t="str">
        <f t="shared" si="657"/>
        <v>revolutum</v>
      </c>
      <c r="L1362" s="77">
        <f t="shared" si="657"/>
        <v>7</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2021</v>
      </c>
      <c r="B1363" s="72" t="str">
        <f t="shared" si="637"/>
        <v>Nov</v>
      </c>
      <c r="C1363" s="73">
        <f t="shared" si="655"/>
        <v>15</v>
      </c>
      <c r="D1363" s="74">
        <f t="shared" si="638"/>
        <v>11</v>
      </c>
      <c r="E1363" s="75">
        <f t="shared" si="639"/>
        <v>56</v>
      </c>
      <c r="F1363" s="79"/>
      <c r="G1363" s="82"/>
      <c r="H1363" s="68" t="str">
        <f t="shared" si="656"/>
        <v>Hyprev7_20211115_11_00</v>
      </c>
      <c r="I1363" s="69">
        <f t="shared" si="657"/>
        <v>1</v>
      </c>
      <c r="J1363" s="76" t="str">
        <f t="shared" si="657"/>
        <v>Hypericum</v>
      </c>
      <c r="K1363" s="76" t="str">
        <f t="shared" si="657"/>
        <v>revolutum</v>
      </c>
      <c r="L1363" s="77">
        <f t="shared" si="657"/>
        <v>7</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2021</v>
      </c>
      <c r="B1364" s="72" t="str">
        <f t="shared" si="637"/>
        <v>Nov</v>
      </c>
      <c r="C1364" s="73">
        <f t="shared" si="655"/>
        <v>15</v>
      </c>
      <c r="D1364" s="74">
        <f t="shared" si="638"/>
        <v>11</v>
      </c>
      <c r="E1364" s="75">
        <f t="shared" si="639"/>
        <v>57</v>
      </c>
      <c r="F1364" s="79"/>
      <c r="G1364" s="82"/>
      <c r="H1364" s="68" t="str">
        <f t="shared" si="656"/>
        <v>Hyprev7_20211115_11_00</v>
      </c>
      <c r="I1364" s="69">
        <f t="shared" si="657"/>
        <v>1</v>
      </c>
      <c r="J1364" s="76" t="str">
        <f t="shared" si="657"/>
        <v>Hypericum</v>
      </c>
      <c r="K1364" s="76" t="str">
        <f t="shared" si="657"/>
        <v>revolutum</v>
      </c>
      <c r="L1364" s="77">
        <f t="shared" si="657"/>
        <v>7</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2021</v>
      </c>
      <c r="B1365" s="72" t="str">
        <f t="shared" si="637"/>
        <v>Nov</v>
      </c>
      <c r="C1365" s="73">
        <f t="shared" si="655"/>
        <v>15</v>
      </c>
      <c r="D1365" s="74">
        <f t="shared" si="638"/>
        <v>11</v>
      </c>
      <c r="E1365" s="75">
        <f t="shared" si="639"/>
        <v>58</v>
      </c>
      <c r="F1365" s="79"/>
      <c r="G1365" s="82"/>
      <c r="H1365" s="68" t="str">
        <f t="shared" si="656"/>
        <v>Hyprev7_20211115_11_00</v>
      </c>
      <c r="I1365" s="69">
        <f t="shared" ref="I1365:N1380" si="658">I1364</f>
        <v>1</v>
      </c>
      <c r="J1365" s="76" t="str">
        <f t="shared" si="658"/>
        <v>Hypericum</v>
      </c>
      <c r="K1365" s="76" t="str">
        <f t="shared" si="658"/>
        <v>revolutum</v>
      </c>
      <c r="L1365" s="77">
        <f t="shared" si="658"/>
        <v>7</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2021</v>
      </c>
      <c r="B1366" s="72" t="str">
        <f t="shared" si="637"/>
        <v>Nov</v>
      </c>
      <c r="C1366" s="73">
        <f t="shared" si="655"/>
        <v>15</v>
      </c>
      <c r="D1366" s="74">
        <f t="shared" si="638"/>
        <v>11</v>
      </c>
      <c r="E1366" s="75">
        <f t="shared" si="639"/>
        <v>59</v>
      </c>
      <c r="F1366" s="79"/>
      <c r="G1366" s="82"/>
      <c r="H1366" s="68" t="str">
        <f t="shared" si="656"/>
        <v>Hyprev7_20211115_11_00</v>
      </c>
      <c r="I1366" s="69">
        <f t="shared" si="658"/>
        <v>1</v>
      </c>
      <c r="J1366" s="76" t="str">
        <f t="shared" si="658"/>
        <v>Hypericum</v>
      </c>
      <c r="K1366" s="76" t="str">
        <f t="shared" si="658"/>
        <v>revolutum</v>
      </c>
      <c r="L1366" s="77">
        <f t="shared" si="658"/>
        <v>7</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2021</v>
      </c>
      <c r="B1367" s="72" t="str">
        <f t="shared" si="637"/>
        <v>Nov</v>
      </c>
      <c r="C1367" s="73">
        <f t="shared" si="655"/>
        <v>15</v>
      </c>
      <c r="D1367" s="74">
        <f t="shared" si="638"/>
        <v>12</v>
      </c>
      <c r="E1367" s="75">
        <f t="shared" si="639"/>
        <v>0</v>
      </c>
      <c r="F1367" s="79"/>
      <c r="G1367" s="82"/>
      <c r="H1367" s="68" t="str">
        <f t="shared" si="656"/>
        <v>Hyprev7_20211115_12_00</v>
      </c>
      <c r="I1367" s="69">
        <f t="shared" si="658"/>
        <v>1</v>
      </c>
      <c r="J1367" s="76" t="str">
        <f t="shared" si="658"/>
        <v>Hypericum</v>
      </c>
      <c r="K1367" s="76" t="str">
        <f t="shared" si="658"/>
        <v>revolutum</v>
      </c>
      <c r="L1367" s="77">
        <f t="shared" si="658"/>
        <v>7</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2021</v>
      </c>
      <c r="B1368" s="72" t="str">
        <f t="shared" si="637"/>
        <v>Nov</v>
      </c>
      <c r="C1368" s="73">
        <f t="shared" si="655"/>
        <v>15</v>
      </c>
      <c r="D1368" s="74">
        <f t="shared" si="638"/>
        <v>12</v>
      </c>
      <c r="E1368" s="75">
        <f t="shared" si="639"/>
        <v>1</v>
      </c>
      <c r="F1368" s="79"/>
      <c r="G1368" s="82"/>
      <c r="H1368" s="68" t="str">
        <f t="shared" si="656"/>
        <v>Hyprev7_20211115_12_00</v>
      </c>
      <c r="I1368" s="69">
        <f t="shared" si="658"/>
        <v>1</v>
      </c>
      <c r="J1368" s="76" t="str">
        <f t="shared" si="658"/>
        <v>Hypericum</v>
      </c>
      <c r="K1368" s="76" t="str">
        <f t="shared" si="658"/>
        <v>revolutum</v>
      </c>
      <c r="L1368" s="77">
        <f t="shared" si="658"/>
        <v>7</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2021</v>
      </c>
      <c r="B1369" s="72" t="str">
        <f t="shared" si="637"/>
        <v>Nov</v>
      </c>
      <c r="C1369" s="73">
        <f t="shared" si="655"/>
        <v>15</v>
      </c>
      <c r="D1369" s="74">
        <f t="shared" si="638"/>
        <v>12</v>
      </c>
      <c r="E1369" s="75">
        <f t="shared" si="639"/>
        <v>2</v>
      </c>
      <c r="F1369" s="79"/>
      <c r="G1369" s="82"/>
      <c r="H1369" s="68" t="str">
        <f t="shared" si="656"/>
        <v>Hyprev7_20211115_12_00</v>
      </c>
      <c r="I1369" s="69">
        <f t="shared" si="658"/>
        <v>1</v>
      </c>
      <c r="J1369" s="76" t="str">
        <f t="shared" si="658"/>
        <v>Hypericum</v>
      </c>
      <c r="K1369" s="76" t="str">
        <f t="shared" si="658"/>
        <v>revolutum</v>
      </c>
      <c r="L1369" s="77">
        <f t="shared" si="658"/>
        <v>7</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2021</v>
      </c>
      <c r="B1370" s="72" t="str">
        <f t="shared" si="637"/>
        <v>Nov</v>
      </c>
      <c r="C1370" s="73">
        <f t="shared" si="655"/>
        <v>15</v>
      </c>
      <c r="D1370" s="74">
        <f t="shared" si="638"/>
        <v>12</v>
      </c>
      <c r="E1370" s="75">
        <f t="shared" si="639"/>
        <v>3</v>
      </c>
      <c r="F1370" s="79"/>
      <c r="G1370" s="82"/>
      <c r="H1370" s="68" t="str">
        <f t="shared" si="656"/>
        <v>Hyprev7_20211115_12_00</v>
      </c>
      <c r="I1370" s="69">
        <f t="shared" si="658"/>
        <v>1</v>
      </c>
      <c r="J1370" s="76" t="str">
        <f t="shared" si="658"/>
        <v>Hypericum</v>
      </c>
      <c r="K1370" s="76" t="str">
        <f t="shared" si="658"/>
        <v>revolutum</v>
      </c>
      <c r="L1370" s="77">
        <f t="shared" si="658"/>
        <v>7</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2021</v>
      </c>
      <c r="B1371" s="72" t="str">
        <f t="shared" si="637"/>
        <v>Nov</v>
      </c>
      <c r="C1371" s="73">
        <f t="shared" si="655"/>
        <v>15</v>
      </c>
      <c r="D1371" s="74">
        <f t="shared" si="638"/>
        <v>12</v>
      </c>
      <c r="E1371" s="75">
        <f t="shared" si="639"/>
        <v>4</v>
      </c>
      <c r="F1371" s="79">
        <v>56</v>
      </c>
      <c r="G1371" s="82"/>
      <c r="H1371" s="68" t="str">
        <f t="shared" si="656"/>
        <v>Hyprev7_20211115_12_00</v>
      </c>
      <c r="I1371" s="69">
        <f t="shared" si="658"/>
        <v>1</v>
      </c>
      <c r="J1371" s="76" t="str">
        <f t="shared" si="658"/>
        <v>Hypericum</v>
      </c>
      <c r="K1371" s="76" t="str">
        <f t="shared" si="658"/>
        <v>revolutum</v>
      </c>
      <c r="L1371" s="77">
        <f t="shared" si="658"/>
        <v>7</v>
      </c>
      <c r="M1371" s="77">
        <f t="shared" si="658"/>
        <v>2</v>
      </c>
      <c r="N1371" s="71">
        <f t="shared" si="658"/>
        <v>0</v>
      </c>
      <c r="O1371" s="44"/>
      <c r="P1371" s="45">
        <f t="shared" si="640"/>
        <v>1</v>
      </c>
      <c r="Q1371" s="46" t="str">
        <f t="shared" si="641"/>
        <v>12:04:56</v>
      </c>
      <c r="R1371" s="47" t="str">
        <f t="shared" si="642"/>
        <v>04:56</v>
      </c>
      <c r="S1371" s="48">
        <f t="shared" si="631"/>
        <v>636</v>
      </c>
      <c r="T1371" s="47" t="str">
        <f t="shared" si="643"/>
        <v>12</v>
      </c>
      <c r="U1371" s="49">
        <v>15</v>
      </c>
      <c r="V1371" s="50">
        <v>32</v>
      </c>
      <c r="W1371" s="51" t="str">
        <f t="shared" si="644"/>
        <v>15:32</v>
      </c>
      <c r="X1371" s="52" t="s">
        <v>59</v>
      </c>
      <c r="Y1371" s="124" t="s">
        <v>236</v>
      </c>
      <c r="Z1371" s="124"/>
      <c r="AA1371" s="47" t="s">
        <v>254</v>
      </c>
      <c r="AB1371" s="47" t="str">
        <f t="shared" si="645"/>
        <v>NA</v>
      </c>
      <c r="AC1371" s="53" t="str">
        <f t="shared" si="646"/>
        <v/>
      </c>
      <c r="AD1371" s="54">
        <f t="shared" si="647"/>
        <v>1</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t="s">
        <v>215</v>
      </c>
      <c r="AT1371" s="58"/>
      <c r="AU1371" s="58"/>
      <c r="AV1371" s="59"/>
      <c r="AW1371" s="60">
        <f t="shared" si="632"/>
        <v>0</v>
      </c>
      <c r="AX1371" s="61" t="str">
        <f t="shared" si="633"/>
        <v/>
      </c>
      <c r="AY1371" s="60">
        <f t="shared" si="634"/>
        <v>0</v>
      </c>
      <c r="AZ1371" s="61" t="str">
        <f t="shared" si="635"/>
        <v/>
      </c>
    </row>
    <row r="1372" spans="1:52" s="3" customFormat="1" hidden="1" x14ac:dyDescent="0.35">
      <c r="A1372" s="72">
        <f t="shared" si="636"/>
        <v>2021</v>
      </c>
      <c r="B1372" s="72" t="str">
        <f t="shared" si="637"/>
        <v>Nov</v>
      </c>
      <c r="C1372" s="73">
        <f t="shared" si="655"/>
        <v>15</v>
      </c>
      <c r="D1372" s="74">
        <f t="shared" si="638"/>
        <v>12</v>
      </c>
      <c r="E1372" s="75">
        <f t="shared" si="639"/>
        <v>5</v>
      </c>
      <c r="F1372" s="79"/>
      <c r="G1372" s="82"/>
      <c r="H1372" s="68" t="str">
        <f t="shared" si="656"/>
        <v>Hyprev7_20211115_12_00</v>
      </c>
      <c r="I1372" s="69">
        <f t="shared" si="658"/>
        <v>1</v>
      </c>
      <c r="J1372" s="76" t="str">
        <f t="shared" si="658"/>
        <v>Hypericum</v>
      </c>
      <c r="K1372" s="76" t="str">
        <f t="shared" si="658"/>
        <v>revolutum</v>
      </c>
      <c r="L1372" s="77">
        <f t="shared" si="658"/>
        <v>7</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2021</v>
      </c>
      <c r="B1373" s="72" t="str">
        <f t="shared" si="637"/>
        <v>Nov</v>
      </c>
      <c r="C1373" s="73">
        <f t="shared" si="655"/>
        <v>15</v>
      </c>
      <c r="D1373" s="74">
        <f t="shared" si="638"/>
        <v>12</v>
      </c>
      <c r="E1373" s="75">
        <f t="shared" si="639"/>
        <v>6</v>
      </c>
      <c r="F1373" s="79"/>
      <c r="G1373" s="82"/>
      <c r="H1373" s="68" t="str">
        <f t="shared" si="656"/>
        <v>Hyprev7_20211115_12_00</v>
      </c>
      <c r="I1373" s="69">
        <f t="shared" si="658"/>
        <v>1</v>
      </c>
      <c r="J1373" s="76" t="str">
        <f t="shared" si="658"/>
        <v>Hypericum</v>
      </c>
      <c r="K1373" s="76" t="str">
        <f t="shared" si="658"/>
        <v>revolutum</v>
      </c>
      <c r="L1373" s="77">
        <f t="shared" si="658"/>
        <v>7</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2021</v>
      </c>
      <c r="B1374" s="72" t="str">
        <f t="shared" si="637"/>
        <v>Nov</v>
      </c>
      <c r="C1374" s="73">
        <f t="shared" si="655"/>
        <v>15</v>
      </c>
      <c r="D1374" s="74">
        <f t="shared" si="638"/>
        <v>12</v>
      </c>
      <c r="E1374" s="75">
        <f t="shared" si="639"/>
        <v>7</v>
      </c>
      <c r="F1374" s="79"/>
      <c r="G1374" s="82"/>
      <c r="H1374" s="68" t="str">
        <f t="shared" si="656"/>
        <v>Hyprev7_20211115_12_00</v>
      </c>
      <c r="I1374" s="69">
        <f t="shared" si="658"/>
        <v>1</v>
      </c>
      <c r="J1374" s="76" t="str">
        <f t="shared" si="658"/>
        <v>Hypericum</v>
      </c>
      <c r="K1374" s="76" t="str">
        <f t="shared" si="658"/>
        <v>revolutum</v>
      </c>
      <c r="L1374" s="77">
        <f t="shared" si="658"/>
        <v>7</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2021</v>
      </c>
      <c r="B1375" s="72" t="str">
        <f t="shared" si="637"/>
        <v>Nov</v>
      </c>
      <c r="C1375" s="73">
        <f t="shared" si="655"/>
        <v>15</v>
      </c>
      <c r="D1375" s="74">
        <f t="shared" si="638"/>
        <v>12</v>
      </c>
      <c r="E1375" s="75">
        <f t="shared" si="639"/>
        <v>8</v>
      </c>
      <c r="F1375" s="79"/>
      <c r="G1375" s="82"/>
      <c r="H1375" s="68" t="str">
        <f t="shared" si="656"/>
        <v>Hyprev7_20211115_12_00</v>
      </c>
      <c r="I1375" s="69">
        <f t="shared" si="658"/>
        <v>1</v>
      </c>
      <c r="J1375" s="76" t="str">
        <f t="shared" si="658"/>
        <v>Hypericum</v>
      </c>
      <c r="K1375" s="76" t="str">
        <f t="shared" si="658"/>
        <v>revolutum</v>
      </c>
      <c r="L1375" s="77">
        <f t="shared" si="658"/>
        <v>7</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2021</v>
      </c>
      <c r="B1376" s="72" t="str">
        <f t="shared" si="637"/>
        <v>Nov</v>
      </c>
      <c r="C1376" s="73">
        <f t="shared" si="655"/>
        <v>15</v>
      </c>
      <c r="D1376" s="74">
        <f t="shared" si="638"/>
        <v>12</v>
      </c>
      <c r="E1376" s="75">
        <f t="shared" si="639"/>
        <v>9</v>
      </c>
      <c r="F1376" s="79"/>
      <c r="G1376" s="82"/>
      <c r="H1376" s="68" t="str">
        <f t="shared" si="656"/>
        <v>Hyprev7_20211115_12_00</v>
      </c>
      <c r="I1376" s="69">
        <f t="shared" si="658"/>
        <v>1</v>
      </c>
      <c r="J1376" s="76" t="str">
        <f t="shared" si="658"/>
        <v>Hypericum</v>
      </c>
      <c r="K1376" s="76" t="str">
        <f t="shared" si="658"/>
        <v>revolutum</v>
      </c>
      <c r="L1376" s="77">
        <f t="shared" si="658"/>
        <v>7</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2021</v>
      </c>
      <c r="B1377" s="72" t="str">
        <f t="shared" si="637"/>
        <v>Nov</v>
      </c>
      <c r="C1377" s="73">
        <f t="shared" si="655"/>
        <v>15</v>
      </c>
      <c r="D1377" s="74">
        <f t="shared" si="638"/>
        <v>12</v>
      </c>
      <c r="E1377" s="75">
        <f t="shared" si="639"/>
        <v>10</v>
      </c>
      <c r="F1377" s="79"/>
      <c r="G1377" s="82"/>
      <c r="H1377" s="68" t="str">
        <f t="shared" si="656"/>
        <v>Hyprev7_20211115_12_00</v>
      </c>
      <c r="I1377" s="69">
        <f t="shared" si="658"/>
        <v>1</v>
      </c>
      <c r="J1377" s="76" t="str">
        <f t="shared" si="658"/>
        <v>Hypericum</v>
      </c>
      <c r="K1377" s="76" t="str">
        <f t="shared" si="658"/>
        <v>revolutum</v>
      </c>
      <c r="L1377" s="77">
        <f t="shared" si="658"/>
        <v>7</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2021</v>
      </c>
      <c r="B1378" s="72" t="str">
        <f t="shared" si="637"/>
        <v>Nov</v>
      </c>
      <c r="C1378" s="73">
        <f t="shared" si="655"/>
        <v>15</v>
      </c>
      <c r="D1378" s="74">
        <f t="shared" si="638"/>
        <v>12</v>
      </c>
      <c r="E1378" s="75">
        <f t="shared" si="639"/>
        <v>11</v>
      </c>
      <c r="F1378" s="79"/>
      <c r="G1378" s="82"/>
      <c r="H1378" s="68" t="str">
        <f t="shared" si="656"/>
        <v>Hyprev7_20211115_12_00</v>
      </c>
      <c r="I1378" s="69">
        <f t="shared" si="658"/>
        <v>1</v>
      </c>
      <c r="J1378" s="76" t="str">
        <f t="shared" si="658"/>
        <v>Hypericum</v>
      </c>
      <c r="K1378" s="76" t="str">
        <f t="shared" si="658"/>
        <v>revolutum</v>
      </c>
      <c r="L1378" s="77">
        <f t="shared" si="658"/>
        <v>7</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2021</v>
      </c>
      <c r="B1379" s="72" t="str">
        <f t="shared" si="637"/>
        <v>Nov</v>
      </c>
      <c r="C1379" s="73">
        <f t="shared" si="655"/>
        <v>15</v>
      </c>
      <c r="D1379" s="74">
        <f t="shared" si="638"/>
        <v>12</v>
      </c>
      <c r="E1379" s="75">
        <f t="shared" si="639"/>
        <v>12</v>
      </c>
      <c r="F1379" s="79"/>
      <c r="G1379" s="82"/>
      <c r="H1379" s="68" t="str">
        <f t="shared" si="656"/>
        <v>Hyprev7_20211115_12_00</v>
      </c>
      <c r="I1379" s="69">
        <f t="shared" si="658"/>
        <v>1</v>
      </c>
      <c r="J1379" s="76" t="str">
        <f t="shared" si="658"/>
        <v>Hypericum</v>
      </c>
      <c r="K1379" s="76" t="str">
        <f t="shared" si="658"/>
        <v>revolutum</v>
      </c>
      <c r="L1379" s="77">
        <f t="shared" si="658"/>
        <v>7</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2021</v>
      </c>
      <c r="B1380" s="72" t="str">
        <f t="shared" si="637"/>
        <v>Nov</v>
      </c>
      <c r="C1380" s="73">
        <f t="shared" si="655"/>
        <v>15</v>
      </c>
      <c r="D1380" s="74">
        <f t="shared" si="638"/>
        <v>12</v>
      </c>
      <c r="E1380" s="75">
        <f t="shared" si="639"/>
        <v>13</v>
      </c>
      <c r="F1380" s="79"/>
      <c r="G1380" s="82"/>
      <c r="H1380" s="68" t="str">
        <f t="shared" si="656"/>
        <v>Hyprev7_20211115_12_00</v>
      </c>
      <c r="I1380" s="69">
        <f t="shared" si="658"/>
        <v>1</v>
      </c>
      <c r="J1380" s="76" t="str">
        <f t="shared" si="658"/>
        <v>Hypericum</v>
      </c>
      <c r="K1380" s="76" t="str">
        <f t="shared" si="658"/>
        <v>revolutum</v>
      </c>
      <c r="L1380" s="77">
        <f t="shared" si="658"/>
        <v>7</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2021</v>
      </c>
      <c r="B1381" s="72" t="str">
        <f t="shared" si="637"/>
        <v>Nov</v>
      </c>
      <c r="C1381" s="73">
        <f t="shared" si="655"/>
        <v>15</v>
      </c>
      <c r="D1381" s="74">
        <f t="shared" si="638"/>
        <v>12</v>
      </c>
      <c r="E1381" s="75">
        <f t="shared" si="639"/>
        <v>14</v>
      </c>
      <c r="F1381" s="79"/>
      <c r="G1381" s="82"/>
      <c r="H1381" s="68" t="str">
        <f t="shared" si="656"/>
        <v>Hyprev7_20211115_12_00</v>
      </c>
      <c r="I1381" s="69">
        <f t="shared" ref="I1381:N1396" si="659">I1380</f>
        <v>1</v>
      </c>
      <c r="J1381" s="76" t="str">
        <f t="shared" si="659"/>
        <v>Hypericum</v>
      </c>
      <c r="K1381" s="76" t="str">
        <f t="shared" si="659"/>
        <v>revolutum</v>
      </c>
      <c r="L1381" s="77">
        <f t="shared" si="659"/>
        <v>7</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2021</v>
      </c>
      <c r="B1382" s="72" t="str">
        <f t="shared" si="637"/>
        <v>Nov</v>
      </c>
      <c r="C1382" s="73">
        <f t="shared" si="655"/>
        <v>15</v>
      </c>
      <c r="D1382" s="74">
        <f t="shared" si="638"/>
        <v>12</v>
      </c>
      <c r="E1382" s="75">
        <f t="shared" si="639"/>
        <v>15</v>
      </c>
      <c r="F1382" s="79"/>
      <c r="G1382" s="82"/>
      <c r="H1382" s="68" t="str">
        <f t="shared" si="656"/>
        <v>Hyprev7_20211115_12_00</v>
      </c>
      <c r="I1382" s="69">
        <f t="shared" si="659"/>
        <v>1</v>
      </c>
      <c r="J1382" s="76" t="str">
        <f t="shared" si="659"/>
        <v>Hypericum</v>
      </c>
      <c r="K1382" s="76" t="str">
        <f t="shared" si="659"/>
        <v>revolutum</v>
      </c>
      <c r="L1382" s="77">
        <f t="shared" si="659"/>
        <v>7</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2021</v>
      </c>
      <c r="B1383" s="72" t="str">
        <f t="shared" si="637"/>
        <v>Nov</v>
      </c>
      <c r="C1383" s="73">
        <f t="shared" si="655"/>
        <v>15</v>
      </c>
      <c r="D1383" s="74">
        <f t="shared" si="638"/>
        <v>12</v>
      </c>
      <c r="E1383" s="75">
        <f t="shared" si="639"/>
        <v>16</v>
      </c>
      <c r="F1383" s="79"/>
      <c r="G1383" s="82"/>
      <c r="H1383" s="68" t="str">
        <f t="shared" si="656"/>
        <v>Hyprev7_20211115_12_00</v>
      </c>
      <c r="I1383" s="69">
        <f t="shared" si="659"/>
        <v>1</v>
      </c>
      <c r="J1383" s="76" t="str">
        <f t="shared" si="659"/>
        <v>Hypericum</v>
      </c>
      <c r="K1383" s="76" t="str">
        <f t="shared" si="659"/>
        <v>revolutum</v>
      </c>
      <c r="L1383" s="77">
        <f t="shared" si="659"/>
        <v>7</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2021</v>
      </c>
      <c r="B1384" s="72" t="str">
        <f t="shared" si="637"/>
        <v>Nov</v>
      </c>
      <c r="C1384" s="73">
        <f t="shared" si="655"/>
        <v>15</v>
      </c>
      <c r="D1384" s="74">
        <f t="shared" si="638"/>
        <v>12</v>
      </c>
      <c r="E1384" s="75">
        <f t="shared" si="639"/>
        <v>17</v>
      </c>
      <c r="F1384" s="79">
        <v>38</v>
      </c>
      <c r="G1384" s="82"/>
      <c r="H1384" s="68" t="str">
        <f t="shared" si="656"/>
        <v>Hyprev7_20211115_12_00</v>
      </c>
      <c r="I1384" s="69">
        <f t="shared" si="659"/>
        <v>1</v>
      </c>
      <c r="J1384" s="76" t="str">
        <f t="shared" si="659"/>
        <v>Hypericum</v>
      </c>
      <c r="K1384" s="76" t="str">
        <f t="shared" si="659"/>
        <v>revolutum</v>
      </c>
      <c r="L1384" s="77">
        <f t="shared" si="659"/>
        <v>7</v>
      </c>
      <c r="M1384" s="77">
        <f t="shared" si="659"/>
        <v>2</v>
      </c>
      <c r="N1384" s="71">
        <f t="shared" si="659"/>
        <v>0</v>
      </c>
      <c r="O1384" s="44"/>
      <c r="P1384" s="45">
        <f t="shared" si="640"/>
        <v>1</v>
      </c>
      <c r="Q1384" s="46" t="str">
        <f t="shared" si="641"/>
        <v>12:17:38</v>
      </c>
      <c r="R1384" s="47" t="str">
        <f t="shared" si="642"/>
        <v>17:38</v>
      </c>
      <c r="S1384" s="48">
        <f t="shared" si="631"/>
        <v>1428</v>
      </c>
      <c r="T1384" s="47" t="str">
        <f t="shared" si="643"/>
        <v>12</v>
      </c>
      <c r="U1384" s="49">
        <v>41</v>
      </c>
      <c r="V1384" s="50">
        <v>26</v>
      </c>
      <c r="W1384" s="51" t="str">
        <f t="shared" si="644"/>
        <v>41:26</v>
      </c>
      <c r="X1384" s="52" t="s">
        <v>159</v>
      </c>
      <c r="Y1384" s="124" t="s">
        <v>251</v>
      </c>
      <c r="Z1384" s="124"/>
      <c r="AA1384" s="47" t="s">
        <v>257</v>
      </c>
      <c r="AB1384" s="47" t="str">
        <f t="shared" si="645"/>
        <v>NA</v>
      </c>
      <c r="AC1384" s="53" t="str">
        <f t="shared" si="646"/>
        <v/>
      </c>
      <c r="AD1384" s="54">
        <f t="shared" si="647"/>
        <v>1</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t="s">
        <v>216</v>
      </c>
      <c r="AT1384" s="58"/>
      <c r="AU1384" s="58"/>
      <c r="AV1384" s="59"/>
      <c r="AW1384" s="60">
        <f t="shared" si="632"/>
        <v>0</v>
      </c>
      <c r="AX1384" s="61" t="str">
        <f t="shared" si="633"/>
        <v/>
      </c>
      <c r="AY1384" s="60">
        <f t="shared" si="634"/>
        <v>0</v>
      </c>
      <c r="AZ1384" s="61" t="str">
        <f t="shared" si="635"/>
        <v/>
      </c>
    </row>
    <row r="1385" spans="1:52" s="3" customFormat="1" hidden="1" x14ac:dyDescent="0.35">
      <c r="A1385" s="72">
        <f t="shared" si="636"/>
        <v>2021</v>
      </c>
      <c r="B1385" s="72" t="str">
        <f t="shared" si="637"/>
        <v>Nov</v>
      </c>
      <c r="C1385" s="73">
        <f t="shared" si="655"/>
        <v>15</v>
      </c>
      <c r="D1385" s="74">
        <f t="shared" si="638"/>
        <v>12</v>
      </c>
      <c r="E1385" s="75">
        <f t="shared" si="639"/>
        <v>18</v>
      </c>
      <c r="F1385" s="79"/>
      <c r="G1385" s="82"/>
      <c r="H1385" s="68" t="str">
        <f t="shared" si="656"/>
        <v>Hyprev7_20211115_12_00</v>
      </c>
      <c r="I1385" s="69">
        <f t="shared" si="659"/>
        <v>1</v>
      </c>
      <c r="J1385" s="76" t="str">
        <f t="shared" si="659"/>
        <v>Hypericum</v>
      </c>
      <c r="K1385" s="76" t="str">
        <f t="shared" si="659"/>
        <v>revolutum</v>
      </c>
      <c r="L1385" s="77">
        <f t="shared" si="659"/>
        <v>7</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2021</v>
      </c>
      <c r="B1386" s="72" t="str">
        <f t="shared" si="637"/>
        <v>Nov</v>
      </c>
      <c r="C1386" s="73">
        <f t="shared" si="655"/>
        <v>15</v>
      </c>
      <c r="D1386" s="74">
        <f t="shared" si="638"/>
        <v>12</v>
      </c>
      <c r="E1386" s="75">
        <f t="shared" si="639"/>
        <v>19</v>
      </c>
      <c r="F1386" s="79"/>
      <c r="G1386" s="82"/>
      <c r="H1386" s="68" t="str">
        <f t="shared" si="656"/>
        <v>Hyprev7_20211115_12_00</v>
      </c>
      <c r="I1386" s="69">
        <f t="shared" si="659"/>
        <v>1</v>
      </c>
      <c r="J1386" s="76" t="str">
        <f t="shared" si="659"/>
        <v>Hypericum</v>
      </c>
      <c r="K1386" s="76" t="str">
        <f t="shared" si="659"/>
        <v>revolutum</v>
      </c>
      <c r="L1386" s="77">
        <f t="shared" si="659"/>
        <v>7</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2021</v>
      </c>
      <c r="B1387" s="72" t="str">
        <f t="shared" si="637"/>
        <v>Nov</v>
      </c>
      <c r="C1387" s="73">
        <f t="shared" si="655"/>
        <v>15</v>
      </c>
      <c r="D1387" s="74">
        <f t="shared" si="638"/>
        <v>12</v>
      </c>
      <c r="E1387" s="75">
        <f t="shared" si="639"/>
        <v>20</v>
      </c>
      <c r="F1387" s="79">
        <v>9</v>
      </c>
      <c r="G1387" s="82"/>
      <c r="H1387" s="68" t="str">
        <f t="shared" si="656"/>
        <v>Hyprev7_20211115_12_00</v>
      </c>
      <c r="I1387" s="69">
        <f t="shared" si="659"/>
        <v>1</v>
      </c>
      <c r="J1387" s="76" t="str">
        <f t="shared" si="659"/>
        <v>Hypericum</v>
      </c>
      <c r="K1387" s="76" t="str">
        <f t="shared" si="659"/>
        <v>revolutum</v>
      </c>
      <c r="L1387" s="77">
        <f t="shared" si="659"/>
        <v>7</v>
      </c>
      <c r="M1387" s="77">
        <f t="shared" si="659"/>
        <v>2</v>
      </c>
      <c r="N1387" s="71">
        <f t="shared" si="659"/>
        <v>0</v>
      </c>
      <c r="O1387" s="44"/>
      <c r="P1387" s="45">
        <f t="shared" si="640"/>
        <v>1</v>
      </c>
      <c r="Q1387" s="46" t="str">
        <f t="shared" si="641"/>
        <v>12:20:09</v>
      </c>
      <c r="R1387" s="47" t="str">
        <f t="shared" si="642"/>
        <v>20:09</v>
      </c>
      <c r="S1387" s="48">
        <f t="shared" si="631"/>
        <v>88</v>
      </c>
      <c r="T1387" s="47" t="str">
        <f t="shared" si="643"/>
        <v>12</v>
      </c>
      <c r="U1387" s="49">
        <v>21</v>
      </c>
      <c r="V1387" s="50">
        <v>37</v>
      </c>
      <c r="W1387" s="51" t="str">
        <f t="shared" si="644"/>
        <v>21:37</v>
      </c>
      <c r="X1387" s="52" t="s">
        <v>69</v>
      </c>
      <c r="Y1387" s="124" t="s">
        <v>241</v>
      </c>
      <c r="Z1387" s="124" t="s">
        <v>252</v>
      </c>
      <c r="AA1387" s="47" t="s">
        <v>253</v>
      </c>
      <c r="AB1387" s="47" t="str">
        <f t="shared" si="645"/>
        <v>NA</v>
      </c>
      <c r="AC1387" s="53" t="str">
        <f t="shared" si="646"/>
        <v/>
      </c>
      <c r="AD1387" s="54">
        <v>2</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t="s">
        <v>217</v>
      </c>
      <c r="AT1387" s="58"/>
      <c r="AU1387" s="58"/>
      <c r="AV1387" s="59"/>
      <c r="AW1387" s="60">
        <f t="shared" si="632"/>
        <v>0</v>
      </c>
      <c r="AX1387" s="61" t="str">
        <f t="shared" si="633"/>
        <v/>
      </c>
      <c r="AY1387" s="60">
        <f t="shared" si="634"/>
        <v>0</v>
      </c>
      <c r="AZ1387" s="61" t="str">
        <f t="shared" si="635"/>
        <v/>
      </c>
    </row>
    <row r="1388" spans="1:52" s="3" customFormat="1" hidden="1" x14ac:dyDescent="0.35">
      <c r="A1388" s="72">
        <f t="shared" si="636"/>
        <v>2021</v>
      </c>
      <c r="B1388" s="72" t="str">
        <f t="shared" si="637"/>
        <v>Nov</v>
      </c>
      <c r="C1388" s="73">
        <f t="shared" si="655"/>
        <v>15</v>
      </c>
      <c r="D1388" s="74">
        <f t="shared" si="638"/>
        <v>12</v>
      </c>
      <c r="E1388" s="75">
        <f t="shared" si="639"/>
        <v>21</v>
      </c>
      <c r="F1388" s="79"/>
      <c r="G1388" s="82"/>
      <c r="H1388" s="68" t="str">
        <f t="shared" si="656"/>
        <v>Hyprev7_20211115_12_00</v>
      </c>
      <c r="I1388" s="69">
        <f t="shared" si="659"/>
        <v>1</v>
      </c>
      <c r="J1388" s="76" t="str">
        <f t="shared" si="659"/>
        <v>Hypericum</v>
      </c>
      <c r="K1388" s="76" t="str">
        <f t="shared" si="659"/>
        <v>revolutum</v>
      </c>
      <c r="L1388" s="77">
        <f t="shared" si="659"/>
        <v>7</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2021</v>
      </c>
      <c r="B1389" s="72" t="str">
        <f t="shared" si="637"/>
        <v>Nov</v>
      </c>
      <c r="C1389" s="73">
        <f t="shared" si="655"/>
        <v>15</v>
      </c>
      <c r="D1389" s="74">
        <f t="shared" si="638"/>
        <v>12</v>
      </c>
      <c r="E1389" s="75">
        <f t="shared" si="639"/>
        <v>22</v>
      </c>
      <c r="F1389" s="79"/>
      <c r="G1389" s="82"/>
      <c r="H1389" s="68" t="str">
        <f t="shared" si="656"/>
        <v>Hyprev7_20211115_12_00</v>
      </c>
      <c r="I1389" s="69">
        <f t="shared" si="659"/>
        <v>1</v>
      </c>
      <c r="J1389" s="76" t="str">
        <f t="shared" si="659"/>
        <v>Hypericum</v>
      </c>
      <c r="K1389" s="76" t="str">
        <f t="shared" si="659"/>
        <v>revolutum</v>
      </c>
      <c r="L1389" s="77">
        <f t="shared" si="659"/>
        <v>7</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2021</v>
      </c>
      <c r="B1390" s="72" t="str">
        <f t="shared" si="637"/>
        <v>Nov</v>
      </c>
      <c r="C1390" s="73">
        <f t="shared" si="655"/>
        <v>15</v>
      </c>
      <c r="D1390" s="74">
        <f t="shared" si="638"/>
        <v>12</v>
      </c>
      <c r="E1390" s="75">
        <f t="shared" si="639"/>
        <v>23</v>
      </c>
      <c r="F1390" s="79"/>
      <c r="G1390" s="82"/>
      <c r="H1390" s="68" t="str">
        <f t="shared" si="656"/>
        <v>Hyprev7_20211115_12_00</v>
      </c>
      <c r="I1390" s="69">
        <f t="shared" si="659"/>
        <v>1</v>
      </c>
      <c r="J1390" s="76" t="str">
        <f t="shared" si="659"/>
        <v>Hypericum</v>
      </c>
      <c r="K1390" s="76" t="str">
        <f t="shared" si="659"/>
        <v>revolutum</v>
      </c>
      <c r="L1390" s="77">
        <f t="shared" si="659"/>
        <v>7</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2021</v>
      </c>
      <c r="B1391" s="72" t="str">
        <f t="shared" si="637"/>
        <v>Nov</v>
      </c>
      <c r="C1391" s="73">
        <f t="shared" si="655"/>
        <v>15</v>
      </c>
      <c r="D1391" s="74">
        <f t="shared" si="638"/>
        <v>12</v>
      </c>
      <c r="E1391" s="75">
        <f t="shared" si="639"/>
        <v>24</v>
      </c>
      <c r="F1391" s="79"/>
      <c r="G1391" s="82"/>
      <c r="H1391" s="68" t="str">
        <f t="shared" si="656"/>
        <v>Hyprev7_20211115_12_00</v>
      </c>
      <c r="I1391" s="69">
        <f t="shared" si="659"/>
        <v>1</v>
      </c>
      <c r="J1391" s="76" t="str">
        <f t="shared" si="659"/>
        <v>Hypericum</v>
      </c>
      <c r="K1391" s="76" t="str">
        <f t="shared" si="659"/>
        <v>revolutum</v>
      </c>
      <c r="L1391" s="77">
        <f t="shared" si="659"/>
        <v>7</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2021</v>
      </c>
      <c r="B1392" s="72" t="str">
        <f t="shared" si="637"/>
        <v>Nov</v>
      </c>
      <c r="C1392" s="73">
        <f t="shared" si="655"/>
        <v>15</v>
      </c>
      <c r="D1392" s="74">
        <f t="shared" si="638"/>
        <v>12</v>
      </c>
      <c r="E1392" s="75">
        <f t="shared" si="639"/>
        <v>25</v>
      </c>
      <c r="F1392" s="79"/>
      <c r="G1392" s="82"/>
      <c r="H1392" s="68" t="str">
        <f t="shared" si="656"/>
        <v>Hyprev7_20211115_12_00</v>
      </c>
      <c r="I1392" s="69">
        <f t="shared" si="659"/>
        <v>1</v>
      </c>
      <c r="J1392" s="76" t="str">
        <f t="shared" si="659"/>
        <v>Hypericum</v>
      </c>
      <c r="K1392" s="76" t="str">
        <f t="shared" si="659"/>
        <v>revolutum</v>
      </c>
      <c r="L1392" s="77">
        <f t="shared" si="659"/>
        <v>7</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2021</v>
      </c>
      <c r="B1393" s="72" t="str">
        <f t="shared" si="637"/>
        <v>Nov</v>
      </c>
      <c r="C1393" s="73">
        <f t="shared" si="655"/>
        <v>15</v>
      </c>
      <c r="D1393" s="74">
        <f t="shared" si="638"/>
        <v>12</v>
      </c>
      <c r="E1393" s="75">
        <f t="shared" si="639"/>
        <v>26</v>
      </c>
      <c r="F1393" s="79">
        <v>50</v>
      </c>
      <c r="G1393" s="82"/>
      <c r="H1393" s="68" t="str">
        <f t="shared" si="656"/>
        <v>Hyprev7_20211115_12_00</v>
      </c>
      <c r="I1393" s="69">
        <f t="shared" si="659"/>
        <v>1</v>
      </c>
      <c r="J1393" s="76" t="str">
        <f t="shared" si="659"/>
        <v>Hypericum</v>
      </c>
      <c r="K1393" s="76" t="str">
        <f t="shared" si="659"/>
        <v>revolutum</v>
      </c>
      <c r="L1393" s="77">
        <f t="shared" si="659"/>
        <v>7</v>
      </c>
      <c r="M1393" s="77">
        <f t="shared" si="659"/>
        <v>2</v>
      </c>
      <c r="N1393" s="71">
        <f t="shared" si="659"/>
        <v>0</v>
      </c>
      <c r="O1393" s="44"/>
      <c r="P1393" s="45">
        <f t="shared" si="640"/>
        <v>1</v>
      </c>
      <c r="Q1393" s="46" t="str">
        <f t="shared" si="641"/>
        <v>12:26:50</v>
      </c>
      <c r="R1393" s="47" t="str">
        <f t="shared" si="642"/>
        <v>26:50</v>
      </c>
      <c r="S1393" s="48">
        <f t="shared" si="631"/>
        <v>31</v>
      </c>
      <c r="T1393" s="47" t="str">
        <f t="shared" si="643"/>
        <v>12</v>
      </c>
      <c r="U1393" s="49">
        <v>27</v>
      </c>
      <c r="V1393" s="50">
        <v>21</v>
      </c>
      <c r="W1393" s="51" t="str">
        <f t="shared" si="644"/>
        <v>27:21</v>
      </c>
      <c r="X1393" s="52" t="s">
        <v>61</v>
      </c>
      <c r="Y1393" s="124" t="s">
        <v>237</v>
      </c>
      <c r="Z1393" s="124" t="s">
        <v>252</v>
      </c>
      <c r="AA1393" s="47" t="s">
        <v>254</v>
      </c>
      <c r="AB1393" s="47" t="str">
        <f t="shared" si="645"/>
        <v>NA</v>
      </c>
      <c r="AC1393" s="53" t="str">
        <f t="shared" si="646"/>
        <v/>
      </c>
      <c r="AD1393" s="54">
        <f t="shared" si="647"/>
        <v>1</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t="s">
        <v>104</v>
      </c>
      <c r="AT1393" s="58"/>
      <c r="AU1393" s="58"/>
      <c r="AV1393" s="59"/>
      <c r="AW1393" s="60">
        <f t="shared" si="632"/>
        <v>0</v>
      </c>
      <c r="AX1393" s="61" t="str">
        <f t="shared" si="633"/>
        <v/>
      </c>
      <c r="AY1393" s="60">
        <f t="shared" si="634"/>
        <v>0</v>
      </c>
      <c r="AZ1393" s="61" t="str">
        <f t="shared" si="635"/>
        <v/>
      </c>
    </row>
    <row r="1394" spans="1:52" s="3" customFormat="1" hidden="1" x14ac:dyDescent="0.35">
      <c r="A1394" s="72">
        <f t="shared" si="636"/>
        <v>2021</v>
      </c>
      <c r="B1394" s="72" t="str">
        <f t="shared" si="637"/>
        <v>Nov</v>
      </c>
      <c r="C1394" s="73">
        <f t="shared" si="655"/>
        <v>15</v>
      </c>
      <c r="D1394" s="74">
        <f t="shared" si="638"/>
        <v>12</v>
      </c>
      <c r="E1394" s="75">
        <f t="shared" si="639"/>
        <v>27</v>
      </c>
      <c r="F1394" s="79"/>
      <c r="G1394" s="82"/>
      <c r="H1394" s="68" t="str">
        <f t="shared" si="656"/>
        <v>Hyprev7_20211115_12_00</v>
      </c>
      <c r="I1394" s="69">
        <f t="shared" si="659"/>
        <v>1</v>
      </c>
      <c r="J1394" s="76" t="str">
        <f t="shared" si="659"/>
        <v>Hypericum</v>
      </c>
      <c r="K1394" s="76" t="str">
        <f t="shared" si="659"/>
        <v>revolutum</v>
      </c>
      <c r="L1394" s="77">
        <f t="shared" si="659"/>
        <v>7</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2021</v>
      </c>
      <c r="B1395" s="72" t="str">
        <f t="shared" si="637"/>
        <v>Nov</v>
      </c>
      <c r="C1395" s="73">
        <f t="shared" si="655"/>
        <v>15</v>
      </c>
      <c r="D1395" s="74">
        <f t="shared" si="638"/>
        <v>12</v>
      </c>
      <c r="E1395" s="75">
        <f t="shared" si="639"/>
        <v>28</v>
      </c>
      <c r="F1395" s="79"/>
      <c r="G1395" s="82"/>
      <c r="H1395" s="68" t="str">
        <f t="shared" si="656"/>
        <v>Hyprev7_20211115_12_00</v>
      </c>
      <c r="I1395" s="69">
        <f t="shared" si="659"/>
        <v>1</v>
      </c>
      <c r="J1395" s="76" t="str">
        <f t="shared" si="659"/>
        <v>Hypericum</v>
      </c>
      <c r="K1395" s="76" t="str">
        <f t="shared" si="659"/>
        <v>revolutum</v>
      </c>
      <c r="L1395" s="77">
        <f t="shared" si="659"/>
        <v>7</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2021</v>
      </c>
      <c r="B1396" s="72" t="str">
        <f t="shared" si="637"/>
        <v>Nov</v>
      </c>
      <c r="C1396" s="73">
        <f t="shared" si="655"/>
        <v>15</v>
      </c>
      <c r="D1396" s="74">
        <f t="shared" si="638"/>
        <v>12</v>
      </c>
      <c r="E1396" s="75">
        <f t="shared" si="639"/>
        <v>29</v>
      </c>
      <c r="F1396" s="79"/>
      <c r="G1396" s="82"/>
      <c r="H1396" s="68" t="str">
        <f t="shared" si="656"/>
        <v>Hyprev7_20211115_12_00</v>
      </c>
      <c r="I1396" s="69">
        <f t="shared" si="659"/>
        <v>1</v>
      </c>
      <c r="J1396" s="76" t="str">
        <f t="shared" si="659"/>
        <v>Hypericum</v>
      </c>
      <c r="K1396" s="76" t="str">
        <f t="shared" si="659"/>
        <v>revolutum</v>
      </c>
      <c r="L1396" s="77">
        <f t="shared" si="659"/>
        <v>7</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2021</v>
      </c>
      <c r="B1397" s="72" t="str">
        <f t="shared" si="637"/>
        <v>Nov</v>
      </c>
      <c r="C1397" s="73">
        <f t="shared" si="655"/>
        <v>15</v>
      </c>
      <c r="D1397" s="74">
        <f t="shared" si="638"/>
        <v>12</v>
      </c>
      <c r="E1397" s="75">
        <f t="shared" si="639"/>
        <v>30</v>
      </c>
      <c r="F1397" s="79"/>
      <c r="G1397" s="82"/>
      <c r="H1397" s="68" t="str">
        <f t="shared" si="656"/>
        <v>Hyprev7_20211115_12_00</v>
      </c>
      <c r="I1397" s="69">
        <f t="shared" ref="I1397:N1412" si="660">I1396</f>
        <v>1</v>
      </c>
      <c r="J1397" s="76" t="str">
        <f t="shared" si="660"/>
        <v>Hypericum</v>
      </c>
      <c r="K1397" s="76" t="str">
        <f t="shared" si="660"/>
        <v>revolutum</v>
      </c>
      <c r="L1397" s="77">
        <f t="shared" si="660"/>
        <v>7</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2021</v>
      </c>
      <c r="B1398" s="72" t="str">
        <f t="shared" si="637"/>
        <v>Nov</v>
      </c>
      <c r="C1398" s="73">
        <f t="shared" si="655"/>
        <v>15</v>
      </c>
      <c r="D1398" s="74">
        <f t="shared" si="638"/>
        <v>12</v>
      </c>
      <c r="E1398" s="75">
        <f t="shared" si="639"/>
        <v>31</v>
      </c>
      <c r="F1398" s="79"/>
      <c r="G1398" s="82"/>
      <c r="H1398" s="68" t="str">
        <f t="shared" si="656"/>
        <v>Hyprev7_20211115_12_00</v>
      </c>
      <c r="I1398" s="69">
        <f t="shared" si="660"/>
        <v>1</v>
      </c>
      <c r="J1398" s="76" t="str">
        <f t="shared" si="660"/>
        <v>Hypericum</v>
      </c>
      <c r="K1398" s="76" t="str">
        <f t="shared" si="660"/>
        <v>revolutum</v>
      </c>
      <c r="L1398" s="77">
        <f t="shared" si="660"/>
        <v>7</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2021</v>
      </c>
      <c r="B1399" s="72" t="str">
        <f t="shared" si="637"/>
        <v>Nov</v>
      </c>
      <c r="C1399" s="73">
        <f t="shared" si="655"/>
        <v>15</v>
      </c>
      <c r="D1399" s="74">
        <f t="shared" si="638"/>
        <v>12</v>
      </c>
      <c r="E1399" s="75">
        <f t="shared" si="639"/>
        <v>32</v>
      </c>
      <c r="F1399" s="79"/>
      <c r="G1399" s="82"/>
      <c r="H1399" s="68" t="str">
        <f t="shared" si="656"/>
        <v>Hyprev7_20211115_12_00</v>
      </c>
      <c r="I1399" s="69">
        <f t="shared" si="660"/>
        <v>1</v>
      </c>
      <c r="J1399" s="76" t="str">
        <f t="shared" si="660"/>
        <v>Hypericum</v>
      </c>
      <c r="K1399" s="76" t="str">
        <f t="shared" si="660"/>
        <v>revolutum</v>
      </c>
      <c r="L1399" s="77">
        <f t="shared" si="660"/>
        <v>7</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2021</v>
      </c>
      <c r="B1400" s="72" t="str">
        <f t="shared" si="637"/>
        <v>Nov</v>
      </c>
      <c r="C1400" s="73">
        <f t="shared" si="655"/>
        <v>15</v>
      </c>
      <c r="D1400" s="74">
        <f t="shared" si="638"/>
        <v>12</v>
      </c>
      <c r="E1400" s="75">
        <f t="shared" si="639"/>
        <v>33</v>
      </c>
      <c r="F1400" s="79"/>
      <c r="G1400" s="82"/>
      <c r="H1400" s="68" t="str">
        <f t="shared" si="656"/>
        <v>Hyprev7_20211115_12_00</v>
      </c>
      <c r="I1400" s="69">
        <f t="shared" si="660"/>
        <v>1</v>
      </c>
      <c r="J1400" s="76" t="str">
        <f t="shared" si="660"/>
        <v>Hypericum</v>
      </c>
      <c r="K1400" s="76" t="str">
        <f t="shared" si="660"/>
        <v>revolutum</v>
      </c>
      <c r="L1400" s="77">
        <f t="shared" si="660"/>
        <v>7</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2021</v>
      </c>
      <c r="B1401" s="72" t="str">
        <f t="shared" si="637"/>
        <v>Nov</v>
      </c>
      <c r="C1401" s="73">
        <f t="shared" si="655"/>
        <v>15</v>
      </c>
      <c r="D1401" s="74">
        <f t="shared" si="638"/>
        <v>12</v>
      </c>
      <c r="E1401" s="75">
        <f t="shared" si="639"/>
        <v>34</v>
      </c>
      <c r="F1401" s="79"/>
      <c r="G1401" s="82"/>
      <c r="H1401" s="68" t="str">
        <f t="shared" si="656"/>
        <v>Hyprev7_20211115_12_00</v>
      </c>
      <c r="I1401" s="69">
        <f t="shared" si="660"/>
        <v>1</v>
      </c>
      <c r="J1401" s="76" t="str">
        <f t="shared" si="660"/>
        <v>Hypericum</v>
      </c>
      <c r="K1401" s="76" t="str">
        <f t="shared" si="660"/>
        <v>revolutum</v>
      </c>
      <c r="L1401" s="77">
        <f t="shared" si="660"/>
        <v>7</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2021</v>
      </c>
      <c r="B1402" s="72" t="str">
        <f t="shared" si="637"/>
        <v>Nov</v>
      </c>
      <c r="C1402" s="73">
        <f t="shared" si="655"/>
        <v>15</v>
      </c>
      <c r="D1402" s="74">
        <f t="shared" si="638"/>
        <v>12</v>
      </c>
      <c r="E1402" s="75">
        <f t="shared" si="639"/>
        <v>35</v>
      </c>
      <c r="F1402" s="79"/>
      <c r="G1402" s="82"/>
      <c r="H1402" s="68" t="str">
        <f t="shared" si="656"/>
        <v>Hyprev7_20211115_12_00</v>
      </c>
      <c r="I1402" s="69">
        <f t="shared" si="660"/>
        <v>1</v>
      </c>
      <c r="J1402" s="76" t="str">
        <f t="shared" si="660"/>
        <v>Hypericum</v>
      </c>
      <c r="K1402" s="76" t="str">
        <f t="shared" si="660"/>
        <v>revolutum</v>
      </c>
      <c r="L1402" s="77">
        <f t="shared" si="660"/>
        <v>7</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2021</v>
      </c>
      <c r="B1403" s="72" t="str">
        <f t="shared" si="637"/>
        <v>Nov</v>
      </c>
      <c r="C1403" s="73">
        <f t="shared" si="655"/>
        <v>15</v>
      </c>
      <c r="D1403" s="74">
        <f t="shared" si="638"/>
        <v>12</v>
      </c>
      <c r="E1403" s="75">
        <f t="shared" si="639"/>
        <v>36</v>
      </c>
      <c r="F1403" s="79"/>
      <c r="G1403" s="82"/>
      <c r="H1403" s="68" t="str">
        <f t="shared" si="656"/>
        <v>Hyprev7_20211115_12_00</v>
      </c>
      <c r="I1403" s="69">
        <f t="shared" si="660"/>
        <v>1</v>
      </c>
      <c r="J1403" s="76" t="str">
        <f t="shared" si="660"/>
        <v>Hypericum</v>
      </c>
      <c r="K1403" s="76" t="str">
        <f t="shared" si="660"/>
        <v>revolutum</v>
      </c>
      <c r="L1403" s="77">
        <f t="shared" si="660"/>
        <v>7</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2021</v>
      </c>
      <c r="B1404" s="72" t="str">
        <f t="shared" si="637"/>
        <v>Nov</v>
      </c>
      <c r="C1404" s="73">
        <f t="shared" si="655"/>
        <v>15</v>
      </c>
      <c r="D1404" s="74">
        <f t="shared" si="638"/>
        <v>12</v>
      </c>
      <c r="E1404" s="75">
        <f t="shared" si="639"/>
        <v>37</v>
      </c>
      <c r="F1404" s="79"/>
      <c r="G1404" s="82"/>
      <c r="H1404" s="68" t="str">
        <f t="shared" si="656"/>
        <v>Hyprev7_20211115_12_00</v>
      </c>
      <c r="I1404" s="69">
        <f t="shared" si="660"/>
        <v>1</v>
      </c>
      <c r="J1404" s="76" t="str">
        <f t="shared" si="660"/>
        <v>Hypericum</v>
      </c>
      <c r="K1404" s="76" t="str">
        <f t="shared" si="660"/>
        <v>revolutum</v>
      </c>
      <c r="L1404" s="77">
        <f t="shared" si="660"/>
        <v>7</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2021</v>
      </c>
      <c r="B1405" s="72" t="str">
        <f t="shared" si="637"/>
        <v>Nov</v>
      </c>
      <c r="C1405" s="73">
        <f t="shared" si="655"/>
        <v>15</v>
      </c>
      <c r="D1405" s="74">
        <f t="shared" si="638"/>
        <v>12</v>
      </c>
      <c r="E1405" s="75">
        <f t="shared" si="639"/>
        <v>38</v>
      </c>
      <c r="F1405" s="79"/>
      <c r="G1405" s="82"/>
      <c r="H1405" s="68" t="str">
        <f t="shared" si="656"/>
        <v>Hyprev7_20211115_12_00</v>
      </c>
      <c r="I1405" s="69">
        <f t="shared" si="660"/>
        <v>1</v>
      </c>
      <c r="J1405" s="76" t="str">
        <f t="shared" si="660"/>
        <v>Hypericum</v>
      </c>
      <c r="K1405" s="76" t="str">
        <f t="shared" si="660"/>
        <v>revolutum</v>
      </c>
      <c r="L1405" s="77">
        <f t="shared" si="660"/>
        <v>7</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2021</v>
      </c>
      <c r="B1406" s="72" t="str">
        <f t="shared" si="637"/>
        <v>Nov</v>
      </c>
      <c r="C1406" s="73">
        <f t="shared" si="655"/>
        <v>15</v>
      </c>
      <c r="D1406" s="74">
        <f t="shared" si="638"/>
        <v>12</v>
      </c>
      <c r="E1406" s="75">
        <f t="shared" si="639"/>
        <v>39</v>
      </c>
      <c r="F1406" s="79">
        <v>6</v>
      </c>
      <c r="G1406" s="82"/>
      <c r="H1406" s="68" t="str">
        <f t="shared" si="656"/>
        <v>Hyprev7_20211115_12_00</v>
      </c>
      <c r="I1406" s="69">
        <f t="shared" si="660"/>
        <v>1</v>
      </c>
      <c r="J1406" s="76" t="str">
        <f t="shared" si="660"/>
        <v>Hypericum</v>
      </c>
      <c r="K1406" s="76" t="str">
        <f t="shared" si="660"/>
        <v>revolutum</v>
      </c>
      <c r="L1406" s="77">
        <f t="shared" si="660"/>
        <v>7</v>
      </c>
      <c r="M1406" s="77">
        <f t="shared" si="660"/>
        <v>2</v>
      </c>
      <c r="N1406" s="71">
        <f t="shared" si="660"/>
        <v>0</v>
      </c>
      <c r="O1406" s="44"/>
      <c r="P1406" s="45">
        <f t="shared" si="640"/>
        <v>1</v>
      </c>
      <c r="Q1406" s="46" t="str">
        <f t="shared" si="641"/>
        <v>12:39:06</v>
      </c>
      <c r="R1406" s="47" t="str">
        <f t="shared" si="642"/>
        <v>39:06</v>
      </c>
      <c r="S1406" s="48">
        <f t="shared" si="631"/>
        <v>15</v>
      </c>
      <c r="T1406" s="47" t="str">
        <f t="shared" si="643"/>
        <v>12</v>
      </c>
      <c r="U1406" s="49">
        <v>39</v>
      </c>
      <c r="V1406" s="50">
        <v>21</v>
      </c>
      <c r="W1406" s="51" t="str">
        <f t="shared" si="644"/>
        <v>39:21</v>
      </c>
      <c r="X1406" s="52" t="s">
        <v>61</v>
      </c>
      <c r="Y1406" s="124" t="s">
        <v>240</v>
      </c>
      <c r="Z1406" s="124"/>
      <c r="AA1406" s="47" t="s">
        <v>254</v>
      </c>
      <c r="AB1406" s="47" t="str">
        <f t="shared" si="645"/>
        <v>NA</v>
      </c>
      <c r="AC1406" s="53" t="str">
        <f t="shared" si="646"/>
        <v/>
      </c>
      <c r="AD1406" s="54">
        <f t="shared" si="647"/>
        <v>1</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t="s">
        <v>218</v>
      </c>
      <c r="AT1406" s="58"/>
      <c r="AU1406" s="58"/>
      <c r="AV1406" s="59"/>
      <c r="AW1406" s="60">
        <f t="shared" si="632"/>
        <v>0</v>
      </c>
      <c r="AX1406" s="61" t="str">
        <f t="shared" si="633"/>
        <v/>
      </c>
      <c r="AY1406" s="60">
        <f t="shared" si="634"/>
        <v>0</v>
      </c>
      <c r="AZ1406" s="61" t="str">
        <f t="shared" si="635"/>
        <v/>
      </c>
    </row>
    <row r="1407" spans="1:52" s="3" customFormat="1" hidden="1" x14ac:dyDescent="0.35">
      <c r="A1407" s="72">
        <f t="shared" si="636"/>
        <v>2021</v>
      </c>
      <c r="B1407" s="72" t="str">
        <f t="shared" si="637"/>
        <v>Nov</v>
      </c>
      <c r="C1407" s="73">
        <f t="shared" si="655"/>
        <v>15</v>
      </c>
      <c r="D1407" s="74">
        <f t="shared" si="638"/>
        <v>12</v>
      </c>
      <c r="E1407" s="75">
        <v>39</v>
      </c>
      <c r="F1407" s="79">
        <v>26</v>
      </c>
      <c r="G1407" s="82"/>
      <c r="H1407" s="68" t="str">
        <f t="shared" si="656"/>
        <v>Hyprev7_20211115_12_00</v>
      </c>
      <c r="I1407" s="69">
        <f t="shared" si="660"/>
        <v>1</v>
      </c>
      <c r="J1407" s="76" t="str">
        <f t="shared" si="660"/>
        <v>Hypericum</v>
      </c>
      <c r="K1407" s="76" t="str">
        <f t="shared" si="660"/>
        <v>revolutum</v>
      </c>
      <c r="L1407" s="77">
        <f t="shared" si="660"/>
        <v>7</v>
      </c>
      <c r="M1407" s="77">
        <f t="shared" si="660"/>
        <v>2</v>
      </c>
      <c r="N1407" s="71">
        <f t="shared" si="660"/>
        <v>0</v>
      </c>
      <c r="O1407" s="44"/>
      <c r="P1407" s="45">
        <f t="shared" si="640"/>
        <v>1</v>
      </c>
      <c r="Q1407" s="46" t="str">
        <f t="shared" si="641"/>
        <v>12:39:26</v>
      </c>
      <c r="R1407" s="47" t="str">
        <f t="shared" si="642"/>
        <v>39:26</v>
      </c>
      <c r="S1407" s="48">
        <f t="shared" si="631"/>
        <v>10</v>
      </c>
      <c r="T1407" s="47" t="str">
        <f t="shared" si="643"/>
        <v>12</v>
      </c>
      <c r="U1407" s="49">
        <v>39</v>
      </c>
      <c r="V1407" s="50">
        <v>36</v>
      </c>
      <c r="W1407" s="51" t="str">
        <f t="shared" si="644"/>
        <v>39:36</v>
      </c>
      <c r="X1407" s="52" t="s">
        <v>59</v>
      </c>
      <c r="Y1407" s="124" t="s">
        <v>238</v>
      </c>
      <c r="Z1407" s="124"/>
      <c r="AA1407" s="47" t="s">
        <v>253</v>
      </c>
      <c r="AB1407" s="47" t="str">
        <f t="shared" si="645"/>
        <v>NA</v>
      </c>
      <c r="AC1407" s="53" t="str">
        <f t="shared" si="646"/>
        <v/>
      </c>
      <c r="AD1407" s="54">
        <f t="shared" si="647"/>
        <v>1</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t="s">
        <v>98</v>
      </c>
      <c r="AT1407" s="58"/>
      <c r="AU1407" s="58"/>
      <c r="AV1407" s="59"/>
      <c r="AW1407" s="60">
        <f t="shared" si="632"/>
        <v>0</v>
      </c>
      <c r="AX1407" s="61" t="str">
        <f t="shared" si="633"/>
        <v/>
      </c>
      <c r="AY1407" s="60">
        <f t="shared" si="634"/>
        <v>0</v>
      </c>
      <c r="AZ1407" s="61" t="str">
        <f t="shared" si="635"/>
        <v/>
      </c>
    </row>
    <row r="1408" spans="1:52" s="3" customFormat="1" hidden="1" x14ac:dyDescent="0.35">
      <c r="A1408" s="72">
        <f t="shared" si="636"/>
        <v>2021</v>
      </c>
      <c r="B1408" s="72" t="str">
        <f t="shared" si="637"/>
        <v>Nov</v>
      </c>
      <c r="C1408" s="73">
        <f t="shared" si="655"/>
        <v>15</v>
      </c>
      <c r="D1408" s="74">
        <f t="shared" si="638"/>
        <v>12</v>
      </c>
      <c r="E1408" s="75">
        <f t="shared" si="639"/>
        <v>40</v>
      </c>
      <c r="F1408" s="79"/>
      <c r="G1408" s="82"/>
      <c r="H1408" s="68" t="str">
        <f t="shared" si="656"/>
        <v>Hyprev7_20211115_12_00</v>
      </c>
      <c r="I1408" s="69">
        <f t="shared" si="660"/>
        <v>1</v>
      </c>
      <c r="J1408" s="76" t="str">
        <f t="shared" si="660"/>
        <v>Hypericum</v>
      </c>
      <c r="K1408" s="76" t="str">
        <f t="shared" si="660"/>
        <v>revolutum</v>
      </c>
      <c r="L1408" s="77">
        <f t="shared" si="660"/>
        <v>7</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2021</v>
      </c>
      <c r="B1409" s="72" t="str">
        <f t="shared" si="637"/>
        <v>Nov</v>
      </c>
      <c r="C1409" s="73">
        <f t="shared" si="655"/>
        <v>15</v>
      </c>
      <c r="D1409" s="74">
        <f t="shared" si="638"/>
        <v>12</v>
      </c>
      <c r="E1409" s="75">
        <f t="shared" si="639"/>
        <v>41</v>
      </c>
      <c r="F1409" s="79"/>
      <c r="G1409" s="82"/>
      <c r="H1409" s="68" t="str">
        <f t="shared" si="656"/>
        <v>Hyprev7_20211115_12_00</v>
      </c>
      <c r="I1409" s="69">
        <f t="shared" si="660"/>
        <v>1</v>
      </c>
      <c r="J1409" s="76" t="str">
        <f t="shared" si="660"/>
        <v>Hypericum</v>
      </c>
      <c r="K1409" s="76" t="str">
        <f t="shared" si="660"/>
        <v>revolutum</v>
      </c>
      <c r="L1409" s="77">
        <f t="shared" si="660"/>
        <v>7</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2021</v>
      </c>
      <c r="B1410" s="72" t="str">
        <f t="shared" si="637"/>
        <v>Nov</v>
      </c>
      <c r="C1410" s="73">
        <f t="shared" si="655"/>
        <v>15</v>
      </c>
      <c r="D1410" s="74">
        <f t="shared" si="638"/>
        <v>12</v>
      </c>
      <c r="E1410" s="75">
        <f t="shared" si="639"/>
        <v>42</v>
      </c>
      <c r="F1410" s="79"/>
      <c r="G1410" s="82"/>
      <c r="H1410" s="68" t="str">
        <f t="shared" si="656"/>
        <v>Hyprev7_20211115_12_00</v>
      </c>
      <c r="I1410" s="69">
        <f t="shared" si="660"/>
        <v>1</v>
      </c>
      <c r="J1410" s="76" t="str">
        <f t="shared" si="660"/>
        <v>Hypericum</v>
      </c>
      <c r="K1410" s="76" t="str">
        <f t="shared" si="660"/>
        <v>revolutum</v>
      </c>
      <c r="L1410" s="77">
        <f t="shared" si="660"/>
        <v>7</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2021</v>
      </c>
      <c r="B1411" s="72" t="str">
        <f t="shared" si="637"/>
        <v>Nov</v>
      </c>
      <c r="C1411" s="73">
        <f t="shared" si="655"/>
        <v>15</v>
      </c>
      <c r="D1411" s="74">
        <f t="shared" si="638"/>
        <v>12</v>
      </c>
      <c r="E1411" s="75">
        <f t="shared" si="639"/>
        <v>43</v>
      </c>
      <c r="F1411" s="79"/>
      <c r="G1411" s="82"/>
      <c r="H1411" s="68" t="str">
        <f t="shared" si="656"/>
        <v>Hyprev7_20211115_12_00</v>
      </c>
      <c r="I1411" s="69">
        <f t="shared" si="660"/>
        <v>1</v>
      </c>
      <c r="J1411" s="76" t="str">
        <f t="shared" si="660"/>
        <v>Hypericum</v>
      </c>
      <c r="K1411" s="76" t="str">
        <f t="shared" si="660"/>
        <v>revolutum</v>
      </c>
      <c r="L1411" s="77">
        <f t="shared" si="660"/>
        <v>7</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2021</v>
      </c>
      <c r="B1412" s="72" t="str">
        <f t="shared" ref="B1412:B1417" si="667">IF(C1411-C1412&gt;0, TEXT(DATE(2016,(MONTH(DATEVALUE(B1411&amp;"1"))+1),1),"mmm"), B1411)</f>
        <v>Nov</v>
      </c>
      <c r="C1412" s="73">
        <f t="shared" si="655"/>
        <v>15</v>
      </c>
      <c r="D1412" s="74">
        <f t="shared" ref="D1412:D1417" si="668">IF(IF(E1411=59,D1411+1,D1411)=24,0,IF(E1411=59,D1411+1,D1411))</f>
        <v>12</v>
      </c>
      <c r="E1412" s="75">
        <f t="shared" ref="E1412:E1417" si="669">IF(E1411&lt;59,E1411+1,0)</f>
        <v>44</v>
      </c>
      <c r="F1412" s="79"/>
      <c r="G1412" s="82"/>
      <c r="H1412" s="68" t="str">
        <f t="shared" si="656"/>
        <v>Hyprev7_20211115_12_00</v>
      </c>
      <c r="I1412" s="69">
        <f t="shared" si="660"/>
        <v>1</v>
      </c>
      <c r="J1412" s="76" t="str">
        <f t="shared" si="660"/>
        <v>Hypericum</v>
      </c>
      <c r="K1412" s="76" t="str">
        <f t="shared" si="660"/>
        <v>revolutum</v>
      </c>
      <c r="L1412" s="77">
        <f t="shared" si="660"/>
        <v>7</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2021</v>
      </c>
      <c r="B1413" s="72" t="str">
        <f t="shared" si="667"/>
        <v>Nov</v>
      </c>
      <c r="C1413" s="73">
        <f t="shared" ref="C1413:C1442" si="685">IF(AND(D1413=0, E1413=0), IF(TEXT(C1412,"dd")=TEXT(EOMONTH(DATE(A1412,MONTH(DATEVALUE(B1412&amp;"1")),C1412),0), "dd"), 1, C1412+1), C1412)</f>
        <v>15</v>
      </c>
      <c r="D1413" s="74">
        <f t="shared" si="668"/>
        <v>12</v>
      </c>
      <c r="E1413" s="75">
        <f t="shared" si="669"/>
        <v>45</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Hyprev7_20211115_12_00</v>
      </c>
      <c r="I1413" s="69">
        <f t="shared" ref="I1413:N1428" si="687">I1412</f>
        <v>1</v>
      </c>
      <c r="J1413" s="76" t="str">
        <f t="shared" si="687"/>
        <v>Hypericum</v>
      </c>
      <c r="K1413" s="76" t="str">
        <f t="shared" si="687"/>
        <v>revolutum</v>
      </c>
      <c r="L1413" s="77">
        <f t="shared" si="687"/>
        <v>7</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2021</v>
      </c>
      <c r="B1414" s="72" t="str">
        <f t="shared" si="667"/>
        <v>Nov</v>
      </c>
      <c r="C1414" s="73">
        <f t="shared" si="685"/>
        <v>15</v>
      </c>
      <c r="D1414" s="74">
        <f t="shared" si="668"/>
        <v>12</v>
      </c>
      <c r="E1414" s="75">
        <f t="shared" si="669"/>
        <v>46</v>
      </c>
      <c r="F1414" s="79"/>
      <c r="G1414" s="82"/>
      <c r="H1414" s="68" t="str">
        <f t="shared" si="686"/>
        <v>Hyprev7_20211115_12_00</v>
      </c>
      <c r="I1414" s="69">
        <f t="shared" si="687"/>
        <v>1</v>
      </c>
      <c r="J1414" s="76" t="str">
        <f t="shared" si="687"/>
        <v>Hypericum</v>
      </c>
      <c r="K1414" s="76" t="str">
        <f t="shared" si="687"/>
        <v>revolutum</v>
      </c>
      <c r="L1414" s="77">
        <f t="shared" si="687"/>
        <v>7</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2021</v>
      </c>
      <c r="B1415" s="72" t="str">
        <f t="shared" si="667"/>
        <v>Nov</v>
      </c>
      <c r="C1415" s="73">
        <f t="shared" si="685"/>
        <v>15</v>
      </c>
      <c r="D1415" s="74">
        <f t="shared" si="668"/>
        <v>12</v>
      </c>
      <c r="E1415" s="75">
        <f t="shared" si="669"/>
        <v>47</v>
      </c>
      <c r="F1415" s="79"/>
      <c r="G1415" s="82"/>
      <c r="H1415" s="68" t="str">
        <f t="shared" si="686"/>
        <v>Hyprev7_20211115_12_00</v>
      </c>
      <c r="I1415" s="69">
        <f t="shared" si="687"/>
        <v>1</v>
      </c>
      <c r="J1415" s="76" t="str">
        <f t="shared" si="687"/>
        <v>Hypericum</v>
      </c>
      <c r="K1415" s="76" t="str">
        <f t="shared" si="687"/>
        <v>revolutum</v>
      </c>
      <c r="L1415" s="77">
        <f t="shared" si="687"/>
        <v>7</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2021</v>
      </c>
      <c r="B1416" s="72" t="str">
        <f t="shared" si="667"/>
        <v>Nov</v>
      </c>
      <c r="C1416" s="73">
        <f t="shared" si="685"/>
        <v>15</v>
      </c>
      <c r="D1416" s="74">
        <f t="shared" si="668"/>
        <v>12</v>
      </c>
      <c r="E1416" s="75">
        <f t="shared" si="669"/>
        <v>48</v>
      </c>
      <c r="F1416" s="79">
        <v>53</v>
      </c>
      <c r="G1416" s="82"/>
      <c r="H1416" s="68" t="str">
        <f t="shared" si="686"/>
        <v>Hyprev7_20211115_12_00</v>
      </c>
      <c r="I1416" s="69">
        <f t="shared" si="687"/>
        <v>1</v>
      </c>
      <c r="J1416" s="76" t="str">
        <f t="shared" si="687"/>
        <v>Hypericum</v>
      </c>
      <c r="K1416" s="76" t="str">
        <f t="shared" si="687"/>
        <v>revolutum</v>
      </c>
      <c r="L1416" s="77">
        <f t="shared" si="687"/>
        <v>7</v>
      </c>
      <c r="M1416" s="77">
        <f t="shared" si="687"/>
        <v>2</v>
      </c>
      <c r="N1416" s="71">
        <f t="shared" si="687"/>
        <v>0</v>
      </c>
      <c r="O1416" s="44"/>
      <c r="P1416" s="45">
        <f t="shared" si="670"/>
        <v>1</v>
      </c>
      <c r="Q1416" s="46" t="str">
        <f t="shared" si="671"/>
        <v>12:48:53</v>
      </c>
      <c r="R1416" s="47" t="str">
        <f t="shared" si="672"/>
        <v>48:53</v>
      </c>
      <c r="S1416" s="48">
        <f t="shared" si="661"/>
        <v>31</v>
      </c>
      <c r="T1416" s="47" t="str">
        <f t="shared" si="673"/>
        <v>12</v>
      </c>
      <c r="U1416" s="49">
        <v>49</v>
      </c>
      <c r="V1416" s="50">
        <v>24</v>
      </c>
      <c r="W1416" s="51" t="str">
        <f t="shared" si="674"/>
        <v>49:24</v>
      </c>
      <c r="X1416" s="52" t="s">
        <v>61</v>
      </c>
      <c r="Y1416" s="124" t="s">
        <v>237</v>
      </c>
      <c r="Z1416" s="124" t="s">
        <v>252</v>
      </c>
      <c r="AA1416" s="47" t="s">
        <v>254</v>
      </c>
      <c r="AB1416" s="47" t="str">
        <f t="shared" si="675"/>
        <v>NA</v>
      </c>
      <c r="AC1416" s="53" t="str">
        <f t="shared" si="676"/>
        <v/>
      </c>
      <c r="AD1416" s="54">
        <f t="shared" si="677"/>
        <v>1</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t="s">
        <v>219</v>
      </c>
      <c r="AT1416" s="58"/>
      <c r="AU1416" s="58"/>
      <c r="AV1416" s="59"/>
      <c r="AW1416" s="60">
        <f t="shared" si="662"/>
        <v>0</v>
      </c>
      <c r="AX1416" s="61" t="str">
        <f t="shared" si="663"/>
        <v/>
      </c>
      <c r="AY1416" s="60">
        <f t="shared" si="664"/>
        <v>0</v>
      </c>
      <c r="AZ1416" s="61" t="str">
        <f t="shared" si="665"/>
        <v/>
      </c>
    </row>
    <row r="1417" spans="1:52" s="3" customFormat="1" hidden="1" x14ac:dyDescent="0.35">
      <c r="A1417" s="72">
        <f t="shared" si="666"/>
        <v>2021</v>
      </c>
      <c r="B1417" s="72" t="str">
        <f t="shared" si="667"/>
        <v>Nov</v>
      </c>
      <c r="C1417" s="73">
        <f t="shared" si="685"/>
        <v>15</v>
      </c>
      <c r="D1417" s="74">
        <f t="shared" si="668"/>
        <v>12</v>
      </c>
      <c r="E1417" s="75">
        <f t="shared" si="669"/>
        <v>49</v>
      </c>
      <c r="F1417" s="79"/>
      <c r="G1417" s="82"/>
      <c r="H1417" s="68" t="str">
        <f t="shared" si="686"/>
        <v>Hyprev7_20211115_12_00</v>
      </c>
      <c r="I1417" s="69">
        <f t="shared" si="687"/>
        <v>1</v>
      </c>
      <c r="J1417" s="76" t="str">
        <f t="shared" si="687"/>
        <v>Hypericum</v>
      </c>
      <c r="K1417" s="76" t="str">
        <f t="shared" si="687"/>
        <v>revolutum</v>
      </c>
      <c r="L1417" s="77">
        <f t="shared" si="687"/>
        <v>7</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2021</v>
      </c>
      <c r="B1418" s="72" t="str">
        <f>IF(C1417-C1418&gt;0, TEXT(DATE(2016,(MONTH(DATEVALUE(B1417&amp;"1"))+1),1),"mmm"), B1417)</f>
        <v>Nov</v>
      </c>
      <c r="C1418" s="73">
        <f t="shared" si="685"/>
        <v>15</v>
      </c>
      <c r="D1418" s="74">
        <f>IF(IF(E1417=59,D1417+1,D1417)=24,0,IF(E1417=59,D1417+1,D1417))</f>
        <v>12</v>
      </c>
      <c r="E1418" s="75">
        <f>IF(E1417&lt;59,E1417+1,0)</f>
        <v>50</v>
      </c>
      <c r="F1418" s="79"/>
      <c r="G1418" s="82"/>
      <c r="H1418" s="68" t="str">
        <f t="shared" si="686"/>
        <v>Hyprev7_20211115_12_00</v>
      </c>
      <c r="I1418" s="69">
        <f t="shared" si="687"/>
        <v>1</v>
      </c>
      <c r="J1418" s="76" t="str">
        <f>J1417</f>
        <v>Hypericum</v>
      </c>
      <c r="K1418" s="76" t="str">
        <f>K1417</f>
        <v>revolutum</v>
      </c>
      <c r="L1418" s="77">
        <f>L1417</f>
        <v>7</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2021</v>
      </c>
      <c r="B1419" s="72" t="str">
        <f t="shared" ref="B1419:B1424" si="689">IF(C1418-C1419&gt;0, TEXT(DATE(2016,(MONTH(DATEVALUE(B1418&amp;"1"))+1),1),"mmm"), B1418)</f>
        <v>Nov</v>
      </c>
      <c r="C1419" s="73">
        <f t="shared" si="685"/>
        <v>15</v>
      </c>
      <c r="D1419" s="74">
        <f t="shared" ref="D1419:D1424" si="690">IF(IF(E1418=59,D1418+1,D1418)=24,0,IF(E1418=59,D1418+1,D1418))</f>
        <v>12</v>
      </c>
      <c r="E1419" s="75">
        <f t="shared" ref="E1419:E1424" si="691">IF(E1418&lt;59,E1418+1,0)</f>
        <v>51</v>
      </c>
      <c r="F1419" s="79"/>
      <c r="G1419" s="82"/>
      <c r="H1419" s="68" t="str">
        <f t="shared" si="686"/>
        <v>Hyprev7_20211115_12_00</v>
      </c>
      <c r="I1419" s="69">
        <f t="shared" si="687"/>
        <v>1</v>
      </c>
      <c r="J1419" s="76" t="str">
        <f t="shared" si="687"/>
        <v>Hypericum</v>
      </c>
      <c r="K1419" s="76" t="str">
        <f t="shared" si="687"/>
        <v>revolutum</v>
      </c>
      <c r="L1419" s="77">
        <f t="shared" si="687"/>
        <v>7</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2021</v>
      </c>
      <c r="B1420" s="72" t="str">
        <f t="shared" si="689"/>
        <v>Nov</v>
      </c>
      <c r="C1420" s="73">
        <f t="shared" si="685"/>
        <v>15</v>
      </c>
      <c r="D1420" s="74">
        <f t="shared" si="690"/>
        <v>12</v>
      </c>
      <c r="E1420" s="75">
        <f t="shared" si="691"/>
        <v>52</v>
      </c>
      <c r="F1420" s="79"/>
      <c r="G1420" s="82"/>
      <c r="H1420" s="68" t="str">
        <f t="shared" si="686"/>
        <v>Hyprev7_20211115_12_00</v>
      </c>
      <c r="I1420" s="69">
        <f t="shared" si="687"/>
        <v>1</v>
      </c>
      <c r="J1420" s="76" t="str">
        <f t="shared" si="687"/>
        <v>Hypericum</v>
      </c>
      <c r="K1420" s="76" t="str">
        <f t="shared" si="687"/>
        <v>revolutum</v>
      </c>
      <c r="L1420" s="77">
        <f t="shared" si="687"/>
        <v>7</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2021</v>
      </c>
      <c r="B1421" s="72" t="str">
        <f t="shared" si="689"/>
        <v>Nov</v>
      </c>
      <c r="C1421" s="73">
        <f t="shared" si="685"/>
        <v>15</v>
      </c>
      <c r="D1421" s="74">
        <f t="shared" si="690"/>
        <v>12</v>
      </c>
      <c r="E1421" s="75">
        <f t="shared" si="691"/>
        <v>53</v>
      </c>
      <c r="F1421" s="79">
        <v>32</v>
      </c>
      <c r="G1421" s="82"/>
      <c r="H1421" s="68" t="str">
        <f t="shared" si="686"/>
        <v>Hyprev7_20211115_12_00</v>
      </c>
      <c r="I1421" s="69">
        <f t="shared" si="687"/>
        <v>1</v>
      </c>
      <c r="J1421" s="76" t="str">
        <f t="shared" si="687"/>
        <v>Hypericum</v>
      </c>
      <c r="K1421" s="76" t="str">
        <f t="shared" si="687"/>
        <v>revolutum</v>
      </c>
      <c r="L1421" s="77">
        <f t="shared" si="687"/>
        <v>7</v>
      </c>
      <c r="M1421" s="77">
        <f t="shared" si="687"/>
        <v>2</v>
      </c>
      <c r="N1421" s="71">
        <f t="shared" si="687"/>
        <v>0</v>
      </c>
      <c r="O1421" s="44"/>
      <c r="P1421" s="45">
        <f t="shared" si="670"/>
        <v>1</v>
      </c>
      <c r="Q1421" s="46" t="str">
        <f t="shared" si="671"/>
        <v>12:53:32</v>
      </c>
      <c r="R1421" s="47" t="str">
        <f t="shared" si="672"/>
        <v>53:32</v>
      </c>
      <c r="S1421" s="48">
        <f t="shared" si="661"/>
        <v>267</v>
      </c>
      <c r="T1421" s="47" t="str">
        <f t="shared" si="673"/>
        <v>12</v>
      </c>
      <c r="U1421" s="49">
        <v>57</v>
      </c>
      <c r="V1421" s="50">
        <v>59</v>
      </c>
      <c r="W1421" s="51" t="str">
        <f t="shared" si="674"/>
        <v>57:59</v>
      </c>
      <c r="X1421" s="52" t="s">
        <v>61</v>
      </c>
      <c r="Y1421" s="124" t="s">
        <v>240</v>
      </c>
      <c r="Z1421" s="124"/>
      <c r="AA1421" s="47" t="s">
        <v>254</v>
      </c>
      <c r="AB1421" s="47" t="str">
        <f t="shared" si="675"/>
        <v>NA</v>
      </c>
      <c r="AC1421" s="53" t="str">
        <f t="shared" si="676"/>
        <v/>
      </c>
      <c r="AD1421" s="54">
        <f t="shared" si="677"/>
        <v>1</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t="s">
        <v>220</v>
      </c>
      <c r="AT1421" s="58"/>
      <c r="AU1421" s="58"/>
      <c r="AV1421" s="59"/>
      <c r="AW1421" s="60">
        <f t="shared" si="662"/>
        <v>0</v>
      </c>
      <c r="AX1421" s="61" t="str">
        <f t="shared" si="663"/>
        <v/>
      </c>
      <c r="AY1421" s="60">
        <f t="shared" si="664"/>
        <v>0</v>
      </c>
      <c r="AZ1421" s="61" t="str">
        <f t="shared" si="665"/>
        <v/>
      </c>
    </row>
    <row r="1422" spans="1:52" s="3" customFormat="1" hidden="1" x14ac:dyDescent="0.35">
      <c r="A1422" s="72">
        <f t="shared" si="688"/>
        <v>2021</v>
      </c>
      <c r="B1422" s="72" t="str">
        <f t="shared" si="689"/>
        <v>Nov</v>
      </c>
      <c r="C1422" s="73">
        <f t="shared" si="685"/>
        <v>15</v>
      </c>
      <c r="D1422" s="74">
        <f t="shared" si="690"/>
        <v>12</v>
      </c>
      <c r="E1422" s="75">
        <f t="shared" si="691"/>
        <v>54</v>
      </c>
      <c r="F1422" s="79">
        <v>7</v>
      </c>
      <c r="G1422" s="82"/>
      <c r="H1422" s="68" t="str">
        <f t="shared" si="686"/>
        <v>Hyprev7_20211115_12_00</v>
      </c>
      <c r="I1422" s="69">
        <f t="shared" si="687"/>
        <v>1</v>
      </c>
      <c r="J1422" s="76" t="str">
        <f t="shared" si="687"/>
        <v>Hypericum</v>
      </c>
      <c r="K1422" s="76" t="str">
        <f t="shared" si="687"/>
        <v>revolutum</v>
      </c>
      <c r="L1422" s="77">
        <f t="shared" si="687"/>
        <v>7</v>
      </c>
      <c r="M1422" s="77">
        <f t="shared" si="687"/>
        <v>2</v>
      </c>
      <c r="N1422" s="71">
        <f t="shared" si="687"/>
        <v>0</v>
      </c>
      <c r="O1422" s="44"/>
      <c r="P1422" s="45">
        <f t="shared" si="670"/>
        <v>1</v>
      </c>
      <c r="Q1422" s="46" t="str">
        <f t="shared" si="671"/>
        <v>12:54:07</v>
      </c>
      <c r="R1422" s="47" t="str">
        <f t="shared" si="672"/>
        <v>54:07</v>
      </c>
      <c r="S1422" s="48">
        <f t="shared" si="661"/>
        <v>84</v>
      </c>
      <c r="T1422" s="47" t="str">
        <f t="shared" si="673"/>
        <v>12</v>
      </c>
      <c r="U1422" s="49">
        <v>55</v>
      </c>
      <c r="V1422" s="50">
        <v>31</v>
      </c>
      <c r="W1422" s="51" t="str">
        <f t="shared" si="674"/>
        <v>55:31</v>
      </c>
      <c r="X1422" s="52" t="s">
        <v>59</v>
      </c>
      <c r="Y1422" s="124" t="s">
        <v>238</v>
      </c>
      <c r="Z1422" s="124"/>
      <c r="AA1422" s="47" t="s">
        <v>253</v>
      </c>
      <c r="AB1422" s="47" t="str">
        <f t="shared" si="675"/>
        <v>NA</v>
      </c>
      <c r="AC1422" s="53" t="str">
        <f t="shared" si="676"/>
        <v/>
      </c>
      <c r="AD1422" s="54">
        <f t="shared" si="677"/>
        <v>1</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t="s">
        <v>221</v>
      </c>
      <c r="AT1422" s="58"/>
      <c r="AU1422" s="58"/>
      <c r="AV1422" s="59"/>
      <c r="AW1422" s="60">
        <f t="shared" si="662"/>
        <v>0</v>
      </c>
      <c r="AX1422" s="61" t="str">
        <f t="shared" si="663"/>
        <v/>
      </c>
      <c r="AY1422" s="60">
        <f t="shared" si="664"/>
        <v>0</v>
      </c>
      <c r="AZ1422" s="61" t="str">
        <f t="shared" si="665"/>
        <v/>
      </c>
    </row>
    <row r="1423" spans="1:52" s="3" customFormat="1" hidden="1" x14ac:dyDescent="0.35">
      <c r="A1423" s="72">
        <f t="shared" si="688"/>
        <v>2021</v>
      </c>
      <c r="B1423" s="72" t="str">
        <f t="shared" si="689"/>
        <v>Nov</v>
      </c>
      <c r="C1423" s="73">
        <f t="shared" si="685"/>
        <v>15</v>
      </c>
      <c r="D1423" s="74">
        <f t="shared" si="690"/>
        <v>12</v>
      </c>
      <c r="E1423" s="75">
        <f t="shared" si="691"/>
        <v>55</v>
      </c>
      <c r="F1423" s="79"/>
      <c r="G1423" s="82"/>
      <c r="H1423" s="68" t="str">
        <f t="shared" si="686"/>
        <v>Hyprev7_20211115_12_00</v>
      </c>
      <c r="I1423" s="69">
        <f t="shared" si="687"/>
        <v>1</v>
      </c>
      <c r="J1423" s="76" t="str">
        <f t="shared" si="687"/>
        <v>Hypericum</v>
      </c>
      <c r="K1423" s="76" t="str">
        <f t="shared" si="687"/>
        <v>revolutum</v>
      </c>
      <c r="L1423" s="77">
        <f t="shared" si="687"/>
        <v>7</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2021</v>
      </c>
      <c r="B1424" s="72" t="str">
        <f t="shared" si="689"/>
        <v>Nov</v>
      </c>
      <c r="C1424" s="73">
        <f t="shared" si="685"/>
        <v>15</v>
      </c>
      <c r="D1424" s="74">
        <f t="shared" si="690"/>
        <v>12</v>
      </c>
      <c r="E1424" s="75">
        <f t="shared" si="691"/>
        <v>56</v>
      </c>
      <c r="F1424" s="79"/>
      <c r="G1424" s="82"/>
      <c r="H1424" s="68" t="str">
        <f t="shared" si="686"/>
        <v>Hyprev7_20211115_12_00</v>
      </c>
      <c r="I1424" s="69">
        <f t="shared" si="687"/>
        <v>1</v>
      </c>
      <c r="J1424" s="76" t="str">
        <f t="shared" si="687"/>
        <v>Hypericum</v>
      </c>
      <c r="K1424" s="76" t="str">
        <f t="shared" si="687"/>
        <v>revolutum</v>
      </c>
      <c r="L1424" s="77">
        <f t="shared" si="687"/>
        <v>7</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2021</v>
      </c>
      <c r="B1425" s="72" t="str">
        <f>IF(C1424-C1425&gt;0, TEXT(DATE(2016,(MONTH(DATEVALUE(B1424&amp;"1"))+1),1),"mmm"), B1424)</f>
        <v>Nov</v>
      </c>
      <c r="C1425" s="73">
        <f t="shared" si="685"/>
        <v>15</v>
      </c>
      <c r="D1425" s="74">
        <f>IF(IF(E1424=59,D1424+1,D1424)=24,0,IF(E1424=59,D1424+1,D1424))</f>
        <v>12</v>
      </c>
      <c r="E1425" s="75">
        <f>IF(E1424&lt;59,E1424+1,0)</f>
        <v>57</v>
      </c>
      <c r="F1425" s="79">
        <v>47</v>
      </c>
      <c r="G1425" s="82"/>
      <c r="H1425" s="68" t="str">
        <f t="shared" si="686"/>
        <v>Hyprev7_20211115_12_00</v>
      </c>
      <c r="I1425" s="69">
        <f t="shared" si="687"/>
        <v>1</v>
      </c>
      <c r="J1425" s="76" t="str">
        <f>J1424</f>
        <v>Hypericum</v>
      </c>
      <c r="K1425" s="76" t="str">
        <f>K1424</f>
        <v>revolutum</v>
      </c>
      <c r="L1425" s="77">
        <f>L1424</f>
        <v>7</v>
      </c>
      <c r="M1425" s="77">
        <f t="shared" si="687"/>
        <v>2</v>
      </c>
      <c r="N1425" s="71">
        <f>N1424</f>
        <v>0</v>
      </c>
      <c r="O1425" s="44"/>
      <c r="P1425" s="45">
        <f t="shared" si="670"/>
        <v>1</v>
      </c>
      <c r="Q1425" s="46" t="str">
        <f t="shared" si="671"/>
        <v>12:57:47</v>
      </c>
      <c r="R1425" s="47" t="str">
        <f t="shared" si="672"/>
        <v>57:47</v>
      </c>
      <c r="S1425" s="48">
        <f t="shared" si="661"/>
        <v>114</v>
      </c>
      <c r="T1425" s="47" t="str">
        <f t="shared" si="673"/>
        <v>12</v>
      </c>
      <c r="U1425" s="49">
        <v>59</v>
      </c>
      <c r="V1425" s="50">
        <v>41</v>
      </c>
      <c r="W1425" s="51" t="str">
        <f t="shared" si="674"/>
        <v>59:41</v>
      </c>
      <c r="X1425" s="52" t="s">
        <v>61</v>
      </c>
      <c r="Y1425" s="124" t="s">
        <v>240</v>
      </c>
      <c r="Z1425" s="124"/>
      <c r="AA1425" s="47" t="s">
        <v>254</v>
      </c>
      <c r="AB1425" s="47" t="str">
        <f t="shared" si="675"/>
        <v>NA</v>
      </c>
      <c r="AC1425" s="53" t="str">
        <f t="shared" si="676"/>
        <v/>
      </c>
      <c r="AD1425" s="54">
        <f t="shared" si="677"/>
        <v>1</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t="s">
        <v>222</v>
      </c>
      <c r="AT1425" s="58"/>
      <c r="AU1425" s="58"/>
      <c r="AV1425" s="59"/>
      <c r="AW1425" s="60">
        <f t="shared" si="662"/>
        <v>0</v>
      </c>
      <c r="AX1425" s="61" t="str">
        <f t="shared" si="663"/>
        <v/>
      </c>
      <c r="AY1425" s="60">
        <f t="shared" si="664"/>
        <v>0</v>
      </c>
      <c r="AZ1425" s="61" t="str">
        <f t="shared" si="665"/>
        <v/>
      </c>
    </row>
    <row r="1426" spans="1:52" s="3" customFormat="1" hidden="1" x14ac:dyDescent="0.35">
      <c r="A1426" s="72">
        <f t="shared" ref="A1426:A1491" si="692">A1425</f>
        <v>2021</v>
      </c>
      <c r="B1426" s="72" t="str">
        <f t="shared" ref="B1426:B1442" si="693">IF(C1425-C1426&gt;0, TEXT(DATE(2016,(MONTH(DATEVALUE(B1425&amp;"1"))+1),1),"mmm"), B1425)</f>
        <v>Nov</v>
      </c>
      <c r="C1426" s="73">
        <f t="shared" si="685"/>
        <v>15</v>
      </c>
      <c r="D1426" s="74">
        <f t="shared" ref="D1426:D1442" si="694">IF(IF(E1425=59,D1425+1,D1425)=24,0,IF(E1425=59,D1425+1,D1425))</f>
        <v>12</v>
      </c>
      <c r="E1426" s="75">
        <f t="shared" ref="E1426:E1491" si="695">IF(E1425&lt;59,E1425+1,0)</f>
        <v>58</v>
      </c>
      <c r="F1426" s="79">
        <v>36</v>
      </c>
      <c r="G1426" s="82"/>
      <c r="H1426" s="68" t="str">
        <f t="shared" si="686"/>
        <v>Hyprev7_20211115_12_00</v>
      </c>
      <c r="I1426" s="69">
        <f t="shared" si="687"/>
        <v>1</v>
      </c>
      <c r="J1426" s="76" t="str">
        <f t="shared" si="687"/>
        <v>Hypericum</v>
      </c>
      <c r="K1426" s="76" t="str">
        <f t="shared" si="687"/>
        <v>revolutum</v>
      </c>
      <c r="L1426" s="77">
        <f t="shared" si="687"/>
        <v>7</v>
      </c>
      <c r="M1426" s="77">
        <f t="shared" si="687"/>
        <v>2</v>
      </c>
      <c r="N1426" s="71">
        <f t="shared" si="687"/>
        <v>0</v>
      </c>
      <c r="O1426" s="44"/>
      <c r="P1426" s="45">
        <f t="shared" si="670"/>
        <v>1</v>
      </c>
      <c r="Q1426" s="46" t="str">
        <f t="shared" si="671"/>
        <v>12:58:36</v>
      </c>
      <c r="R1426" s="47" t="str">
        <f t="shared" si="672"/>
        <v>58:36</v>
      </c>
      <c r="S1426" s="48">
        <f t="shared" si="661"/>
        <v>138</v>
      </c>
      <c r="T1426" s="47">
        <v>13</v>
      </c>
      <c r="U1426" s="49">
        <v>0</v>
      </c>
      <c r="V1426" s="50">
        <v>54</v>
      </c>
      <c r="W1426" s="51" t="str">
        <f t="shared" si="674"/>
        <v>00:54</v>
      </c>
      <c r="X1426" s="52" t="s">
        <v>61</v>
      </c>
      <c r="Y1426" s="124" t="s">
        <v>240</v>
      </c>
      <c r="Z1426" s="124"/>
      <c r="AA1426" s="47" t="s">
        <v>254</v>
      </c>
      <c r="AB1426" s="47" t="str">
        <f t="shared" si="675"/>
        <v>NA</v>
      </c>
      <c r="AC1426" s="53" t="str">
        <f t="shared" si="676"/>
        <v/>
      </c>
      <c r="AD1426" s="54">
        <f t="shared" si="677"/>
        <v>1</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t="s">
        <v>223</v>
      </c>
      <c r="AT1426" s="58"/>
      <c r="AU1426" s="58"/>
      <c r="AV1426" s="59"/>
      <c r="AW1426" s="60">
        <f t="shared" si="662"/>
        <v>0</v>
      </c>
      <c r="AX1426" s="61" t="str">
        <f t="shared" si="663"/>
        <v/>
      </c>
      <c r="AY1426" s="60">
        <f t="shared" si="664"/>
        <v>0</v>
      </c>
      <c r="AZ1426" s="61" t="str">
        <f t="shared" si="665"/>
        <v/>
      </c>
    </row>
    <row r="1427" spans="1:52" s="3" customFormat="1" hidden="1" x14ac:dyDescent="0.35">
      <c r="A1427" s="72">
        <f t="shared" si="692"/>
        <v>2021</v>
      </c>
      <c r="B1427" s="72" t="str">
        <f t="shared" si="693"/>
        <v>Nov</v>
      </c>
      <c r="C1427" s="73">
        <f t="shared" si="685"/>
        <v>15</v>
      </c>
      <c r="D1427" s="74">
        <f t="shared" si="694"/>
        <v>12</v>
      </c>
      <c r="E1427" s="75">
        <f t="shared" si="695"/>
        <v>59</v>
      </c>
      <c r="F1427" s="79"/>
      <c r="G1427" s="82"/>
      <c r="H1427" s="68" t="str">
        <f t="shared" si="686"/>
        <v>Hyprev7_20211115_12_00</v>
      </c>
      <c r="I1427" s="69">
        <f t="shared" si="687"/>
        <v>1</v>
      </c>
      <c r="J1427" s="76" t="str">
        <f t="shared" si="687"/>
        <v>Hypericum</v>
      </c>
      <c r="K1427" s="76" t="str">
        <f t="shared" si="687"/>
        <v>revolutum</v>
      </c>
      <c r="L1427" s="77">
        <f t="shared" si="687"/>
        <v>7</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2021</v>
      </c>
      <c r="B1428" s="72" t="str">
        <f t="shared" si="693"/>
        <v>Nov</v>
      </c>
      <c r="C1428" s="73">
        <f t="shared" si="685"/>
        <v>15</v>
      </c>
      <c r="D1428" s="74">
        <f t="shared" si="694"/>
        <v>13</v>
      </c>
      <c r="E1428" s="75">
        <f t="shared" si="695"/>
        <v>0</v>
      </c>
      <c r="F1428" s="79"/>
      <c r="G1428" s="82"/>
      <c r="H1428" s="68" t="str">
        <f t="shared" si="686"/>
        <v>Hyprev7_20211115_13_00</v>
      </c>
      <c r="I1428" s="69">
        <f t="shared" si="687"/>
        <v>1</v>
      </c>
      <c r="J1428" s="76" t="str">
        <f t="shared" si="687"/>
        <v>Hypericum</v>
      </c>
      <c r="K1428" s="76" t="str">
        <f t="shared" si="687"/>
        <v>revolutum</v>
      </c>
      <c r="L1428" s="77">
        <f t="shared" si="687"/>
        <v>7</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2021</v>
      </c>
      <c r="B1429" s="72" t="str">
        <f t="shared" si="693"/>
        <v>Nov</v>
      </c>
      <c r="C1429" s="73">
        <f t="shared" si="685"/>
        <v>15</v>
      </c>
      <c r="D1429" s="74">
        <f t="shared" si="694"/>
        <v>13</v>
      </c>
      <c r="E1429" s="75">
        <f t="shared" si="695"/>
        <v>1</v>
      </c>
      <c r="F1429" s="79"/>
      <c r="G1429" s="82"/>
      <c r="H1429" s="68" t="str">
        <f t="shared" si="686"/>
        <v>Hyprev7_20211115_13_00</v>
      </c>
      <c r="I1429" s="69">
        <f t="shared" ref="I1429:N1442" si="696">I1428</f>
        <v>1</v>
      </c>
      <c r="J1429" s="76" t="str">
        <f t="shared" si="696"/>
        <v>Hypericum</v>
      </c>
      <c r="K1429" s="76" t="str">
        <f t="shared" si="696"/>
        <v>revolutum</v>
      </c>
      <c r="L1429" s="77">
        <f t="shared" si="696"/>
        <v>7</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2021</v>
      </c>
      <c r="B1430" s="72" t="str">
        <f t="shared" si="693"/>
        <v>Nov</v>
      </c>
      <c r="C1430" s="73">
        <f t="shared" si="685"/>
        <v>15</v>
      </c>
      <c r="D1430" s="74">
        <f t="shared" si="694"/>
        <v>13</v>
      </c>
      <c r="E1430" s="75">
        <f t="shared" si="695"/>
        <v>2</v>
      </c>
      <c r="F1430" s="79"/>
      <c r="G1430" s="82"/>
      <c r="H1430" s="68" t="str">
        <f t="shared" si="686"/>
        <v>Hyprev7_20211115_13_00</v>
      </c>
      <c r="I1430" s="69">
        <f t="shared" si="696"/>
        <v>1</v>
      </c>
      <c r="J1430" s="76" t="str">
        <f t="shared" si="696"/>
        <v>Hypericum</v>
      </c>
      <c r="K1430" s="76" t="str">
        <f t="shared" si="696"/>
        <v>revolutum</v>
      </c>
      <c r="L1430" s="77">
        <f t="shared" si="696"/>
        <v>7</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2021</v>
      </c>
      <c r="B1431" s="72" t="str">
        <f t="shared" si="693"/>
        <v>Nov</v>
      </c>
      <c r="C1431" s="73">
        <f t="shared" si="685"/>
        <v>15</v>
      </c>
      <c r="D1431" s="74">
        <f t="shared" si="694"/>
        <v>13</v>
      </c>
      <c r="E1431" s="75">
        <f t="shared" si="695"/>
        <v>3</v>
      </c>
      <c r="F1431" s="79">
        <v>54</v>
      </c>
      <c r="G1431" s="82"/>
      <c r="H1431" s="68" t="str">
        <f t="shared" si="686"/>
        <v>Hyprev7_20211115_13_00</v>
      </c>
      <c r="I1431" s="69">
        <f t="shared" si="696"/>
        <v>1</v>
      </c>
      <c r="J1431" s="76" t="str">
        <f t="shared" si="696"/>
        <v>Hypericum</v>
      </c>
      <c r="K1431" s="76" t="str">
        <f t="shared" si="696"/>
        <v>revolutum</v>
      </c>
      <c r="L1431" s="77">
        <f t="shared" si="696"/>
        <v>7</v>
      </c>
      <c r="M1431" s="77">
        <f t="shared" si="696"/>
        <v>2</v>
      </c>
      <c r="N1431" s="71">
        <f t="shared" si="696"/>
        <v>0</v>
      </c>
      <c r="O1431" s="44"/>
      <c r="P1431" s="45">
        <f t="shared" si="670"/>
        <v>1</v>
      </c>
      <c r="Q1431" s="46" t="str">
        <f t="shared" si="671"/>
        <v>13:03:54</v>
      </c>
      <c r="R1431" s="47" t="str">
        <f t="shared" si="672"/>
        <v>03:54</v>
      </c>
      <c r="S1431" s="48">
        <f t="shared" si="661"/>
        <v>1635</v>
      </c>
      <c r="T1431" s="47" t="str">
        <f t="shared" si="673"/>
        <v>13</v>
      </c>
      <c r="U1431" s="49">
        <v>31</v>
      </c>
      <c r="V1431" s="50">
        <v>9</v>
      </c>
      <c r="W1431" s="51" t="str">
        <f t="shared" si="674"/>
        <v>31:09</v>
      </c>
      <c r="X1431" s="52" t="s">
        <v>59</v>
      </c>
      <c r="Y1431" s="124" t="s">
        <v>236</v>
      </c>
      <c r="Z1431" s="124"/>
      <c r="AA1431" s="47" t="s">
        <v>254</v>
      </c>
      <c r="AB1431" s="47" t="str">
        <f t="shared" si="675"/>
        <v>NA</v>
      </c>
      <c r="AC1431" s="53" t="str">
        <f t="shared" si="676"/>
        <v/>
      </c>
      <c r="AD1431" s="54">
        <f t="shared" si="677"/>
        <v>1</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t="s">
        <v>224</v>
      </c>
      <c r="AT1431" s="58"/>
      <c r="AU1431" s="58"/>
      <c r="AV1431" s="59"/>
      <c r="AW1431" s="60">
        <f t="shared" si="662"/>
        <v>0</v>
      </c>
      <c r="AX1431" s="61" t="str">
        <f t="shared" si="663"/>
        <v/>
      </c>
      <c r="AY1431" s="60">
        <f t="shared" si="664"/>
        <v>0</v>
      </c>
      <c r="AZ1431" s="61" t="str">
        <f t="shared" si="665"/>
        <v/>
      </c>
    </row>
    <row r="1432" spans="1:52" s="3" customFormat="1" hidden="1" x14ac:dyDescent="0.35">
      <c r="A1432" s="72">
        <f t="shared" si="692"/>
        <v>2021</v>
      </c>
      <c r="B1432" s="72" t="str">
        <f t="shared" si="693"/>
        <v>Nov</v>
      </c>
      <c r="C1432" s="73">
        <f t="shared" si="685"/>
        <v>15</v>
      </c>
      <c r="D1432" s="74">
        <f t="shared" si="694"/>
        <v>13</v>
      </c>
      <c r="E1432" s="75">
        <f t="shared" si="695"/>
        <v>4</v>
      </c>
      <c r="F1432" s="79">
        <v>0</v>
      </c>
      <c r="G1432" s="82"/>
      <c r="H1432" s="68" t="str">
        <f t="shared" si="686"/>
        <v>Hyprev7_20211115_13_00</v>
      </c>
      <c r="I1432" s="69">
        <f t="shared" si="696"/>
        <v>1</v>
      </c>
      <c r="J1432" s="76" t="str">
        <f t="shared" si="696"/>
        <v>Hypericum</v>
      </c>
      <c r="K1432" s="76" t="str">
        <f t="shared" si="696"/>
        <v>revolutum</v>
      </c>
      <c r="L1432" s="77">
        <f t="shared" si="696"/>
        <v>7</v>
      </c>
      <c r="M1432" s="77">
        <f t="shared" si="696"/>
        <v>2</v>
      </c>
      <c r="N1432" s="71">
        <f t="shared" si="696"/>
        <v>0</v>
      </c>
      <c r="O1432" s="44"/>
      <c r="P1432" s="45">
        <f t="shared" si="670"/>
        <v>1</v>
      </c>
      <c r="Q1432" s="46" t="str">
        <f t="shared" si="671"/>
        <v>13:04:00</v>
      </c>
      <c r="R1432" s="47" t="str">
        <f t="shared" si="672"/>
        <v>04:00</v>
      </c>
      <c r="S1432" s="48">
        <f t="shared" si="661"/>
        <v>1630</v>
      </c>
      <c r="T1432" s="47" t="str">
        <f t="shared" si="673"/>
        <v>13</v>
      </c>
      <c r="U1432" s="49">
        <v>31</v>
      </c>
      <c r="V1432" s="50">
        <v>10</v>
      </c>
      <c r="W1432" s="51" t="str">
        <f t="shared" si="674"/>
        <v>31:10</v>
      </c>
      <c r="X1432" s="52" t="s">
        <v>59</v>
      </c>
      <c r="Y1432" s="124" t="s">
        <v>236</v>
      </c>
      <c r="Z1432" s="124"/>
      <c r="AA1432" s="47" t="s">
        <v>254</v>
      </c>
      <c r="AB1432" s="47" t="str">
        <f t="shared" si="675"/>
        <v>NA</v>
      </c>
      <c r="AC1432" s="53" t="str">
        <f t="shared" si="676"/>
        <v/>
      </c>
      <c r="AD1432" s="54">
        <f t="shared" si="677"/>
        <v>1</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t="s">
        <v>225</v>
      </c>
      <c r="AT1432" s="58"/>
      <c r="AU1432" s="58"/>
      <c r="AV1432" s="59"/>
      <c r="AW1432" s="60">
        <f t="shared" si="662"/>
        <v>0</v>
      </c>
      <c r="AX1432" s="61" t="str">
        <f t="shared" si="663"/>
        <v/>
      </c>
      <c r="AY1432" s="60">
        <f t="shared" si="664"/>
        <v>0</v>
      </c>
      <c r="AZ1432" s="61" t="str">
        <f t="shared" si="665"/>
        <v/>
      </c>
    </row>
    <row r="1433" spans="1:52" s="3" customFormat="1" hidden="1" x14ac:dyDescent="0.35">
      <c r="A1433" s="72">
        <f t="shared" si="692"/>
        <v>2021</v>
      </c>
      <c r="B1433" s="72" t="str">
        <f t="shared" si="693"/>
        <v>Nov</v>
      </c>
      <c r="C1433" s="73">
        <f t="shared" si="685"/>
        <v>15</v>
      </c>
      <c r="D1433" s="74">
        <f t="shared" si="694"/>
        <v>13</v>
      </c>
      <c r="E1433" s="75">
        <v>4</v>
      </c>
      <c r="F1433" s="79">
        <v>35</v>
      </c>
      <c r="G1433" s="82"/>
      <c r="H1433" s="68" t="str">
        <f t="shared" si="686"/>
        <v>Hyprev7_20211115_13_00</v>
      </c>
      <c r="I1433" s="69">
        <f t="shared" si="696"/>
        <v>1</v>
      </c>
      <c r="J1433" s="76" t="str">
        <f t="shared" si="696"/>
        <v>Hypericum</v>
      </c>
      <c r="K1433" s="76" t="str">
        <f t="shared" si="696"/>
        <v>revolutum</v>
      </c>
      <c r="L1433" s="77">
        <f t="shared" si="696"/>
        <v>7</v>
      </c>
      <c r="M1433" s="77">
        <f t="shared" si="696"/>
        <v>2</v>
      </c>
      <c r="N1433" s="71">
        <f t="shared" si="696"/>
        <v>0</v>
      </c>
      <c r="O1433" s="44"/>
      <c r="P1433" s="45">
        <f t="shared" si="670"/>
        <v>1</v>
      </c>
      <c r="Q1433" s="46" t="str">
        <f t="shared" si="671"/>
        <v>13:04:35</v>
      </c>
      <c r="R1433" s="47" t="str">
        <f t="shared" si="672"/>
        <v>04:35</v>
      </c>
      <c r="S1433" s="48">
        <f t="shared" si="661"/>
        <v>18</v>
      </c>
      <c r="T1433" s="47" t="str">
        <f t="shared" si="673"/>
        <v>13</v>
      </c>
      <c r="U1433" s="49">
        <v>4</v>
      </c>
      <c r="V1433" s="50">
        <v>53</v>
      </c>
      <c r="W1433" s="51" t="str">
        <f t="shared" si="674"/>
        <v>04:53</v>
      </c>
      <c r="X1433" s="52" t="s">
        <v>59</v>
      </c>
      <c r="Y1433" s="124" t="s">
        <v>236</v>
      </c>
      <c r="Z1433" s="124"/>
      <c r="AA1433" s="47" t="s">
        <v>254</v>
      </c>
      <c r="AB1433" s="47" t="str">
        <f t="shared" si="675"/>
        <v>NA</v>
      </c>
      <c r="AC1433" s="53" t="str">
        <f t="shared" si="676"/>
        <v/>
      </c>
      <c r="AD1433" s="54">
        <f t="shared" si="677"/>
        <v>1</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t="s">
        <v>226</v>
      </c>
      <c r="AT1433" s="58"/>
      <c r="AU1433" s="58"/>
      <c r="AV1433" s="59"/>
      <c r="AW1433" s="60">
        <f t="shared" si="662"/>
        <v>0</v>
      </c>
      <c r="AX1433" s="61" t="str">
        <f t="shared" si="663"/>
        <v/>
      </c>
      <c r="AY1433" s="60">
        <f t="shared" si="664"/>
        <v>0</v>
      </c>
      <c r="AZ1433" s="61" t="str">
        <f t="shared" si="665"/>
        <v/>
      </c>
    </row>
    <row r="1434" spans="1:52" s="3" customFormat="1" hidden="1" x14ac:dyDescent="0.35">
      <c r="A1434" s="72">
        <f t="shared" si="692"/>
        <v>2021</v>
      </c>
      <c r="B1434" s="72" t="str">
        <f t="shared" si="693"/>
        <v>Nov</v>
      </c>
      <c r="C1434" s="73">
        <f t="shared" si="685"/>
        <v>15</v>
      </c>
      <c r="D1434" s="74">
        <f t="shared" si="694"/>
        <v>13</v>
      </c>
      <c r="E1434" s="75">
        <v>4</v>
      </c>
      <c r="F1434" s="79">
        <v>42</v>
      </c>
      <c r="G1434" s="82"/>
      <c r="H1434" s="68" t="str">
        <f t="shared" si="686"/>
        <v>Hyprev7_20211115_13_00</v>
      </c>
      <c r="I1434" s="69">
        <f t="shared" si="696"/>
        <v>1</v>
      </c>
      <c r="J1434" s="76" t="str">
        <f t="shared" si="696"/>
        <v>Hypericum</v>
      </c>
      <c r="K1434" s="76" t="str">
        <f t="shared" si="696"/>
        <v>revolutum</v>
      </c>
      <c r="L1434" s="77">
        <f t="shared" si="696"/>
        <v>7</v>
      </c>
      <c r="M1434" s="77">
        <f t="shared" si="696"/>
        <v>2</v>
      </c>
      <c r="N1434" s="71">
        <f t="shared" si="696"/>
        <v>0</v>
      </c>
      <c r="O1434" s="44"/>
      <c r="P1434" s="45">
        <f t="shared" si="670"/>
        <v>1</v>
      </c>
      <c r="Q1434" s="46" t="str">
        <f t="shared" si="671"/>
        <v>13:04:42</v>
      </c>
      <c r="R1434" s="47" t="str">
        <f t="shared" si="672"/>
        <v>04:42</v>
      </c>
      <c r="S1434" s="48">
        <f t="shared" si="661"/>
        <v>25</v>
      </c>
      <c r="T1434" s="47" t="str">
        <f t="shared" si="673"/>
        <v>13</v>
      </c>
      <c r="U1434" s="49">
        <v>5</v>
      </c>
      <c r="V1434" s="50">
        <v>7</v>
      </c>
      <c r="W1434" s="51" t="str">
        <f t="shared" si="674"/>
        <v>05:07</v>
      </c>
      <c r="X1434" s="52" t="s">
        <v>61</v>
      </c>
      <c r="Y1434" s="124" t="s">
        <v>240</v>
      </c>
      <c r="Z1434" s="124"/>
      <c r="AA1434" s="47" t="s">
        <v>254</v>
      </c>
      <c r="AB1434" s="47" t="str">
        <f t="shared" si="675"/>
        <v>NA</v>
      </c>
      <c r="AC1434" s="53" t="str">
        <f t="shared" si="676"/>
        <v/>
      </c>
      <c r="AD1434" s="54">
        <f t="shared" si="677"/>
        <v>1</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t="s">
        <v>75</v>
      </c>
      <c r="AT1434" s="58"/>
      <c r="AU1434" s="58"/>
      <c r="AV1434" s="59"/>
      <c r="AW1434" s="60">
        <f t="shared" si="662"/>
        <v>0</v>
      </c>
      <c r="AX1434" s="61" t="str">
        <f t="shared" si="663"/>
        <v/>
      </c>
      <c r="AY1434" s="60">
        <f t="shared" si="664"/>
        <v>0</v>
      </c>
      <c r="AZ1434" s="61" t="str">
        <f t="shared" si="665"/>
        <v/>
      </c>
    </row>
    <row r="1435" spans="1:52" s="3" customFormat="1" hidden="1" x14ac:dyDescent="0.35">
      <c r="A1435" s="72">
        <f t="shared" si="692"/>
        <v>2021</v>
      </c>
      <c r="B1435" s="72" t="str">
        <f t="shared" si="693"/>
        <v>Nov</v>
      </c>
      <c r="C1435" s="73">
        <f t="shared" si="685"/>
        <v>15</v>
      </c>
      <c r="D1435" s="74">
        <f t="shared" si="694"/>
        <v>13</v>
      </c>
      <c r="E1435" s="75">
        <f t="shared" si="695"/>
        <v>5</v>
      </c>
      <c r="F1435" s="79">
        <v>5</v>
      </c>
      <c r="G1435" s="82"/>
      <c r="H1435" s="68" t="str">
        <f t="shared" si="686"/>
        <v>Hyprev7_20211115_13_00</v>
      </c>
      <c r="I1435" s="69">
        <f t="shared" si="696"/>
        <v>1</v>
      </c>
      <c r="J1435" s="76" t="str">
        <f t="shared" si="696"/>
        <v>Hypericum</v>
      </c>
      <c r="K1435" s="76" t="str">
        <f t="shared" si="696"/>
        <v>revolutum</v>
      </c>
      <c r="L1435" s="77">
        <f t="shared" si="696"/>
        <v>7</v>
      </c>
      <c r="M1435" s="77">
        <f t="shared" si="696"/>
        <v>2</v>
      </c>
      <c r="N1435" s="71">
        <f t="shared" si="696"/>
        <v>0</v>
      </c>
      <c r="O1435" s="44"/>
      <c r="P1435" s="45">
        <f t="shared" si="670"/>
        <v>1</v>
      </c>
      <c r="Q1435" s="46" t="str">
        <f t="shared" si="671"/>
        <v>13:05:05</v>
      </c>
      <c r="R1435" s="47" t="str">
        <f t="shared" si="672"/>
        <v>05:05</v>
      </c>
      <c r="S1435" s="48">
        <f t="shared" si="661"/>
        <v>0</v>
      </c>
      <c r="T1435" s="47" t="str">
        <f t="shared" si="673"/>
        <v>13</v>
      </c>
      <c r="U1435" s="49">
        <v>5</v>
      </c>
      <c r="V1435" s="50">
        <v>5</v>
      </c>
      <c r="W1435" s="51" t="str">
        <f t="shared" si="674"/>
        <v>05:05</v>
      </c>
      <c r="X1435" s="52" t="s">
        <v>59</v>
      </c>
      <c r="Y1435" s="124" t="s">
        <v>242</v>
      </c>
      <c r="Z1435" s="124"/>
      <c r="AA1435" s="47" t="s">
        <v>264</v>
      </c>
      <c r="AB1435" s="47" t="str">
        <f t="shared" si="675"/>
        <v>NA</v>
      </c>
      <c r="AC1435" s="53">
        <f t="shared" si="676"/>
        <v>0</v>
      </c>
      <c r="AD1435" s="54">
        <f t="shared" si="677"/>
        <v>1</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t="s">
        <v>125</v>
      </c>
      <c r="AT1435" s="58"/>
      <c r="AU1435" s="58"/>
      <c r="AV1435" s="59"/>
      <c r="AW1435" s="60">
        <f t="shared" si="662"/>
        <v>0</v>
      </c>
      <c r="AX1435" s="61" t="str">
        <f t="shared" si="663"/>
        <v/>
      </c>
      <c r="AY1435" s="60">
        <f t="shared" si="664"/>
        <v>0</v>
      </c>
      <c r="AZ1435" s="61" t="str">
        <f t="shared" si="665"/>
        <v/>
      </c>
    </row>
    <row r="1436" spans="1:52" s="3" customFormat="1" hidden="1" x14ac:dyDescent="0.35">
      <c r="A1436" s="72">
        <f t="shared" si="692"/>
        <v>2021</v>
      </c>
      <c r="B1436" s="72" t="str">
        <f t="shared" si="693"/>
        <v>Nov</v>
      </c>
      <c r="C1436" s="73">
        <f t="shared" si="685"/>
        <v>15</v>
      </c>
      <c r="D1436" s="74">
        <f t="shared" si="694"/>
        <v>13</v>
      </c>
      <c r="E1436" s="75">
        <v>5</v>
      </c>
      <c r="F1436" s="79">
        <v>10</v>
      </c>
      <c r="G1436" s="82"/>
      <c r="H1436" s="68" t="str">
        <f t="shared" si="686"/>
        <v>Hyprev7_20211115_13_00</v>
      </c>
      <c r="I1436" s="69">
        <f t="shared" si="696"/>
        <v>1</v>
      </c>
      <c r="J1436" s="76" t="str">
        <f t="shared" si="696"/>
        <v>Hypericum</v>
      </c>
      <c r="K1436" s="76" t="str">
        <f t="shared" si="696"/>
        <v>revolutum</v>
      </c>
      <c r="L1436" s="77">
        <f t="shared" si="696"/>
        <v>7</v>
      </c>
      <c r="M1436" s="77">
        <f t="shared" si="696"/>
        <v>2</v>
      </c>
      <c r="N1436" s="71">
        <f t="shared" si="696"/>
        <v>0</v>
      </c>
      <c r="O1436" s="44"/>
      <c r="P1436" s="45">
        <f t="shared" si="670"/>
        <v>1</v>
      </c>
      <c r="Q1436" s="46" t="str">
        <f t="shared" si="671"/>
        <v>13:05:10</v>
      </c>
      <c r="R1436" s="47" t="str">
        <f t="shared" si="672"/>
        <v>05:10</v>
      </c>
      <c r="S1436" s="48">
        <f t="shared" si="661"/>
        <v>20</v>
      </c>
      <c r="T1436" s="47" t="str">
        <f t="shared" si="673"/>
        <v>13</v>
      </c>
      <c r="U1436" s="49">
        <v>5</v>
      </c>
      <c r="V1436" s="50">
        <v>30</v>
      </c>
      <c r="W1436" s="51" t="str">
        <f t="shared" si="674"/>
        <v>05:30</v>
      </c>
      <c r="X1436" s="52" t="s">
        <v>61</v>
      </c>
      <c r="Y1436" s="124" t="s">
        <v>240</v>
      </c>
      <c r="Z1436" s="124"/>
      <c r="AA1436" s="47" t="s">
        <v>254</v>
      </c>
      <c r="AB1436" s="47" t="str">
        <f t="shared" si="675"/>
        <v>NA</v>
      </c>
      <c r="AC1436" s="53" t="str">
        <f t="shared" si="676"/>
        <v/>
      </c>
      <c r="AD1436" s="54">
        <f t="shared" si="677"/>
        <v>1</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t="s">
        <v>98</v>
      </c>
      <c r="AT1436" s="58"/>
      <c r="AU1436" s="58"/>
      <c r="AV1436" s="59"/>
      <c r="AW1436" s="60">
        <f t="shared" si="662"/>
        <v>0</v>
      </c>
      <c r="AX1436" s="61" t="str">
        <f t="shared" si="663"/>
        <v/>
      </c>
      <c r="AY1436" s="60">
        <f t="shared" si="664"/>
        <v>0</v>
      </c>
      <c r="AZ1436" s="61" t="str">
        <f t="shared" si="665"/>
        <v/>
      </c>
    </row>
    <row r="1437" spans="1:52" s="3" customFormat="1" hidden="1" x14ac:dyDescent="0.35">
      <c r="A1437" s="72">
        <f t="shared" si="692"/>
        <v>2021</v>
      </c>
      <c r="B1437" s="72" t="str">
        <f t="shared" si="693"/>
        <v>Nov</v>
      </c>
      <c r="C1437" s="73">
        <f t="shared" si="685"/>
        <v>15</v>
      </c>
      <c r="D1437" s="74">
        <f t="shared" si="694"/>
        <v>13</v>
      </c>
      <c r="E1437" s="75">
        <v>5</v>
      </c>
      <c r="F1437" s="79">
        <v>42</v>
      </c>
      <c r="G1437" s="82"/>
      <c r="H1437" s="68" t="str">
        <f t="shared" si="686"/>
        <v>Hyprev7_20211115_13_00</v>
      </c>
      <c r="I1437" s="69">
        <f t="shared" si="696"/>
        <v>1</v>
      </c>
      <c r="J1437" s="76" t="str">
        <f t="shared" si="696"/>
        <v>Hypericum</v>
      </c>
      <c r="K1437" s="76" t="str">
        <f t="shared" si="696"/>
        <v>revolutum</v>
      </c>
      <c r="L1437" s="77">
        <f t="shared" si="696"/>
        <v>7</v>
      </c>
      <c r="M1437" s="77">
        <f t="shared" si="696"/>
        <v>2</v>
      </c>
      <c r="N1437" s="71">
        <f t="shared" si="696"/>
        <v>0</v>
      </c>
      <c r="O1437" s="44"/>
      <c r="P1437" s="45">
        <f t="shared" si="670"/>
        <v>1</v>
      </c>
      <c r="Q1437" s="46" t="str">
        <f t="shared" si="671"/>
        <v>13:05:42</v>
      </c>
      <c r="R1437" s="47" t="str">
        <f t="shared" si="672"/>
        <v>05:42</v>
      </c>
      <c r="S1437" s="48">
        <f t="shared" si="661"/>
        <v>4</v>
      </c>
      <c r="T1437" s="47" t="str">
        <f t="shared" si="673"/>
        <v>13</v>
      </c>
      <c r="U1437" s="49">
        <v>5</v>
      </c>
      <c r="V1437" s="50">
        <v>46</v>
      </c>
      <c r="W1437" s="51" t="str">
        <f t="shared" si="674"/>
        <v>05:46</v>
      </c>
      <c r="X1437" s="52" t="s">
        <v>61</v>
      </c>
      <c r="Y1437" s="124" t="s">
        <v>240</v>
      </c>
      <c r="Z1437" s="124"/>
      <c r="AA1437" s="47" t="s">
        <v>254</v>
      </c>
      <c r="AB1437" s="47" t="str">
        <f t="shared" si="675"/>
        <v>NA</v>
      </c>
      <c r="AC1437" s="53" t="str">
        <f t="shared" si="676"/>
        <v/>
      </c>
      <c r="AD1437" s="54">
        <f t="shared" si="677"/>
        <v>1</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t="s">
        <v>98</v>
      </c>
      <c r="AT1437" s="58"/>
      <c r="AU1437" s="58"/>
      <c r="AV1437" s="59"/>
      <c r="AW1437" s="60">
        <f t="shared" si="662"/>
        <v>0</v>
      </c>
      <c r="AX1437" s="61" t="str">
        <f t="shared" si="663"/>
        <v/>
      </c>
      <c r="AY1437" s="60">
        <f t="shared" si="664"/>
        <v>0</v>
      </c>
      <c r="AZ1437" s="61" t="str">
        <f t="shared" si="665"/>
        <v/>
      </c>
    </row>
    <row r="1438" spans="1:52" s="3" customFormat="1" hidden="1" x14ac:dyDescent="0.35">
      <c r="A1438" s="72">
        <f t="shared" si="692"/>
        <v>2021</v>
      </c>
      <c r="B1438" s="72" t="str">
        <f t="shared" si="693"/>
        <v>Nov</v>
      </c>
      <c r="C1438" s="73">
        <f t="shared" si="685"/>
        <v>15</v>
      </c>
      <c r="D1438" s="74">
        <f t="shared" si="694"/>
        <v>13</v>
      </c>
      <c r="E1438" s="75">
        <f t="shared" si="695"/>
        <v>6</v>
      </c>
      <c r="F1438" s="79"/>
      <c r="G1438" s="82"/>
      <c r="H1438" s="68" t="str">
        <f t="shared" si="686"/>
        <v>Hyprev7_20211115_13_00</v>
      </c>
      <c r="I1438" s="69">
        <f t="shared" si="696"/>
        <v>1</v>
      </c>
      <c r="J1438" s="76" t="str">
        <f t="shared" si="696"/>
        <v>Hypericum</v>
      </c>
      <c r="K1438" s="76" t="str">
        <f t="shared" si="696"/>
        <v>revolutum</v>
      </c>
      <c r="L1438" s="77">
        <f t="shared" si="696"/>
        <v>7</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2021</v>
      </c>
      <c r="B1439" s="72" t="str">
        <f t="shared" si="693"/>
        <v>Nov</v>
      </c>
      <c r="C1439" s="73">
        <f t="shared" si="685"/>
        <v>15</v>
      </c>
      <c r="D1439" s="74">
        <f t="shared" si="694"/>
        <v>13</v>
      </c>
      <c r="E1439" s="75">
        <f t="shared" si="695"/>
        <v>7</v>
      </c>
      <c r="F1439" s="79"/>
      <c r="G1439" s="82"/>
      <c r="H1439" s="68" t="str">
        <f t="shared" si="686"/>
        <v>Hyprev7_20211115_13_00</v>
      </c>
      <c r="I1439" s="69">
        <f t="shared" si="696"/>
        <v>1</v>
      </c>
      <c r="J1439" s="76" t="str">
        <f t="shared" si="696"/>
        <v>Hypericum</v>
      </c>
      <c r="K1439" s="76" t="str">
        <f t="shared" si="696"/>
        <v>revolutum</v>
      </c>
      <c r="L1439" s="77">
        <f t="shared" si="696"/>
        <v>7</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2021</v>
      </c>
      <c r="B1440" s="72" t="str">
        <f t="shared" si="693"/>
        <v>Nov</v>
      </c>
      <c r="C1440" s="73">
        <f t="shared" si="685"/>
        <v>15</v>
      </c>
      <c r="D1440" s="74">
        <f t="shared" si="694"/>
        <v>13</v>
      </c>
      <c r="E1440" s="75">
        <f t="shared" si="695"/>
        <v>8</v>
      </c>
      <c r="F1440" s="79"/>
      <c r="G1440" s="82"/>
      <c r="H1440" s="68" t="str">
        <f t="shared" si="686"/>
        <v>Hyprev7_20211115_13_00</v>
      </c>
      <c r="I1440" s="69">
        <f t="shared" si="696"/>
        <v>1</v>
      </c>
      <c r="J1440" s="76" t="str">
        <f t="shared" si="696"/>
        <v>Hypericum</v>
      </c>
      <c r="K1440" s="76" t="str">
        <f t="shared" si="696"/>
        <v>revolutum</v>
      </c>
      <c r="L1440" s="77">
        <f t="shared" si="696"/>
        <v>7</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2021</v>
      </c>
      <c r="B1441" s="72" t="str">
        <f t="shared" si="693"/>
        <v>Nov</v>
      </c>
      <c r="C1441" s="73">
        <f t="shared" si="685"/>
        <v>15</v>
      </c>
      <c r="D1441" s="74">
        <f t="shared" si="694"/>
        <v>13</v>
      </c>
      <c r="E1441" s="75">
        <f t="shared" si="695"/>
        <v>9</v>
      </c>
      <c r="F1441" s="79">
        <v>35</v>
      </c>
      <c r="G1441" s="82"/>
      <c r="H1441" s="68" t="str">
        <f t="shared" si="686"/>
        <v>Hyprev7_20211115_13_00</v>
      </c>
      <c r="I1441" s="69">
        <f t="shared" si="696"/>
        <v>1</v>
      </c>
      <c r="J1441" s="76" t="str">
        <f t="shared" si="696"/>
        <v>Hypericum</v>
      </c>
      <c r="K1441" s="76" t="str">
        <f t="shared" si="696"/>
        <v>revolutum</v>
      </c>
      <c r="L1441" s="77">
        <f t="shared" si="696"/>
        <v>7</v>
      </c>
      <c r="M1441" s="77">
        <f t="shared" si="696"/>
        <v>2</v>
      </c>
      <c r="N1441" s="71">
        <f t="shared" si="696"/>
        <v>0</v>
      </c>
      <c r="O1441" s="44"/>
      <c r="P1441" s="45">
        <f t="shared" si="670"/>
        <v>1</v>
      </c>
      <c r="Q1441" s="46" t="str">
        <f t="shared" si="671"/>
        <v>13:09:35</v>
      </c>
      <c r="R1441" s="47" t="str">
        <f t="shared" si="672"/>
        <v>09:35</v>
      </c>
      <c r="S1441" s="48">
        <f t="shared" si="661"/>
        <v>32</v>
      </c>
      <c r="T1441" s="47" t="str">
        <f t="shared" si="673"/>
        <v>13</v>
      </c>
      <c r="U1441" s="49">
        <v>10</v>
      </c>
      <c r="V1441" s="50">
        <v>7</v>
      </c>
      <c r="W1441" s="51" t="str">
        <f t="shared" si="674"/>
        <v>10:07</v>
      </c>
      <c r="X1441" s="52" t="s">
        <v>61</v>
      </c>
      <c r="Y1441" s="124" t="s">
        <v>237</v>
      </c>
      <c r="Z1441" s="124" t="s">
        <v>252</v>
      </c>
      <c r="AA1441" s="47" t="s">
        <v>254</v>
      </c>
      <c r="AB1441" s="47" t="str">
        <f t="shared" si="675"/>
        <v>NA</v>
      </c>
      <c r="AC1441" s="53" t="str">
        <f t="shared" si="676"/>
        <v/>
      </c>
      <c r="AD1441" s="54">
        <f t="shared" si="677"/>
        <v>1</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t="s">
        <v>227</v>
      </c>
      <c r="AT1441" s="58"/>
      <c r="AU1441" s="58"/>
      <c r="AV1441" s="59"/>
      <c r="AW1441" s="60">
        <f t="shared" si="662"/>
        <v>0</v>
      </c>
      <c r="AX1441" s="61" t="str">
        <f t="shared" si="663"/>
        <v/>
      </c>
      <c r="AY1441" s="60">
        <f t="shared" si="664"/>
        <v>0</v>
      </c>
      <c r="AZ1441" s="61" t="str">
        <f t="shared" si="665"/>
        <v/>
      </c>
    </row>
    <row r="1442" spans="1:52" s="3" customFormat="1" ht="15" hidden="1" thickBot="1" x14ac:dyDescent="0.4">
      <c r="A1442" s="85">
        <f t="shared" si="692"/>
        <v>2021</v>
      </c>
      <c r="B1442" s="85" t="str">
        <f t="shared" si="693"/>
        <v>Nov</v>
      </c>
      <c r="C1442" s="86">
        <f t="shared" si="685"/>
        <v>15</v>
      </c>
      <c r="D1442" s="87">
        <f t="shared" si="694"/>
        <v>13</v>
      </c>
      <c r="E1442" s="88">
        <v>9</v>
      </c>
      <c r="F1442" s="89">
        <v>58</v>
      </c>
      <c r="G1442" s="90"/>
      <c r="H1442" s="68" t="str">
        <f t="shared" si="686"/>
        <v>Hyprev7_20211115_13_00</v>
      </c>
      <c r="I1442" s="91">
        <f t="shared" si="696"/>
        <v>1</v>
      </c>
      <c r="J1442" s="92" t="str">
        <f t="shared" si="696"/>
        <v>Hypericum</v>
      </c>
      <c r="K1442" s="92" t="str">
        <f t="shared" si="696"/>
        <v>revolutum</v>
      </c>
      <c r="L1442" s="93">
        <f t="shared" si="696"/>
        <v>7</v>
      </c>
      <c r="M1442" s="93">
        <f t="shared" si="696"/>
        <v>2</v>
      </c>
      <c r="N1442" s="94">
        <f t="shared" si="696"/>
        <v>0</v>
      </c>
      <c r="O1442" s="95"/>
      <c r="P1442" s="96">
        <f t="shared" si="670"/>
        <v>1</v>
      </c>
      <c r="Q1442" s="97" t="str">
        <f t="shared" si="671"/>
        <v>13:09:58</v>
      </c>
      <c r="R1442" s="98" t="str">
        <f t="shared" si="672"/>
        <v>09:58</v>
      </c>
      <c r="S1442" s="98">
        <f>IF(T1442&lt;D1442, (T1442*3600+U1442*60+V1442)+((23*3600+59*60+60)-(D1442*3600+E1442*60+LEFT(F1442,2))), (T1442*3600+U1442*60+V1442)-(D1442*3600+E1442*60+LEFT(F1442,2)))</f>
        <v>14</v>
      </c>
      <c r="T1442" s="98" t="str">
        <f t="shared" si="673"/>
        <v>13</v>
      </c>
      <c r="U1442" s="99">
        <v>10</v>
      </c>
      <c r="V1442" s="100">
        <v>12</v>
      </c>
      <c r="W1442" s="101" t="str">
        <f t="shared" si="674"/>
        <v>10:12</v>
      </c>
      <c r="X1442" s="102" t="s">
        <v>61</v>
      </c>
      <c r="Y1442" s="125" t="s">
        <v>237</v>
      </c>
      <c r="Z1442" s="124" t="s">
        <v>252</v>
      </c>
      <c r="AA1442" s="47" t="s">
        <v>254</v>
      </c>
      <c r="AB1442" s="98" t="str">
        <f t="shared" si="675"/>
        <v>NA</v>
      </c>
      <c r="AC1442" s="53" t="str">
        <f t="shared" si="676"/>
        <v/>
      </c>
      <c r="AD1442" s="103">
        <f t="shared" si="677"/>
        <v>1</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102</v>
      </c>
      <c r="AT1442" s="107"/>
      <c r="AU1442" s="107"/>
      <c r="AV1442" s="108"/>
      <c r="AW1442" s="109">
        <f t="shared" si="662"/>
        <v>0</v>
      </c>
      <c r="AX1442" s="110" t="str">
        <f t="shared" si="663"/>
        <v/>
      </c>
      <c r="AY1442" s="109">
        <f t="shared" si="664"/>
        <v>0</v>
      </c>
      <c r="AZ1442" s="110" t="str">
        <f t="shared" si="665"/>
        <v/>
      </c>
    </row>
    <row r="1443" spans="1:52" s="3" customFormat="1" hidden="1" x14ac:dyDescent="0.35">
      <c r="A1443" s="72">
        <f t="shared" si="692"/>
        <v>2021</v>
      </c>
      <c r="B1443" s="72" t="str">
        <f t="shared" ref="B1443:B1502" si="697">IF(C1442-C1443&gt;0, TEXT(DATE(2016,(MONTH(DATEVALUE(B1442&amp;"1"))+1),1),"mmm"), B1442)</f>
        <v>Nov</v>
      </c>
      <c r="C1443" s="73">
        <f t="shared" ref="C1443:C1502" si="698">IF(AND(D1443=0, E1443=0), IF(TEXT(C1442,"dd")=TEXT(EOMONTH(DATE(A1442,MONTH(DATEVALUE(B1442&amp;"1")),C1442),0), "dd"), 1, C1442+1), C1442)</f>
        <v>15</v>
      </c>
      <c r="D1443" s="74">
        <f t="shared" ref="D1443:D1502" si="699">IF(IF(E1442=59,D1442+1,D1442)=24,0,IF(E1442=59,D1442+1,D1442))</f>
        <v>13</v>
      </c>
      <c r="E1443" s="75">
        <f t="shared" si="695"/>
        <v>10</v>
      </c>
      <c r="F1443" s="79"/>
      <c r="G1443" s="82"/>
      <c r="H1443" s="68" t="str">
        <f t="shared" ref="H1443:H1502"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Hyprev7_20211115_13_00</v>
      </c>
      <c r="I1443" s="69">
        <f t="shared" ref="I1443:N1443" si="701">I1442</f>
        <v>1</v>
      </c>
      <c r="J1443" s="76" t="str">
        <f t="shared" si="701"/>
        <v>Hypericum</v>
      </c>
      <c r="K1443" s="76" t="str">
        <f t="shared" si="701"/>
        <v>revolutum</v>
      </c>
      <c r="L1443" s="77">
        <f t="shared" si="701"/>
        <v>7</v>
      </c>
      <c r="M1443" s="77">
        <f t="shared" si="701"/>
        <v>2</v>
      </c>
      <c r="N1443" s="71">
        <f t="shared" si="701"/>
        <v>0</v>
      </c>
      <c r="O1443" s="44"/>
      <c r="P1443" s="45" t="str">
        <f t="shared" ref="P1443:P1502" si="702">IF(F1443="","",1)</f>
        <v/>
      </c>
      <c r="Q1443" s="46" t="str">
        <f t="shared" ref="Q1443:Q1502" si="703">TEXT(IF(P1443=1,CONCATENATE($D1443,":",$E1443,":",(LEFT($F1443,2))),""),"hh:mm:ss")</f>
        <v/>
      </c>
      <c r="R1443" s="47" t="e">
        <f t="shared" ref="R1443:R1502" si="704">TEXT(Q1443-TIME(0,RIGHT($H1443,2),$G$9)+(Q1443&gt;TIME(0,RIGHT($H1443,2),$G$9)),"mm:ss")</f>
        <v>#VALUE!</v>
      </c>
      <c r="S1443" s="48" t="e">
        <f t="shared" ref="S1443:S1444" si="705">IF(T1443&lt;D1443, (T1443*3600+U1443*60+V1443)+((23*3600+59*60+60)-(D1443*3600+E1443*60+LEFT(F1443,2))), (T1443*3600+U1443*60+V1443)-(D1443*3600+E1443*60+LEFT(F1443,2)))</f>
        <v>#VALUE!</v>
      </c>
      <c r="T1443" s="47" t="str">
        <f t="shared" ref="T1443:T1502" si="706">TEXT(IF(P1443=1,D1443,""),"00")</f>
        <v/>
      </c>
      <c r="U1443" s="49"/>
      <c r="V1443" s="50"/>
      <c r="W1443" s="51" t="e">
        <f t="shared" ref="W1443:W1502"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502" si="708">IF(AA1443&lt;&gt;0,"NA","")</f>
        <v>#N/A</v>
      </c>
      <c r="AC1443" s="53" t="e">
        <f t="shared" ref="AC1443:AC1502" si="709">IF(SUM(AH1443,AJ1443,AL1443,AN1443,AP1443,AR1443)=S1443,,"")</f>
        <v>#VALUE!</v>
      </c>
      <c r="AD1443" s="54" t="str">
        <f t="shared" ref="AD1443:AD1502" si="710">IF(P1443=1,1,"")</f>
        <v/>
      </c>
      <c r="AE1443" s="54"/>
      <c r="AF1443" s="54"/>
      <c r="AG1443" s="55" t="str">
        <f t="shared" ref="AG1443:AG1502" si="711">IF(OR(X1443="Something small"),1,"")</f>
        <v/>
      </c>
      <c r="AH1443" s="56" t="str">
        <f t="shared" ref="AH1443:AH1502" si="712">IF(AG1443=1,$S1443,"")</f>
        <v/>
      </c>
      <c r="AI1443" s="55"/>
      <c r="AJ1443" s="56" t="str">
        <f t="shared" ref="AJ1443:AJ1502" si="713">IF(AI1443=1,$S1443,"")</f>
        <v/>
      </c>
      <c r="AK1443" s="55"/>
      <c r="AL1443" s="56" t="str">
        <f t="shared" ref="AL1443:AL1502" si="714">IF(AK1443=1,$S1443,"")</f>
        <v/>
      </c>
      <c r="AM1443" s="55"/>
      <c r="AN1443" s="56" t="str">
        <f t="shared" ref="AN1443:AN1502" si="715">IF(AM1443=1,$S1443,"")</f>
        <v/>
      </c>
      <c r="AO1443" s="55"/>
      <c r="AP1443" s="56" t="str">
        <f t="shared" ref="AP1443:AP1502" si="716">IF(AO1443=1,$S1443,"")</f>
        <v/>
      </c>
      <c r="AQ1443" s="55"/>
      <c r="AR1443" s="56" t="str">
        <f t="shared" ref="AR1443:AR1502" si="717">IF(AQ1443=1,$S1443,"")</f>
        <v/>
      </c>
      <c r="AS1443" s="57"/>
      <c r="AT1443" s="58"/>
      <c r="AU1443" s="58"/>
      <c r="AV1443" s="59"/>
      <c r="AW1443" s="60" t="str">
        <f t="shared" ref="AW1443:AW1502" si="718">IF(P1443=1,0,"")</f>
        <v/>
      </c>
      <c r="AX1443" s="61" t="str">
        <f t="shared" ref="AX1443:AX1502" si="719">IF(AW1443=1,AD1443,"")</f>
        <v/>
      </c>
      <c r="AY1443" s="60" t="str">
        <f t="shared" ref="AY1443:AY1502" si="720">IF(P1443=1,0,"")</f>
        <v/>
      </c>
      <c r="AZ1443" s="61" t="str">
        <f t="shared" ref="AZ1443:AZ1502" si="721">IF(AY1443=1,AD1443,"")</f>
        <v/>
      </c>
    </row>
    <row r="1444" spans="1:52" s="3" customFormat="1" hidden="1" x14ac:dyDescent="0.35">
      <c r="A1444" s="72">
        <f t="shared" si="692"/>
        <v>2021</v>
      </c>
      <c r="B1444" s="72" t="str">
        <f t="shared" si="697"/>
        <v>Nov</v>
      </c>
      <c r="C1444" s="73">
        <f t="shared" si="698"/>
        <v>15</v>
      </c>
      <c r="D1444" s="74">
        <f t="shared" si="699"/>
        <v>13</v>
      </c>
      <c r="E1444" s="75">
        <f t="shared" si="695"/>
        <v>11</v>
      </c>
      <c r="F1444" s="79">
        <v>51</v>
      </c>
      <c r="G1444" s="82"/>
      <c r="H1444" s="68" t="str">
        <f t="shared" si="700"/>
        <v>Hyprev7_20211115_13_00</v>
      </c>
      <c r="I1444" s="69">
        <f t="shared" ref="I1444:N1444" si="722">I1443</f>
        <v>1</v>
      </c>
      <c r="J1444" s="76" t="str">
        <f t="shared" si="722"/>
        <v>Hypericum</v>
      </c>
      <c r="K1444" s="76" t="str">
        <f t="shared" si="722"/>
        <v>revolutum</v>
      </c>
      <c r="L1444" s="77">
        <f t="shared" si="722"/>
        <v>7</v>
      </c>
      <c r="M1444" s="77">
        <f t="shared" si="722"/>
        <v>2</v>
      </c>
      <c r="N1444" s="71">
        <f t="shared" si="722"/>
        <v>0</v>
      </c>
      <c r="O1444" s="44"/>
      <c r="P1444" s="45">
        <f t="shared" si="702"/>
        <v>1</v>
      </c>
      <c r="Q1444" s="46" t="str">
        <f t="shared" si="703"/>
        <v>13:11:51</v>
      </c>
      <c r="R1444" s="47" t="str">
        <f t="shared" si="704"/>
        <v>11:51</v>
      </c>
      <c r="S1444" s="48">
        <f t="shared" si="705"/>
        <v>59</v>
      </c>
      <c r="T1444" s="47" t="str">
        <f t="shared" si="706"/>
        <v>13</v>
      </c>
      <c r="U1444" s="49">
        <v>12</v>
      </c>
      <c r="V1444" s="50">
        <v>50</v>
      </c>
      <c r="W1444" s="51" t="str">
        <f t="shared" si="707"/>
        <v>12:50</v>
      </c>
      <c r="X1444" s="52" t="s">
        <v>61</v>
      </c>
      <c r="Y1444" s="124" t="s">
        <v>237</v>
      </c>
      <c r="Z1444" s="124" t="s">
        <v>252</v>
      </c>
      <c r="AA1444" s="47" t="s">
        <v>254</v>
      </c>
      <c r="AB1444" s="47" t="str">
        <f t="shared" si="708"/>
        <v>NA</v>
      </c>
      <c r="AC1444" s="53" t="str">
        <f t="shared" si="709"/>
        <v/>
      </c>
      <c r="AD1444" s="54">
        <f t="shared" si="710"/>
        <v>1</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t="s">
        <v>189</v>
      </c>
      <c r="AT1444" s="58"/>
      <c r="AU1444" s="58"/>
      <c r="AV1444" s="59"/>
      <c r="AW1444" s="60">
        <f t="shared" si="718"/>
        <v>0</v>
      </c>
      <c r="AX1444" s="61" t="str">
        <f t="shared" si="719"/>
        <v/>
      </c>
      <c r="AY1444" s="60">
        <f t="shared" si="720"/>
        <v>0</v>
      </c>
      <c r="AZ1444" s="61" t="str">
        <f t="shared" si="721"/>
        <v/>
      </c>
    </row>
    <row r="1445" spans="1:52" s="3" customFormat="1" ht="15" hidden="1" thickBot="1" x14ac:dyDescent="0.4">
      <c r="A1445" s="85">
        <f t="shared" si="692"/>
        <v>2021</v>
      </c>
      <c r="B1445" s="85" t="str">
        <f t="shared" si="697"/>
        <v>Nov</v>
      </c>
      <c r="C1445" s="86">
        <f t="shared" si="698"/>
        <v>15</v>
      </c>
      <c r="D1445" s="87">
        <f t="shared" si="699"/>
        <v>13</v>
      </c>
      <c r="E1445" s="88">
        <f t="shared" si="695"/>
        <v>12</v>
      </c>
      <c r="F1445" s="89"/>
      <c r="G1445" s="90"/>
      <c r="H1445" s="68" t="str">
        <f t="shared" si="700"/>
        <v>Hyprev7_20211115_13_00</v>
      </c>
      <c r="I1445" s="91">
        <f t="shared" ref="I1445:N1445" si="723">I1444</f>
        <v>1</v>
      </c>
      <c r="J1445" s="92" t="str">
        <f t="shared" si="723"/>
        <v>Hypericum</v>
      </c>
      <c r="K1445" s="92" t="str">
        <f t="shared" si="723"/>
        <v>revolutum</v>
      </c>
      <c r="L1445" s="93">
        <f t="shared" si="723"/>
        <v>7</v>
      </c>
      <c r="M1445" s="93">
        <f t="shared" si="723"/>
        <v>2</v>
      </c>
      <c r="N1445" s="94">
        <f t="shared" si="723"/>
        <v>0</v>
      </c>
      <c r="O1445" s="95"/>
      <c r="P1445" s="96" t="str">
        <f t="shared" si="702"/>
        <v/>
      </c>
      <c r="Q1445" s="97" t="str">
        <f t="shared" si="703"/>
        <v/>
      </c>
      <c r="R1445" s="98" t="e">
        <f t="shared" si="704"/>
        <v>#VALUE!</v>
      </c>
      <c r="S1445" s="98" t="e">
        <f>IF(T1445&lt;D1445, (T1445*3600+U1445*60+V1445)+((23*3600+59*60+60)-(D1445*3600+E1445*60+LEFT(F1445,2))), (T1445*3600+U1445*60+V1445)-(D1445*3600+E1445*60+LEFT(F1445,2)))</f>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idden="1" x14ac:dyDescent="0.35">
      <c r="A1446" s="72">
        <f t="shared" si="692"/>
        <v>2021</v>
      </c>
      <c r="B1446" s="72" t="str">
        <f t="shared" si="697"/>
        <v>Nov</v>
      </c>
      <c r="C1446" s="73">
        <f t="shared" si="698"/>
        <v>15</v>
      </c>
      <c r="D1446" s="74">
        <f t="shared" si="699"/>
        <v>13</v>
      </c>
      <c r="E1446" s="75">
        <f t="shared" si="695"/>
        <v>13</v>
      </c>
      <c r="F1446" s="79"/>
      <c r="G1446" s="82"/>
      <c r="H1446" s="68" t="str">
        <f t="shared" si="700"/>
        <v>Hyprev7_20211115_13_00</v>
      </c>
      <c r="I1446" s="69">
        <f t="shared" ref="I1446:N1446" si="724">I1445</f>
        <v>1</v>
      </c>
      <c r="J1446" s="76" t="str">
        <f t="shared" si="724"/>
        <v>Hypericum</v>
      </c>
      <c r="K1446" s="76" t="str">
        <f t="shared" si="724"/>
        <v>revolutum</v>
      </c>
      <c r="L1446" s="77">
        <f t="shared" si="724"/>
        <v>7</v>
      </c>
      <c r="M1446" s="77">
        <f t="shared" si="724"/>
        <v>2</v>
      </c>
      <c r="N1446" s="71">
        <f t="shared" si="724"/>
        <v>0</v>
      </c>
      <c r="O1446" s="44"/>
      <c r="P1446" s="45" t="str">
        <f t="shared" si="702"/>
        <v/>
      </c>
      <c r="Q1446" s="46" t="str">
        <f t="shared" si="703"/>
        <v/>
      </c>
      <c r="R1446" s="47" t="e">
        <f t="shared" si="704"/>
        <v>#VALUE!</v>
      </c>
      <c r="S1446" s="48" t="e">
        <f t="shared" ref="S1446:S1447" si="725">IF(T1446&lt;D1446, (T1446*3600+U1446*60+V1446)+((23*3600+59*60+60)-(D1446*3600+E1446*60+LEFT(F1446,2))), (T1446*3600+U1446*60+V1446)-(D1446*3600+E1446*60+LEFT(F1446,2)))</f>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idden="1" x14ac:dyDescent="0.35">
      <c r="A1447" s="72">
        <f t="shared" si="692"/>
        <v>2021</v>
      </c>
      <c r="B1447" s="72" t="str">
        <f t="shared" si="697"/>
        <v>Nov</v>
      </c>
      <c r="C1447" s="73">
        <f t="shared" si="698"/>
        <v>15</v>
      </c>
      <c r="D1447" s="74">
        <f t="shared" si="699"/>
        <v>13</v>
      </c>
      <c r="E1447" s="75">
        <f t="shared" si="695"/>
        <v>14</v>
      </c>
      <c r="F1447" s="79"/>
      <c r="G1447" s="82"/>
      <c r="H1447" s="68" t="str">
        <f t="shared" si="700"/>
        <v>Hyprev7_20211115_13_00</v>
      </c>
      <c r="I1447" s="69">
        <f t="shared" ref="I1447:N1447" si="726">I1446</f>
        <v>1</v>
      </c>
      <c r="J1447" s="76" t="str">
        <f t="shared" si="726"/>
        <v>Hypericum</v>
      </c>
      <c r="K1447" s="76" t="str">
        <f t="shared" si="726"/>
        <v>revolutum</v>
      </c>
      <c r="L1447" s="77">
        <f t="shared" si="726"/>
        <v>7</v>
      </c>
      <c r="M1447" s="77">
        <f t="shared" si="726"/>
        <v>2</v>
      </c>
      <c r="N1447" s="71">
        <f t="shared" si="726"/>
        <v>0</v>
      </c>
      <c r="O1447" s="44"/>
      <c r="P1447" s="45" t="str">
        <f t="shared" si="702"/>
        <v/>
      </c>
      <c r="Q1447" s="46" t="str">
        <f t="shared" si="703"/>
        <v/>
      </c>
      <c r="R1447" s="47" t="e">
        <f t="shared" si="704"/>
        <v>#VALUE!</v>
      </c>
      <c r="S1447" s="48" t="e">
        <f t="shared" si="72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2021</v>
      </c>
      <c r="B1448" s="85" t="str">
        <f t="shared" si="697"/>
        <v>Nov</v>
      </c>
      <c r="C1448" s="86">
        <f t="shared" si="698"/>
        <v>15</v>
      </c>
      <c r="D1448" s="87">
        <f t="shared" si="699"/>
        <v>13</v>
      </c>
      <c r="E1448" s="88">
        <f t="shared" si="695"/>
        <v>15</v>
      </c>
      <c r="F1448" s="89"/>
      <c r="G1448" s="90"/>
      <c r="H1448" s="68" t="str">
        <f t="shared" si="700"/>
        <v>Hyprev7_20211115_13_00</v>
      </c>
      <c r="I1448" s="91">
        <f t="shared" ref="I1448:N1448" si="727">I1447</f>
        <v>1</v>
      </c>
      <c r="J1448" s="92" t="str">
        <f t="shared" si="727"/>
        <v>Hypericum</v>
      </c>
      <c r="K1448" s="92" t="str">
        <f t="shared" si="727"/>
        <v>revolutum</v>
      </c>
      <c r="L1448" s="93">
        <f t="shared" si="727"/>
        <v>7</v>
      </c>
      <c r="M1448" s="93">
        <f t="shared" si="727"/>
        <v>2</v>
      </c>
      <c r="N1448" s="94">
        <f t="shared" si="727"/>
        <v>0</v>
      </c>
      <c r="O1448" s="95"/>
      <c r="P1448" s="96" t="str">
        <f t="shared" si="702"/>
        <v/>
      </c>
      <c r="Q1448" s="97" t="str">
        <f t="shared" si="703"/>
        <v/>
      </c>
      <c r="R1448" s="98" t="e">
        <f t="shared" si="704"/>
        <v>#VALUE!</v>
      </c>
      <c r="S1448" s="98" t="e">
        <f>IF(T1448&lt;D1448, (T1448*3600+U1448*60+V1448)+((23*3600+59*60+60)-(D1448*3600+E1448*60+LEFT(F1448,2))), (T1448*3600+U1448*60+V1448)-(D1448*3600+E1448*60+LEFT(F1448,2)))</f>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idden="1" x14ac:dyDescent="0.35">
      <c r="A1449" s="72">
        <f t="shared" si="692"/>
        <v>2021</v>
      </c>
      <c r="B1449" s="72" t="str">
        <f t="shared" si="697"/>
        <v>Nov</v>
      </c>
      <c r="C1449" s="73">
        <f t="shared" si="698"/>
        <v>15</v>
      </c>
      <c r="D1449" s="74">
        <f t="shared" si="699"/>
        <v>13</v>
      </c>
      <c r="E1449" s="75">
        <f t="shared" si="695"/>
        <v>16</v>
      </c>
      <c r="F1449" s="79"/>
      <c r="G1449" s="82"/>
      <c r="H1449" s="68" t="str">
        <f t="shared" si="700"/>
        <v>Hyprev7_20211115_13_00</v>
      </c>
      <c r="I1449" s="69">
        <f t="shared" ref="I1449:N1449" si="728">I1448</f>
        <v>1</v>
      </c>
      <c r="J1449" s="76" t="str">
        <f t="shared" si="728"/>
        <v>Hypericum</v>
      </c>
      <c r="K1449" s="76" t="str">
        <f t="shared" si="728"/>
        <v>revolutum</v>
      </c>
      <c r="L1449" s="77">
        <f t="shared" si="728"/>
        <v>7</v>
      </c>
      <c r="M1449" s="77">
        <f t="shared" si="728"/>
        <v>2</v>
      </c>
      <c r="N1449" s="71">
        <f t="shared" si="728"/>
        <v>0</v>
      </c>
      <c r="O1449" s="44"/>
      <c r="P1449" s="45" t="str">
        <f t="shared" si="702"/>
        <v/>
      </c>
      <c r="Q1449" s="46" t="str">
        <f t="shared" si="703"/>
        <v/>
      </c>
      <c r="R1449" s="47" t="e">
        <f t="shared" si="704"/>
        <v>#VALUE!</v>
      </c>
      <c r="S1449" s="48" t="e">
        <f t="shared" ref="S1449:S1450" si="729">IF(T1449&lt;D1449, (T1449*3600+U1449*60+V1449)+((23*3600+59*60+60)-(D1449*3600+E1449*60+LEFT(F1449,2))), (T1449*3600+U1449*60+V1449)-(D1449*3600+E1449*60+LEFT(F1449,2)))</f>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idden="1" x14ac:dyDescent="0.35">
      <c r="A1450" s="72">
        <f t="shared" si="692"/>
        <v>2021</v>
      </c>
      <c r="B1450" s="72" t="str">
        <f t="shared" si="697"/>
        <v>Nov</v>
      </c>
      <c r="C1450" s="73">
        <f t="shared" si="698"/>
        <v>15</v>
      </c>
      <c r="D1450" s="74">
        <f t="shared" si="699"/>
        <v>13</v>
      </c>
      <c r="E1450" s="75">
        <f t="shared" si="695"/>
        <v>17</v>
      </c>
      <c r="F1450" s="79"/>
      <c r="G1450" s="82"/>
      <c r="H1450" s="68" t="str">
        <f t="shared" si="700"/>
        <v>Hyprev7_20211115_13_00</v>
      </c>
      <c r="I1450" s="69">
        <f t="shared" ref="I1450:N1450" si="730">I1449</f>
        <v>1</v>
      </c>
      <c r="J1450" s="76" t="str">
        <f t="shared" si="730"/>
        <v>Hypericum</v>
      </c>
      <c r="K1450" s="76" t="str">
        <f t="shared" si="730"/>
        <v>revolutum</v>
      </c>
      <c r="L1450" s="77">
        <f t="shared" si="730"/>
        <v>7</v>
      </c>
      <c r="M1450" s="77">
        <f t="shared" si="730"/>
        <v>2</v>
      </c>
      <c r="N1450" s="71">
        <f t="shared" si="730"/>
        <v>0</v>
      </c>
      <c r="O1450" s="44"/>
      <c r="P1450" s="45" t="str">
        <f t="shared" si="702"/>
        <v/>
      </c>
      <c r="Q1450" s="46" t="str">
        <f t="shared" si="703"/>
        <v/>
      </c>
      <c r="R1450" s="47" t="e">
        <f t="shared" si="704"/>
        <v>#VALUE!</v>
      </c>
      <c r="S1450" s="48" t="e">
        <f t="shared" si="729"/>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5" hidden="1" thickBot="1" x14ac:dyDescent="0.4">
      <c r="A1451" s="85">
        <f t="shared" si="692"/>
        <v>2021</v>
      </c>
      <c r="B1451" s="85" t="str">
        <f t="shared" si="697"/>
        <v>Nov</v>
      </c>
      <c r="C1451" s="86">
        <f t="shared" si="698"/>
        <v>15</v>
      </c>
      <c r="D1451" s="87">
        <f t="shared" si="699"/>
        <v>13</v>
      </c>
      <c r="E1451" s="88">
        <f t="shared" si="695"/>
        <v>18</v>
      </c>
      <c r="F1451" s="89"/>
      <c r="G1451" s="90"/>
      <c r="H1451" s="68" t="str">
        <f t="shared" si="700"/>
        <v>Hyprev7_20211115_13_00</v>
      </c>
      <c r="I1451" s="91">
        <f t="shared" ref="I1451:N1451" si="731">I1450</f>
        <v>1</v>
      </c>
      <c r="J1451" s="92" t="str">
        <f t="shared" si="731"/>
        <v>Hypericum</v>
      </c>
      <c r="K1451" s="92" t="str">
        <f t="shared" si="731"/>
        <v>revolutum</v>
      </c>
      <c r="L1451" s="93">
        <f t="shared" si="731"/>
        <v>7</v>
      </c>
      <c r="M1451" s="93">
        <f t="shared" si="731"/>
        <v>2</v>
      </c>
      <c r="N1451" s="94">
        <f t="shared" si="731"/>
        <v>0</v>
      </c>
      <c r="O1451" s="95"/>
      <c r="P1451" s="96" t="str">
        <f t="shared" si="702"/>
        <v/>
      </c>
      <c r="Q1451" s="97" t="str">
        <f t="shared" si="703"/>
        <v/>
      </c>
      <c r="R1451" s="98" t="e">
        <f t="shared" si="704"/>
        <v>#VALUE!</v>
      </c>
      <c r="S1451" s="98" t="e">
        <f>IF(T1451&lt;D1451, (T1451*3600+U1451*60+V1451)+((23*3600+59*60+60)-(D1451*3600+E1451*60+LEFT(F1451,2))), (T1451*3600+U1451*60+V1451)-(D1451*3600+E1451*60+LEFT(F1451,2)))</f>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idden="1" x14ac:dyDescent="0.35">
      <c r="A1452" s="72">
        <f t="shared" si="692"/>
        <v>2021</v>
      </c>
      <c r="B1452" s="72" t="str">
        <f t="shared" si="697"/>
        <v>Nov</v>
      </c>
      <c r="C1452" s="73">
        <f t="shared" si="698"/>
        <v>15</v>
      </c>
      <c r="D1452" s="74">
        <f t="shared" si="699"/>
        <v>13</v>
      </c>
      <c r="E1452" s="75">
        <f t="shared" si="695"/>
        <v>19</v>
      </c>
      <c r="F1452" s="79"/>
      <c r="G1452" s="82"/>
      <c r="H1452" s="68" t="str">
        <f t="shared" si="700"/>
        <v>Hyprev7_20211115_13_00</v>
      </c>
      <c r="I1452" s="69">
        <f t="shared" ref="I1452:N1452" si="732">I1451</f>
        <v>1</v>
      </c>
      <c r="J1452" s="76" t="str">
        <f t="shared" si="732"/>
        <v>Hypericum</v>
      </c>
      <c r="K1452" s="76" t="str">
        <f t="shared" si="732"/>
        <v>revolutum</v>
      </c>
      <c r="L1452" s="77">
        <f t="shared" si="732"/>
        <v>7</v>
      </c>
      <c r="M1452" s="77">
        <f t="shared" si="732"/>
        <v>2</v>
      </c>
      <c r="N1452" s="71">
        <f t="shared" si="732"/>
        <v>0</v>
      </c>
      <c r="O1452" s="44"/>
      <c r="P1452" s="45" t="str">
        <f t="shared" si="702"/>
        <v/>
      </c>
      <c r="Q1452" s="46" t="str">
        <f t="shared" si="703"/>
        <v/>
      </c>
      <c r="R1452" s="47" t="e">
        <f t="shared" si="704"/>
        <v>#VALUE!</v>
      </c>
      <c r="S1452" s="48" t="e">
        <f t="shared" ref="S1452:S1453" si="733">IF(T1452&lt;D1452, (T1452*3600+U1452*60+V1452)+((23*3600+59*60+60)-(D1452*3600+E1452*60+LEFT(F1452,2))), (T1452*3600+U1452*60+V1452)-(D1452*3600+E1452*60+LEFT(F1452,2)))</f>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idden="1" x14ac:dyDescent="0.35">
      <c r="A1453" s="72">
        <f t="shared" si="692"/>
        <v>2021</v>
      </c>
      <c r="B1453" s="72" t="str">
        <f t="shared" si="697"/>
        <v>Nov</v>
      </c>
      <c r="C1453" s="73">
        <f t="shared" si="698"/>
        <v>15</v>
      </c>
      <c r="D1453" s="74">
        <f t="shared" si="699"/>
        <v>13</v>
      </c>
      <c r="E1453" s="75">
        <f t="shared" si="695"/>
        <v>20</v>
      </c>
      <c r="F1453" s="79"/>
      <c r="G1453" s="82"/>
      <c r="H1453" s="68" t="str">
        <f t="shared" si="700"/>
        <v>Hyprev7_20211115_13_00</v>
      </c>
      <c r="I1453" s="69">
        <f t="shared" ref="I1453:N1453" si="734">I1452</f>
        <v>1</v>
      </c>
      <c r="J1453" s="76" t="str">
        <f t="shared" si="734"/>
        <v>Hypericum</v>
      </c>
      <c r="K1453" s="76" t="str">
        <f t="shared" si="734"/>
        <v>revolutum</v>
      </c>
      <c r="L1453" s="77">
        <f t="shared" si="734"/>
        <v>7</v>
      </c>
      <c r="M1453" s="77">
        <f t="shared" si="734"/>
        <v>2</v>
      </c>
      <c r="N1453" s="71">
        <f t="shared" si="734"/>
        <v>0</v>
      </c>
      <c r="O1453" s="44"/>
      <c r="P1453" s="45" t="str">
        <f t="shared" si="702"/>
        <v/>
      </c>
      <c r="Q1453" s="46" t="str">
        <f t="shared" si="703"/>
        <v/>
      </c>
      <c r="R1453" s="47" t="e">
        <f t="shared" si="704"/>
        <v>#VALUE!</v>
      </c>
      <c r="S1453" s="48" t="e">
        <f t="shared" si="733"/>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2021</v>
      </c>
      <c r="B1454" s="85" t="str">
        <f t="shared" si="697"/>
        <v>Nov</v>
      </c>
      <c r="C1454" s="86">
        <f t="shared" si="698"/>
        <v>15</v>
      </c>
      <c r="D1454" s="87">
        <f t="shared" si="699"/>
        <v>13</v>
      </c>
      <c r="E1454" s="88">
        <f t="shared" si="695"/>
        <v>21</v>
      </c>
      <c r="F1454" s="89">
        <v>14</v>
      </c>
      <c r="G1454" s="90"/>
      <c r="H1454" s="68" t="str">
        <f t="shared" si="700"/>
        <v>Hyprev7_20211115_13_00</v>
      </c>
      <c r="I1454" s="91">
        <f t="shared" ref="I1454:N1454" si="735">I1453</f>
        <v>1</v>
      </c>
      <c r="J1454" s="92" t="str">
        <f t="shared" si="735"/>
        <v>Hypericum</v>
      </c>
      <c r="K1454" s="92" t="str">
        <f t="shared" si="735"/>
        <v>revolutum</v>
      </c>
      <c r="L1454" s="93">
        <f t="shared" si="735"/>
        <v>7</v>
      </c>
      <c r="M1454" s="93">
        <f t="shared" si="735"/>
        <v>2</v>
      </c>
      <c r="N1454" s="94">
        <f t="shared" si="735"/>
        <v>0</v>
      </c>
      <c r="O1454" s="95"/>
      <c r="P1454" s="96">
        <f t="shared" si="702"/>
        <v>1</v>
      </c>
      <c r="Q1454" s="97" t="str">
        <f t="shared" si="703"/>
        <v>13:21:14</v>
      </c>
      <c r="R1454" s="98" t="str">
        <f t="shared" si="704"/>
        <v>21:14</v>
      </c>
      <c r="S1454" s="98">
        <f>IF(T1454&lt;D1454, (T1454*3600+U1454*60+V1454)+((23*3600+59*60+60)-(D1454*3600+E1454*60+LEFT(F1454,2))), (T1454*3600+U1454*60+V1454)-(D1454*3600+E1454*60+LEFT(F1454,2)))</f>
        <v>18</v>
      </c>
      <c r="T1454" s="98" t="str">
        <f t="shared" si="706"/>
        <v>13</v>
      </c>
      <c r="U1454" s="99">
        <v>21</v>
      </c>
      <c r="V1454" s="100">
        <v>32</v>
      </c>
      <c r="W1454" s="101" t="str">
        <f t="shared" si="707"/>
        <v>21:32</v>
      </c>
      <c r="X1454" s="102" t="s">
        <v>61</v>
      </c>
      <c r="Y1454" s="125" t="s">
        <v>240</v>
      </c>
      <c r="Z1454" s="125"/>
      <c r="AA1454" s="47" t="s">
        <v>254</v>
      </c>
      <c r="AB1454" s="98" t="str">
        <f t="shared" si="708"/>
        <v>NA</v>
      </c>
      <c r="AC1454" s="53" t="str">
        <f t="shared" si="709"/>
        <v/>
      </c>
      <c r="AD1454" s="103">
        <f t="shared" si="710"/>
        <v>1</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t="s">
        <v>121</v>
      </c>
      <c r="AT1454" s="107"/>
      <c r="AU1454" s="107"/>
      <c r="AV1454" s="108"/>
      <c r="AW1454" s="109">
        <f t="shared" si="718"/>
        <v>0</v>
      </c>
      <c r="AX1454" s="110" t="str">
        <f t="shared" si="719"/>
        <v/>
      </c>
      <c r="AY1454" s="109">
        <f t="shared" si="720"/>
        <v>0</v>
      </c>
      <c r="AZ1454" s="110" t="str">
        <f t="shared" si="721"/>
        <v/>
      </c>
    </row>
    <row r="1455" spans="1:52" s="3" customFormat="1" hidden="1" x14ac:dyDescent="0.35">
      <c r="A1455" s="72">
        <f t="shared" si="692"/>
        <v>2021</v>
      </c>
      <c r="B1455" s="72" t="str">
        <f t="shared" si="697"/>
        <v>Nov</v>
      </c>
      <c r="C1455" s="73">
        <f t="shared" si="698"/>
        <v>15</v>
      </c>
      <c r="D1455" s="74">
        <f t="shared" si="699"/>
        <v>13</v>
      </c>
      <c r="E1455" s="75">
        <f t="shared" si="695"/>
        <v>22</v>
      </c>
      <c r="F1455" s="79"/>
      <c r="G1455" s="82"/>
      <c r="H1455" s="68" t="str">
        <f t="shared" si="700"/>
        <v>Hyprev7_20211115_13_00</v>
      </c>
      <c r="I1455" s="69">
        <f t="shared" ref="I1455:N1455" si="736">I1454</f>
        <v>1</v>
      </c>
      <c r="J1455" s="76" t="str">
        <f t="shared" si="736"/>
        <v>Hypericum</v>
      </c>
      <c r="K1455" s="76" t="str">
        <f t="shared" si="736"/>
        <v>revolutum</v>
      </c>
      <c r="L1455" s="77">
        <f t="shared" si="736"/>
        <v>7</v>
      </c>
      <c r="M1455" s="77">
        <f t="shared" si="736"/>
        <v>2</v>
      </c>
      <c r="N1455" s="71">
        <f t="shared" si="736"/>
        <v>0</v>
      </c>
      <c r="O1455" s="44"/>
      <c r="P1455" s="45" t="str">
        <f t="shared" si="702"/>
        <v/>
      </c>
      <c r="Q1455" s="46" t="str">
        <f t="shared" si="703"/>
        <v/>
      </c>
      <c r="R1455" s="47" t="e">
        <f t="shared" si="704"/>
        <v>#VALUE!</v>
      </c>
      <c r="S1455" s="48" t="e">
        <f t="shared" ref="S1455:S1456" si="737">IF(T1455&lt;D1455, (T1455*3600+U1455*60+V1455)+((23*3600+59*60+60)-(D1455*3600+E1455*60+LEFT(F1455,2))), (T1455*3600+U1455*60+V1455)-(D1455*3600+E1455*60+LEFT(F1455,2)))</f>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idden="1" x14ac:dyDescent="0.35">
      <c r="A1456" s="72">
        <f t="shared" si="692"/>
        <v>2021</v>
      </c>
      <c r="B1456" s="72" t="str">
        <f t="shared" si="697"/>
        <v>Nov</v>
      </c>
      <c r="C1456" s="73">
        <f t="shared" si="698"/>
        <v>15</v>
      </c>
      <c r="D1456" s="74">
        <f t="shared" si="699"/>
        <v>13</v>
      </c>
      <c r="E1456" s="75">
        <f t="shared" si="695"/>
        <v>23</v>
      </c>
      <c r="F1456" s="79"/>
      <c r="G1456" s="82"/>
      <c r="H1456" s="68" t="str">
        <f t="shared" si="700"/>
        <v>Hyprev7_20211115_13_00</v>
      </c>
      <c r="I1456" s="69">
        <f t="shared" ref="I1456:N1456" si="738">I1455</f>
        <v>1</v>
      </c>
      <c r="J1456" s="76" t="str">
        <f t="shared" si="738"/>
        <v>Hypericum</v>
      </c>
      <c r="K1456" s="76" t="str">
        <f t="shared" si="738"/>
        <v>revolutum</v>
      </c>
      <c r="L1456" s="77">
        <f t="shared" si="738"/>
        <v>7</v>
      </c>
      <c r="M1456" s="77">
        <f t="shared" si="738"/>
        <v>2</v>
      </c>
      <c r="N1456" s="71">
        <f t="shared" si="738"/>
        <v>0</v>
      </c>
      <c r="O1456" s="44"/>
      <c r="P1456" s="45" t="str">
        <f t="shared" si="702"/>
        <v/>
      </c>
      <c r="Q1456" s="46" t="str">
        <f t="shared" si="703"/>
        <v/>
      </c>
      <c r="R1456" s="47" t="e">
        <f t="shared" si="704"/>
        <v>#VALUE!</v>
      </c>
      <c r="S1456" s="48" t="e">
        <f t="shared" si="737"/>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5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59"/>
      <c r="AW1456" s="60" t="str">
        <f t="shared" si="718"/>
        <v/>
      </c>
      <c r="AX1456" s="61" t="str">
        <f t="shared" si="719"/>
        <v/>
      </c>
      <c r="AY1456" s="60" t="str">
        <f t="shared" si="720"/>
        <v/>
      </c>
      <c r="AZ1456" s="61" t="str">
        <f t="shared" si="721"/>
        <v/>
      </c>
    </row>
    <row r="1457" spans="1:52" s="3" customFormat="1" ht="15" hidden="1" thickBot="1" x14ac:dyDescent="0.4">
      <c r="A1457" s="85">
        <f t="shared" si="692"/>
        <v>2021</v>
      </c>
      <c r="B1457" s="85" t="str">
        <f t="shared" si="697"/>
        <v>Nov</v>
      </c>
      <c r="C1457" s="86">
        <f t="shared" si="698"/>
        <v>15</v>
      </c>
      <c r="D1457" s="87">
        <f t="shared" si="699"/>
        <v>13</v>
      </c>
      <c r="E1457" s="88">
        <f t="shared" si="695"/>
        <v>24</v>
      </c>
      <c r="F1457" s="89"/>
      <c r="G1457" s="90"/>
      <c r="H1457" s="68" t="str">
        <f t="shared" si="700"/>
        <v>Hyprev7_20211115_13_00</v>
      </c>
      <c r="I1457" s="91">
        <f t="shared" ref="I1457:N1457" si="739">I1456</f>
        <v>1</v>
      </c>
      <c r="J1457" s="92" t="str">
        <f t="shared" si="739"/>
        <v>Hypericum</v>
      </c>
      <c r="K1457" s="92" t="str">
        <f t="shared" si="739"/>
        <v>revolutum</v>
      </c>
      <c r="L1457" s="93">
        <f t="shared" si="739"/>
        <v>7</v>
      </c>
      <c r="M1457" s="93">
        <f t="shared" si="739"/>
        <v>2</v>
      </c>
      <c r="N1457" s="94">
        <f t="shared" si="739"/>
        <v>0</v>
      </c>
      <c r="O1457" s="95"/>
      <c r="P1457" s="96" t="str">
        <f t="shared" si="702"/>
        <v/>
      </c>
      <c r="Q1457" s="97" t="str">
        <f t="shared" si="703"/>
        <v/>
      </c>
      <c r="R1457" s="98" t="e">
        <f t="shared" si="704"/>
        <v>#VALUE!</v>
      </c>
      <c r="S1457" s="98" t="e">
        <f>IF(T1457&lt;D1457, (T1457*3600+U1457*60+V1457)+((23*3600+59*60+60)-(D1457*3600+E1457*60+LEFT(F1457,2))), (T1457*3600+U1457*60+V1457)-(D1457*3600+E1457*60+LEFT(F1457,2)))</f>
        <v>#VALUE!</v>
      </c>
      <c r="T1457" s="98" t="str">
        <f t="shared" si="706"/>
        <v/>
      </c>
      <c r="U1457" s="99"/>
      <c r="V1457" s="100"/>
      <c r="W1457" s="101" t="e">
        <f t="shared" si="707"/>
        <v>#VALUE!</v>
      </c>
      <c r="X1457" s="102"/>
      <c r="Y1457" s="122"/>
      <c r="Z1457" s="122"/>
      <c r="AA1457" s="47" t="e">
        <f>INDEX(VISITORS[INSECT ORDER], MATCH(X1457,VISITORS[NAME USED],0))</f>
        <v>#N/A</v>
      </c>
      <c r="AB1457" s="98" t="e">
        <f t="shared" si="708"/>
        <v>#N/A</v>
      </c>
      <c r="AC1457" s="53" t="e">
        <f t="shared" si="709"/>
        <v>#VALUE!</v>
      </c>
      <c r="AD1457" s="103" t="str">
        <f t="shared" si="710"/>
        <v/>
      </c>
      <c r="AE1457" s="103"/>
      <c r="AF1457" s="103"/>
      <c r="AG1457" s="104" t="str">
        <f t="shared" si="711"/>
        <v/>
      </c>
      <c r="AH1457" s="105" t="str">
        <f t="shared" si="712"/>
        <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t="str">
        <f t="shared" si="718"/>
        <v/>
      </c>
      <c r="AX1457" s="110" t="str">
        <f t="shared" si="719"/>
        <v/>
      </c>
      <c r="AY1457" s="109" t="str">
        <f t="shared" si="720"/>
        <v/>
      </c>
      <c r="AZ1457" s="110" t="str">
        <f t="shared" si="721"/>
        <v/>
      </c>
    </row>
    <row r="1458" spans="1:52" s="3" customFormat="1" hidden="1" x14ac:dyDescent="0.35">
      <c r="A1458" s="72">
        <f t="shared" si="692"/>
        <v>2021</v>
      </c>
      <c r="B1458" s="72" t="str">
        <f t="shared" si="697"/>
        <v>Nov</v>
      </c>
      <c r="C1458" s="73">
        <f t="shared" si="698"/>
        <v>15</v>
      </c>
      <c r="D1458" s="74">
        <f t="shared" si="699"/>
        <v>13</v>
      </c>
      <c r="E1458" s="75">
        <f t="shared" si="695"/>
        <v>25</v>
      </c>
      <c r="F1458" s="79"/>
      <c r="G1458" s="82"/>
      <c r="H1458" s="68" t="str">
        <f t="shared" si="700"/>
        <v>Hyprev7_20211115_13_00</v>
      </c>
      <c r="I1458" s="69">
        <f t="shared" ref="I1458:N1458" si="740">I1457</f>
        <v>1</v>
      </c>
      <c r="J1458" s="76" t="str">
        <f t="shared" si="740"/>
        <v>Hypericum</v>
      </c>
      <c r="K1458" s="76" t="str">
        <f t="shared" si="740"/>
        <v>revolutum</v>
      </c>
      <c r="L1458" s="77">
        <f t="shared" si="740"/>
        <v>7</v>
      </c>
      <c r="M1458" s="77">
        <f t="shared" si="740"/>
        <v>2</v>
      </c>
      <c r="N1458" s="71">
        <f t="shared" si="740"/>
        <v>0</v>
      </c>
      <c r="O1458" s="44"/>
      <c r="P1458" s="45" t="str">
        <f t="shared" si="702"/>
        <v/>
      </c>
      <c r="Q1458" s="46" t="str">
        <f t="shared" si="703"/>
        <v/>
      </c>
      <c r="R1458" s="47" t="e">
        <f t="shared" si="704"/>
        <v>#VALUE!</v>
      </c>
      <c r="S1458" s="48" t="e">
        <f t="shared" ref="S1458:S1459" si="741">IF(T1458&lt;D1458, (T1458*3600+U1458*60+V1458)+((23*3600+59*60+60)-(D1458*3600+E1458*60+LEFT(F1458,2))), (T1458*3600+U1458*60+V1458)-(D1458*3600+E1458*60+LEFT(F1458,2)))</f>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idden="1" x14ac:dyDescent="0.35">
      <c r="A1459" s="72">
        <f t="shared" si="692"/>
        <v>2021</v>
      </c>
      <c r="B1459" s="72" t="str">
        <f t="shared" si="697"/>
        <v>Nov</v>
      </c>
      <c r="C1459" s="73">
        <f t="shared" si="698"/>
        <v>15</v>
      </c>
      <c r="D1459" s="74">
        <f t="shared" si="699"/>
        <v>13</v>
      </c>
      <c r="E1459" s="75">
        <f t="shared" si="695"/>
        <v>26</v>
      </c>
      <c r="F1459" s="79"/>
      <c r="G1459" s="82"/>
      <c r="H1459" s="68" t="str">
        <f t="shared" si="700"/>
        <v>Hyprev7_20211115_13_00</v>
      </c>
      <c r="I1459" s="69">
        <f t="shared" ref="I1459:N1459" si="742">I1458</f>
        <v>1</v>
      </c>
      <c r="J1459" s="76" t="str">
        <f t="shared" si="742"/>
        <v>Hypericum</v>
      </c>
      <c r="K1459" s="76" t="str">
        <f t="shared" si="742"/>
        <v>revolutum</v>
      </c>
      <c r="L1459" s="77">
        <f t="shared" si="742"/>
        <v>7</v>
      </c>
      <c r="M1459" s="77">
        <f t="shared" si="742"/>
        <v>2</v>
      </c>
      <c r="N1459" s="71">
        <f t="shared" si="742"/>
        <v>0</v>
      </c>
      <c r="O1459" s="44"/>
      <c r="P1459" s="45" t="str">
        <f t="shared" si="702"/>
        <v/>
      </c>
      <c r="Q1459" s="46" t="str">
        <f t="shared" si="703"/>
        <v/>
      </c>
      <c r="R1459" s="47" t="e">
        <f t="shared" si="704"/>
        <v>#VALUE!</v>
      </c>
      <c r="S1459" s="48" t="e">
        <f t="shared" si="741"/>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5" hidden="1" thickBot="1" x14ac:dyDescent="0.4">
      <c r="A1460" s="85">
        <f t="shared" si="692"/>
        <v>2021</v>
      </c>
      <c r="B1460" s="85" t="str">
        <f t="shared" si="697"/>
        <v>Nov</v>
      </c>
      <c r="C1460" s="86">
        <f t="shared" si="698"/>
        <v>15</v>
      </c>
      <c r="D1460" s="87">
        <f t="shared" si="699"/>
        <v>13</v>
      </c>
      <c r="E1460" s="88">
        <f t="shared" si="695"/>
        <v>27</v>
      </c>
      <c r="F1460" s="89"/>
      <c r="G1460" s="90"/>
      <c r="H1460" s="68" t="str">
        <f t="shared" si="700"/>
        <v>Hyprev7_20211115_13_00</v>
      </c>
      <c r="I1460" s="91">
        <f t="shared" ref="I1460:N1460" si="743">I1459</f>
        <v>1</v>
      </c>
      <c r="J1460" s="92" t="str">
        <f t="shared" si="743"/>
        <v>Hypericum</v>
      </c>
      <c r="K1460" s="92" t="str">
        <f t="shared" si="743"/>
        <v>revolutum</v>
      </c>
      <c r="L1460" s="93">
        <f t="shared" si="743"/>
        <v>7</v>
      </c>
      <c r="M1460" s="93">
        <f t="shared" si="743"/>
        <v>2</v>
      </c>
      <c r="N1460" s="94">
        <f t="shared" si="743"/>
        <v>0</v>
      </c>
      <c r="O1460" s="95"/>
      <c r="P1460" s="96" t="str">
        <f t="shared" si="702"/>
        <v/>
      </c>
      <c r="Q1460" s="97" t="str">
        <f t="shared" si="703"/>
        <v/>
      </c>
      <c r="R1460" s="98" t="e">
        <f t="shared" si="704"/>
        <v>#VALUE!</v>
      </c>
      <c r="S1460" s="98" t="e">
        <f>IF(T1460&lt;D1460, (T1460*3600+U1460*60+V1460)+((23*3600+59*60+60)-(D1460*3600+E1460*60+LEFT(F1460,2))), (T1460*3600+U1460*60+V1460)-(D1460*3600+E1460*60+LEFT(F1460,2)))</f>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idden="1" x14ac:dyDescent="0.35">
      <c r="A1461" s="72">
        <f t="shared" si="692"/>
        <v>2021</v>
      </c>
      <c r="B1461" s="72" t="str">
        <f t="shared" si="697"/>
        <v>Nov</v>
      </c>
      <c r="C1461" s="73">
        <f t="shared" si="698"/>
        <v>15</v>
      </c>
      <c r="D1461" s="74">
        <f t="shared" si="699"/>
        <v>13</v>
      </c>
      <c r="E1461" s="75">
        <f t="shared" si="695"/>
        <v>28</v>
      </c>
      <c r="F1461" s="79"/>
      <c r="G1461" s="82"/>
      <c r="H1461" s="68" t="str">
        <f t="shared" si="700"/>
        <v>Hyprev7_20211115_13_00</v>
      </c>
      <c r="I1461" s="69">
        <f t="shared" ref="I1461:N1461" si="744">I1460</f>
        <v>1</v>
      </c>
      <c r="J1461" s="76" t="str">
        <f t="shared" si="744"/>
        <v>Hypericum</v>
      </c>
      <c r="K1461" s="76" t="str">
        <f t="shared" si="744"/>
        <v>revolutum</v>
      </c>
      <c r="L1461" s="77">
        <f t="shared" si="744"/>
        <v>7</v>
      </c>
      <c r="M1461" s="77">
        <f t="shared" si="744"/>
        <v>2</v>
      </c>
      <c r="N1461" s="71">
        <f t="shared" si="744"/>
        <v>0</v>
      </c>
      <c r="O1461" s="44"/>
      <c r="P1461" s="45" t="str">
        <f t="shared" si="702"/>
        <v/>
      </c>
      <c r="Q1461" s="46" t="str">
        <f t="shared" si="703"/>
        <v/>
      </c>
      <c r="R1461" s="47" t="e">
        <f t="shared" si="704"/>
        <v>#VALUE!</v>
      </c>
      <c r="S1461" s="48" t="e">
        <f t="shared" ref="S1461:S1462" si="745">IF(T1461&lt;D1461, (T1461*3600+U1461*60+V1461)+((23*3600+59*60+60)-(D1461*3600+E1461*60+LEFT(F1461,2))), (T1461*3600+U1461*60+V1461)-(D1461*3600+E1461*60+LEFT(F1461,2)))</f>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row r="1462" spans="1:52" s="3" customFormat="1" hidden="1" x14ac:dyDescent="0.35">
      <c r="A1462" s="72">
        <f t="shared" si="692"/>
        <v>2021</v>
      </c>
      <c r="B1462" s="72" t="str">
        <f t="shared" si="697"/>
        <v>Nov</v>
      </c>
      <c r="C1462" s="73">
        <f t="shared" si="698"/>
        <v>15</v>
      </c>
      <c r="D1462" s="74">
        <f t="shared" si="699"/>
        <v>13</v>
      </c>
      <c r="E1462" s="75">
        <f t="shared" si="695"/>
        <v>29</v>
      </c>
      <c r="F1462" s="79"/>
      <c r="G1462" s="82"/>
      <c r="H1462" s="68" t="str">
        <f t="shared" si="700"/>
        <v>Hyprev7_20211115_13_00</v>
      </c>
      <c r="I1462" s="69">
        <f t="shared" ref="I1462:N1462" si="746">I1461</f>
        <v>1</v>
      </c>
      <c r="J1462" s="76" t="str">
        <f t="shared" si="746"/>
        <v>Hypericum</v>
      </c>
      <c r="K1462" s="76" t="str">
        <f t="shared" si="746"/>
        <v>revolutum</v>
      </c>
      <c r="L1462" s="77">
        <f t="shared" si="746"/>
        <v>7</v>
      </c>
      <c r="M1462" s="77">
        <f t="shared" si="746"/>
        <v>2</v>
      </c>
      <c r="N1462" s="71">
        <f t="shared" si="746"/>
        <v>0</v>
      </c>
      <c r="O1462" s="44"/>
      <c r="P1462" s="45" t="str">
        <f t="shared" si="702"/>
        <v/>
      </c>
      <c r="Q1462" s="46" t="str">
        <f t="shared" si="703"/>
        <v/>
      </c>
      <c r="R1462" s="47" t="e">
        <f t="shared" si="704"/>
        <v>#VALUE!</v>
      </c>
      <c r="S1462" s="48" t="e">
        <f t="shared" si="74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5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59"/>
      <c r="AW1462" s="60" t="str">
        <f t="shared" si="718"/>
        <v/>
      </c>
      <c r="AX1462" s="61" t="str">
        <f t="shared" si="719"/>
        <v/>
      </c>
      <c r="AY1462" s="60" t="str">
        <f t="shared" si="720"/>
        <v/>
      </c>
      <c r="AZ1462" s="61" t="str">
        <f t="shared" si="721"/>
        <v/>
      </c>
    </row>
    <row r="1463" spans="1:52" s="3" customFormat="1" ht="15" hidden="1" thickBot="1" x14ac:dyDescent="0.4">
      <c r="A1463" s="85">
        <f t="shared" si="692"/>
        <v>2021</v>
      </c>
      <c r="B1463" s="85" t="str">
        <f t="shared" si="697"/>
        <v>Nov</v>
      </c>
      <c r="C1463" s="86">
        <f t="shared" si="698"/>
        <v>15</v>
      </c>
      <c r="D1463" s="87">
        <f t="shared" si="699"/>
        <v>13</v>
      </c>
      <c r="E1463" s="88">
        <f t="shared" si="695"/>
        <v>30</v>
      </c>
      <c r="F1463" s="89">
        <v>8</v>
      </c>
      <c r="G1463" s="90"/>
      <c r="H1463" s="68" t="str">
        <f t="shared" si="700"/>
        <v>Hyprev7_20211115_13_00</v>
      </c>
      <c r="I1463" s="91">
        <f t="shared" ref="I1463:N1463" si="747">I1462</f>
        <v>1</v>
      </c>
      <c r="J1463" s="92" t="str">
        <f t="shared" si="747"/>
        <v>Hypericum</v>
      </c>
      <c r="K1463" s="92" t="str">
        <f t="shared" si="747"/>
        <v>revolutum</v>
      </c>
      <c r="L1463" s="93">
        <f t="shared" si="747"/>
        <v>7</v>
      </c>
      <c r="M1463" s="93">
        <f t="shared" si="747"/>
        <v>2</v>
      </c>
      <c r="N1463" s="94">
        <f t="shared" si="747"/>
        <v>0</v>
      </c>
      <c r="O1463" s="95"/>
      <c r="P1463" s="96">
        <f t="shared" si="702"/>
        <v>1</v>
      </c>
      <c r="Q1463" s="97" t="str">
        <f t="shared" si="703"/>
        <v>13:30:08</v>
      </c>
      <c r="R1463" s="98" t="str">
        <f t="shared" si="704"/>
        <v>30:08</v>
      </c>
      <c r="S1463" s="98">
        <f>IF(T1463&lt;D1463, (T1463*3600+U1463*60+V1463)+((23*3600+59*60+60)-(D1463*3600+E1463*60+LEFT(F1463,2))), (T1463*3600+U1463*60+V1463)-(D1463*3600+E1463*60+LEFT(F1463,2)))</f>
        <v>2631</v>
      </c>
      <c r="T1463" s="98">
        <v>14</v>
      </c>
      <c r="U1463" s="99">
        <v>13</v>
      </c>
      <c r="V1463" s="100">
        <v>59</v>
      </c>
      <c r="W1463" s="101" t="str">
        <f t="shared" si="707"/>
        <v>13:59</v>
      </c>
      <c r="X1463" s="102" t="s">
        <v>59</v>
      </c>
      <c r="Y1463" s="125" t="s">
        <v>242</v>
      </c>
      <c r="Z1463" s="125"/>
      <c r="AA1463" s="47" t="s">
        <v>264</v>
      </c>
      <c r="AB1463" s="98" t="str">
        <f t="shared" si="708"/>
        <v>NA</v>
      </c>
      <c r="AC1463" s="53" t="str">
        <f t="shared" si="709"/>
        <v/>
      </c>
      <c r="AD1463" s="103">
        <f t="shared" si="710"/>
        <v>1</v>
      </c>
      <c r="AE1463" s="103"/>
      <c r="AF1463" s="103"/>
      <c r="AG1463" s="104" t="str">
        <f t="shared" si="711"/>
        <v/>
      </c>
      <c r="AH1463" s="105" t="str">
        <f t="shared" si="712"/>
        <v/>
      </c>
      <c r="AI1463" s="104"/>
      <c r="AJ1463" s="105" t="str">
        <f t="shared" si="713"/>
        <v/>
      </c>
      <c r="AK1463" s="104"/>
      <c r="AL1463" s="105" t="str">
        <f t="shared" si="714"/>
        <v/>
      </c>
      <c r="AM1463" s="104"/>
      <c r="AN1463" s="105" t="str">
        <f t="shared" si="715"/>
        <v/>
      </c>
      <c r="AO1463" s="104"/>
      <c r="AP1463" s="105" t="str">
        <f t="shared" si="716"/>
        <v/>
      </c>
      <c r="AQ1463" s="104"/>
      <c r="AR1463" s="105" t="str">
        <f t="shared" si="717"/>
        <v/>
      </c>
      <c r="AS1463" s="106" t="s">
        <v>228</v>
      </c>
      <c r="AT1463" s="107"/>
      <c r="AU1463" s="107"/>
      <c r="AV1463" s="108"/>
      <c r="AW1463" s="109">
        <f t="shared" si="718"/>
        <v>0</v>
      </c>
      <c r="AX1463" s="110" t="str">
        <f t="shared" si="719"/>
        <v/>
      </c>
      <c r="AY1463" s="109">
        <f t="shared" si="720"/>
        <v>0</v>
      </c>
      <c r="AZ1463" s="110" t="str">
        <f t="shared" si="721"/>
        <v/>
      </c>
    </row>
    <row r="1464" spans="1:52" s="3" customFormat="1" hidden="1" x14ac:dyDescent="0.35">
      <c r="A1464" s="72">
        <f t="shared" si="692"/>
        <v>2021</v>
      </c>
      <c r="B1464" s="72" t="str">
        <f t="shared" si="697"/>
        <v>Nov</v>
      </c>
      <c r="C1464" s="73">
        <f t="shared" si="698"/>
        <v>15</v>
      </c>
      <c r="D1464" s="74">
        <f t="shared" si="699"/>
        <v>13</v>
      </c>
      <c r="E1464" s="75">
        <f t="shared" si="695"/>
        <v>31</v>
      </c>
      <c r="F1464" s="79"/>
      <c r="G1464" s="82"/>
      <c r="H1464" s="68" t="str">
        <f t="shared" si="700"/>
        <v>Hyprev7_20211115_13_00</v>
      </c>
      <c r="I1464" s="69">
        <f t="shared" ref="I1464:N1464" si="748">I1463</f>
        <v>1</v>
      </c>
      <c r="J1464" s="76" t="str">
        <f t="shared" si="748"/>
        <v>Hypericum</v>
      </c>
      <c r="K1464" s="76" t="str">
        <f t="shared" si="748"/>
        <v>revolutum</v>
      </c>
      <c r="L1464" s="77">
        <f t="shared" si="748"/>
        <v>7</v>
      </c>
      <c r="M1464" s="77">
        <f t="shared" si="748"/>
        <v>2</v>
      </c>
      <c r="N1464" s="71">
        <f t="shared" si="748"/>
        <v>0</v>
      </c>
      <c r="O1464" s="44"/>
      <c r="P1464" s="45" t="str">
        <f t="shared" si="702"/>
        <v/>
      </c>
      <c r="Q1464" s="46" t="str">
        <f t="shared" si="703"/>
        <v/>
      </c>
      <c r="R1464" s="47" t="e">
        <f t="shared" si="704"/>
        <v>#VALUE!</v>
      </c>
      <c r="S1464" s="48" t="e">
        <f t="shared" ref="S1464:S1465" si="749">IF(T1464&lt;D1464, (T1464*3600+U1464*60+V1464)+((23*3600+59*60+60)-(D1464*3600+E1464*60+LEFT(F1464,2))), (T1464*3600+U1464*60+V1464)-(D1464*3600+E1464*60+LEFT(F1464,2)))</f>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s="3" customFormat="1" hidden="1" x14ac:dyDescent="0.35">
      <c r="A1465" s="72">
        <f t="shared" si="692"/>
        <v>2021</v>
      </c>
      <c r="B1465" s="72" t="str">
        <f t="shared" si="697"/>
        <v>Nov</v>
      </c>
      <c r="C1465" s="73">
        <f t="shared" si="698"/>
        <v>15</v>
      </c>
      <c r="D1465" s="74">
        <f t="shared" si="699"/>
        <v>13</v>
      </c>
      <c r="E1465" s="75">
        <f t="shared" si="695"/>
        <v>32</v>
      </c>
      <c r="F1465" s="79"/>
      <c r="G1465" s="82"/>
      <c r="H1465" s="68" t="str">
        <f t="shared" si="700"/>
        <v>Hyprev7_20211115_13_00</v>
      </c>
      <c r="I1465" s="69">
        <f t="shared" ref="I1465:N1465" si="750">I1464</f>
        <v>1</v>
      </c>
      <c r="J1465" s="76" t="str">
        <f t="shared" si="750"/>
        <v>Hypericum</v>
      </c>
      <c r="K1465" s="76" t="str">
        <f t="shared" si="750"/>
        <v>revolutum</v>
      </c>
      <c r="L1465" s="77">
        <f t="shared" si="750"/>
        <v>7</v>
      </c>
      <c r="M1465" s="77">
        <f t="shared" si="750"/>
        <v>2</v>
      </c>
      <c r="N1465" s="71">
        <f t="shared" si="750"/>
        <v>0</v>
      </c>
      <c r="O1465" s="44"/>
      <c r="P1465" s="45" t="str">
        <f t="shared" si="702"/>
        <v/>
      </c>
      <c r="Q1465" s="46" t="str">
        <f t="shared" si="703"/>
        <v/>
      </c>
      <c r="R1465" s="47" t="e">
        <f t="shared" si="704"/>
        <v>#VALUE!</v>
      </c>
      <c r="S1465" s="48" t="e">
        <f t="shared" si="749"/>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53" t="e">
        <f t="shared" si="709"/>
        <v>#VALUE!</v>
      </c>
      <c r="AD1465" s="54" t="str">
        <f t="shared" si="710"/>
        <v/>
      </c>
      <c r="AE1465" s="54"/>
      <c r="AF1465" s="54"/>
      <c r="AG1465" s="55" t="str">
        <f t="shared" si="711"/>
        <v/>
      </c>
      <c r="AH1465" s="56" t="str">
        <f t="shared" si="712"/>
        <v/>
      </c>
      <c r="AI1465" s="55"/>
      <c r="AJ1465" s="56" t="str">
        <f t="shared" si="713"/>
        <v/>
      </c>
      <c r="AK1465" s="55"/>
      <c r="AL1465" s="56" t="str">
        <f t="shared" si="714"/>
        <v/>
      </c>
      <c r="AM1465" s="55"/>
      <c r="AN1465" s="56" t="str">
        <f t="shared" si="715"/>
        <v/>
      </c>
      <c r="AO1465" s="55"/>
      <c r="AP1465" s="56" t="str">
        <f t="shared" si="716"/>
        <v/>
      </c>
      <c r="AQ1465" s="55"/>
      <c r="AR1465" s="56" t="str">
        <f t="shared" si="717"/>
        <v/>
      </c>
      <c r="AS1465" s="57"/>
      <c r="AT1465" s="58"/>
      <c r="AU1465" s="58"/>
      <c r="AV1465" s="59"/>
      <c r="AW1465" s="60" t="str">
        <f t="shared" si="718"/>
        <v/>
      </c>
      <c r="AX1465" s="61" t="str">
        <f t="shared" si="719"/>
        <v/>
      </c>
      <c r="AY1465" s="60" t="str">
        <f t="shared" si="720"/>
        <v/>
      </c>
      <c r="AZ1465" s="61" t="str">
        <f t="shared" si="721"/>
        <v/>
      </c>
    </row>
    <row r="1466" spans="1:52" s="3" customFormat="1" ht="15" hidden="1" thickBot="1" x14ac:dyDescent="0.4">
      <c r="A1466" s="85">
        <f t="shared" si="692"/>
        <v>2021</v>
      </c>
      <c r="B1466" s="85" t="str">
        <f t="shared" si="697"/>
        <v>Nov</v>
      </c>
      <c r="C1466" s="86">
        <f t="shared" si="698"/>
        <v>15</v>
      </c>
      <c r="D1466" s="87">
        <f t="shared" si="699"/>
        <v>13</v>
      </c>
      <c r="E1466" s="88">
        <f t="shared" si="695"/>
        <v>33</v>
      </c>
      <c r="F1466" s="89"/>
      <c r="G1466" s="90"/>
      <c r="H1466" s="68" t="str">
        <f t="shared" si="700"/>
        <v>Hyprev7_20211115_13_00</v>
      </c>
      <c r="I1466" s="91">
        <f t="shared" ref="I1466:N1466" si="751">I1465</f>
        <v>1</v>
      </c>
      <c r="J1466" s="92" t="str">
        <f t="shared" si="751"/>
        <v>Hypericum</v>
      </c>
      <c r="K1466" s="92" t="str">
        <f t="shared" si="751"/>
        <v>revolutum</v>
      </c>
      <c r="L1466" s="93">
        <f t="shared" si="751"/>
        <v>7</v>
      </c>
      <c r="M1466" s="93">
        <f t="shared" si="751"/>
        <v>2</v>
      </c>
      <c r="N1466" s="94">
        <f t="shared" si="751"/>
        <v>0</v>
      </c>
      <c r="O1466" s="95"/>
      <c r="P1466" s="96" t="str">
        <f t="shared" si="702"/>
        <v/>
      </c>
      <c r="Q1466" s="97" t="str">
        <f t="shared" si="703"/>
        <v/>
      </c>
      <c r="R1466" s="98" t="e">
        <f t="shared" si="704"/>
        <v>#VALUE!</v>
      </c>
      <c r="S1466" s="98" t="e">
        <f>IF(T1466&lt;D1466, (T1466*3600+U1466*60+V1466)+((23*3600+59*60+60)-(D1466*3600+E1466*60+LEFT(F1466,2))), (T1466*3600+U1466*60+V1466)-(D1466*3600+E1466*60+LEFT(F1466,2)))</f>
        <v>#VALUE!</v>
      </c>
      <c r="T1466" s="98" t="str">
        <f t="shared" si="706"/>
        <v/>
      </c>
      <c r="U1466" s="99"/>
      <c r="V1466" s="100"/>
      <c r="W1466" s="101" t="e">
        <f t="shared" si="707"/>
        <v>#VALUE!</v>
      </c>
      <c r="X1466" s="102"/>
      <c r="Y1466" s="122"/>
      <c r="Z1466" s="122"/>
      <c r="AA1466" s="47" t="e">
        <f>INDEX(VISITORS[INSECT ORDER], MATCH(X1466,VISITORS[NAME USED],0))</f>
        <v>#N/A</v>
      </c>
      <c r="AB1466" s="98" t="e">
        <f t="shared" si="708"/>
        <v>#N/A</v>
      </c>
      <c r="AC1466" s="53" t="e">
        <f t="shared" si="709"/>
        <v>#VALUE!</v>
      </c>
      <c r="AD1466" s="103" t="str">
        <f t="shared" si="710"/>
        <v/>
      </c>
      <c r="AE1466" s="103"/>
      <c r="AF1466" s="103"/>
      <c r="AG1466" s="104" t="str">
        <f t="shared" si="711"/>
        <v/>
      </c>
      <c r="AH1466" s="105" t="str">
        <f t="shared" si="712"/>
        <v/>
      </c>
      <c r="AI1466" s="104"/>
      <c r="AJ1466" s="105" t="str">
        <f t="shared" si="713"/>
        <v/>
      </c>
      <c r="AK1466" s="104"/>
      <c r="AL1466" s="105" t="str">
        <f t="shared" si="714"/>
        <v/>
      </c>
      <c r="AM1466" s="104"/>
      <c r="AN1466" s="105" t="str">
        <f t="shared" si="715"/>
        <v/>
      </c>
      <c r="AO1466" s="104"/>
      <c r="AP1466" s="105" t="str">
        <f t="shared" si="716"/>
        <v/>
      </c>
      <c r="AQ1466" s="104"/>
      <c r="AR1466" s="105" t="str">
        <f t="shared" si="717"/>
        <v/>
      </c>
      <c r="AS1466" s="106"/>
      <c r="AT1466" s="107"/>
      <c r="AU1466" s="107"/>
      <c r="AV1466" s="108"/>
      <c r="AW1466" s="109" t="str">
        <f t="shared" si="718"/>
        <v/>
      </c>
      <c r="AX1466" s="110" t="str">
        <f t="shared" si="719"/>
        <v/>
      </c>
      <c r="AY1466" s="109" t="str">
        <f t="shared" si="720"/>
        <v/>
      </c>
      <c r="AZ1466" s="110" t="str">
        <f t="shared" si="721"/>
        <v/>
      </c>
    </row>
    <row r="1467" spans="1:52" s="3" customFormat="1" hidden="1" x14ac:dyDescent="0.35">
      <c r="A1467" s="72">
        <f t="shared" si="692"/>
        <v>2021</v>
      </c>
      <c r="B1467" s="72" t="str">
        <f t="shared" si="697"/>
        <v>Nov</v>
      </c>
      <c r="C1467" s="73">
        <f t="shared" si="698"/>
        <v>15</v>
      </c>
      <c r="D1467" s="74">
        <f t="shared" si="699"/>
        <v>13</v>
      </c>
      <c r="E1467" s="75">
        <f t="shared" si="695"/>
        <v>34</v>
      </c>
      <c r="F1467" s="79"/>
      <c r="G1467" s="82"/>
      <c r="H1467" s="68" t="str">
        <f t="shared" si="700"/>
        <v>Hyprev7_20211115_13_00</v>
      </c>
      <c r="I1467" s="69">
        <f t="shared" ref="I1467:N1467" si="752">I1466</f>
        <v>1</v>
      </c>
      <c r="J1467" s="76" t="str">
        <f t="shared" si="752"/>
        <v>Hypericum</v>
      </c>
      <c r="K1467" s="76" t="str">
        <f t="shared" si="752"/>
        <v>revolutum</v>
      </c>
      <c r="L1467" s="77">
        <f t="shared" si="752"/>
        <v>7</v>
      </c>
      <c r="M1467" s="77">
        <f t="shared" si="752"/>
        <v>2</v>
      </c>
      <c r="N1467" s="71">
        <f t="shared" si="752"/>
        <v>0</v>
      </c>
      <c r="O1467" s="44"/>
      <c r="P1467" s="45" t="str">
        <f t="shared" si="702"/>
        <v/>
      </c>
      <c r="Q1467" s="46" t="str">
        <f t="shared" si="703"/>
        <v/>
      </c>
      <c r="R1467" s="47" t="e">
        <f t="shared" si="704"/>
        <v>#VALUE!</v>
      </c>
      <c r="S1467" s="48" t="e">
        <f t="shared" ref="S1467:S1468" si="753">IF(T1467&lt;D1467, (T1467*3600+U1467*60+V1467)+((23*3600+59*60+60)-(D1467*3600+E1467*60+LEFT(F1467,2))), (T1467*3600+U1467*60+V1467)-(D1467*3600+E1467*60+LEFT(F1467,2)))</f>
        <v>#VALUE!</v>
      </c>
      <c r="T1467" s="47" t="str">
        <f t="shared" si="706"/>
        <v/>
      </c>
      <c r="U1467" s="49"/>
      <c r="V1467" s="50"/>
      <c r="W1467" s="51" t="e">
        <f t="shared" si="707"/>
        <v>#VALUE!</v>
      </c>
      <c r="X1467" s="52"/>
      <c r="Y1467" s="52"/>
      <c r="Z1467" s="52"/>
      <c r="AA1467" s="47" t="e">
        <f>INDEX(VISITORS[INSECT ORDER], MATCH(X1467,VISITORS[NAME USED],0))</f>
        <v>#N/A</v>
      </c>
      <c r="AB1467" s="47" t="e">
        <f t="shared" si="708"/>
        <v>#N/A</v>
      </c>
      <c r="AC1467" s="53" t="e">
        <f t="shared" si="709"/>
        <v>#VALUE!</v>
      </c>
      <c r="AD1467" s="54" t="str">
        <f t="shared" si="710"/>
        <v/>
      </c>
      <c r="AE1467" s="54"/>
      <c r="AF1467" s="54"/>
      <c r="AG1467" s="55" t="str">
        <f t="shared" si="711"/>
        <v/>
      </c>
      <c r="AH1467" s="56" t="str">
        <f t="shared" si="712"/>
        <v/>
      </c>
      <c r="AI1467" s="55"/>
      <c r="AJ1467" s="56" t="str">
        <f t="shared" si="713"/>
        <v/>
      </c>
      <c r="AK1467" s="55"/>
      <c r="AL1467" s="56" t="str">
        <f t="shared" si="714"/>
        <v/>
      </c>
      <c r="AM1467" s="55"/>
      <c r="AN1467" s="56" t="str">
        <f t="shared" si="715"/>
        <v/>
      </c>
      <c r="AO1467" s="55"/>
      <c r="AP1467" s="56" t="str">
        <f t="shared" si="716"/>
        <v/>
      </c>
      <c r="AQ1467" s="55"/>
      <c r="AR1467" s="56" t="str">
        <f t="shared" si="717"/>
        <v/>
      </c>
      <c r="AS1467" s="57"/>
      <c r="AT1467" s="58"/>
      <c r="AU1467" s="58"/>
      <c r="AV1467" s="59"/>
      <c r="AW1467" s="60" t="str">
        <f t="shared" si="718"/>
        <v/>
      </c>
      <c r="AX1467" s="61" t="str">
        <f t="shared" si="719"/>
        <v/>
      </c>
      <c r="AY1467" s="60" t="str">
        <f t="shared" si="720"/>
        <v/>
      </c>
      <c r="AZ1467" s="61" t="str">
        <f t="shared" si="721"/>
        <v/>
      </c>
    </row>
    <row r="1468" spans="1:52" s="3" customFormat="1" hidden="1" x14ac:dyDescent="0.35">
      <c r="A1468" s="72">
        <f t="shared" si="692"/>
        <v>2021</v>
      </c>
      <c r="B1468" s="72" t="str">
        <f t="shared" si="697"/>
        <v>Nov</v>
      </c>
      <c r="C1468" s="73">
        <f t="shared" si="698"/>
        <v>15</v>
      </c>
      <c r="D1468" s="74">
        <f t="shared" si="699"/>
        <v>13</v>
      </c>
      <c r="E1468" s="75">
        <f t="shared" si="695"/>
        <v>35</v>
      </c>
      <c r="F1468" s="79"/>
      <c r="G1468" s="82"/>
      <c r="H1468" s="68" t="str">
        <f t="shared" si="700"/>
        <v>Hyprev7_20211115_13_00</v>
      </c>
      <c r="I1468" s="69">
        <f t="shared" ref="I1468:N1468" si="754">I1467</f>
        <v>1</v>
      </c>
      <c r="J1468" s="76" t="str">
        <f t="shared" si="754"/>
        <v>Hypericum</v>
      </c>
      <c r="K1468" s="76" t="str">
        <f t="shared" si="754"/>
        <v>revolutum</v>
      </c>
      <c r="L1468" s="77">
        <f t="shared" si="754"/>
        <v>7</v>
      </c>
      <c r="M1468" s="77">
        <f t="shared" si="754"/>
        <v>2</v>
      </c>
      <c r="N1468" s="71">
        <f t="shared" si="754"/>
        <v>0</v>
      </c>
      <c r="O1468" s="44"/>
      <c r="P1468" s="45" t="str">
        <f t="shared" si="702"/>
        <v/>
      </c>
      <c r="Q1468" s="46" t="str">
        <f t="shared" si="703"/>
        <v/>
      </c>
      <c r="R1468" s="47" t="e">
        <f t="shared" si="704"/>
        <v>#VALUE!</v>
      </c>
      <c r="S1468" s="48" t="e">
        <f t="shared" si="753"/>
        <v>#VALUE!</v>
      </c>
      <c r="T1468" s="47" t="str">
        <f t="shared" si="706"/>
        <v/>
      </c>
      <c r="U1468" s="49"/>
      <c r="V1468" s="50"/>
      <c r="W1468" s="51" t="e">
        <f t="shared" si="707"/>
        <v>#VALUE!</v>
      </c>
      <c r="X1468" s="52"/>
      <c r="Y1468" s="52"/>
      <c r="Z1468" s="52"/>
      <c r="AA1468" s="47" t="e">
        <f>INDEX(VISITORS[INSECT ORDER], MATCH(X1468,VISITORS[NAME USED],0))</f>
        <v>#N/A</v>
      </c>
      <c r="AB1468" s="47" t="e">
        <f t="shared" si="708"/>
        <v>#N/A</v>
      </c>
      <c r="AC1468" s="53" t="e">
        <f t="shared" si="709"/>
        <v>#VALUE!</v>
      </c>
      <c r="AD1468" s="54" t="str">
        <f t="shared" si="710"/>
        <v/>
      </c>
      <c r="AE1468" s="54"/>
      <c r="AF1468" s="54"/>
      <c r="AG1468" s="55" t="str">
        <f t="shared" si="711"/>
        <v/>
      </c>
      <c r="AH1468" s="56" t="str">
        <f t="shared" si="712"/>
        <v/>
      </c>
      <c r="AI1468" s="55"/>
      <c r="AJ1468" s="56" t="str">
        <f t="shared" si="713"/>
        <v/>
      </c>
      <c r="AK1468" s="55"/>
      <c r="AL1468" s="56" t="str">
        <f t="shared" si="714"/>
        <v/>
      </c>
      <c r="AM1468" s="55"/>
      <c r="AN1468" s="56" t="str">
        <f t="shared" si="715"/>
        <v/>
      </c>
      <c r="AO1468" s="55"/>
      <c r="AP1468" s="56" t="str">
        <f t="shared" si="716"/>
        <v/>
      </c>
      <c r="AQ1468" s="55"/>
      <c r="AR1468" s="56" t="str">
        <f t="shared" si="717"/>
        <v/>
      </c>
      <c r="AS1468" s="57"/>
      <c r="AT1468" s="58"/>
      <c r="AU1468" s="58"/>
      <c r="AV1468" s="59"/>
      <c r="AW1468" s="60" t="str">
        <f t="shared" si="718"/>
        <v/>
      </c>
      <c r="AX1468" s="61" t="str">
        <f t="shared" si="719"/>
        <v/>
      </c>
      <c r="AY1468" s="60" t="str">
        <f t="shared" si="720"/>
        <v/>
      </c>
      <c r="AZ1468" s="61" t="str">
        <f t="shared" si="721"/>
        <v/>
      </c>
    </row>
    <row r="1469" spans="1:52" s="3" customFormat="1" ht="15" hidden="1" thickBot="1" x14ac:dyDescent="0.4">
      <c r="A1469" s="85">
        <f t="shared" si="692"/>
        <v>2021</v>
      </c>
      <c r="B1469" s="85" t="str">
        <f t="shared" si="697"/>
        <v>Nov</v>
      </c>
      <c r="C1469" s="86">
        <f t="shared" si="698"/>
        <v>15</v>
      </c>
      <c r="D1469" s="87">
        <f t="shared" si="699"/>
        <v>13</v>
      </c>
      <c r="E1469" s="88">
        <f t="shared" si="695"/>
        <v>36</v>
      </c>
      <c r="F1469" s="89">
        <v>41</v>
      </c>
      <c r="G1469" s="90"/>
      <c r="H1469" s="68" t="str">
        <f t="shared" si="700"/>
        <v>Hyprev7_20211115_13_00</v>
      </c>
      <c r="I1469" s="91">
        <f t="shared" ref="I1469:N1469" si="755">I1468</f>
        <v>1</v>
      </c>
      <c r="J1469" s="92" t="str">
        <f t="shared" si="755"/>
        <v>Hypericum</v>
      </c>
      <c r="K1469" s="92" t="str">
        <f t="shared" si="755"/>
        <v>revolutum</v>
      </c>
      <c r="L1469" s="93">
        <f t="shared" si="755"/>
        <v>7</v>
      </c>
      <c r="M1469" s="93">
        <f t="shared" si="755"/>
        <v>2</v>
      </c>
      <c r="N1469" s="94">
        <f t="shared" si="755"/>
        <v>0</v>
      </c>
      <c r="O1469" s="95"/>
      <c r="P1469" s="96">
        <f t="shared" si="702"/>
        <v>1</v>
      </c>
      <c r="Q1469" s="97" t="str">
        <f t="shared" si="703"/>
        <v>13:36:41</v>
      </c>
      <c r="R1469" s="98" t="str">
        <f t="shared" si="704"/>
        <v>36:41</v>
      </c>
      <c r="S1469" s="98">
        <f>IF(T1469&lt;D1469, (T1469*3600+U1469*60+V1469)+((23*3600+59*60+60)-(D1469*3600+E1469*60+LEFT(F1469,2))), (T1469*3600+U1469*60+V1469)-(D1469*3600+E1469*60+LEFT(F1469,2)))</f>
        <v>2238</v>
      </c>
      <c r="T1469" s="98">
        <v>14</v>
      </c>
      <c r="U1469" s="99">
        <v>13</v>
      </c>
      <c r="V1469" s="100">
        <v>59</v>
      </c>
      <c r="W1469" s="101" t="str">
        <f t="shared" si="707"/>
        <v>13:59</v>
      </c>
      <c r="X1469" s="102" t="s">
        <v>59</v>
      </c>
      <c r="Y1469" s="125" t="s">
        <v>236</v>
      </c>
      <c r="Z1469" s="125"/>
      <c r="AA1469" s="47" t="s">
        <v>254</v>
      </c>
      <c r="AB1469" s="98" t="str">
        <f t="shared" si="708"/>
        <v>NA</v>
      </c>
      <c r="AC1469" s="53" t="str">
        <f t="shared" si="709"/>
        <v/>
      </c>
      <c r="AD1469" s="103">
        <f t="shared" si="710"/>
        <v>1</v>
      </c>
      <c r="AE1469" s="103"/>
      <c r="AF1469" s="103"/>
      <c r="AG1469" s="104" t="str">
        <f t="shared" si="711"/>
        <v/>
      </c>
      <c r="AH1469" s="105" t="str">
        <f t="shared" si="712"/>
        <v/>
      </c>
      <c r="AI1469" s="104"/>
      <c r="AJ1469" s="105" t="str">
        <f t="shared" si="713"/>
        <v/>
      </c>
      <c r="AK1469" s="104"/>
      <c r="AL1469" s="105" t="str">
        <f t="shared" si="714"/>
        <v/>
      </c>
      <c r="AM1469" s="104"/>
      <c r="AN1469" s="105" t="str">
        <f t="shared" si="715"/>
        <v/>
      </c>
      <c r="AO1469" s="104"/>
      <c r="AP1469" s="105" t="str">
        <f t="shared" si="716"/>
        <v/>
      </c>
      <c r="AQ1469" s="104"/>
      <c r="AR1469" s="105" t="str">
        <f t="shared" si="717"/>
        <v/>
      </c>
      <c r="AS1469" s="106" t="s">
        <v>228</v>
      </c>
      <c r="AT1469" s="107"/>
      <c r="AU1469" s="107"/>
      <c r="AV1469" s="108"/>
      <c r="AW1469" s="109">
        <f t="shared" si="718"/>
        <v>0</v>
      </c>
      <c r="AX1469" s="110" t="str">
        <f t="shared" si="719"/>
        <v/>
      </c>
      <c r="AY1469" s="109">
        <f t="shared" si="720"/>
        <v>0</v>
      </c>
      <c r="AZ1469" s="110" t="str">
        <f t="shared" si="721"/>
        <v/>
      </c>
    </row>
    <row r="1470" spans="1:52" s="3" customFormat="1" hidden="1" x14ac:dyDescent="0.35">
      <c r="A1470" s="72">
        <f t="shared" si="692"/>
        <v>2021</v>
      </c>
      <c r="B1470" s="72" t="str">
        <f t="shared" si="697"/>
        <v>Nov</v>
      </c>
      <c r="C1470" s="73">
        <f t="shared" si="698"/>
        <v>15</v>
      </c>
      <c r="D1470" s="74">
        <f t="shared" si="699"/>
        <v>13</v>
      </c>
      <c r="E1470" s="75">
        <f t="shared" si="695"/>
        <v>37</v>
      </c>
      <c r="F1470" s="79">
        <v>28</v>
      </c>
      <c r="G1470" s="82"/>
      <c r="H1470" s="68" t="str">
        <f t="shared" si="700"/>
        <v>Hyprev7_20211115_13_00</v>
      </c>
      <c r="I1470" s="69">
        <f t="shared" ref="I1470:N1470" si="756">I1469</f>
        <v>1</v>
      </c>
      <c r="J1470" s="76" t="str">
        <f t="shared" si="756"/>
        <v>Hypericum</v>
      </c>
      <c r="K1470" s="76" t="str">
        <f t="shared" si="756"/>
        <v>revolutum</v>
      </c>
      <c r="L1470" s="77">
        <f t="shared" si="756"/>
        <v>7</v>
      </c>
      <c r="M1470" s="77">
        <f t="shared" si="756"/>
        <v>2</v>
      </c>
      <c r="N1470" s="71">
        <f t="shared" si="756"/>
        <v>0</v>
      </c>
      <c r="O1470" s="44"/>
      <c r="P1470" s="45">
        <f t="shared" si="702"/>
        <v>1</v>
      </c>
      <c r="Q1470" s="46" t="str">
        <f t="shared" si="703"/>
        <v>13:37:28</v>
      </c>
      <c r="R1470" s="47" t="str">
        <f t="shared" si="704"/>
        <v>37:28</v>
      </c>
      <c r="S1470" s="48">
        <f t="shared" ref="S1470:S1471" si="757">IF(T1470&lt;D1470, (T1470*3600+U1470*60+V1470)+((23*3600+59*60+60)-(D1470*3600+E1470*60+LEFT(F1470,2))), (T1470*3600+U1470*60+V1470)-(D1470*3600+E1470*60+LEFT(F1470,2)))</f>
        <v>126</v>
      </c>
      <c r="T1470" s="47" t="str">
        <f t="shared" si="706"/>
        <v>13</v>
      </c>
      <c r="U1470" s="49">
        <v>39</v>
      </c>
      <c r="V1470" s="50">
        <v>34</v>
      </c>
      <c r="W1470" s="51" t="str">
        <f t="shared" si="707"/>
        <v>39:34</v>
      </c>
      <c r="X1470" s="52" t="s">
        <v>61</v>
      </c>
      <c r="Y1470" s="124" t="s">
        <v>240</v>
      </c>
      <c r="Z1470" s="124"/>
      <c r="AA1470" s="47" t="s">
        <v>254</v>
      </c>
      <c r="AB1470" s="47" t="str">
        <f t="shared" si="708"/>
        <v>NA</v>
      </c>
      <c r="AC1470" s="53" t="str">
        <f t="shared" si="709"/>
        <v/>
      </c>
      <c r="AD1470" s="54">
        <f t="shared" si="710"/>
        <v>1</v>
      </c>
      <c r="AE1470" s="54"/>
      <c r="AF1470" s="54"/>
      <c r="AG1470" s="55" t="str">
        <f t="shared" si="711"/>
        <v/>
      </c>
      <c r="AH1470" s="56" t="str">
        <f t="shared" si="712"/>
        <v/>
      </c>
      <c r="AI1470" s="55"/>
      <c r="AJ1470" s="56" t="str">
        <f t="shared" si="713"/>
        <v/>
      </c>
      <c r="AK1470" s="55"/>
      <c r="AL1470" s="56" t="str">
        <f t="shared" si="714"/>
        <v/>
      </c>
      <c r="AM1470" s="55"/>
      <c r="AN1470" s="56" t="str">
        <f t="shared" si="715"/>
        <v/>
      </c>
      <c r="AO1470" s="55"/>
      <c r="AP1470" s="56" t="str">
        <f t="shared" si="716"/>
        <v/>
      </c>
      <c r="AQ1470" s="55"/>
      <c r="AR1470" s="56" t="str">
        <f t="shared" si="717"/>
        <v/>
      </c>
      <c r="AS1470" s="57" t="s">
        <v>229</v>
      </c>
      <c r="AT1470" s="58"/>
      <c r="AU1470" s="58"/>
      <c r="AV1470" s="59"/>
      <c r="AW1470" s="60">
        <f t="shared" si="718"/>
        <v>0</v>
      </c>
      <c r="AX1470" s="61" t="str">
        <f t="shared" si="719"/>
        <v/>
      </c>
      <c r="AY1470" s="60">
        <f t="shared" si="720"/>
        <v>0</v>
      </c>
      <c r="AZ1470" s="61" t="str">
        <f t="shared" si="721"/>
        <v/>
      </c>
    </row>
    <row r="1471" spans="1:52" s="3" customFormat="1" hidden="1" x14ac:dyDescent="0.35">
      <c r="A1471" s="72">
        <f t="shared" si="692"/>
        <v>2021</v>
      </c>
      <c r="B1471" s="72" t="str">
        <f t="shared" si="697"/>
        <v>Nov</v>
      </c>
      <c r="C1471" s="73">
        <f t="shared" si="698"/>
        <v>15</v>
      </c>
      <c r="D1471" s="74">
        <f t="shared" si="699"/>
        <v>13</v>
      </c>
      <c r="E1471" s="75">
        <f t="shared" si="695"/>
        <v>38</v>
      </c>
      <c r="F1471" s="79"/>
      <c r="G1471" s="82"/>
      <c r="H1471" s="68" t="str">
        <f t="shared" si="700"/>
        <v>Hyprev7_20211115_13_00</v>
      </c>
      <c r="I1471" s="69">
        <f t="shared" ref="I1471:N1471" si="758">I1470</f>
        <v>1</v>
      </c>
      <c r="J1471" s="76" t="str">
        <f t="shared" si="758"/>
        <v>Hypericum</v>
      </c>
      <c r="K1471" s="76" t="str">
        <f t="shared" si="758"/>
        <v>revolutum</v>
      </c>
      <c r="L1471" s="77">
        <f t="shared" si="758"/>
        <v>7</v>
      </c>
      <c r="M1471" s="77">
        <f t="shared" si="758"/>
        <v>2</v>
      </c>
      <c r="N1471" s="71">
        <f t="shared" si="758"/>
        <v>0</v>
      </c>
      <c r="O1471" s="44"/>
      <c r="P1471" s="45" t="str">
        <f t="shared" si="702"/>
        <v/>
      </c>
      <c r="Q1471" s="46" t="str">
        <f t="shared" si="703"/>
        <v/>
      </c>
      <c r="R1471" s="47" t="e">
        <f t="shared" si="704"/>
        <v>#VALUE!</v>
      </c>
      <c r="S1471" s="48" t="e">
        <f t="shared" si="757"/>
        <v>#VALUE!</v>
      </c>
      <c r="T1471" s="47" t="str">
        <f t="shared" si="706"/>
        <v/>
      </c>
      <c r="U1471" s="49"/>
      <c r="V1471" s="50"/>
      <c r="W1471" s="51" t="e">
        <f t="shared" si="707"/>
        <v>#VALUE!</v>
      </c>
      <c r="X1471" s="52"/>
      <c r="Y1471" s="52"/>
      <c r="Z1471" s="52"/>
      <c r="AA1471" s="47" t="e">
        <f>INDEX(VISITORS[INSECT ORDER], MATCH(X1471,VISITORS[NAME USED],0))</f>
        <v>#N/A</v>
      </c>
      <c r="AB1471" s="47" t="e">
        <f t="shared" si="708"/>
        <v>#N/A</v>
      </c>
      <c r="AC1471" s="53" t="e">
        <f t="shared" si="709"/>
        <v>#VALUE!</v>
      </c>
      <c r="AD1471" s="54" t="str">
        <f t="shared" si="710"/>
        <v/>
      </c>
      <c r="AE1471" s="54"/>
      <c r="AF1471" s="54"/>
      <c r="AG1471" s="55" t="str">
        <f t="shared" si="711"/>
        <v/>
      </c>
      <c r="AH1471" s="56" t="str">
        <f t="shared" si="712"/>
        <v/>
      </c>
      <c r="AI1471" s="55"/>
      <c r="AJ1471" s="56" t="str">
        <f t="shared" si="713"/>
        <v/>
      </c>
      <c r="AK1471" s="55"/>
      <c r="AL1471" s="56" t="str">
        <f t="shared" si="714"/>
        <v/>
      </c>
      <c r="AM1471" s="55"/>
      <c r="AN1471" s="56" t="str">
        <f t="shared" si="715"/>
        <v/>
      </c>
      <c r="AO1471" s="55"/>
      <c r="AP1471" s="56" t="str">
        <f t="shared" si="716"/>
        <v/>
      </c>
      <c r="AQ1471" s="55"/>
      <c r="AR1471" s="56" t="str">
        <f t="shared" si="717"/>
        <v/>
      </c>
      <c r="AS1471" s="57"/>
      <c r="AT1471" s="58"/>
      <c r="AU1471" s="58"/>
      <c r="AV1471" s="59"/>
      <c r="AW1471" s="60" t="str">
        <f t="shared" si="718"/>
        <v/>
      </c>
      <c r="AX1471" s="61" t="str">
        <f t="shared" si="719"/>
        <v/>
      </c>
      <c r="AY1471" s="60" t="str">
        <f t="shared" si="720"/>
        <v/>
      </c>
      <c r="AZ1471" s="61" t="str">
        <f t="shared" si="721"/>
        <v/>
      </c>
    </row>
    <row r="1472" spans="1:52" s="3" customFormat="1" ht="15" hidden="1" thickBot="1" x14ac:dyDescent="0.4">
      <c r="A1472" s="85">
        <f t="shared" si="692"/>
        <v>2021</v>
      </c>
      <c r="B1472" s="85" t="str">
        <f t="shared" si="697"/>
        <v>Nov</v>
      </c>
      <c r="C1472" s="86">
        <f t="shared" si="698"/>
        <v>15</v>
      </c>
      <c r="D1472" s="87">
        <f t="shared" si="699"/>
        <v>13</v>
      </c>
      <c r="E1472" s="88">
        <f t="shared" si="695"/>
        <v>39</v>
      </c>
      <c r="F1472" s="89"/>
      <c r="G1472" s="90"/>
      <c r="H1472" s="68" t="str">
        <f t="shared" si="700"/>
        <v>Hyprev7_20211115_13_00</v>
      </c>
      <c r="I1472" s="91">
        <f t="shared" ref="I1472:N1472" si="759">I1471</f>
        <v>1</v>
      </c>
      <c r="J1472" s="92" t="str">
        <f t="shared" si="759"/>
        <v>Hypericum</v>
      </c>
      <c r="K1472" s="92" t="str">
        <f t="shared" si="759"/>
        <v>revolutum</v>
      </c>
      <c r="L1472" s="93">
        <f t="shared" si="759"/>
        <v>7</v>
      </c>
      <c r="M1472" s="93">
        <f t="shared" si="759"/>
        <v>2</v>
      </c>
      <c r="N1472" s="94">
        <f t="shared" si="759"/>
        <v>0</v>
      </c>
      <c r="O1472" s="95"/>
      <c r="P1472" s="96" t="str">
        <f t="shared" si="702"/>
        <v/>
      </c>
      <c r="Q1472" s="97" t="str">
        <f t="shared" si="703"/>
        <v/>
      </c>
      <c r="R1472" s="98" t="e">
        <f t="shared" si="704"/>
        <v>#VALUE!</v>
      </c>
      <c r="S1472" s="98" t="e">
        <f>IF(T1472&lt;D1472, (T1472*3600+U1472*60+V1472)+((23*3600+59*60+60)-(D1472*3600+E1472*60+LEFT(F1472,2))), (T1472*3600+U1472*60+V1472)-(D1472*3600+E1472*60+LEFT(F1472,2)))</f>
        <v>#VALUE!</v>
      </c>
      <c r="T1472" s="98" t="str">
        <f t="shared" si="706"/>
        <v/>
      </c>
      <c r="U1472" s="99"/>
      <c r="V1472" s="100"/>
      <c r="W1472" s="101" t="e">
        <f t="shared" si="707"/>
        <v>#VALUE!</v>
      </c>
      <c r="X1472" s="102"/>
      <c r="Y1472" s="122"/>
      <c r="Z1472" s="122"/>
      <c r="AA1472" s="47" t="e">
        <f>INDEX(VISITORS[INSECT ORDER], MATCH(X1472,VISITORS[NAME USED],0))</f>
        <v>#N/A</v>
      </c>
      <c r="AB1472" s="98" t="e">
        <f t="shared" si="708"/>
        <v>#N/A</v>
      </c>
      <c r="AC1472" s="53" t="e">
        <f t="shared" si="709"/>
        <v>#VALUE!</v>
      </c>
      <c r="AD1472" s="103" t="str">
        <f t="shared" si="710"/>
        <v/>
      </c>
      <c r="AE1472" s="103"/>
      <c r="AF1472" s="103"/>
      <c r="AG1472" s="104" t="str">
        <f t="shared" si="711"/>
        <v/>
      </c>
      <c r="AH1472" s="105" t="str">
        <f t="shared" si="712"/>
        <v/>
      </c>
      <c r="AI1472" s="104"/>
      <c r="AJ1472" s="105" t="str">
        <f t="shared" si="713"/>
        <v/>
      </c>
      <c r="AK1472" s="104"/>
      <c r="AL1472" s="105" t="str">
        <f t="shared" si="714"/>
        <v/>
      </c>
      <c r="AM1472" s="104"/>
      <c r="AN1472" s="105" t="str">
        <f t="shared" si="715"/>
        <v/>
      </c>
      <c r="AO1472" s="104"/>
      <c r="AP1472" s="105" t="str">
        <f t="shared" si="716"/>
        <v/>
      </c>
      <c r="AQ1472" s="104"/>
      <c r="AR1472" s="105" t="str">
        <f t="shared" si="717"/>
        <v/>
      </c>
      <c r="AS1472" s="106"/>
      <c r="AT1472" s="107"/>
      <c r="AU1472" s="107"/>
      <c r="AV1472" s="108"/>
      <c r="AW1472" s="109" t="str">
        <f t="shared" si="718"/>
        <v/>
      </c>
      <c r="AX1472" s="110" t="str">
        <f t="shared" si="719"/>
        <v/>
      </c>
      <c r="AY1472" s="109" t="str">
        <f t="shared" si="720"/>
        <v/>
      </c>
      <c r="AZ1472" s="110" t="str">
        <f t="shared" si="721"/>
        <v/>
      </c>
    </row>
    <row r="1473" spans="1:52" s="3" customFormat="1" hidden="1" x14ac:dyDescent="0.35">
      <c r="A1473" s="72">
        <f t="shared" si="692"/>
        <v>2021</v>
      </c>
      <c r="B1473" s="72" t="str">
        <f t="shared" si="697"/>
        <v>Nov</v>
      </c>
      <c r="C1473" s="73">
        <f t="shared" si="698"/>
        <v>15</v>
      </c>
      <c r="D1473" s="74">
        <f t="shared" si="699"/>
        <v>13</v>
      </c>
      <c r="E1473" s="75">
        <f t="shared" si="695"/>
        <v>40</v>
      </c>
      <c r="F1473" s="79">
        <v>9</v>
      </c>
      <c r="G1473" s="82"/>
      <c r="H1473" s="68" t="str">
        <f t="shared" si="700"/>
        <v>Hyprev7_20211115_13_00</v>
      </c>
      <c r="I1473" s="69">
        <f t="shared" ref="I1473:N1473" si="760">I1472</f>
        <v>1</v>
      </c>
      <c r="J1473" s="76" t="str">
        <f t="shared" si="760"/>
        <v>Hypericum</v>
      </c>
      <c r="K1473" s="76" t="str">
        <f t="shared" si="760"/>
        <v>revolutum</v>
      </c>
      <c r="L1473" s="77">
        <f t="shared" si="760"/>
        <v>7</v>
      </c>
      <c r="M1473" s="77">
        <f t="shared" si="760"/>
        <v>2</v>
      </c>
      <c r="N1473" s="71">
        <f t="shared" si="760"/>
        <v>0</v>
      </c>
      <c r="O1473" s="44"/>
      <c r="P1473" s="45">
        <f t="shared" si="702"/>
        <v>1</v>
      </c>
      <c r="Q1473" s="46" t="str">
        <f t="shared" si="703"/>
        <v>13:40:09</v>
      </c>
      <c r="R1473" s="47" t="str">
        <f t="shared" si="704"/>
        <v>40:09</v>
      </c>
      <c r="S1473" s="48">
        <f t="shared" ref="S1473:S1474" si="761">IF(T1473&lt;D1473, (T1473*3600+U1473*60+V1473)+((23*3600+59*60+60)-(D1473*3600+E1473*60+LEFT(F1473,2))), (T1473*3600+U1473*60+V1473)-(D1473*3600+E1473*60+LEFT(F1473,2)))</f>
        <v>24</v>
      </c>
      <c r="T1473" s="47" t="str">
        <f t="shared" si="706"/>
        <v>13</v>
      </c>
      <c r="U1473" s="49">
        <v>40</v>
      </c>
      <c r="V1473" s="50">
        <v>33</v>
      </c>
      <c r="W1473" s="51" t="str">
        <f t="shared" si="707"/>
        <v>40:33</v>
      </c>
      <c r="X1473" s="52" t="s">
        <v>61</v>
      </c>
      <c r="Y1473" s="124" t="s">
        <v>240</v>
      </c>
      <c r="Z1473" s="124"/>
      <c r="AA1473" s="47" t="s">
        <v>254</v>
      </c>
      <c r="AB1473" s="47" t="str">
        <f t="shared" si="708"/>
        <v>NA</v>
      </c>
      <c r="AC1473" s="53" t="str">
        <f t="shared" si="709"/>
        <v/>
      </c>
      <c r="AD1473" s="54">
        <f t="shared" si="710"/>
        <v>1</v>
      </c>
      <c r="AE1473" s="54"/>
      <c r="AF1473" s="54"/>
      <c r="AG1473" s="55" t="str">
        <f t="shared" si="711"/>
        <v/>
      </c>
      <c r="AH1473" s="56" t="str">
        <f t="shared" si="712"/>
        <v/>
      </c>
      <c r="AI1473" s="55"/>
      <c r="AJ1473" s="56" t="str">
        <f t="shared" si="713"/>
        <v/>
      </c>
      <c r="AK1473" s="55"/>
      <c r="AL1473" s="56" t="str">
        <f t="shared" si="714"/>
        <v/>
      </c>
      <c r="AM1473" s="55"/>
      <c r="AN1473" s="56" t="str">
        <f t="shared" si="715"/>
        <v/>
      </c>
      <c r="AO1473" s="55"/>
      <c r="AP1473" s="56" t="str">
        <f t="shared" si="716"/>
        <v/>
      </c>
      <c r="AQ1473" s="55"/>
      <c r="AR1473" s="56" t="str">
        <f t="shared" si="717"/>
        <v/>
      </c>
      <c r="AS1473" s="57" t="s">
        <v>230</v>
      </c>
      <c r="AT1473" s="58"/>
      <c r="AU1473" s="58"/>
      <c r="AV1473" s="59"/>
      <c r="AW1473" s="60">
        <f t="shared" si="718"/>
        <v>0</v>
      </c>
      <c r="AX1473" s="61" t="str">
        <f t="shared" si="719"/>
        <v/>
      </c>
      <c r="AY1473" s="60">
        <f t="shared" si="720"/>
        <v>0</v>
      </c>
      <c r="AZ1473" s="61" t="str">
        <f t="shared" si="721"/>
        <v/>
      </c>
    </row>
    <row r="1474" spans="1:52" s="3" customFormat="1" hidden="1" x14ac:dyDescent="0.35">
      <c r="A1474" s="72">
        <f t="shared" si="692"/>
        <v>2021</v>
      </c>
      <c r="B1474" s="72" t="str">
        <f t="shared" si="697"/>
        <v>Nov</v>
      </c>
      <c r="C1474" s="73">
        <f t="shared" si="698"/>
        <v>15</v>
      </c>
      <c r="D1474" s="74">
        <f t="shared" si="699"/>
        <v>13</v>
      </c>
      <c r="E1474" s="75">
        <f t="shared" si="695"/>
        <v>41</v>
      </c>
      <c r="F1474" s="79"/>
      <c r="G1474" s="82"/>
      <c r="H1474" s="68" t="str">
        <f t="shared" si="700"/>
        <v>Hyprev7_20211115_13_00</v>
      </c>
      <c r="I1474" s="69">
        <f t="shared" ref="I1474:N1474" si="762">I1473</f>
        <v>1</v>
      </c>
      <c r="J1474" s="76" t="str">
        <f t="shared" si="762"/>
        <v>Hypericum</v>
      </c>
      <c r="K1474" s="76" t="str">
        <f t="shared" si="762"/>
        <v>revolutum</v>
      </c>
      <c r="L1474" s="77">
        <f t="shared" si="762"/>
        <v>7</v>
      </c>
      <c r="M1474" s="77">
        <f t="shared" si="762"/>
        <v>2</v>
      </c>
      <c r="N1474" s="71">
        <f t="shared" si="762"/>
        <v>0</v>
      </c>
      <c r="O1474" s="44"/>
      <c r="P1474" s="45" t="str">
        <f t="shared" si="702"/>
        <v/>
      </c>
      <c r="Q1474" s="46" t="str">
        <f t="shared" si="703"/>
        <v/>
      </c>
      <c r="R1474" s="47" t="e">
        <f t="shared" si="704"/>
        <v>#VALUE!</v>
      </c>
      <c r="S1474" s="48" t="e">
        <f t="shared" si="761"/>
        <v>#VALUE!</v>
      </c>
      <c r="T1474" s="47" t="str">
        <f t="shared" si="706"/>
        <v/>
      </c>
      <c r="U1474" s="49"/>
      <c r="V1474" s="50"/>
      <c r="W1474" s="51" t="e">
        <f t="shared" si="707"/>
        <v>#VALUE!</v>
      </c>
      <c r="X1474" s="52"/>
      <c r="Y1474" s="52"/>
      <c r="Z1474" s="52"/>
      <c r="AA1474" s="47" t="e">
        <f>INDEX(VISITORS[INSECT ORDER], MATCH(X1474,VISITORS[NAME USED],0))</f>
        <v>#N/A</v>
      </c>
      <c r="AB1474" s="47" t="e">
        <f t="shared" si="708"/>
        <v>#N/A</v>
      </c>
      <c r="AC1474" s="53" t="e">
        <f t="shared" si="709"/>
        <v>#VALUE!</v>
      </c>
      <c r="AD1474" s="54" t="str">
        <f t="shared" si="710"/>
        <v/>
      </c>
      <c r="AE1474" s="54"/>
      <c r="AF1474" s="54"/>
      <c r="AG1474" s="55" t="str">
        <f t="shared" si="711"/>
        <v/>
      </c>
      <c r="AH1474" s="56" t="str">
        <f t="shared" si="712"/>
        <v/>
      </c>
      <c r="AI1474" s="55"/>
      <c r="AJ1474" s="56" t="str">
        <f t="shared" si="713"/>
        <v/>
      </c>
      <c r="AK1474" s="55"/>
      <c r="AL1474" s="56" t="str">
        <f t="shared" si="714"/>
        <v/>
      </c>
      <c r="AM1474" s="55"/>
      <c r="AN1474" s="56" t="str">
        <f t="shared" si="715"/>
        <v/>
      </c>
      <c r="AO1474" s="55"/>
      <c r="AP1474" s="56" t="str">
        <f t="shared" si="716"/>
        <v/>
      </c>
      <c r="AQ1474" s="55"/>
      <c r="AR1474" s="56" t="str">
        <f t="shared" si="717"/>
        <v/>
      </c>
      <c r="AS1474" s="57"/>
      <c r="AT1474" s="58"/>
      <c r="AU1474" s="58"/>
      <c r="AV1474" s="59"/>
      <c r="AW1474" s="60" t="str">
        <f t="shared" si="718"/>
        <v/>
      </c>
      <c r="AX1474" s="61" t="str">
        <f t="shared" si="719"/>
        <v/>
      </c>
      <c r="AY1474" s="60" t="str">
        <f t="shared" si="720"/>
        <v/>
      </c>
      <c r="AZ1474" s="61" t="str">
        <f t="shared" si="721"/>
        <v/>
      </c>
    </row>
    <row r="1475" spans="1:52" s="3" customFormat="1" ht="15" hidden="1" thickBot="1" x14ac:dyDescent="0.4">
      <c r="A1475" s="85">
        <f t="shared" si="692"/>
        <v>2021</v>
      </c>
      <c r="B1475" s="85" t="str">
        <f t="shared" si="697"/>
        <v>Nov</v>
      </c>
      <c r="C1475" s="86">
        <f t="shared" si="698"/>
        <v>15</v>
      </c>
      <c r="D1475" s="87">
        <f t="shared" si="699"/>
        <v>13</v>
      </c>
      <c r="E1475" s="88">
        <f t="shared" si="695"/>
        <v>42</v>
      </c>
      <c r="F1475" s="89">
        <v>21</v>
      </c>
      <c r="G1475" s="90"/>
      <c r="H1475" s="68" t="str">
        <f t="shared" si="700"/>
        <v>Hyprev7_20211115_13_00</v>
      </c>
      <c r="I1475" s="91">
        <f t="shared" ref="I1475:N1475" si="763">I1474</f>
        <v>1</v>
      </c>
      <c r="J1475" s="92" t="str">
        <f t="shared" si="763"/>
        <v>Hypericum</v>
      </c>
      <c r="K1475" s="92" t="str">
        <f t="shared" si="763"/>
        <v>revolutum</v>
      </c>
      <c r="L1475" s="93">
        <f t="shared" si="763"/>
        <v>7</v>
      </c>
      <c r="M1475" s="93">
        <f t="shared" si="763"/>
        <v>2</v>
      </c>
      <c r="N1475" s="94">
        <f t="shared" si="763"/>
        <v>0</v>
      </c>
      <c r="O1475" s="95"/>
      <c r="P1475" s="96">
        <f t="shared" si="702"/>
        <v>1</v>
      </c>
      <c r="Q1475" s="97" t="str">
        <f t="shared" si="703"/>
        <v>13:42:21</v>
      </c>
      <c r="R1475" s="98" t="str">
        <f t="shared" si="704"/>
        <v>42:21</v>
      </c>
      <c r="S1475" s="98">
        <f>IF(T1475&lt;D1475, (T1475*3600+U1475*60+V1475)+((23*3600+59*60+60)-(D1475*3600+E1475*60+LEFT(F1475,2))), (T1475*3600+U1475*60+V1475)-(D1475*3600+E1475*60+LEFT(F1475,2)))</f>
        <v>4</v>
      </c>
      <c r="T1475" s="98" t="str">
        <f t="shared" si="706"/>
        <v>13</v>
      </c>
      <c r="U1475" s="99">
        <v>42</v>
      </c>
      <c r="V1475" s="100">
        <v>25</v>
      </c>
      <c r="W1475" s="101" t="str">
        <f t="shared" si="707"/>
        <v>42:25</v>
      </c>
      <c r="X1475" s="102" t="s">
        <v>61</v>
      </c>
      <c r="Y1475" s="125" t="s">
        <v>237</v>
      </c>
      <c r="Z1475" s="124" t="s">
        <v>252</v>
      </c>
      <c r="AA1475" s="47" t="s">
        <v>254</v>
      </c>
      <c r="AB1475" s="98" t="str">
        <f t="shared" si="708"/>
        <v>NA</v>
      </c>
      <c r="AC1475" s="53" t="str">
        <f t="shared" si="709"/>
        <v/>
      </c>
      <c r="AD1475" s="103">
        <f t="shared" si="710"/>
        <v>1</v>
      </c>
      <c r="AE1475" s="103"/>
      <c r="AF1475" s="103"/>
      <c r="AG1475" s="104" t="str">
        <f t="shared" si="711"/>
        <v/>
      </c>
      <c r="AH1475" s="105" t="str">
        <f t="shared" si="712"/>
        <v/>
      </c>
      <c r="AI1475" s="104"/>
      <c r="AJ1475" s="105" t="str">
        <f t="shared" si="713"/>
        <v/>
      </c>
      <c r="AK1475" s="104"/>
      <c r="AL1475" s="105" t="str">
        <f t="shared" si="714"/>
        <v/>
      </c>
      <c r="AM1475" s="104"/>
      <c r="AN1475" s="105" t="str">
        <f t="shared" si="715"/>
        <v/>
      </c>
      <c r="AO1475" s="104"/>
      <c r="AP1475" s="105" t="str">
        <f t="shared" si="716"/>
        <v/>
      </c>
      <c r="AQ1475" s="104"/>
      <c r="AR1475" s="105" t="str">
        <f t="shared" si="717"/>
        <v/>
      </c>
      <c r="AS1475" s="106" t="s">
        <v>98</v>
      </c>
      <c r="AT1475" s="107"/>
      <c r="AU1475" s="107"/>
      <c r="AV1475" s="108"/>
      <c r="AW1475" s="109">
        <f t="shared" si="718"/>
        <v>0</v>
      </c>
      <c r="AX1475" s="110" t="str">
        <f t="shared" si="719"/>
        <v/>
      </c>
      <c r="AY1475" s="109">
        <f t="shared" si="720"/>
        <v>0</v>
      </c>
      <c r="AZ1475" s="110" t="str">
        <f t="shared" si="721"/>
        <v/>
      </c>
    </row>
    <row r="1476" spans="1:52" s="3" customFormat="1" hidden="1" x14ac:dyDescent="0.35">
      <c r="A1476" s="72">
        <f t="shared" si="692"/>
        <v>2021</v>
      </c>
      <c r="B1476" s="72" t="str">
        <f t="shared" si="697"/>
        <v>Nov</v>
      </c>
      <c r="C1476" s="73">
        <f t="shared" si="698"/>
        <v>15</v>
      </c>
      <c r="D1476" s="74">
        <f t="shared" si="699"/>
        <v>13</v>
      </c>
      <c r="E1476" s="75">
        <f t="shared" si="695"/>
        <v>43</v>
      </c>
      <c r="F1476" s="79"/>
      <c r="G1476" s="82"/>
      <c r="H1476" s="68" t="str">
        <f t="shared" si="700"/>
        <v>Hyprev7_20211115_13_00</v>
      </c>
      <c r="I1476" s="69">
        <f t="shared" ref="I1476:N1476" si="764">I1475</f>
        <v>1</v>
      </c>
      <c r="J1476" s="76" t="str">
        <f t="shared" si="764"/>
        <v>Hypericum</v>
      </c>
      <c r="K1476" s="76" t="str">
        <f t="shared" si="764"/>
        <v>revolutum</v>
      </c>
      <c r="L1476" s="77">
        <f t="shared" si="764"/>
        <v>7</v>
      </c>
      <c r="M1476" s="77">
        <f t="shared" si="764"/>
        <v>2</v>
      </c>
      <c r="N1476" s="71">
        <f t="shared" si="764"/>
        <v>0</v>
      </c>
      <c r="O1476" s="44"/>
      <c r="P1476" s="45" t="str">
        <f t="shared" si="702"/>
        <v/>
      </c>
      <c r="Q1476" s="46" t="str">
        <f t="shared" si="703"/>
        <v/>
      </c>
      <c r="R1476" s="47" t="e">
        <f t="shared" si="704"/>
        <v>#VALUE!</v>
      </c>
      <c r="S1476" s="48" t="e">
        <f t="shared" ref="S1476:S1477" si="765">IF(T1476&lt;D1476, (T1476*3600+U1476*60+V1476)+((23*3600+59*60+60)-(D1476*3600+E1476*60+LEFT(F1476,2))), (T1476*3600+U1476*60+V1476)-(D1476*3600+E1476*60+LEFT(F1476,2)))</f>
        <v>#VALUE!</v>
      </c>
      <c r="T1476" s="47" t="str">
        <f t="shared" si="706"/>
        <v/>
      </c>
      <c r="U1476" s="49"/>
      <c r="V1476" s="50"/>
      <c r="W1476" s="51" t="e">
        <f t="shared" si="707"/>
        <v>#VALUE!</v>
      </c>
      <c r="X1476" s="52"/>
      <c r="Y1476" s="52"/>
      <c r="Z1476" s="52"/>
      <c r="AA1476" s="47" t="e">
        <f>INDEX(VISITORS[INSECT ORDER], MATCH(X1476,VISITORS[NAME USED],0))</f>
        <v>#N/A</v>
      </c>
      <c r="AB1476" s="47" t="e">
        <f t="shared" si="708"/>
        <v>#N/A</v>
      </c>
      <c r="AC1476" s="53" t="e">
        <f t="shared" si="709"/>
        <v>#VALUE!</v>
      </c>
      <c r="AD1476" s="54" t="str">
        <f t="shared" si="710"/>
        <v/>
      </c>
      <c r="AE1476" s="54"/>
      <c r="AF1476" s="54"/>
      <c r="AG1476" s="55" t="str">
        <f t="shared" si="711"/>
        <v/>
      </c>
      <c r="AH1476" s="56" t="str">
        <f t="shared" si="712"/>
        <v/>
      </c>
      <c r="AI1476" s="55"/>
      <c r="AJ1476" s="56" t="str">
        <f t="shared" si="713"/>
        <v/>
      </c>
      <c r="AK1476" s="55"/>
      <c r="AL1476" s="56" t="str">
        <f t="shared" si="714"/>
        <v/>
      </c>
      <c r="AM1476" s="55"/>
      <c r="AN1476" s="56" t="str">
        <f t="shared" si="715"/>
        <v/>
      </c>
      <c r="AO1476" s="55"/>
      <c r="AP1476" s="56" t="str">
        <f t="shared" si="716"/>
        <v/>
      </c>
      <c r="AQ1476" s="55"/>
      <c r="AR1476" s="56" t="str">
        <f t="shared" si="717"/>
        <v/>
      </c>
      <c r="AS1476" s="57"/>
      <c r="AT1476" s="58"/>
      <c r="AU1476" s="58"/>
      <c r="AV1476" s="59"/>
      <c r="AW1476" s="60" t="str">
        <f t="shared" si="718"/>
        <v/>
      </c>
      <c r="AX1476" s="61" t="str">
        <f t="shared" si="719"/>
        <v/>
      </c>
      <c r="AY1476" s="60" t="str">
        <f t="shared" si="720"/>
        <v/>
      </c>
      <c r="AZ1476" s="61" t="str">
        <f t="shared" si="721"/>
        <v/>
      </c>
    </row>
    <row r="1477" spans="1:52" s="3" customFormat="1" hidden="1" x14ac:dyDescent="0.35">
      <c r="A1477" s="72">
        <f t="shared" si="692"/>
        <v>2021</v>
      </c>
      <c r="B1477" s="72" t="str">
        <f t="shared" si="697"/>
        <v>Nov</v>
      </c>
      <c r="C1477" s="73">
        <f t="shared" si="698"/>
        <v>15</v>
      </c>
      <c r="D1477" s="74">
        <f t="shared" si="699"/>
        <v>13</v>
      </c>
      <c r="E1477" s="75">
        <f t="shared" si="695"/>
        <v>44</v>
      </c>
      <c r="F1477" s="79"/>
      <c r="G1477" s="82"/>
      <c r="H1477" s="68" t="str">
        <f t="shared" si="700"/>
        <v>Hyprev7_20211115_13_00</v>
      </c>
      <c r="I1477" s="69">
        <f t="shared" ref="I1477:N1477" si="766">I1476</f>
        <v>1</v>
      </c>
      <c r="J1477" s="76" t="str">
        <f t="shared" si="766"/>
        <v>Hypericum</v>
      </c>
      <c r="K1477" s="76" t="str">
        <f t="shared" si="766"/>
        <v>revolutum</v>
      </c>
      <c r="L1477" s="77">
        <f t="shared" si="766"/>
        <v>7</v>
      </c>
      <c r="M1477" s="77">
        <f t="shared" si="766"/>
        <v>2</v>
      </c>
      <c r="N1477" s="71">
        <f t="shared" si="766"/>
        <v>0</v>
      </c>
      <c r="O1477" s="44"/>
      <c r="P1477" s="45" t="str">
        <f t="shared" si="702"/>
        <v/>
      </c>
      <c r="Q1477" s="46" t="str">
        <f t="shared" si="703"/>
        <v/>
      </c>
      <c r="R1477" s="47" t="e">
        <f t="shared" si="704"/>
        <v>#VALUE!</v>
      </c>
      <c r="S1477" s="48" t="e">
        <f t="shared" si="765"/>
        <v>#VALUE!</v>
      </c>
      <c r="T1477" s="47" t="str">
        <f t="shared" si="706"/>
        <v/>
      </c>
      <c r="U1477" s="49"/>
      <c r="V1477" s="50"/>
      <c r="W1477" s="51" t="e">
        <f t="shared" si="707"/>
        <v>#VALUE!</v>
      </c>
      <c r="X1477" s="52"/>
      <c r="Y1477" s="52"/>
      <c r="Z1477" s="52"/>
      <c r="AA1477" s="47" t="e">
        <f>INDEX(VISITORS[INSECT ORDER], MATCH(X1477,VISITORS[NAME USED],0))</f>
        <v>#N/A</v>
      </c>
      <c r="AB1477" s="47" t="e">
        <f t="shared" si="708"/>
        <v>#N/A</v>
      </c>
      <c r="AC1477" s="53" t="e">
        <f t="shared" si="709"/>
        <v>#VALUE!</v>
      </c>
      <c r="AD1477" s="54" t="str">
        <f t="shared" si="710"/>
        <v/>
      </c>
      <c r="AE1477" s="54"/>
      <c r="AF1477" s="54"/>
      <c r="AG1477" s="55" t="str">
        <f t="shared" si="711"/>
        <v/>
      </c>
      <c r="AH1477" s="56" t="str">
        <f t="shared" si="712"/>
        <v/>
      </c>
      <c r="AI1477" s="55"/>
      <c r="AJ1477" s="56" t="str">
        <f t="shared" si="713"/>
        <v/>
      </c>
      <c r="AK1477" s="55"/>
      <c r="AL1477" s="56" t="str">
        <f t="shared" si="714"/>
        <v/>
      </c>
      <c r="AM1477" s="55"/>
      <c r="AN1477" s="56" t="str">
        <f t="shared" si="715"/>
        <v/>
      </c>
      <c r="AO1477" s="55"/>
      <c r="AP1477" s="56" t="str">
        <f t="shared" si="716"/>
        <v/>
      </c>
      <c r="AQ1477" s="55"/>
      <c r="AR1477" s="56" t="str">
        <f t="shared" si="717"/>
        <v/>
      </c>
      <c r="AS1477" s="57"/>
      <c r="AT1477" s="58"/>
      <c r="AU1477" s="58"/>
      <c r="AV1477" s="59"/>
      <c r="AW1477" s="60" t="str">
        <f t="shared" si="718"/>
        <v/>
      </c>
      <c r="AX1477" s="61" t="str">
        <f t="shared" si="719"/>
        <v/>
      </c>
      <c r="AY1477" s="60" t="str">
        <f t="shared" si="720"/>
        <v/>
      </c>
      <c r="AZ1477" s="61" t="str">
        <f t="shared" si="721"/>
        <v/>
      </c>
    </row>
    <row r="1478" spans="1:52" s="3" customFormat="1" ht="15" hidden="1" thickBot="1" x14ac:dyDescent="0.4">
      <c r="A1478" s="85">
        <f t="shared" si="692"/>
        <v>2021</v>
      </c>
      <c r="B1478" s="85" t="str">
        <f t="shared" si="697"/>
        <v>Nov</v>
      </c>
      <c r="C1478" s="86">
        <f t="shared" si="698"/>
        <v>15</v>
      </c>
      <c r="D1478" s="87">
        <f t="shared" si="699"/>
        <v>13</v>
      </c>
      <c r="E1478" s="88">
        <f t="shared" si="695"/>
        <v>45</v>
      </c>
      <c r="F1478" s="89"/>
      <c r="G1478" s="90"/>
      <c r="H1478" s="68" t="str">
        <f t="shared" si="700"/>
        <v>Hyprev7_20211115_13_00</v>
      </c>
      <c r="I1478" s="91">
        <f t="shared" ref="I1478:N1478" si="767">I1477</f>
        <v>1</v>
      </c>
      <c r="J1478" s="92" t="str">
        <f t="shared" si="767"/>
        <v>Hypericum</v>
      </c>
      <c r="K1478" s="92" t="str">
        <f t="shared" si="767"/>
        <v>revolutum</v>
      </c>
      <c r="L1478" s="93">
        <f t="shared" si="767"/>
        <v>7</v>
      </c>
      <c r="M1478" s="93">
        <f t="shared" si="767"/>
        <v>2</v>
      </c>
      <c r="N1478" s="94">
        <f t="shared" si="767"/>
        <v>0</v>
      </c>
      <c r="O1478" s="95"/>
      <c r="P1478" s="96" t="str">
        <f t="shared" si="702"/>
        <v/>
      </c>
      <c r="Q1478" s="97" t="str">
        <f t="shared" si="703"/>
        <v/>
      </c>
      <c r="R1478" s="98" t="e">
        <f t="shared" si="704"/>
        <v>#VALUE!</v>
      </c>
      <c r="S1478" s="98" t="e">
        <f>IF(T1478&lt;D1478, (T1478*3600+U1478*60+V1478)+((23*3600+59*60+60)-(D1478*3600+E1478*60+LEFT(F1478,2))), (T1478*3600+U1478*60+V1478)-(D1478*3600+E1478*60+LEFT(F1478,2)))</f>
        <v>#VALUE!</v>
      </c>
      <c r="T1478" s="98" t="str">
        <f t="shared" si="706"/>
        <v/>
      </c>
      <c r="U1478" s="99"/>
      <c r="V1478" s="100"/>
      <c r="W1478" s="101" t="e">
        <f t="shared" si="707"/>
        <v>#VALUE!</v>
      </c>
      <c r="X1478" s="102"/>
      <c r="Y1478" s="122"/>
      <c r="Z1478" s="122"/>
      <c r="AA1478" s="47" t="e">
        <f>INDEX(VISITORS[INSECT ORDER], MATCH(X1478,VISITORS[NAME USED],0))</f>
        <v>#N/A</v>
      </c>
      <c r="AB1478" s="98" t="e">
        <f t="shared" si="708"/>
        <v>#N/A</v>
      </c>
      <c r="AC1478" s="53" t="e">
        <f t="shared" si="709"/>
        <v>#VALUE!</v>
      </c>
      <c r="AD1478" s="103" t="str">
        <f t="shared" si="710"/>
        <v/>
      </c>
      <c r="AE1478" s="103"/>
      <c r="AF1478" s="103"/>
      <c r="AG1478" s="104" t="str">
        <f t="shared" si="711"/>
        <v/>
      </c>
      <c r="AH1478" s="105" t="str">
        <f t="shared" si="712"/>
        <v/>
      </c>
      <c r="AI1478" s="104"/>
      <c r="AJ1478" s="105" t="str">
        <f t="shared" si="713"/>
        <v/>
      </c>
      <c r="AK1478" s="104"/>
      <c r="AL1478" s="105" t="str">
        <f t="shared" si="714"/>
        <v/>
      </c>
      <c r="AM1478" s="104"/>
      <c r="AN1478" s="105" t="str">
        <f t="shared" si="715"/>
        <v/>
      </c>
      <c r="AO1478" s="104"/>
      <c r="AP1478" s="105" t="str">
        <f t="shared" si="716"/>
        <v/>
      </c>
      <c r="AQ1478" s="104"/>
      <c r="AR1478" s="105" t="str">
        <f t="shared" si="717"/>
        <v/>
      </c>
      <c r="AS1478" s="106"/>
      <c r="AT1478" s="107"/>
      <c r="AU1478" s="107"/>
      <c r="AV1478" s="108"/>
      <c r="AW1478" s="109" t="str">
        <f t="shared" si="718"/>
        <v/>
      </c>
      <c r="AX1478" s="110" t="str">
        <f t="shared" si="719"/>
        <v/>
      </c>
      <c r="AY1478" s="109" t="str">
        <f t="shared" si="720"/>
        <v/>
      </c>
      <c r="AZ1478" s="110" t="str">
        <f t="shared" si="721"/>
        <v/>
      </c>
    </row>
    <row r="1479" spans="1:52" s="3" customFormat="1" hidden="1" x14ac:dyDescent="0.35">
      <c r="A1479" s="72">
        <f t="shared" si="692"/>
        <v>2021</v>
      </c>
      <c r="B1479" s="72" t="str">
        <f t="shared" si="697"/>
        <v>Nov</v>
      </c>
      <c r="C1479" s="73">
        <f t="shared" si="698"/>
        <v>15</v>
      </c>
      <c r="D1479" s="74">
        <f t="shared" si="699"/>
        <v>13</v>
      </c>
      <c r="E1479" s="75">
        <f t="shared" si="695"/>
        <v>46</v>
      </c>
      <c r="F1479" s="79">
        <v>4</v>
      </c>
      <c r="G1479" s="82"/>
      <c r="H1479" s="68" t="str">
        <f t="shared" si="700"/>
        <v>Hyprev7_20211115_13_00</v>
      </c>
      <c r="I1479" s="69">
        <f t="shared" ref="I1479:N1479" si="768">I1478</f>
        <v>1</v>
      </c>
      <c r="J1479" s="76" t="str">
        <f t="shared" si="768"/>
        <v>Hypericum</v>
      </c>
      <c r="K1479" s="76" t="str">
        <f t="shared" si="768"/>
        <v>revolutum</v>
      </c>
      <c r="L1479" s="77">
        <f t="shared" si="768"/>
        <v>7</v>
      </c>
      <c r="M1479" s="77">
        <f t="shared" si="768"/>
        <v>2</v>
      </c>
      <c r="N1479" s="71">
        <f t="shared" si="768"/>
        <v>0</v>
      </c>
      <c r="O1479" s="44"/>
      <c r="P1479" s="45">
        <f t="shared" si="702"/>
        <v>1</v>
      </c>
      <c r="Q1479" s="46" t="str">
        <f t="shared" si="703"/>
        <v>13:46:04</v>
      </c>
      <c r="R1479" s="47" t="str">
        <f t="shared" si="704"/>
        <v>46:04</v>
      </c>
      <c r="S1479" s="48">
        <f t="shared" ref="S1479:S1480" si="769">IF(T1479&lt;D1479, (T1479*3600+U1479*60+V1479)+((23*3600+59*60+60)-(D1479*3600+E1479*60+LEFT(F1479,2))), (T1479*3600+U1479*60+V1479)-(D1479*3600+E1479*60+LEFT(F1479,2)))</f>
        <v>20</v>
      </c>
      <c r="T1479" s="47" t="str">
        <f t="shared" si="706"/>
        <v>13</v>
      </c>
      <c r="U1479" s="49">
        <v>46</v>
      </c>
      <c r="V1479" s="50">
        <v>24</v>
      </c>
      <c r="W1479" s="51" t="str">
        <f t="shared" si="707"/>
        <v>46:24</v>
      </c>
      <c r="X1479" s="52" t="s">
        <v>61</v>
      </c>
      <c r="Y1479" s="124" t="s">
        <v>237</v>
      </c>
      <c r="Z1479" s="124" t="s">
        <v>252</v>
      </c>
      <c r="AA1479" s="47" t="s">
        <v>254</v>
      </c>
      <c r="AB1479" s="47" t="str">
        <f t="shared" si="708"/>
        <v>NA</v>
      </c>
      <c r="AC1479" s="53" t="str">
        <f t="shared" si="709"/>
        <v/>
      </c>
      <c r="AD1479" s="54">
        <f t="shared" si="710"/>
        <v>1</v>
      </c>
      <c r="AE1479" s="54"/>
      <c r="AF1479" s="54"/>
      <c r="AG1479" s="55" t="str">
        <f t="shared" si="711"/>
        <v/>
      </c>
      <c r="AH1479" s="56" t="str">
        <f t="shared" si="712"/>
        <v/>
      </c>
      <c r="AI1479" s="55"/>
      <c r="AJ1479" s="56" t="str">
        <f t="shared" si="713"/>
        <v/>
      </c>
      <c r="AK1479" s="55"/>
      <c r="AL1479" s="56" t="str">
        <f t="shared" si="714"/>
        <v/>
      </c>
      <c r="AM1479" s="55"/>
      <c r="AN1479" s="56" t="str">
        <f t="shared" si="715"/>
        <v/>
      </c>
      <c r="AO1479" s="55"/>
      <c r="AP1479" s="56" t="str">
        <f t="shared" si="716"/>
        <v/>
      </c>
      <c r="AQ1479" s="55"/>
      <c r="AR1479" s="56" t="str">
        <f t="shared" si="717"/>
        <v/>
      </c>
      <c r="AS1479" s="57" t="s">
        <v>231</v>
      </c>
      <c r="AT1479" s="58"/>
      <c r="AU1479" s="58"/>
      <c r="AV1479" s="59"/>
      <c r="AW1479" s="60">
        <f t="shared" si="718"/>
        <v>0</v>
      </c>
      <c r="AX1479" s="61" t="str">
        <f t="shared" si="719"/>
        <v/>
      </c>
      <c r="AY1479" s="60">
        <f t="shared" si="720"/>
        <v>0</v>
      </c>
      <c r="AZ1479" s="61" t="str">
        <f t="shared" si="721"/>
        <v/>
      </c>
    </row>
    <row r="1480" spans="1:52" s="3" customFormat="1" hidden="1" x14ac:dyDescent="0.35">
      <c r="A1480" s="72">
        <f t="shared" si="692"/>
        <v>2021</v>
      </c>
      <c r="B1480" s="72" t="str">
        <f t="shared" si="697"/>
        <v>Nov</v>
      </c>
      <c r="C1480" s="73">
        <f t="shared" si="698"/>
        <v>15</v>
      </c>
      <c r="D1480" s="74">
        <f t="shared" si="699"/>
        <v>13</v>
      </c>
      <c r="E1480" s="75">
        <f t="shared" si="695"/>
        <v>47</v>
      </c>
      <c r="F1480" s="79"/>
      <c r="G1480" s="82"/>
      <c r="H1480" s="68" t="str">
        <f t="shared" si="700"/>
        <v>Hyprev7_20211115_13_00</v>
      </c>
      <c r="I1480" s="69">
        <f t="shared" ref="I1480:N1480" si="770">I1479</f>
        <v>1</v>
      </c>
      <c r="J1480" s="76" t="str">
        <f t="shared" si="770"/>
        <v>Hypericum</v>
      </c>
      <c r="K1480" s="76" t="str">
        <f t="shared" si="770"/>
        <v>revolutum</v>
      </c>
      <c r="L1480" s="77">
        <f t="shared" si="770"/>
        <v>7</v>
      </c>
      <c r="M1480" s="77">
        <f t="shared" si="770"/>
        <v>2</v>
      </c>
      <c r="N1480" s="71">
        <f t="shared" si="770"/>
        <v>0</v>
      </c>
      <c r="O1480" s="44"/>
      <c r="P1480" s="45" t="str">
        <f t="shared" si="702"/>
        <v/>
      </c>
      <c r="Q1480" s="46" t="str">
        <f t="shared" si="703"/>
        <v/>
      </c>
      <c r="R1480" s="47" t="e">
        <f t="shared" si="704"/>
        <v>#VALUE!</v>
      </c>
      <c r="S1480" s="48" t="e">
        <f t="shared" si="769"/>
        <v>#VALUE!</v>
      </c>
      <c r="T1480" s="47" t="str">
        <f t="shared" si="706"/>
        <v/>
      </c>
      <c r="U1480" s="49"/>
      <c r="V1480" s="50"/>
      <c r="W1480" s="51" t="e">
        <f t="shared" si="707"/>
        <v>#VALUE!</v>
      </c>
      <c r="X1480" s="52"/>
      <c r="Y1480" s="52"/>
      <c r="Z1480" s="52"/>
      <c r="AA1480" s="47" t="e">
        <f>INDEX(VISITORS[INSECT ORDER], MATCH(X1480,VISITORS[NAME USED],0))</f>
        <v>#N/A</v>
      </c>
      <c r="AB1480" s="47" t="e">
        <f t="shared" si="708"/>
        <v>#N/A</v>
      </c>
      <c r="AC1480" s="53" t="e">
        <f t="shared" si="709"/>
        <v>#VALUE!</v>
      </c>
      <c r="AD1480" s="54" t="str">
        <f t="shared" si="710"/>
        <v/>
      </c>
      <c r="AE1480" s="54"/>
      <c r="AF1480" s="54"/>
      <c r="AG1480" s="55" t="str">
        <f t="shared" si="711"/>
        <v/>
      </c>
      <c r="AH1480" s="56" t="str">
        <f t="shared" si="712"/>
        <v/>
      </c>
      <c r="AI1480" s="55"/>
      <c r="AJ1480" s="56" t="str">
        <f t="shared" si="713"/>
        <v/>
      </c>
      <c r="AK1480" s="55"/>
      <c r="AL1480" s="56" t="str">
        <f t="shared" si="714"/>
        <v/>
      </c>
      <c r="AM1480" s="55"/>
      <c r="AN1480" s="56" t="str">
        <f t="shared" si="715"/>
        <v/>
      </c>
      <c r="AO1480" s="55"/>
      <c r="AP1480" s="56" t="str">
        <f t="shared" si="716"/>
        <v/>
      </c>
      <c r="AQ1480" s="55"/>
      <c r="AR1480" s="56" t="str">
        <f t="shared" si="717"/>
        <v/>
      </c>
      <c r="AS1480" s="57"/>
      <c r="AT1480" s="58"/>
      <c r="AU1480" s="58"/>
      <c r="AV1480" s="59"/>
      <c r="AW1480" s="60" t="str">
        <f t="shared" si="718"/>
        <v/>
      </c>
      <c r="AX1480" s="61" t="str">
        <f t="shared" si="719"/>
        <v/>
      </c>
      <c r="AY1480" s="60" t="str">
        <f t="shared" si="720"/>
        <v/>
      </c>
      <c r="AZ1480" s="61" t="str">
        <f t="shared" si="721"/>
        <v/>
      </c>
    </row>
    <row r="1481" spans="1:52" s="3" customFormat="1" ht="15" hidden="1" thickBot="1" x14ac:dyDescent="0.4">
      <c r="A1481" s="85">
        <f t="shared" si="692"/>
        <v>2021</v>
      </c>
      <c r="B1481" s="85" t="str">
        <f t="shared" si="697"/>
        <v>Nov</v>
      </c>
      <c r="C1481" s="86">
        <f t="shared" si="698"/>
        <v>15</v>
      </c>
      <c r="D1481" s="87">
        <f t="shared" si="699"/>
        <v>13</v>
      </c>
      <c r="E1481" s="88">
        <f t="shared" si="695"/>
        <v>48</v>
      </c>
      <c r="F1481" s="89"/>
      <c r="G1481" s="90"/>
      <c r="H1481" s="68" t="str">
        <f t="shared" si="700"/>
        <v>Hyprev7_20211115_13_00</v>
      </c>
      <c r="I1481" s="91">
        <f t="shared" ref="I1481:N1481" si="771">I1480</f>
        <v>1</v>
      </c>
      <c r="J1481" s="92" t="str">
        <f t="shared" si="771"/>
        <v>Hypericum</v>
      </c>
      <c r="K1481" s="92" t="str">
        <f t="shared" si="771"/>
        <v>revolutum</v>
      </c>
      <c r="L1481" s="93">
        <f t="shared" si="771"/>
        <v>7</v>
      </c>
      <c r="M1481" s="93">
        <f t="shared" si="771"/>
        <v>2</v>
      </c>
      <c r="N1481" s="94">
        <f t="shared" si="771"/>
        <v>0</v>
      </c>
      <c r="O1481" s="95"/>
      <c r="P1481" s="96" t="str">
        <f t="shared" si="702"/>
        <v/>
      </c>
      <c r="Q1481" s="97" t="str">
        <f t="shared" si="703"/>
        <v/>
      </c>
      <c r="R1481" s="98" t="e">
        <f t="shared" si="704"/>
        <v>#VALUE!</v>
      </c>
      <c r="S1481" s="98" t="e">
        <f>IF(T1481&lt;D1481, (T1481*3600+U1481*60+V1481)+((23*3600+59*60+60)-(D1481*3600+E1481*60+LEFT(F1481,2))), (T1481*3600+U1481*60+V1481)-(D1481*3600+E1481*60+LEFT(F1481,2)))</f>
        <v>#VALUE!</v>
      </c>
      <c r="T1481" s="98" t="str">
        <f t="shared" si="706"/>
        <v/>
      </c>
      <c r="U1481" s="99"/>
      <c r="V1481" s="100"/>
      <c r="W1481" s="101" t="e">
        <f t="shared" si="707"/>
        <v>#VALUE!</v>
      </c>
      <c r="X1481" s="102"/>
      <c r="Y1481" s="122"/>
      <c r="Z1481" s="122"/>
      <c r="AA1481" s="47" t="e">
        <f>INDEX(VISITORS[INSECT ORDER], MATCH(X1481,VISITORS[NAME USED],0))</f>
        <v>#N/A</v>
      </c>
      <c r="AB1481" s="98" t="e">
        <f t="shared" si="708"/>
        <v>#N/A</v>
      </c>
      <c r="AC1481" s="53" t="e">
        <f t="shared" si="709"/>
        <v>#VALUE!</v>
      </c>
      <c r="AD1481" s="103" t="str">
        <f t="shared" si="710"/>
        <v/>
      </c>
      <c r="AE1481" s="103"/>
      <c r="AF1481" s="103"/>
      <c r="AG1481" s="104" t="str">
        <f t="shared" si="711"/>
        <v/>
      </c>
      <c r="AH1481" s="105" t="str">
        <f t="shared" si="712"/>
        <v/>
      </c>
      <c r="AI1481" s="104"/>
      <c r="AJ1481" s="105" t="str">
        <f t="shared" si="713"/>
        <v/>
      </c>
      <c r="AK1481" s="104"/>
      <c r="AL1481" s="105" t="str">
        <f t="shared" si="714"/>
        <v/>
      </c>
      <c r="AM1481" s="104"/>
      <c r="AN1481" s="105" t="str">
        <f t="shared" si="715"/>
        <v/>
      </c>
      <c r="AO1481" s="104"/>
      <c r="AP1481" s="105" t="str">
        <f t="shared" si="716"/>
        <v/>
      </c>
      <c r="AQ1481" s="104"/>
      <c r="AR1481" s="105" t="str">
        <f t="shared" si="717"/>
        <v/>
      </c>
      <c r="AS1481" s="106"/>
      <c r="AT1481" s="107"/>
      <c r="AU1481" s="107"/>
      <c r="AV1481" s="108"/>
      <c r="AW1481" s="109" t="str">
        <f t="shared" si="718"/>
        <v/>
      </c>
      <c r="AX1481" s="110" t="str">
        <f t="shared" si="719"/>
        <v/>
      </c>
      <c r="AY1481" s="109" t="str">
        <f t="shared" si="720"/>
        <v/>
      </c>
      <c r="AZ1481" s="110" t="str">
        <f t="shared" si="721"/>
        <v/>
      </c>
    </row>
    <row r="1482" spans="1:52" s="3" customFormat="1" hidden="1" x14ac:dyDescent="0.35">
      <c r="A1482" s="72">
        <f t="shared" si="692"/>
        <v>2021</v>
      </c>
      <c r="B1482" s="72" t="str">
        <f t="shared" si="697"/>
        <v>Nov</v>
      </c>
      <c r="C1482" s="73">
        <f t="shared" si="698"/>
        <v>15</v>
      </c>
      <c r="D1482" s="74">
        <f t="shared" si="699"/>
        <v>13</v>
      </c>
      <c r="E1482" s="75">
        <f t="shared" si="695"/>
        <v>49</v>
      </c>
      <c r="F1482" s="79"/>
      <c r="G1482" s="82"/>
      <c r="H1482" s="68" t="str">
        <f t="shared" si="700"/>
        <v>Hyprev7_20211115_13_00</v>
      </c>
      <c r="I1482" s="69">
        <f t="shared" ref="I1482:N1482" si="772">I1481</f>
        <v>1</v>
      </c>
      <c r="J1482" s="76" t="str">
        <f t="shared" si="772"/>
        <v>Hypericum</v>
      </c>
      <c r="K1482" s="76" t="str">
        <f t="shared" si="772"/>
        <v>revolutum</v>
      </c>
      <c r="L1482" s="77">
        <f t="shared" si="772"/>
        <v>7</v>
      </c>
      <c r="M1482" s="77">
        <f t="shared" si="772"/>
        <v>2</v>
      </c>
      <c r="N1482" s="71">
        <f t="shared" si="772"/>
        <v>0</v>
      </c>
      <c r="O1482" s="44"/>
      <c r="P1482" s="45" t="str">
        <f t="shared" si="702"/>
        <v/>
      </c>
      <c r="Q1482" s="46" t="str">
        <f t="shared" si="703"/>
        <v/>
      </c>
      <c r="R1482" s="47" t="e">
        <f t="shared" si="704"/>
        <v>#VALUE!</v>
      </c>
      <c r="S1482" s="48" t="e">
        <f t="shared" ref="S1482:S1483" si="773">IF(T1482&lt;D1482, (T1482*3600+U1482*60+V1482)+((23*3600+59*60+60)-(D1482*3600+E1482*60+LEFT(F1482,2))), (T1482*3600+U1482*60+V1482)-(D1482*3600+E1482*60+LEFT(F1482,2)))</f>
        <v>#VALUE!</v>
      </c>
      <c r="T1482" s="47" t="str">
        <f t="shared" si="706"/>
        <v/>
      </c>
      <c r="U1482" s="49"/>
      <c r="V1482" s="50"/>
      <c r="W1482" s="51" t="e">
        <f t="shared" si="707"/>
        <v>#VALUE!</v>
      </c>
      <c r="X1482" s="52"/>
      <c r="Y1482" s="52"/>
      <c r="Z1482" s="52"/>
      <c r="AA1482" s="47" t="e">
        <f>INDEX(VISITORS[INSECT ORDER], MATCH(X1482,VISITORS[NAME USED],0))</f>
        <v>#N/A</v>
      </c>
      <c r="AB1482" s="47" t="e">
        <f t="shared" si="708"/>
        <v>#N/A</v>
      </c>
      <c r="AC1482" s="53" t="e">
        <f t="shared" si="709"/>
        <v>#VALUE!</v>
      </c>
      <c r="AD1482" s="54" t="str">
        <f t="shared" si="710"/>
        <v/>
      </c>
      <c r="AE1482" s="54"/>
      <c r="AF1482" s="54"/>
      <c r="AG1482" s="55" t="str">
        <f t="shared" si="711"/>
        <v/>
      </c>
      <c r="AH1482" s="56" t="str">
        <f t="shared" si="712"/>
        <v/>
      </c>
      <c r="AI1482" s="55"/>
      <c r="AJ1482" s="56" t="str">
        <f t="shared" si="713"/>
        <v/>
      </c>
      <c r="AK1482" s="55"/>
      <c r="AL1482" s="56" t="str">
        <f t="shared" si="714"/>
        <v/>
      </c>
      <c r="AM1482" s="55"/>
      <c r="AN1482" s="56" t="str">
        <f t="shared" si="715"/>
        <v/>
      </c>
      <c r="AO1482" s="55"/>
      <c r="AP1482" s="56" t="str">
        <f t="shared" si="716"/>
        <v/>
      </c>
      <c r="AQ1482" s="55"/>
      <c r="AR1482" s="56" t="str">
        <f t="shared" si="717"/>
        <v/>
      </c>
      <c r="AS1482" s="57"/>
      <c r="AT1482" s="58"/>
      <c r="AU1482" s="58"/>
      <c r="AV1482" s="59"/>
      <c r="AW1482" s="60" t="str">
        <f t="shared" si="718"/>
        <v/>
      </c>
      <c r="AX1482" s="61" t="str">
        <f t="shared" si="719"/>
        <v/>
      </c>
      <c r="AY1482" s="60" t="str">
        <f t="shared" si="720"/>
        <v/>
      </c>
      <c r="AZ1482" s="61" t="str">
        <f t="shared" si="721"/>
        <v/>
      </c>
    </row>
    <row r="1483" spans="1:52" s="3" customFormat="1" hidden="1" x14ac:dyDescent="0.35">
      <c r="A1483" s="72">
        <f t="shared" si="692"/>
        <v>2021</v>
      </c>
      <c r="B1483" s="72" t="str">
        <f t="shared" si="697"/>
        <v>Nov</v>
      </c>
      <c r="C1483" s="73">
        <f t="shared" si="698"/>
        <v>15</v>
      </c>
      <c r="D1483" s="74">
        <f t="shared" si="699"/>
        <v>13</v>
      </c>
      <c r="E1483" s="75">
        <f t="shared" si="695"/>
        <v>50</v>
      </c>
      <c r="F1483" s="79"/>
      <c r="G1483" s="82"/>
      <c r="H1483" s="68" t="str">
        <f t="shared" si="700"/>
        <v>Hyprev7_20211115_13_00</v>
      </c>
      <c r="I1483" s="69">
        <f t="shared" ref="I1483:N1483" si="774">I1482</f>
        <v>1</v>
      </c>
      <c r="J1483" s="76" t="str">
        <f t="shared" si="774"/>
        <v>Hypericum</v>
      </c>
      <c r="K1483" s="76" t="str">
        <f t="shared" si="774"/>
        <v>revolutum</v>
      </c>
      <c r="L1483" s="77">
        <f t="shared" si="774"/>
        <v>7</v>
      </c>
      <c r="M1483" s="77">
        <f t="shared" si="774"/>
        <v>2</v>
      </c>
      <c r="N1483" s="71">
        <f t="shared" si="774"/>
        <v>0</v>
      </c>
      <c r="O1483" s="44"/>
      <c r="P1483" s="45" t="str">
        <f t="shared" si="702"/>
        <v/>
      </c>
      <c r="Q1483" s="46" t="str">
        <f t="shared" si="703"/>
        <v/>
      </c>
      <c r="R1483" s="47" t="e">
        <f t="shared" si="704"/>
        <v>#VALUE!</v>
      </c>
      <c r="S1483" s="48" t="e">
        <f t="shared" si="773"/>
        <v>#VALUE!</v>
      </c>
      <c r="T1483" s="47" t="str">
        <f t="shared" si="706"/>
        <v/>
      </c>
      <c r="U1483" s="49"/>
      <c r="V1483" s="50"/>
      <c r="W1483" s="51" t="e">
        <f t="shared" si="707"/>
        <v>#VALUE!</v>
      </c>
      <c r="X1483" s="52"/>
      <c r="Y1483" s="52"/>
      <c r="Z1483" s="52"/>
      <c r="AA1483" s="47" t="e">
        <f>INDEX(VISITORS[INSECT ORDER], MATCH(X1483,VISITORS[NAME USED],0))</f>
        <v>#N/A</v>
      </c>
      <c r="AB1483" s="47" t="e">
        <f t="shared" si="708"/>
        <v>#N/A</v>
      </c>
      <c r="AC1483" s="53" t="e">
        <f t="shared" si="709"/>
        <v>#VALUE!</v>
      </c>
      <c r="AD1483" s="54" t="str">
        <f t="shared" si="710"/>
        <v/>
      </c>
      <c r="AE1483" s="54"/>
      <c r="AF1483" s="54"/>
      <c r="AG1483" s="55" t="str">
        <f t="shared" si="711"/>
        <v/>
      </c>
      <c r="AH1483" s="56" t="str">
        <f t="shared" si="712"/>
        <v/>
      </c>
      <c r="AI1483" s="55"/>
      <c r="AJ1483" s="56" t="str">
        <f t="shared" si="713"/>
        <v/>
      </c>
      <c r="AK1483" s="55"/>
      <c r="AL1483" s="56" t="str">
        <f t="shared" si="714"/>
        <v/>
      </c>
      <c r="AM1483" s="55"/>
      <c r="AN1483" s="56" t="str">
        <f t="shared" si="715"/>
        <v/>
      </c>
      <c r="AO1483" s="55"/>
      <c r="AP1483" s="56" t="str">
        <f t="shared" si="716"/>
        <v/>
      </c>
      <c r="AQ1483" s="55"/>
      <c r="AR1483" s="56" t="str">
        <f t="shared" si="717"/>
        <v/>
      </c>
      <c r="AS1483" s="57"/>
      <c r="AT1483" s="58"/>
      <c r="AU1483" s="58"/>
      <c r="AV1483" s="59"/>
      <c r="AW1483" s="60" t="str">
        <f t="shared" si="718"/>
        <v/>
      </c>
      <c r="AX1483" s="61" t="str">
        <f t="shared" si="719"/>
        <v/>
      </c>
      <c r="AY1483" s="60" t="str">
        <f t="shared" si="720"/>
        <v/>
      </c>
      <c r="AZ1483" s="61" t="str">
        <f t="shared" si="721"/>
        <v/>
      </c>
    </row>
    <row r="1484" spans="1:52" s="3" customFormat="1" ht="15" hidden="1" thickBot="1" x14ac:dyDescent="0.4">
      <c r="A1484" s="85">
        <f t="shared" si="692"/>
        <v>2021</v>
      </c>
      <c r="B1484" s="85" t="str">
        <f t="shared" si="697"/>
        <v>Nov</v>
      </c>
      <c r="C1484" s="86">
        <f t="shared" si="698"/>
        <v>15</v>
      </c>
      <c r="D1484" s="87">
        <f t="shared" si="699"/>
        <v>13</v>
      </c>
      <c r="E1484" s="88">
        <f t="shared" si="695"/>
        <v>51</v>
      </c>
      <c r="F1484" s="89">
        <v>49</v>
      </c>
      <c r="G1484" s="90"/>
      <c r="H1484" s="68" t="str">
        <f t="shared" si="700"/>
        <v>Hyprev7_20211115_13_00</v>
      </c>
      <c r="I1484" s="91">
        <f t="shared" ref="I1484:N1484" si="775">I1483</f>
        <v>1</v>
      </c>
      <c r="J1484" s="92" t="str">
        <f t="shared" si="775"/>
        <v>Hypericum</v>
      </c>
      <c r="K1484" s="92" t="str">
        <f t="shared" si="775"/>
        <v>revolutum</v>
      </c>
      <c r="L1484" s="93">
        <f t="shared" si="775"/>
        <v>7</v>
      </c>
      <c r="M1484" s="93">
        <f t="shared" si="775"/>
        <v>2</v>
      </c>
      <c r="N1484" s="94">
        <f t="shared" si="775"/>
        <v>0</v>
      </c>
      <c r="O1484" s="95"/>
      <c r="P1484" s="96">
        <f t="shared" si="702"/>
        <v>1</v>
      </c>
      <c r="Q1484" s="97" t="str">
        <f t="shared" si="703"/>
        <v>13:51:49</v>
      </c>
      <c r="R1484" s="98" t="str">
        <f t="shared" si="704"/>
        <v>51:49</v>
      </c>
      <c r="S1484" s="98">
        <f>IF(T1484&lt;D1484, (T1484*3600+U1484*60+V1484)+((23*3600+59*60+60)-(D1484*3600+E1484*60+LEFT(F1484,2))), (T1484*3600+U1484*60+V1484)-(D1484*3600+E1484*60+LEFT(F1484,2)))</f>
        <v>366</v>
      </c>
      <c r="T1484" s="98" t="str">
        <f t="shared" si="706"/>
        <v>13</v>
      </c>
      <c r="U1484" s="99">
        <v>57</v>
      </c>
      <c r="V1484" s="100">
        <v>55</v>
      </c>
      <c r="W1484" s="101" t="str">
        <f t="shared" si="707"/>
        <v>57:55</v>
      </c>
      <c r="X1484" s="102" t="s">
        <v>59</v>
      </c>
      <c r="Y1484" s="125" t="s">
        <v>242</v>
      </c>
      <c r="Z1484" s="125"/>
      <c r="AA1484" s="47" t="s">
        <v>264</v>
      </c>
      <c r="AB1484" s="98" t="str">
        <f t="shared" si="708"/>
        <v>NA</v>
      </c>
      <c r="AC1484" s="53" t="str">
        <f t="shared" si="709"/>
        <v/>
      </c>
      <c r="AD1484" s="103">
        <f t="shared" si="710"/>
        <v>1</v>
      </c>
      <c r="AE1484" s="103"/>
      <c r="AF1484" s="103"/>
      <c r="AG1484" s="104" t="str">
        <f t="shared" si="711"/>
        <v/>
      </c>
      <c r="AH1484" s="105" t="str">
        <f t="shared" si="712"/>
        <v/>
      </c>
      <c r="AI1484" s="104"/>
      <c r="AJ1484" s="105" t="str">
        <f t="shared" si="713"/>
        <v/>
      </c>
      <c r="AK1484" s="104"/>
      <c r="AL1484" s="105" t="str">
        <f t="shared" si="714"/>
        <v/>
      </c>
      <c r="AM1484" s="104"/>
      <c r="AN1484" s="105" t="str">
        <f t="shared" si="715"/>
        <v/>
      </c>
      <c r="AO1484" s="104"/>
      <c r="AP1484" s="105" t="str">
        <f t="shared" si="716"/>
        <v/>
      </c>
      <c r="AQ1484" s="104"/>
      <c r="AR1484" s="105" t="str">
        <f t="shared" si="717"/>
        <v/>
      </c>
      <c r="AS1484" s="106" t="s">
        <v>232</v>
      </c>
      <c r="AT1484" s="107"/>
      <c r="AU1484" s="107"/>
      <c r="AV1484" s="108"/>
      <c r="AW1484" s="109">
        <f t="shared" si="718"/>
        <v>0</v>
      </c>
      <c r="AX1484" s="110" t="str">
        <f t="shared" si="719"/>
        <v/>
      </c>
      <c r="AY1484" s="109">
        <f t="shared" si="720"/>
        <v>0</v>
      </c>
      <c r="AZ1484" s="110" t="str">
        <f t="shared" si="721"/>
        <v/>
      </c>
    </row>
    <row r="1485" spans="1:52" s="3" customFormat="1" hidden="1" x14ac:dyDescent="0.35">
      <c r="A1485" s="72">
        <f t="shared" si="692"/>
        <v>2021</v>
      </c>
      <c r="B1485" s="72" t="str">
        <f t="shared" si="697"/>
        <v>Nov</v>
      </c>
      <c r="C1485" s="73">
        <f t="shared" si="698"/>
        <v>15</v>
      </c>
      <c r="D1485" s="74">
        <f t="shared" si="699"/>
        <v>13</v>
      </c>
      <c r="E1485" s="75">
        <f t="shared" si="695"/>
        <v>52</v>
      </c>
      <c r="F1485" s="79"/>
      <c r="G1485" s="82"/>
      <c r="H1485" s="68" t="str">
        <f t="shared" si="700"/>
        <v>Hyprev7_20211115_13_00</v>
      </c>
      <c r="I1485" s="69">
        <f t="shared" ref="I1485:N1485" si="776">I1484</f>
        <v>1</v>
      </c>
      <c r="J1485" s="76" t="str">
        <f t="shared" si="776"/>
        <v>Hypericum</v>
      </c>
      <c r="K1485" s="76" t="str">
        <f t="shared" si="776"/>
        <v>revolutum</v>
      </c>
      <c r="L1485" s="77">
        <f t="shared" si="776"/>
        <v>7</v>
      </c>
      <c r="M1485" s="77">
        <f t="shared" si="776"/>
        <v>2</v>
      </c>
      <c r="N1485" s="71">
        <f t="shared" si="776"/>
        <v>0</v>
      </c>
      <c r="O1485" s="44"/>
      <c r="P1485" s="45" t="str">
        <f t="shared" si="702"/>
        <v/>
      </c>
      <c r="Q1485" s="46" t="str">
        <f t="shared" si="703"/>
        <v/>
      </c>
      <c r="R1485" s="47" t="e">
        <f t="shared" si="704"/>
        <v>#VALUE!</v>
      </c>
      <c r="S1485" s="48" t="e">
        <f t="shared" ref="S1485:S1486" si="777">IF(T1485&lt;D1485, (T1485*3600+U1485*60+V1485)+((23*3600+59*60+60)-(D1485*3600+E1485*60+LEFT(F1485,2))), (T1485*3600+U1485*60+V1485)-(D1485*3600+E1485*60+LEFT(F1485,2)))</f>
        <v>#VALUE!</v>
      </c>
      <c r="T1485" s="47" t="str">
        <f t="shared" si="706"/>
        <v/>
      </c>
      <c r="U1485" s="49"/>
      <c r="V1485" s="50"/>
      <c r="W1485" s="51" t="e">
        <f t="shared" si="707"/>
        <v>#VALUE!</v>
      </c>
      <c r="X1485" s="52"/>
      <c r="Y1485" s="52"/>
      <c r="Z1485" s="52"/>
      <c r="AA1485" s="47" t="e">
        <f>INDEX(VISITORS[INSECT ORDER], MATCH(X1485,VISITORS[NAME USED],0))</f>
        <v>#N/A</v>
      </c>
      <c r="AB1485" s="47" t="e">
        <f t="shared" si="708"/>
        <v>#N/A</v>
      </c>
      <c r="AC1485" s="53" t="e">
        <f t="shared" si="709"/>
        <v>#VALUE!</v>
      </c>
      <c r="AD1485" s="54" t="str">
        <f t="shared" si="710"/>
        <v/>
      </c>
      <c r="AE1485" s="54"/>
      <c r="AF1485" s="54"/>
      <c r="AG1485" s="55" t="str">
        <f t="shared" si="711"/>
        <v/>
      </c>
      <c r="AH1485" s="56" t="str">
        <f t="shared" si="712"/>
        <v/>
      </c>
      <c r="AI1485" s="55"/>
      <c r="AJ1485" s="56" t="str">
        <f t="shared" si="713"/>
        <v/>
      </c>
      <c r="AK1485" s="55"/>
      <c r="AL1485" s="56" t="str">
        <f t="shared" si="714"/>
        <v/>
      </c>
      <c r="AM1485" s="55"/>
      <c r="AN1485" s="56" t="str">
        <f t="shared" si="715"/>
        <v/>
      </c>
      <c r="AO1485" s="55"/>
      <c r="AP1485" s="56" t="str">
        <f t="shared" si="716"/>
        <v/>
      </c>
      <c r="AQ1485" s="55"/>
      <c r="AR1485" s="56" t="str">
        <f t="shared" si="717"/>
        <v/>
      </c>
      <c r="AS1485" s="57"/>
      <c r="AT1485" s="58"/>
      <c r="AU1485" s="58"/>
      <c r="AV1485" s="59"/>
      <c r="AW1485" s="60" t="str">
        <f t="shared" si="718"/>
        <v/>
      </c>
      <c r="AX1485" s="61" t="str">
        <f t="shared" si="719"/>
        <v/>
      </c>
      <c r="AY1485" s="60" t="str">
        <f t="shared" si="720"/>
        <v/>
      </c>
      <c r="AZ1485" s="61" t="str">
        <f t="shared" si="721"/>
        <v/>
      </c>
    </row>
    <row r="1486" spans="1:52" s="3" customFormat="1" hidden="1" x14ac:dyDescent="0.35">
      <c r="A1486" s="72">
        <f t="shared" si="692"/>
        <v>2021</v>
      </c>
      <c r="B1486" s="72" t="str">
        <f t="shared" si="697"/>
        <v>Nov</v>
      </c>
      <c r="C1486" s="73">
        <f t="shared" si="698"/>
        <v>15</v>
      </c>
      <c r="D1486" s="74">
        <f t="shared" si="699"/>
        <v>13</v>
      </c>
      <c r="E1486" s="75">
        <f t="shared" si="695"/>
        <v>53</v>
      </c>
      <c r="F1486" s="79"/>
      <c r="G1486" s="82"/>
      <c r="H1486" s="68" t="str">
        <f t="shared" si="700"/>
        <v>Hyprev7_20211115_13_00</v>
      </c>
      <c r="I1486" s="69">
        <f t="shared" ref="I1486:N1486" si="778">I1485</f>
        <v>1</v>
      </c>
      <c r="J1486" s="76" t="str">
        <f t="shared" si="778"/>
        <v>Hypericum</v>
      </c>
      <c r="K1486" s="76" t="str">
        <f t="shared" si="778"/>
        <v>revolutum</v>
      </c>
      <c r="L1486" s="77">
        <f t="shared" si="778"/>
        <v>7</v>
      </c>
      <c r="M1486" s="77">
        <f t="shared" si="778"/>
        <v>2</v>
      </c>
      <c r="N1486" s="71">
        <f t="shared" si="778"/>
        <v>0</v>
      </c>
      <c r="O1486" s="44"/>
      <c r="P1486" s="45" t="str">
        <f t="shared" si="702"/>
        <v/>
      </c>
      <c r="Q1486" s="46" t="str">
        <f t="shared" si="703"/>
        <v/>
      </c>
      <c r="R1486" s="47" t="e">
        <f t="shared" si="704"/>
        <v>#VALUE!</v>
      </c>
      <c r="S1486" s="48" t="e">
        <f t="shared" si="777"/>
        <v>#VALUE!</v>
      </c>
      <c r="T1486" s="47" t="str">
        <f t="shared" si="706"/>
        <v/>
      </c>
      <c r="U1486" s="49"/>
      <c r="V1486" s="50"/>
      <c r="W1486" s="51" t="e">
        <f t="shared" si="707"/>
        <v>#VALUE!</v>
      </c>
      <c r="X1486" s="52"/>
      <c r="Y1486" s="52"/>
      <c r="Z1486" s="52"/>
      <c r="AA1486" s="47" t="e">
        <f>INDEX(VISITORS[INSECT ORDER], MATCH(X1486,VISITORS[NAME USED],0))</f>
        <v>#N/A</v>
      </c>
      <c r="AB1486" s="47" t="e">
        <f t="shared" si="708"/>
        <v>#N/A</v>
      </c>
      <c r="AC1486" s="53" t="e">
        <f t="shared" si="709"/>
        <v>#VALUE!</v>
      </c>
      <c r="AD1486" s="54" t="str">
        <f t="shared" si="710"/>
        <v/>
      </c>
      <c r="AE1486" s="54"/>
      <c r="AF1486" s="54"/>
      <c r="AG1486" s="55" t="str">
        <f t="shared" si="711"/>
        <v/>
      </c>
      <c r="AH1486" s="56" t="str">
        <f t="shared" si="712"/>
        <v/>
      </c>
      <c r="AI1486" s="55"/>
      <c r="AJ1486" s="56" t="str">
        <f t="shared" si="713"/>
        <v/>
      </c>
      <c r="AK1486" s="55"/>
      <c r="AL1486" s="56" t="str">
        <f t="shared" si="714"/>
        <v/>
      </c>
      <c r="AM1486" s="55"/>
      <c r="AN1486" s="56" t="str">
        <f t="shared" si="715"/>
        <v/>
      </c>
      <c r="AO1486" s="55"/>
      <c r="AP1486" s="56" t="str">
        <f t="shared" si="716"/>
        <v/>
      </c>
      <c r="AQ1486" s="55"/>
      <c r="AR1486" s="56" t="str">
        <f t="shared" si="717"/>
        <v/>
      </c>
      <c r="AS1486" s="57"/>
      <c r="AT1486" s="58"/>
      <c r="AU1486" s="58"/>
      <c r="AV1486" s="59"/>
      <c r="AW1486" s="60" t="str">
        <f t="shared" si="718"/>
        <v/>
      </c>
      <c r="AX1486" s="61" t="str">
        <f t="shared" si="719"/>
        <v/>
      </c>
      <c r="AY1486" s="60" t="str">
        <f t="shared" si="720"/>
        <v/>
      </c>
      <c r="AZ1486" s="61" t="str">
        <f t="shared" si="721"/>
        <v/>
      </c>
    </row>
    <row r="1487" spans="1:52" s="3" customFormat="1" ht="15" hidden="1" thickBot="1" x14ac:dyDescent="0.4">
      <c r="A1487" s="85">
        <f t="shared" si="692"/>
        <v>2021</v>
      </c>
      <c r="B1487" s="85" t="str">
        <f t="shared" si="697"/>
        <v>Nov</v>
      </c>
      <c r="C1487" s="86">
        <f t="shared" si="698"/>
        <v>15</v>
      </c>
      <c r="D1487" s="87">
        <f t="shared" si="699"/>
        <v>13</v>
      </c>
      <c r="E1487" s="88">
        <f t="shared" si="695"/>
        <v>54</v>
      </c>
      <c r="F1487" s="89"/>
      <c r="G1487" s="90"/>
      <c r="H1487" s="68" t="str">
        <f t="shared" si="700"/>
        <v>Hyprev7_20211115_13_00</v>
      </c>
      <c r="I1487" s="91">
        <f t="shared" ref="I1487:N1487" si="779">I1486</f>
        <v>1</v>
      </c>
      <c r="J1487" s="92" t="str">
        <f t="shared" si="779"/>
        <v>Hypericum</v>
      </c>
      <c r="K1487" s="92" t="str">
        <f t="shared" si="779"/>
        <v>revolutum</v>
      </c>
      <c r="L1487" s="93">
        <f t="shared" si="779"/>
        <v>7</v>
      </c>
      <c r="M1487" s="93">
        <f t="shared" si="779"/>
        <v>2</v>
      </c>
      <c r="N1487" s="94">
        <f t="shared" si="779"/>
        <v>0</v>
      </c>
      <c r="O1487" s="95"/>
      <c r="P1487" s="96" t="str">
        <f t="shared" si="702"/>
        <v/>
      </c>
      <c r="Q1487" s="97" t="str">
        <f t="shared" si="703"/>
        <v/>
      </c>
      <c r="R1487" s="98" t="e">
        <f t="shared" si="704"/>
        <v>#VALUE!</v>
      </c>
      <c r="S1487" s="98" t="e">
        <f>IF(T1487&lt;D1487, (T1487*3600+U1487*60+V1487)+((23*3600+59*60+60)-(D1487*3600+E1487*60+LEFT(F1487,2))), (T1487*3600+U1487*60+V1487)-(D1487*3600+E1487*60+LEFT(F1487,2)))</f>
        <v>#VALUE!</v>
      </c>
      <c r="T1487" s="98" t="str">
        <f t="shared" si="706"/>
        <v/>
      </c>
      <c r="U1487" s="99"/>
      <c r="V1487" s="100"/>
      <c r="W1487" s="101" t="e">
        <f t="shared" si="707"/>
        <v>#VALUE!</v>
      </c>
      <c r="X1487" s="102"/>
      <c r="Y1487" s="122"/>
      <c r="Z1487" s="122"/>
      <c r="AA1487" s="47" t="e">
        <f>INDEX(VISITORS[INSECT ORDER], MATCH(X1487,VISITORS[NAME USED],0))</f>
        <v>#N/A</v>
      </c>
      <c r="AB1487" s="98" t="e">
        <f t="shared" si="708"/>
        <v>#N/A</v>
      </c>
      <c r="AC1487" s="53" t="e">
        <f t="shared" si="709"/>
        <v>#VALUE!</v>
      </c>
      <c r="AD1487" s="103" t="str">
        <f t="shared" si="710"/>
        <v/>
      </c>
      <c r="AE1487" s="103"/>
      <c r="AF1487" s="103"/>
      <c r="AG1487" s="104" t="str">
        <f t="shared" si="711"/>
        <v/>
      </c>
      <c r="AH1487" s="105" t="str">
        <f t="shared" si="712"/>
        <v/>
      </c>
      <c r="AI1487" s="104"/>
      <c r="AJ1487" s="105" t="str">
        <f t="shared" si="713"/>
        <v/>
      </c>
      <c r="AK1487" s="104"/>
      <c r="AL1487" s="105" t="str">
        <f t="shared" si="714"/>
        <v/>
      </c>
      <c r="AM1487" s="104"/>
      <c r="AN1487" s="105" t="str">
        <f t="shared" si="715"/>
        <v/>
      </c>
      <c r="AO1487" s="104"/>
      <c r="AP1487" s="105" t="str">
        <f t="shared" si="716"/>
        <v/>
      </c>
      <c r="AQ1487" s="104"/>
      <c r="AR1487" s="105" t="str">
        <f t="shared" si="717"/>
        <v/>
      </c>
      <c r="AS1487" s="106"/>
      <c r="AT1487" s="107"/>
      <c r="AU1487" s="107"/>
      <c r="AV1487" s="108"/>
      <c r="AW1487" s="109" t="str">
        <f t="shared" si="718"/>
        <v/>
      </c>
      <c r="AX1487" s="110" t="str">
        <f t="shared" si="719"/>
        <v/>
      </c>
      <c r="AY1487" s="109" t="str">
        <f t="shared" si="720"/>
        <v/>
      </c>
      <c r="AZ1487" s="110" t="str">
        <f t="shared" si="721"/>
        <v/>
      </c>
    </row>
    <row r="1488" spans="1:52" s="3" customFormat="1" hidden="1" x14ac:dyDescent="0.35">
      <c r="A1488" s="72">
        <f t="shared" si="692"/>
        <v>2021</v>
      </c>
      <c r="B1488" s="72" t="str">
        <f t="shared" si="697"/>
        <v>Nov</v>
      </c>
      <c r="C1488" s="73">
        <f t="shared" si="698"/>
        <v>15</v>
      </c>
      <c r="D1488" s="74">
        <f t="shared" si="699"/>
        <v>13</v>
      </c>
      <c r="E1488" s="75">
        <f t="shared" si="695"/>
        <v>55</v>
      </c>
      <c r="F1488" s="79"/>
      <c r="G1488" s="82"/>
      <c r="H1488" s="68" t="str">
        <f t="shared" si="700"/>
        <v>Hyprev7_20211115_13_00</v>
      </c>
      <c r="I1488" s="69">
        <f t="shared" ref="I1488:N1488" si="780">I1487</f>
        <v>1</v>
      </c>
      <c r="J1488" s="76" t="str">
        <f t="shared" si="780"/>
        <v>Hypericum</v>
      </c>
      <c r="K1488" s="76" t="str">
        <f t="shared" si="780"/>
        <v>revolutum</v>
      </c>
      <c r="L1488" s="77">
        <f t="shared" si="780"/>
        <v>7</v>
      </c>
      <c r="M1488" s="77">
        <f t="shared" si="780"/>
        <v>2</v>
      </c>
      <c r="N1488" s="71">
        <f t="shared" si="780"/>
        <v>0</v>
      </c>
      <c r="O1488" s="44"/>
      <c r="P1488" s="45" t="str">
        <f t="shared" si="702"/>
        <v/>
      </c>
      <c r="Q1488" s="46" t="str">
        <f t="shared" si="703"/>
        <v/>
      </c>
      <c r="R1488" s="47" t="e">
        <f t="shared" si="704"/>
        <v>#VALUE!</v>
      </c>
      <c r="S1488" s="48" t="e">
        <f t="shared" ref="S1488:S1489" si="781">IF(T1488&lt;D1488, (T1488*3600+U1488*60+V1488)+((23*3600+59*60+60)-(D1488*3600+E1488*60+LEFT(F1488,2))), (T1488*3600+U1488*60+V1488)-(D1488*3600+E1488*60+LEFT(F1488,2)))</f>
        <v>#VALUE!</v>
      </c>
      <c r="T1488" s="47" t="str">
        <f t="shared" si="706"/>
        <v/>
      </c>
      <c r="U1488" s="49"/>
      <c r="V1488" s="50"/>
      <c r="W1488" s="51" t="e">
        <f t="shared" si="707"/>
        <v>#VALUE!</v>
      </c>
      <c r="X1488" s="52"/>
      <c r="Y1488" s="52"/>
      <c r="Z1488" s="52"/>
      <c r="AA1488" s="47" t="e">
        <f>INDEX(VISITORS[INSECT ORDER], MATCH(X1488,VISITORS[NAME USED],0))</f>
        <v>#N/A</v>
      </c>
      <c r="AB1488" s="47" t="e">
        <f t="shared" si="708"/>
        <v>#N/A</v>
      </c>
      <c r="AC1488" s="53" t="e">
        <f t="shared" si="709"/>
        <v>#VALUE!</v>
      </c>
      <c r="AD1488" s="54" t="str">
        <f t="shared" si="710"/>
        <v/>
      </c>
      <c r="AE1488" s="54"/>
      <c r="AF1488" s="54"/>
      <c r="AG1488" s="55" t="str">
        <f t="shared" si="711"/>
        <v/>
      </c>
      <c r="AH1488" s="56" t="str">
        <f t="shared" si="712"/>
        <v/>
      </c>
      <c r="AI1488" s="55"/>
      <c r="AJ1488" s="56" t="str">
        <f t="shared" si="713"/>
        <v/>
      </c>
      <c r="AK1488" s="55"/>
      <c r="AL1488" s="56" t="str">
        <f t="shared" si="714"/>
        <v/>
      </c>
      <c r="AM1488" s="55"/>
      <c r="AN1488" s="56" t="str">
        <f t="shared" si="715"/>
        <v/>
      </c>
      <c r="AO1488" s="55"/>
      <c r="AP1488" s="56" t="str">
        <f t="shared" si="716"/>
        <v/>
      </c>
      <c r="AQ1488" s="55"/>
      <c r="AR1488" s="56" t="str">
        <f t="shared" si="717"/>
        <v/>
      </c>
      <c r="AS1488" s="57"/>
      <c r="AT1488" s="58"/>
      <c r="AU1488" s="58"/>
      <c r="AV1488" s="59"/>
      <c r="AW1488" s="60" t="str">
        <f t="shared" si="718"/>
        <v/>
      </c>
      <c r="AX1488" s="61" t="str">
        <f t="shared" si="719"/>
        <v/>
      </c>
      <c r="AY1488" s="60" t="str">
        <f t="shared" si="720"/>
        <v/>
      </c>
      <c r="AZ1488" s="61" t="str">
        <f t="shared" si="721"/>
        <v/>
      </c>
    </row>
    <row r="1489" spans="1:52" s="3" customFormat="1" hidden="1" x14ac:dyDescent="0.35">
      <c r="A1489" s="72">
        <f t="shared" si="692"/>
        <v>2021</v>
      </c>
      <c r="B1489" s="72" t="str">
        <f t="shared" si="697"/>
        <v>Nov</v>
      </c>
      <c r="C1489" s="73">
        <f t="shared" si="698"/>
        <v>15</v>
      </c>
      <c r="D1489" s="74">
        <f t="shared" si="699"/>
        <v>13</v>
      </c>
      <c r="E1489" s="75">
        <f t="shared" si="695"/>
        <v>56</v>
      </c>
      <c r="F1489" s="79"/>
      <c r="G1489" s="82"/>
      <c r="H1489" s="68" t="str">
        <f t="shared" si="700"/>
        <v>Hyprev7_20211115_13_00</v>
      </c>
      <c r="I1489" s="69">
        <f t="shared" ref="I1489:N1489" si="782">I1488</f>
        <v>1</v>
      </c>
      <c r="J1489" s="76" t="str">
        <f t="shared" si="782"/>
        <v>Hypericum</v>
      </c>
      <c r="K1489" s="76" t="str">
        <f t="shared" si="782"/>
        <v>revolutum</v>
      </c>
      <c r="L1489" s="77">
        <f t="shared" si="782"/>
        <v>7</v>
      </c>
      <c r="M1489" s="77">
        <f t="shared" si="782"/>
        <v>2</v>
      </c>
      <c r="N1489" s="71">
        <f t="shared" si="782"/>
        <v>0</v>
      </c>
      <c r="O1489" s="44"/>
      <c r="P1489" s="45" t="str">
        <f t="shared" si="702"/>
        <v/>
      </c>
      <c r="Q1489" s="46" t="str">
        <f t="shared" si="703"/>
        <v/>
      </c>
      <c r="R1489" s="47" t="e">
        <f t="shared" si="704"/>
        <v>#VALUE!</v>
      </c>
      <c r="S1489" s="48" t="e">
        <f t="shared" si="781"/>
        <v>#VALUE!</v>
      </c>
      <c r="T1489" s="47" t="str">
        <f t="shared" si="706"/>
        <v/>
      </c>
      <c r="U1489" s="49"/>
      <c r="V1489" s="50"/>
      <c r="W1489" s="51" t="e">
        <f t="shared" si="707"/>
        <v>#VALUE!</v>
      </c>
      <c r="X1489" s="52"/>
      <c r="Y1489" s="52"/>
      <c r="Z1489" s="52"/>
      <c r="AA1489" s="47" t="e">
        <f>INDEX(VISITORS[INSECT ORDER], MATCH(X1489,VISITORS[NAME USED],0))</f>
        <v>#N/A</v>
      </c>
      <c r="AB1489" s="47" t="e">
        <f t="shared" si="708"/>
        <v>#N/A</v>
      </c>
      <c r="AC1489" s="53" t="e">
        <f t="shared" si="709"/>
        <v>#VALUE!</v>
      </c>
      <c r="AD1489" s="54" t="str">
        <f t="shared" si="710"/>
        <v/>
      </c>
      <c r="AE1489" s="54"/>
      <c r="AF1489" s="54"/>
      <c r="AG1489" s="55" t="str">
        <f t="shared" si="711"/>
        <v/>
      </c>
      <c r="AH1489" s="56" t="str">
        <f t="shared" si="712"/>
        <v/>
      </c>
      <c r="AI1489" s="55"/>
      <c r="AJ1489" s="56" t="str">
        <f t="shared" si="713"/>
        <v/>
      </c>
      <c r="AK1489" s="55"/>
      <c r="AL1489" s="56" t="str">
        <f t="shared" si="714"/>
        <v/>
      </c>
      <c r="AM1489" s="55"/>
      <c r="AN1489" s="56" t="str">
        <f t="shared" si="715"/>
        <v/>
      </c>
      <c r="AO1489" s="55"/>
      <c r="AP1489" s="56" t="str">
        <f t="shared" si="716"/>
        <v/>
      </c>
      <c r="AQ1489" s="55"/>
      <c r="AR1489" s="56" t="str">
        <f t="shared" si="717"/>
        <v/>
      </c>
      <c r="AS1489" s="57"/>
      <c r="AT1489" s="58"/>
      <c r="AU1489" s="58"/>
      <c r="AV1489" s="59"/>
      <c r="AW1489" s="60" t="str">
        <f t="shared" si="718"/>
        <v/>
      </c>
      <c r="AX1489" s="61" t="str">
        <f t="shared" si="719"/>
        <v/>
      </c>
      <c r="AY1489" s="60" t="str">
        <f t="shared" si="720"/>
        <v/>
      </c>
      <c r="AZ1489" s="61" t="str">
        <f t="shared" si="721"/>
        <v/>
      </c>
    </row>
    <row r="1490" spans="1:52" s="3" customFormat="1" ht="15" hidden="1" thickBot="1" x14ac:dyDescent="0.4">
      <c r="A1490" s="85">
        <f t="shared" ref="A1490" si="783">A1489</f>
        <v>2021</v>
      </c>
      <c r="B1490" s="85" t="str">
        <f t="shared" si="697"/>
        <v>Nov</v>
      </c>
      <c r="C1490" s="86">
        <f t="shared" si="698"/>
        <v>15</v>
      </c>
      <c r="D1490" s="87">
        <f t="shared" si="699"/>
        <v>13</v>
      </c>
      <c r="E1490" s="88">
        <f t="shared" ref="E1490" si="784">IF(E1489&lt;59,E1489+1,0)</f>
        <v>57</v>
      </c>
      <c r="F1490" s="89">
        <v>2</v>
      </c>
      <c r="G1490" s="90"/>
      <c r="H1490" s="68" t="str">
        <f t="shared" si="700"/>
        <v>Hyprev7_20211115_13_00</v>
      </c>
      <c r="I1490" s="91">
        <f t="shared" ref="I1490:N1490" si="785">I1489</f>
        <v>1</v>
      </c>
      <c r="J1490" s="92" t="str">
        <f t="shared" si="785"/>
        <v>Hypericum</v>
      </c>
      <c r="K1490" s="92" t="str">
        <f t="shared" si="785"/>
        <v>revolutum</v>
      </c>
      <c r="L1490" s="93">
        <f t="shared" si="785"/>
        <v>7</v>
      </c>
      <c r="M1490" s="93">
        <f t="shared" si="785"/>
        <v>2</v>
      </c>
      <c r="N1490" s="94">
        <f t="shared" si="785"/>
        <v>0</v>
      </c>
      <c r="O1490" s="95"/>
      <c r="P1490" s="96">
        <f t="shared" si="702"/>
        <v>1</v>
      </c>
      <c r="Q1490" s="97" t="str">
        <f t="shared" si="703"/>
        <v>13:57:02</v>
      </c>
      <c r="R1490" s="98" t="str">
        <f t="shared" si="704"/>
        <v>57:02</v>
      </c>
      <c r="S1490" s="98">
        <f>IF(T1490&lt;D1490, (T1490*3600+U1490*60+V1490)+((23*3600+59*60+60)-(D1490*3600+E1490*60+LEFT(F1490,2))), (T1490*3600+U1490*60+V1490)-(D1490*3600+E1490*60+LEFT(F1490,2)))</f>
        <v>4</v>
      </c>
      <c r="T1490" s="98" t="str">
        <f t="shared" si="706"/>
        <v>13</v>
      </c>
      <c r="U1490" s="99">
        <v>57</v>
      </c>
      <c r="V1490" s="100">
        <v>6</v>
      </c>
      <c r="W1490" s="101" t="str">
        <f t="shared" si="707"/>
        <v>57:06</v>
      </c>
      <c r="X1490" s="102" t="s">
        <v>61</v>
      </c>
      <c r="Y1490" s="125" t="s">
        <v>237</v>
      </c>
      <c r="Z1490" s="124" t="s">
        <v>252</v>
      </c>
      <c r="AA1490" s="47" t="s">
        <v>254</v>
      </c>
      <c r="AB1490" s="98" t="str">
        <f t="shared" si="708"/>
        <v>NA</v>
      </c>
      <c r="AC1490" s="53" t="str">
        <f t="shared" si="709"/>
        <v/>
      </c>
      <c r="AD1490" s="103">
        <f t="shared" si="710"/>
        <v>1</v>
      </c>
      <c r="AE1490" s="103"/>
      <c r="AF1490" s="103"/>
      <c r="AG1490" s="104"/>
      <c r="AH1490" s="105" t="str">
        <f t="shared" si="712"/>
        <v/>
      </c>
      <c r="AI1490" s="104"/>
      <c r="AJ1490" s="105" t="str">
        <f t="shared" si="713"/>
        <v/>
      </c>
      <c r="AK1490" s="104"/>
      <c r="AL1490" s="105" t="str">
        <f t="shared" si="714"/>
        <v/>
      </c>
      <c r="AM1490" s="104"/>
      <c r="AN1490" s="105" t="str">
        <f t="shared" si="715"/>
        <v/>
      </c>
      <c r="AO1490" s="104"/>
      <c r="AP1490" s="105" t="str">
        <f t="shared" si="716"/>
        <v/>
      </c>
      <c r="AQ1490" s="104"/>
      <c r="AR1490" s="105" t="str">
        <f t="shared" si="717"/>
        <v/>
      </c>
      <c r="AS1490" s="106" t="s">
        <v>233</v>
      </c>
      <c r="AT1490" s="107"/>
      <c r="AU1490" s="107"/>
      <c r="AV1490" s="108"/>
      <c r="AW1490" s="109">
        <f t="shared" si="718"/>
        <v>0</v>
      </c>
      <c r="AX1490" s="110" t="str">
        <f t="shared" si="719"/>
        <v/>
      </c>
      <c r="AY1490" s="109">
        <f t="shared" si="720"/>
        <v>0</v>
      </c>
      <c r="AZ1490" s="110" t="str">
        <f t="shared" si="721"/>
        <v/>
      </c>
    </row>
    <row r="1491" spans="1:52" s="3" customFormat="1" hidden="1" x14ac:dyDescent="0.35">
      <c r="A1491" s="72">
        <f t="shared" si="692"/>
        <v>2021</v>
      </c>
      <c r="B1491" s="72" t="str">
        <f t="shared" si="697"/>
        <v>Nov</v>
      </c>
      <c r="C1491" s="73">
        <f t="shared" si="698"/>
        <v>15</v>
      </c>
      <c r="D1491" s="74">
        <f t="shared" si="699"/>
        <v>13</v>
      </c>
      <c r="E1491" s="75">
        <f t="shared" si="695"/>
        <v>58</v>
      </c>
      <c r="F1491" s="79"/>
      <c r="G1491" s="82"/>
      <c r="H1491" s="68" t="str">
        <f t="shared" si="700"/>
        <v>Hyprev7_20211115_13_00</v>
      </c>
      <c r="I1491" s="69">
        <f t="shared" ref="I1491:N1491" si="786">I1490</f>
        <v>1</v>
      </c>
      <c r="J1491" s="76" t="str">
        <f t="shared" si="786"/>
        <v>Hypericum</v>
      </c>
      <c r="K1491" s="76" t="str">
        <f t="shared" si="786"/>
        <v>revolutum</v>
      </c>
      <c r="L1491" s="77">
        <f t="shared" si="786"/>
        <v>7</v>
      </c>
      <c r="M1491" s="77">
        <f t="shared" si="786"/>
        <v>2</v>
      </c>
      <c r="N1491" s="71">
        <f t="shared" si="786"/>
        <v>0</v>
      </c>
      <c r="O1491" s="44"/>
      <c r="P1491" s="45" t="str">
        <f t="shared" si="702"/>
        <v/>
      </c>
      <c r="Q1491" s="46" t="str">
        <f t="shared" si="703"/>
        <v/>
      </c>
      <c r="R1491" s="47" t="e">
        <f t="shared" si="704"/>
        <v>#VALUE!</v>
      </c>
      <c r="S1491" s="48" t="e">
        <f t="shared" ref="S1491:S1492" si="787">IF(T1491&lt;D1491, (T1491*3600+U1491*60+V1491)+((23*3600+59*60+60)-(D1491*3600+E1491*60+LEFT(F1491,2))), (T1491*3600+U1491*60+V1491)-(D1491*3600+E1491*60+LEFT(F1491,2)))</f>
        <v>#VALUE!</v>
      </c>
      <c r="T1491" s="47" t="str">
        <f t="shared" si="706"/>
        <v/>
      </c>
      <c r="U1491" s="49"/>
      <c r="V1491" s="50"/>
      <c r="W1491" s="51" t="e">
        <f t="shared" si="707"/>
        <v>#VALUE!</v>
      </c>
      <c r="X1491" s="52"/>
      <c r="Y1491" s="52"/>
      <c r="Z1491" s="52"/>
      <c r="AA1491" s="47" t="e">
        <f>INDEX(VISITORS[INSECT ORDER], MATCH(X1491,VISITORS[NAME USED],0))</f>
        <v>#N/A</v>
      </c>
      <c r="AB1491" s="47" t="e">
        <f t="shared" si="708"/>
        <v>#N/A</v>
      </c>
      <c r="AC1491" s="53" t="e">
        <f t="shared" si="709"/>
        <v>#VALUE!</v>
      </c>
      <c r="AD1491" s="54" t="str">
        <f t="shared" si="710"/>
        <v/>
      </c>
      <c r="AE1491" s="54"/>
      <c r="AF1491" s="54"/>
      <c r="AG1491" s="55" t="str">
        <f t="shared" si="711"/>
        <v/>
      </c>
      <c r="AH1491" s="56" t="str">
        <f t="shared" si="712"/>
        <v/>
      </c>
      <c r="AI1491" s="55"/>
      <c r="AJ1491" s="56" t="str">
        <f t="shared" si="713"/>
        <v/>
      </c>
      <c r="AK1491" s="55"/>
      <c r="AL1491" s="56" t="str">
        <f t="shared" si="714"/>
        <v/>
      </c>
      <c r="AM1491" s="55"/>
      <c r="AN1491" s="56" t="str">
        <f t="shared" si="715"/>
        <v/>
      </c>
      <c r="AO1491" s="55"/>
      <c r="AP1491" s="56" t="str">
        <f t="shared" si="716"/>
        <v/>
      </c>
      <c r="AQ1491" s="55"/>
      <c r="AR1491" s="56" t="str">
        <f t="shared" si="717"/>
        <v/>
      </c>
      <c r="AS1491" s="57"/>
      <c r="AT1491" s="58"/>
      <c r="AU1491" s="58"/>
      <c r="AV1491" s="59"/>
      <c r="AW1491" s="60" t="str">
        <f t="shared" si="718"/>
        <v/>
      </c>
      <c r="AX1491" s="61" t="str">
        <f t="shared" si="719"/>
        <v/>
      </c>
      <c r="AY1491" s="60" t="str">
        <f t="shared" si="720"/>
        <v/>
      </c>
      <c r="AZ1491" s="61" t="str">
        <f t="shared" si="721"/>
        <v/>
      </c>
    </row>
    <row r="1492" spans="1:52" s="3" customFormat="1" hidden="1" x14ac:dyDescent="0.35">
      <c r="A1492" s="72">
        <f t="shared" ref="A1492:A1503" si="788">A1491</f>
        <v>2021</v>
      </c>
      <c r="B1492" s="72" t="str">
        <f t="shared" si="697"/>
        <v>Nov</v>
      </c>
      <c r="C1492" s="73">
        <f t="shared" si="698"/>
        <v>15</v>
      </c>
      <c r="D1492" s="74">
        <f t="shared" si="699"/>
        <v>13</v>
      </c>
      <c r="E1492" s="75">
        <f t="shared" ref="E1492:E1503" si="789">IF(E1491&lt;59,E1491+1,0)</f>
        <v>59</v>
      </c>
      <c r="F1492" s="79"/>
      <c r="G1492" s="82"/>
      <c r="H1492" s="68" t="str">
        <f t="shared" si="700"/>
        <v>Hyprev7_20211115_13_00</v>
      </c>
      <c r="I1492" s="69">
        <f t="shared" ref="I1492:N1492" si="790">I1491</f>
        <v>1</v>
      </c>
      <c r="J1492" s="76" t="str">
        <f t="shared" si="790"/>
        <v>Hypericum</v>
      </c>
      <c r="K1492" s="76" t="str">
        <f t="shared" si="790"/>
        <v>revolutum</v>
      </c>
      <c r="L1492" s="77">
        <f t="shared" si="790"/>
        <v>7</v>
      </c>
      <c r="M1492" s="77">
        <f t="shared" si="790"/>
        <v>2</v>
      </c>
      <c r="N1492" s="71">
        <f t="shared" si="790"/>
        <v>0</v>
      </c>
      <c r="O1492" s="44"/>
      <c r="P1492" s="45" t="str">
        <f t="shared" si="702"/>
        <v/>
      </c>
      <c r="Q1492" s="46" t="str">
        <f t="shared" si="703"/>
        <v/>
      </c>
      <c r="R1492" s="47" t="e">
        <f t="shared" si="704"/>
        <v>#VALUE!</v>
      </c>
      <c r="S1492" s="48" t="e">
        <f t="shared" si="787"/>
        <v>#VALUE!</v>
      </c>
      <c r="T1492" s="47" t="str">
        <f t="shared" si="706"/>
        <v/>
      </c>
      <c r="U1492" s="49"/>
      <c r="V1492" s="50"/>
      <c r="W1492" s="51" t="e">
        <f t="shared" si="707"/>
        <v>#VALUE!</v>
      </c>
      <c r="X1492" s="52"/>
      <c r="Y1492" s="52"/>
      <c r="Z1492" s="52"/>
      <c r="AA1492" s="47" t="e">
        <f>INDEX(VISITORS[INSECT ORDER], MATCH(X1492,VISITORS[NAME USED],0))</f>
        <v>#N/A</v>
      </c>
      <c r="AB1492" s="47" t="e">
        <f t="shared" si="708"/>
        <v>#N/A</v>
      </c>
      <c r="AC1492" s="53" t="e">
        <f t="shared" si="709"/>
        <v>#VALUE!</v>
      </c>
      <c r="AD1492" s="54" t="str">
        <f t="shared" si="710"/>
        <v/>
      </c>
      <c r="AE1492" s="54"/>
      <c r="AF1492" s="54"/>
      <c r="AG1492" s="55" t="str">
        <f t="shared" si="711"/>
        <v/>
      </c>
      <c r="AH1492" s="56" t="str">
        <f t="shared" si="712"/>
        <v/>
      </c>
      <c r="AI1492" s="55"/>
      <c r="AJ1492" s="56" t="str">
        <f t="shared" si="713"/>
        <v/>
      </c>
      <c r="AK1492" s="55"/>
      <c r="AL1492" s="56" t="str">
        <f t="shared" si="714"/>
        <v/>
      </c>
      <c r="AM1492" s="55"/>
      <c r="AN1492" s="56" t="str">
        <f t="shared" si="715"/>
        <v/>
      </c>
      <c r="AO1492" s="55"/>
      <c r="AP1492" s="56" t="str">
        <f t="shared" si="716"/>
        <v/>
      </c>
      <c r="AQ1492" s="55"/>
      <c r="AR1492" s="56" t="str">
        <f t="shared" si="717"/>
        <v/>
      </c>
      <c r="AS1492" s="57"/>
      <c r="AT1492" s="58"/>
      <c r="AU1492" s="58"/>
      <c r="AV1492" s="59"/>
      <c r="AW1492" s="60" t="str">
        <f t="shared" si="718"/>
        <v/>
      </c>
      <c r="AX1492" s="61" t="str">
        <f t="shared" si="719"/>
        <v/>
      </c>
      <c r="AY1492" s="60" t="str">
        <f t="shared" si="720"/>
        <v/>
      </c>
      <c r="AZ1492" s="61" t="str">
        <f t="shared" si="721"/>
        <v/>
      </c>
    </row>
    <row r="1493" spans="1:52" s="3" customFormat="1" ht="15" hidden="1" thickBot="1" x14ac:dyDescent="0.4">
      <c r="A1493" s="85">
        <f t="shared" si="788"/>
        <v>2021</v>
      </c>
      <c r="B1493" s="85" t="str">
        <f t="shared" si="697"/>
        <v>Nov</v>
      </c>
      <c r="C1493" s="86">
        <f t="shared" si="698"/>
        <v>15</v>
      </c>
      <c r="D1493" s="87">
        <f t="shared" si="699"/>
        <v>14</v>
      </c>
      <c r="E1493" s="88">
        <f t="shared" si="789"/>
        <v>0</v>
      </c>
      <c r="F1493" s="89"/>
      <c r="G1493" s="90"/>
      <c r="H1493" s="68" t="str">
        <f t="shared" si="700"/>
        <v>Hyprev7_20211115_14_00</v>
      </c>
      <c r="I1493" s="91">
        <f t="shared" ref="I1493:N1493" si="791">I1492</f>
        <v>1</v>
      </c>
      <c r="J1493" s="92" t="str">
        <f t="shared" si="791"/>
        <v>Hypericum</v>
      </c>
      <c r="K1493" s="92" t="str">
        <f t="shared" si="791"/>
        <v>revolutum</v>
      </c>
      <c r="L1493" s="93">
        <f t="shared" si="791"/>
        <v>7</v>
      </c>
      <c r="M1493" s="93">
        <f t="shared" si="791"/>
        <v>2</v>
      </c>
      <c r="N1493" s="94">
        <f t="shared" si="791"/>
        <v>0</v>
      </c>
      <c r="O1493" s="95"/>
      <c r="P1493" s="96" t="str">
        <f t="shared" si="702"/>
        <v/>
      </c>
      <c r="Q1493" s="97" t="str">
        <f t="shared" si="703"/>
        <v/>
      </c>
      <c r="R1493" s="98" t="e">
        <f t="shared" si="704"/>
        <v>#VALUE!</v>
      </c>
      <c r="S1493" s="98" t="e">
        <f>IF(T1493&lt;D1493, (T1493*3600+U1493*60+V1493)+((23*3600+59*60+60)-(D1493*3600+E1493*60+LEFT(F1493,2))), (T1493*3600+U1493*60+V1493)-(D1493*3600+E1493*60+LEFT(F1493,2)))</f>
        <v>#VALUE!</v>
      </c>
      <c r="T1493" s="98" t="str">
        <f t="shared" si="706"/>
        <v/>
      </c>
      <c r="U1493" s="99"/>
      <c r="V1493" s="100"/>
      <c r="W1493" s="101" t="e">
        <f t="shared" si="707"/>
        <v>#VALUE!</v>
      </c>
      <c r="X1493" s="102"/>
      <c r="Y1493" s="122"/>
      <c r="Z1493" s="122"/>
      <c r="AA1493" s="47" t="e">
        <f>INDEX(VISITORS[INSECT ORDER], MATCH(X1493,VISITORS[NAME USED],0))</f>
        <v>#N/A</v>
      </c>
      <c r="AB1493" s="98" t="e">
        <f t="shared" si="708"/>
        <v>#N/A</v>
      </c>
      <c r="AC1493" s="53" t="e">
        <f t="shared" si="709"/>
        <v>#VALUE!</v>
      </c>
      <c r="AD1493" s="103" t="str">
        <f t="shared" si="710"/>
        <v/>
      </c>
      <c r="AE1493" s="103"/>
      <c r="AF1493" s="103"/>
      <c r="AG1493" s="104" t="str">
        <f t="shared" si="711"/>
        <v/>
      </c>
      <c r="AH1493" s="105" t="str">
        <f t="shared" si="712"/>
        <v/>
      </c>
      <c r="AI1493" s="104"/>
      <c r="AJ1493" s="105" t="str">
        <f t="shared" si="713"/>
        <v/>
      </c>
      <c r="AK1493" s="104"/>
      <c r="AL1493" s="105" t="str">
        <f t="shared" si="714"/>
        <v/>
      </c>
      <c r="AM1493" s="104"/>
      <c r="AN1493" s="105" t="str">
        <f t="shared" si="715"/>
        <v/>
      </c>
      <c r="AO1493" s="104"/>
      <c r="AP1493" s="105" t="str">
        <f t="shared" si="716"/>
        <v/>
      </c>
      <c r="AQ1493" s="104"/>
      <c r="AR1493" s="105" t="str">
        <f t="shared" si="717"/>
        <v/>
      </c>
      <c r="AS1493" s="106"/>
      <c r="AT1493" s="107"/>
      <c r="AU1493" s="107"/>
      <c r="AV1493" s="108"/>
      <c r="AW1493" s="109" t="str">
        <f t="shared" si="718"/>
        <v/>
      </c>
      <c r="AX1493" s="110" t="str">
        <f t="shared" si="719"/>
        <v/>
      </c>
      <c r="AY1493" s="109" t="str">
        <f t="shared" si="720"/>
        <v/>
      </c>
      <c r="AZ1493" s="110" t="str">
        <f t="shared" si="721"/>
        <v/>
      </c>
    </row>
    <row r="1494" spans="1:52" s="3" customFormat="1" hidden="1" x14ac:dyDescent="0.35">
      <c r="A1494" s="72">
        <f t="shared" si="788"/>
        <v>2021</v>
      </c>
      <c r="B1494" s="72" t="str">
        <f t="shared" si="697"/>
        <v>Nov</v>
      </c>
      <c r="C1494" s="73">
        <f t="shared" si="698"/>
        <v>15</v>
      </c>
      <c r="D1494" s="74">
        <f t="shared" si="699"/>
        <v>14</v>
      </c>
      <c r="E1494" s="75">
        <f t="shared" si="789"/>
        <v>1</v>
      </c>
      <c r="F1494" s="79"/>
      <c r="G1494" s="82"/>
      <c r="H1494" s="68" t="str">
        <f t="shared" si="700"/>
        <v>Hyprev7_20211115_14_00</v>
      </c>
      <c r="I1494" s="69">
        <f t="shared" ref="I1494:N1494" si="792">I1493</f>
        <v>1</v>
      </c>
      <c r="J1494" s="76" t="str">
        <f t="shared" si="792"/>
        <v>Hypericum</v>
      </c>
      <c r="K1494" s="76" t="str">
        <f t="shared" si="792"/>
        <v>revolutum</v>
      </c>
      <c r="L1494" s="77">
        <f t="shared" si="792"/>
        <v>7</v>
      </c>
      <c r="M1494" s="77">
        <f t="shared" si="792"/>
        <v>2</v>
      </c>
      <c r="N1494" s="71">
        <f t="shared" si="792"/>
        <v>0</v>
      </c>
      <c r="O1494" s="44"/>
      <c r="P1494" s="45" t="str">
        <f t="shared" si="702"/>
        <v/>
      </c>
      <c r="Q1494" s="46" t="str">
        <f t="shared" si="703"/>
        <v/>
      </c>
      <c r="R1494" s="47" t="e">
        <f t="shared" si="704"/>
        <v>#VALUE!</v>
      </c>
      <c r="S1494" s="48" t="e">
        <f t="shared" ref="S1494:S1495" si="793">IF(T1494&lt;D1494, (T1494*3600+U1494*60+V1494)+((23*3600+59*60+60)-(D1494*3600+E1494*60+LEFT(F1494,2))), (T1494*3600+U1494*60+V1494)-(D1494*3600+E1494*60+LEFT(F1494,2)))</f>
        <v>#VALUE!</v>
      </c>
      <c r="T1494" s="47" t="str">
        <f t="shared" si="706"/>
        <v/>
      </c>
      <c r="U1494" s="49"/>
      <c r="V1494" s="50"/>
      <c r="W1494" s="51" t="e">
        <f t="shared" si="707"/>
        <v>#VALUE!</v>
      </c>
      <c r="X1494" s="52"/>
      <c r="Y1494" s="52"/>
      <c r="Z1494" s="52"/>
      <c r="AA1494" s="47" t="e">
        <f>INDEX(VISITORS[INSECT ORDER], MATCH(X1494,VISITORS[NAME USED],0))</f>
        <v>#N/A</v>
      </c>
      <c r="AB1494" s="47" t="e">
        <f t="shared" si="708"/>
        <v>#N/A</v>
      </c>
      <c r="AC1494" s="53" t="e">
        <f t="shared" si="709"/>
        <v>#VALUE!</v>
      </c>
      <c r="AD1494" s="54" t="str">
        <f t="shared" si="710"/>
        <v/>
      </c>
      <c r="AE1494" s="54"/>
      <c r="AF1494" s="54"/>
      <c r="AG1494" s="55" t="str">
        <f t="shared" si="711"/>
        <v/>
      </c>
      <c r="AH1494" s="56" t="str">
        <f t="shared" si="712"/>
        <v/>
      </c>
      <c r="AI1494" s="55"/>
      <c r="AJ1494" s="56" t="str">
        <f t="shared" si="713"/>
        <v/>
      </c>
      <c r="AK1494" s="55"/>
      <c r="AL1494" s="56" t="str">
        <f t="shared" si="714"/>
        <v/>
      </c>
      <c r="AM1494" s="55"/>
      <c r="AN1494" s="56" t="str">
        <f t="shared" si="715"/>
        <v/>
      </c>
      <c r="AO1494" s="55"/>
      <c r="AP1494" s="56" t="str">
        <f t="shared" si="716"/>
        <v/>
      </c>
      <c r="AQ1494" s="55"/>
      <c r="AR1494" s="56" t="str">
        <f t="shared" si="717"/>
        <v/>
      </c>
      <c r="AS1494" s="57"/>
      <c r="AT1494" s="58"/>
      <c r="AU1494" s="58"/>
      <c r="AV1494" s="59"/>
      <c r="AW1494" s="60" t="str">
        <f t="shared" si="718"/>
        <v/>
      </c>
      <c r="AX1494" s="61" t="str">
        <f t="shared" si="719"/>
        <v/>
      </c>
      <c r="AY1494" s="60" t="str">
        <f t="shared" si="720"/>
        <v/>
      </c>
      <c r="AZ1494" s="61" t="str">
        <f t="shared" si="721"/>
        <v/>
      </c>
    </row>
    <row r="1495" spans="1:52" s="3" customFormat="1" hidden="1" x14ac:dyDescent="0.35">
      <c r="A1495" s="72">
        <f t="shared" si="788"/>
        <v>2021</v>
      </c>
      <c r="B1495" s="72" t="str">
        <f t="shared" si="697"/>
        <v>Nov</v>
      </c>
      <c r="C1495" s="73">
        <f t="shared" si="698"/>
        <v>15</v>
      </c>
      <c r="D1495" s="74">
        <f t="shared" si="699"/>
        <v>14</v>
      </c>
      <c r="E1495" s="75">
        <f t="shared" si="789"/>
        <v>2</v>
      </c>
      <c r="F1495" s="79"/>
      <c r="G1495" s="82"/>
      <c r="H1495" s="68" t="str">
        <f t="shared" si="700"/>
        <v>Hyprev7_20211115_14_00</v>
      </c>
      <c r="I1495" s="69">
        <f t="shared" ref="I1495:N1495" si="794">I1494</f>
        <v>1</v>
      </c>
      <c r="J1495" s="76" t="str">
        <f t="shared" si="794"/>
        <v>Hypericum</v>
      </c>
      <c r="K1495" s="76" t="str">
        <f t="shared" si="794"/>
        <v>revolutum</v>
      </c>
      <c r="L1495" s="77">
        <f t="shared" si="794"/>
        <v>7</v>
      </c>
      <c r="M1495" s="77">
        <f t="shared" si="794"/>
        <v>2</v>
      </c>
      <c r="N1495" s="71">
        <f t="shared" si="794"/>
        <v>0</v>
      </c>
      <c r="O1495" s="44"/>
      <c r="P1495" s="45" t="str">
        <f t="shared" si="702"/>
        <v/>
      </c>
      <c r="Q1495" s="46" t="str">
        <f t="shared" si="703"/>
        <v/>
      </c>
      <c r="R1495" s="47" t="e">
        <f t="shared" si="704"/>
        <v>#VALUE!</v>
      </c>
      <c r="S1495" s="48" t="e">
        <f t="shared" si="793"/>
        <v>#VALUE!</v>
      </c>
      <c r="T1495" s="47" t="str">
        <f t="shared" si="706"/>
        <v/>
      </c>
      <c r="U1495" s="49"/>
      <c r="V1495" s="50"/>
      <c r="W1495" s="51" t="e">
        <f t="shared" si="707"/>
        <v>#VALUE!</v>
      </c>
      <c r="X1495" s="52"/>
      <c r="Y1495" s="52"/>
      <c r="Z1495" s="52"/>
      <c r="AA1495" s="47" t="e">
        <f>INDEX(VISITORS[INSECT ORDER], MATCH(X1495,VISITORS[NAME USED],0))</f>
        <v>#N/A</v>
      </c>
      <c r="AB1495" s="47" t="e">
        <f t="shared" si="708"/>
        <v>#N/A</v>
      </c>
      <c r="AC1495" s="53" t="e">
        <f t="shared" si="709"/>
        <v>#VALUE!</v>
      </c>
      <c r="AD1495" s="54" t="str">
        <f t="shared" si="710"/>
        <v/>
      </c>
      <c r="AE1495" s="54"/>
      <c r="AF1495" s="54"/>
      <c r="AG1495" s="55" t="str">
        <f t="shared" si="711"/>
        <v/>
      </c>
      <c r="AH1495" s="56" t="str">
        <f t="shared" si="712"/>
        <v/>
      </c>
      <c r="AI1495" s="55"/>
      <c r="AJ1495" s="56" t="str">
        <f t="shared" si="713"/>
        <v/>
      </c>
      <c r="AK1495" s="55"/>
      <c r="AL1495" s="56" t="str">
        <f t="shared" si="714"/>
        <v/>
      </c>
      <c r="AM1495" s="55"/>
      <c r="AN1495" s="56" t="str">
        <f t="shared" si="715"/>
        <v/>
      </c>
      <c r="AO1495" s="55"/>
      <c r="AP1495" s="56" t="str">
        <f t="shared" si="716"/>
        <v/>
      </c>
      <c r="AQ1495" s="55"/>
      <c r="AR1495" s="56" t="str">
        <f t="shared" si="717"/>
        <v/>
      </c>
      <c r="AS1495" s="57"/>
      <c r="AT1495" s="58"/>
      <c r="AU1495" s="58"/>
      <c r="AV1495" s="59"/>
      <c r="AW1495" s="60" t="str">
        <f t="shared" si="718"/>
        <v/>
      </c>
      <c r="AX1495" s="61" t="str">
        <f t="shared" si="719"/>
        <v/>
      </c>
      <c r="AY1495" s="60" t="str">
        <f t="shared" si="720"/>
        <v/>
      </c>
      <c r="AZ1495" s="61" t="str">
        <f t="shared" si="721"/>
        <v/>
      </c>
    </row>
    <row r="1496" spans="1:52" s="3" customFormat="1" ht="15" hidden="1" thickBot="1" x14ac:dyDescent="0.4">
      <c r="A1496" s="85">
        <f t="shared" si="788"/>
        <v>2021</v>
      </c>
      <c r="B1496" s="85" t="str">
        <f t="shared" si="697"/>
        <v>Nov</v>
      </c>
      <c r="C1496" s="86">
        <f t="shared" si="698"/>
        <v>15</v>
      </c>
      <c r="D1496" s="87">
        <f t="shared" si="699"/>
        <v>14</v>
      </c>
      <c r="E1496" s="88">
        <f t="shared" si="789"/>
        <v>3</v>
      </c>
      <c r="F1496" s="89"/>
      <c r="G1496" s="90"/>
      <c r="H1496" s="68" t="str">
        <f t="shared" si="700"/>
        <v>Hyprev7_20211115_14_00</v>
      </c>
      <c r="I1496" s="91">
        <f t="shared" ref="I1496:N1496" si="795">I1495</f>
        <v>1</v>
      </c>
      <c r="J1496" s="92" t="str">
        <f t="shared" si="795"/>
        <v>Hypericum</v>
      </c>
      <c r="K1496" s="92" t="str">
        <f t="shared" si="795"/>
        <v>revolutum</v>
      </c>
      <c r="L1496" s="93">
        <f t="shared" si="795"/>
        <v>7</v>
      </c>
      <c r="M1496" s="93">
        <f t="shared" si="795"/>
        <v>2</v>
      </c>
      <c r="N1496" s="94">
        <f t="shared" si="795"/>
        <v>0</v>
      </c>
      <c r="O1496" s="95"/>
      <c r="P1496" s="96" t="str">
        <f t="shared" si="702"/>
        <v/>
      </c>
      <c r="Q1496" s="97" t="str">
        <f t="shared" si="703"/>
        <v/>
      </c>
      <c r="R1496" s="98" t="e">
        <f t="shared" si="704"/>
        <v>#VALUE!</v>
      </c>
      <c r="S1496" s="98" t="e">
        <f>IF(T1496&lt;D1496, (T1496*3600+U1496*60+V1496)+((23*3600+59*60+60)-(D1496*3600+E1496*60+LEFT(F1496,2))), (T1496*3600+U1496*60+V1496)-(D1496*3600+E1496*60+LEFT(F1496,2)))</f>
        <v>#VALUE!</v>
      </c>
      <c r="T1496" s="98" t="str">
        <f t="shared" si="706"/>
        <v/>
      </c>
      <c r="U1496" s="99"/>
      <c r="V1496" s="100"/>
      <c r="W1496" s="101" t="e">
        <f t="shared" si="707"/>
        <v>#VALUE!</v>
      </c>
      <c r="X1496" s="102"/>
      <c r="Y1496" s="122"/>
      <c r="Z1496" s="122"/>
      <c r="AA1496" s="47" t="e">
        <f>INDEX(VISITORS[INSECT ORDER], MATCH(X1496,VISITORS[NAME USED],0))</f>
        <v>#N/A</v>
      </c>
      <c r="AB1496" s="98" t="e">
        <f t="shared" si="708"/>
        <v>#N/A</v>
      </c>
      <c r="AC1496" s="53" t="e">
        <f t="shared" si="709"/>
        <v>#VALUE!</v>
      </c>
      <c r="AD1496" s="103" t="str">
        <f t="shared" si="710"/>
        <v/>
      </c>
      <c r="AE1496" s="103"/>
      <c r="AF1496" s="103"/>
      <c r="AG1496" s="104" t="str">
        <f t="shared" si="711"/>
        <v/>
      </c>
      <c r="AH1496" s="105" t="str">
        <f t="shared" si="712"/>
        <v/>
      </c>
      <c r="AI1496" s="104"/>
      <c r="AJ1496" s="105" t="str">
        <f t="shared" si="713"/>
        <v/>
      </c>
      <c r="AK1496" s="104"/>
      <c r="AL1496" s="105" t="str">
        <f t="shared" si="714"/>
        <v/>
      </c>
      <c r="AM1496" s="104"/>
      <c r="AN1496" s="105" t="str">
        <f t="shared" si="715"/>
        <v/>
      </c>
      <c r="AO1496" s="104"/>
      <c r="AP1496" s="105" t="str">
        <f t="shared" si="716"/>
        <v/>
      </c>
      <c r="AQ1496" s="104"/>
      <c r="AR1496" s="105" t="str">
        <f t="shared" si="717"/>
        <v/>
      </c>
      <c r="AS1496" s="106"/>
      <c r="AT1496" s="107"/>
      <c r="AU1496" s="107"/>
      <c r="AV1496" s="108"/>
      <c r="AW1496" s="109" t="str">
        <f t="shared" si="718"/>
        <v/>
      </c>
      <c r="AX1496" s="110" t="str">
        <f t="shared" si="719"/>
        <v/>
      </c>
      <c r="AY1496" s="109" t="str">
        <f t="shared" si="720"/>
        <v/>
      </c>
      <c r="AZ1496" s="110" t="str">
        <f t="shared" si="721"/>
        <v/>
      </c>
    </row>
    <row r="1497" spans="1:52" s="3" customFormat="1" hidden="1" x14ac:dyDescent="0.35">
      <c r="A1497" s="72">
        <f t="shared" si="788"/>
        <v>2021</v>
      </c>
      <c r="B1497" s="72" t="str">
        <f t="shared" si="697"/>
        <v>Nov</v>
      </c>
      <c r="C1497" s="73">
        <f t="shared" si="698"/>
        <v>15</v>
      </c>
      <c r="D1497" s="74">
        <f t="shared" si="699"/>
        <v>14</v>
      </c>
      <c r="E1497" s="75">
        <f t="shared" si="789"/>
        <v>4</v>
      </c>
      <c r="F1497" s="79"/>
      <c r="G1497" s="82"/>
      <c r="H1497" s="68" t="str">
        <f t="shared" si="700"/>
        <v>Hyprev7_20211115_14_00</v>
      </c>
      <c r="I1497" s="69">
        <f t="shared" ref="I1497:N1497" si="796">I1496</f>
        <v>1</v>
      </c>
      <c r="J1497" s="76" t="str">
        <f t="shared" si="796"/>
        <v>Hypericum</v>
      </c>
      <c r="K1497" s="76" t="str">
        <f t="shared" si="796"/>
        <v>revolutum</v>
      </c>
      <c r="L1497" s="77">
        <f t="shared" si="796"/>
        <v>7</v>
      </c>
      <c r="M1497" s="77">
        <f t="shared" si="796"/>
        <v>2</v>
      </c>
      <c r="N1497" s="71">
        <f t="shared" si="796"/>
        <v>0</v>
      </c>
      <c r="O1497" s="44"/>
      <c r="P1497" s="45" t="str">
        <f t="shared" si="702"/>
        <v/>
      </c>
      <c r="Q1497" s="46" t="str">
        <f t="shared" si="703"/>
        <v/>
      </c>
      <c r="R1497" s="47" t="e">
        <f t="shared" si="704"/>
        <v>#VALUE!</v>
      </c>
      <c r="S1497" s="48" t="e">
        <f t="shared" ref="S1497:S1498" si="797">IF(T1497&lt;D1497, (T1497*3600+U1497*60+V1497)+((23*3600+59*60+60)-(D1497*3600+E1497*60+LEFT(F1497,2))), (T1497*3600+U1497*60+V1497)-(D1497*3600+E1497*60+LEFT(F1497,2)))</f>
        <v>#VALUE!</v>
      </c>
      <c r="T1497" s="47" t="str">
        <f t="shared" si="706"/>
        <v/>
      </c>
      <c r="U1497" s="49"/>
      <c r="V1497" s="50"/>
      <c r="W1497" s="51" t="e">
        <f t="shared" si="707"/>
        <v>#VALUE!</v>
      </c>
      <c r="X1497" s="52"/>
      <c r="Y1497" s="52"/>
      <c r="Z1497" s="52"/>
      <c r="AA1497" s="47" t="e">
        <f>INDEX(VISITORS[INSECT ORDER], MATCH(X1497,VISITORS[NAME USED],0))</f>
        <v>#N/A</v>
      </c>
      <c r="AB1497" s="47" t="e">
        <f t="shared" si="708"/>
        <v>#N/A</v>
      </c>
      <c r="AC1497" s="53" t="e">
        <f t="shared" si="709"/>
        <v>#VALUE!</v>
      </c>
      <c r="AD1497" s="54" t="str">
        <f t="shared" si="710"/>
        <v/>
      </c>
      <c r="AE1497" s="54"/>
      <c r="AF1497" s="54"/>
      <c r="AG1497" s="55" t="str">
        <f t="shared" si="711"/>
        <v/>
      </c>
      <c r="AH1497" s="56" t="str">
        <f t="shared" si="712"/>
        <v/>
      </c>
      <c r="AI1497" s="55"/>
      <c r="AJ1497" s="56" t="str">
        <f t="shared" si="713"/>
        <v/>
      </c>
      <c r="AK1497" s="55"/>
      <c r="AL1497" s="56" t="str">
        <f t="shared" si="714"/>
        <v/>
      </c>
      <c r="AM1497" s="55"/>
      <c r="AN1497" s="56" t="str">
        <f t="shared" si="715"/>
        <v/>
      </c>
      <c r="AO1497" s="55"/>
      <c r="AP1497" s="56" t="str">
        <f t="shared" si="716"/>
        <v/>
      </c>
      <c r="AQ1497" s="55"/>
      <c r="AR1497" s="56" t="str">
        <f t="shared" si="717"/>
        <v/>
      </c>
      <c r="AS1497" s="57"/>
      <c r="AT1497" s="58"/>
      <c r="AU1497" s="58"/>
      <c r="AV1497" s="59"/>
      <c r="AW1497" s="60" t="str">
        <f t="shared" si="718"/>
        <v/>
      </c>
      <c r="AX1497" s="61" t="str">
        <f t="shared" si="719"/>
        <v/>
      </c>
      <c r="AY1497" s="60" t="str">
        <f t="shared" si="720"/>
        <v/>
      </c>
      <c r="AZ1497" s="61" t="str">
        <f t="shared" si="721"/>
        <v/>
      </c>
    </row>
    <row r="1498" spans="1:52" s="3" customFormat="1" hidden="1" x14ac:dyDescent="0.35">
      <c r="A1498" s="72">
        <f t="shared" si="788"/>
        <v>2021</v>
      </c>
      <c r="B1498" s="72" t="str">
        <f t="shared" si="697"/>
        <v>Nov</v>
      </c>
      <c r="C1498" s="73">
        <f t="shared" si="698"/>
        <v>15</v>
      </c>
      <c r="D1498" s="74">
        <f t="shared" si="699"/>
        <v>14</v>
      </c>
      <c r="E1498" s="75">
        <f t="shared" si="789"/>
        <v>5</v>
      </c>
      <c r="F1498" s="79">
        <v>48</v>
      </c>
      <c r="G1498" s="82"/>
      <c r="H1498" s="68" t="str">
        <f t="shared" si="700"/>
        <v>Hyprev7_20211115_14_00</v>
      </c>
      <c r="I1498" s="69">
        <f t="shared" ref="I1498:N1498" si="798">I1497</f>
        <v>1</v>
      </c>
      <c r="J1498" s="76" t="str">
        <f t="shared" si="798"/>
        <v>Hypericum</v>
      </c>
      <c r="K1498" s="76" t="str">
        <f t="shared" si="798"/>
        <v>revolutum</v>
      </c>
      <c r="L1498" s="77">
        <f t="shared" si="798"/>
        <v>7</v>
      </c>
      <c r="M1498" s="77">
        <f t="shared" si="798"/>
        <v>2</v>
      </c>
      <c r="N1498" s="71">
        <f t="shared" si="798"/>
        <v>0</v>
      </c>
      <c r="O1498" s="44"/>
      <c r="P1498" s="45">
        <f t="shared" si="702"/>
        <v>1</v>
      </c>
      <c r="Q1498" s="46" t="str">
        <f t="shared" si="703"/>
        <v>14:05:48</v>
      </c>
      <c r="R1498" s="47" t="str">
        <f t="shared" si="704"/>
        <v>05:48</v>
      </c>
      <c r="S1498" s="48">
        <f t="shared" si="797"/>
        <v>5</v>
      </c>
      <c r="T1498" s="47" t="str">
        <f t="shared" si="706"/>
        <v>14</v>
      </c>
      <c r="U1498" s="49">
        <v>5</v>
      </c>
      <c r="V1498" s="50">
        <v>53</v>
      </c>
      <c r="W1498" s="51" t="str">
        <f t="shared" si="707"/>
        <v>05:53</v>
      </c>
      <c r="X1498" s="52" t="s">
        <v>61</v>
      </c>
      <c r="Y1498" s="124" t="s">
        <v>239</v>
      </c>
      <c r="Z1498" s="124"/>
      <c r="AA1498" s="47" t="s">
        <v>254</v>
      </c>
      <c r="AB1498" s="47" t="str">
        <f t="shared" si="708"/>
        <v>NA</v>
      </c>
      <c r="AC1498" s="53" t="str">
        <f t="shared" si="709"/>
        <v/>
      </c>
      <c r="AD1498" s="54">
        <f t="shared" si="710"/>
        <v>1</v>
      </c>
      <c r="AE1498" s="54"/>
      <c r="AF1498" s="54"/>
      <c r="AG1498" s="55" t="str">
        <f t="shared" si="711"/>
        <v/>
      </c>
      <c r="AH1498" s="56" t="str">
        <f t="shared" si="712"/>
        <v/>
      </c>
      <c r="AI1498" s="55"/>
      <c r="AJ1498" s="56" t="str">
        <f t="shared" si="713"/>
        <v/>
      </c>
      <c r="AK1498" s="55"/>
      <c r="AL1498" s="56" t="str">
        <f t="shared" si="714"/>
        <v/>
      </c>
      <c r="AM1498" s="55"/>
      <c r="AN1498" s="56" t="str">
        <f t="shared" si="715"/>
        <v/>
      </c>
      <c r="AO1498" s="55"/>
      <c r="AP1498" s="56" t="str">
        <f t="shared" si="716"/>
        <v/>
      </c>
      <c r="AQ1498" s="55"/>
      <c r="AR1498" s="56" t="str">
        <f t="shared" si="717"/>
        <v/>
      </c>
      <c r="AS1498" s="57" t="s">
        <v>98</v>
      </c>
      <c r="AT1498" s="58"/>
      <c r="AU1498" s="58"/>
      <c r="AV1498" s="59"/>
      <c r="AW1498" s="60">
        <f t="shared" si="718"/>
        <v>0</v>
      </c>
      <c r="AX1498" s="61" t="str">
        <f t="shared" si="719"/>
        <v/>
      </c>
      <c r="AY1498" s="60">
        <f t="shared" si="720"/>
        <v>0</v>
      </c>
      <c r="AZ1498" s="61" t="str">
        <f t="shared" si="721"/>
        <v/>
      </c>
    </row>
    <row r="1499" spans="1:52" s="3" customFormat="1" ht="15" hidden="1" thickBot="1" x14ac:dyDescent="0.4">
      <c r="A1499" s="85">
        <f t="shared" si="788"/>
        <v>2021</v>
      </c>
      <c r="B1499" s="85" t="str">
        <f t="shared" si="697"/>
        <v>Nov</v>
      </c>
      <c r="C1499" s="86">
        <f t="shared" si="698"/>
        <v>15</v>
      </c>
      <c r="D1499" s="87">
        <f t="shared" si="699"/>
        <v>14</v>
      </c>
      <c r="E1499" s="88">
        <f t="shared" si="789"/>
        <v>6</v>
      </c>
      <c r="F1499" s="89">
        <v>7</v>
      </c>
      <c r="G1499" s="90"/>
      <c r="H1499" s="68" t="str">
        <f t="shared" si="700"/>
        <v>Hyprev7_20211115_14_00</v>
      </c>
      <c r="I1499" s="91">
        <f t="shared" ref="I1499:N1499" si="799">I1498</f>
        <v>1</v>
      </c>
      <c r="J1499" s="92" t="str">
        <f t="shared" si="799"/>
        <v>Hypericum</v>
      </c>
      <c r="K1499" s="92" t="str">
        <f t="shared" si="799"/>
        <v>revolutum</v>
      </c>
      <c r="L1499" s="93">
        <f t="shared" si="799"/>
        <v>7</v>
      </c>
      <c r="M1499" s="93">
        <f t="shared" si="799"/>
        <v>2</v>
      </c>
      <c r="N1499" s="94">
        <f t="shared" si="799"/>
        <v>0</v>
      </c>
      <c r="O1499" s="95"/>
      <c r="P1499" s="96">
        <f t="shared" si="702"/>
        <v>1</v>
      </c>
      <c r="Q1499" s="97" t="str">
        <f t="shared" si="703"/>
        <v>14:06:07</v>
      </c>
      <c r="R1499" s="98" t="str">
        <f t="shared" si="704"/>
        <v>06:07</v>
      </c>
      <c r="S1499" s="98">
        <f>IF(T1499&lt;D1499, (T1499*3600+U1499*60+V1499)+((23*3600+59*60+60)-(D1499*3600+E1499*60+LEFT(F1499,2))), (T1499*3600+U1499*60+V1499)-(D1499*3600+E1499*60+LEFT(F1499,2)))</f>
        <v>37</v>
      </c>
      <c r="T1499" s="98" t="str">
        <f t="shared" si="706"/>
        <v>14</v>
      </c>
      <c r="U1499" s="99">
        <v>6</v>
      </c>
      <c r="V1499" s="100">
        <v>44</v>
      </c>
      <c r="W1499" s="101" t="str">
        <f t="shared" si="707"/>
        <v>06:44</v>
      </c>
      <c r="X1499" s="102" t="s">
        <v>61</v>
      </c>
      <c r="Y1499" s="125" t="s">
        <v>237</v>
      </c>
      <c r="Z1499" s="124" t="s">
        <v>252</v>
      </c>
      <c r="AA1499" s="47" t="s">
        <v>254</v>
      </c>
      <c r="AB1499" s="98" t="str">
        <f t="shared" si="708"/>
        <v>NA</v>
      </c>
      <c r="AC1499" s="53" t="str">
        <f t="shared" si="709"/>
        <v/>
      </c>
      <c r="AD1499" s="103">
        <f t="shared" si="710"/>
        <v>1</v>
      </c>
      <c r="AE1499" s="103"/>
      <c r="AF1499" s="103"/>
      <c r="AG1499" s="104" t="str">
        <f t="shared" si="711"/>
        <v/>
      </c>
      <c r="AH1499" s="105" t="str">
        <f t="shared" si="712"/>
        <v/>
      </c>
      <c r="AI1499" s="104"/>
      <c r="AJ1499" s="105" t="str">
        <f t="shared" si="713"/>
        <v/>
      </c>
      <c r="AK1499" s="104"/>
      <c r="AL1499" s="105" t="str">
        <f t="shared" si="714"/>
        <v/>
      </c>
      <c r="AM1499" s="104"/>
      <c r="AN1499" s="105" t="str">
        <f t="shared" si="715"/>
        <v/>
      </c>
      <c r="AO1499" s="104"/>
      <c r="AP1499" s="105" t="str">
        <f t="shared" si="716"/>
        <v/>
      </c>
      <c r="AQ1499" s="104"/>
      <c r="AR1499" s="105" t="str">
        <f t="shared" si="717"/>
        <v/>
      </c>
      <c r="AS1499" s="106" t="s">
        <v>234</v>
      </c>
      <c r="AT1499" s="107"/>
      <c r="AU1499" s="107"/>
      <c r="AV1499" s="108"/>
      <c r="AW1499" s="109">
        <f t="shared" si="718"/>
        <v>0</v>
      </c>
      <c r="AX1499" s="110" t="str">
        <f t="shared" si="719"/>
        <v/>
      </c>
      <c r="AY1499" s="109">
        <f t="shared" si="720"/>
        <v>0</v>
      </c>
      <c r="AZ1499" s="110" t="str">
        <f t="shared" si="721"/>
        <v/>
      </c>
    </row>
    <row r="1500" spans="1:52" s="3" customFormat="1" hidden="1" x14ac:dyDescent="0.35">
      <c r="A1500" s="72">
        <f t="shared" si="788"/>
        <v>2021</v>
      </c>
      <c r="B1500" s="72" t="str">
        <f t="shared" si="697"/>
        <v>Nov</v>
      </c>
      <c r="C1500" s="73">
        <f t="shared" si="698"/>
        <v>15</v>
      </c>
      <c r="D1500" s="74">
        <f t="shared" si="699"/>
        <v>14</v>
      </c>
      <c r="E1500" s="75">
        <f t="shared" si="789"/>
        <v>7</v>
      </c>
      <c r="F1500" s="79"/>
      <c r="G1500" s="82"/>
      <c r="H1500" s="68" t="str">
        <f t="shared" si="700"/>
        <v>Hyprev7_20211115_14_00</v>
      </c>
      <c r="I1500" s="69">
        <f t="shared" ref="I1500:N1500" si="800">I1499</f>
        <v>1</v>
      </c>
      <c r="J1500" s="76" t="str">
        <f t="shared" si="800"/>
        <v>Hypericum</v>
      </c>
      <c r="K1500" s="76" t="str">
        <f t="shared" si="800"/>
        <v>revolutum</v>
      </c>
      <c r="L1500" s="77">
        <f t="shared" si="800"/>
        <v>7</v>
      </c>
      <c r="M1500" s="77">
        <f t="shared" si="800"/>
        <v>2</v>
      </c>
      <c r="N1500" s="71">
        <f t="shared" si="800"/>
        <v>0</v>
      </c>
      <c r="O1500" s="44"/>
      <c r="P1500" s="45" t="str">
        <f t="shared" si="702"/>
        <v/>
      </c>
      <c r="Q1500" s="46" t="str">
        <f t="shared" si="703"/>
        <v/>
      </c>
      <c r="R1500" s="47" t="e">
        <f t="shared" si="704"/>
        <v>#VALUE!</v>
      </c>
      <c r="S1500" s="48" t="e">
        <f t="shared" ref="S1500:S1501" si="801">IF(T1500&lt;D1500, (T1500*3600+U1500*60+V1500)+((23*3600+59*60+60)-(D1500*3600+E1500*60+LEFT(F1500,2))), (T1500*3600+U1500*60+V1500)-(D1500*3600+E1500*60+LEFT(F1500,2)))</f>
        <v>#VALUE!</v>
      </c>
      <c r="T1500" s="47" t="str">
        <f t="shared" si="706"/>
        <v/>
      </c>
      <c r="U1500" s="49"/>
      <c r="V1500" s="50"/>
      <c r="W1500" s="51" t="e">
        <f t="shared" si="707"/>
        <v>#VALUE!</v>
      </c>
      <c r="X1500" s="52"/>
      <c r="Y1500" s="52"/>
      <c r="Z1500" s="52"/>
      <c r="AA1500" s="47" t="e">
        <f>INDEX(VISITORS[INSECT ORDER], MATCH(X1500,VISITORS[NAME USED],0))</f>
        <v>#N/A</v>
      </c>
      <c r="AB1500" s="47" t="e">
        <f t="shared" si="708"/>
        <v>#N/A</v>
      </c>
      <c r="AC1500" s="53" t="e">
        <f t="shared" si="709"/>
        <v>#VALUE!</v>
      </c>
      <c r="AD1500" s="54" t="str">
        <f t="shared" si="710"/>
        <v/>
      </c>
      <c r="AE1500" s="54"/>
      <c r="AF1500" s="54"/>
      <c r="AG1500" s="55" t="str">
        <f t="shared" si="711"/>
        <v/>
      </c>
      <c r="AH1500" s="56" t="str">
        <f t="shared" si="712"/>
        <v/>
      </c>
      <c r="AI1500" s="55"/>
      <c r="AJ1500" s="56" t="str">
        <f t="shared" si="713"/>
        <v/>
      </c>
      <c r="AK1500" s="55"/>
      <c r="AL1500" s="56" t="str">
        <f t="shared" si="714"/>
        <v/>
      </c>
      <c r="AM1500" s="55"/>
      <c r="AN1500" s="56" t="str">
        <f t="shared" si="715"/>
        <v/>
      </c>
      <c r="AO1500" s="55"/>
      <c r="AP1500" s="56" t="str">
        <f t="shared" si="716"/>
        <v/>
      </c>
      <c r="AQ1500" s="55"/>
      <c r="AR1500" s="56" t="str">
        <f t="shared" si="717"/>
        <v/>
      </c>
      <c r="AS1500" s="57"/>
      <c r="AT1500" s="58"/>
      <c r="AU1500" s="58"/>
      <c r="AV1500" s="59"/>
      <c r="AW1500" s="60" t="str">
        <f t="shared" si="718"/>
        <v/>
      </c>
      <c r="AX1500" s="61" t="str">
        <f t="shared" si="719"/>
        <v/>
      </c>
      <c r="AY1500" s="60" t="str">
        <f t="shared" si="720"/>
        <v/>
      </c>
      <c r="AZ1500" s="61" t="str">
        <f t="shared" si="721"/>
        <v/>
      </c>
    </row>
    <row r="1501" spans="1:52" s="3" customFormat="1" hidden="1" x14ac:dyDescent="0.35">
      <c r="A1501" s="72">
        <f t="shared" si="788"/>
        <v>2021</v>
      </c>
      <c r="B1501" s="72" t="str">
        <f t="shared" si="697"/>
        <v>Nov</v>
      </c>
      <c r="C1501" s="73">
        <f t="shared" si="698"/>
        <v>15</v>
      </c>
      <c r="D1501" s="74">
        <f t="shared" si="699"/>
        <v>14</v>
      </c>
      <c r="E1501" s="75">
        <f t="shared" si="789"/>
        <v>8</v>
      </c>
      <c r="F1501" s="79"/>
      <c r="G1501" s="82"/>
      <c r="H1501" s="68" t="str">
        <f t="shared" si="700"/>
        <v>Hyprev7_20211115_14_00</v>
      </c>
      <c r="I1501" s="69">
        <f t="shared" ref="I1501:N1501" si="802">I1500</f>
        <v>1</v>
      </c>
      <c r="J1501" s="76" t="str">
        <f t="shared" si="802"/>
        <v>Hypericum</v>
      </c>
      <c r="K1501" s="76" t="str">
        <f t="shared" si="802"/>
        <v>revolutum</v>
      </c>
      <c r="L1501" s="77">
        <f t="shared" si="802"/>
        <v>7</v>
      </c>
      <c r="M1501" s="77">
        <f t="shared" si="802"/>
        <v>2</v>
      </c>
      <c r="N1501" s="71">
        <f t="shared" si="802"/>
        <v>0</v>
      </c>
      <c r="O1501" s="44"/>
      <c r="P1501" s="45" t="str">
        <f t="shared" si="702"/>
        <v/>
      </c>
      <c r="Q1501" s="46" t="str">
        <f t="shared" si="703"/>
        <v/>
      </c>
      <c r="R1501" s="47" t="e">
        <f t="shared" si="704"/>
        <v>#VALUE!</v>
      </c>
      <c r="S1501" s="48" t="e">
        <f t="shared" si="801"/>
        <v>#VALUE!</v>
      </c>
      <c r="T1501" s="47" t="str">
        <f t="shared" si="706"/>
        <v/>
      </c>
      <c r="U1501" s="49"/>
      <c r="V1501" s="50"/>
      <c r="W1501" s="51" t="e">
        <f t="shared" si="707"/>
        <v>#VALUE!</v>
      </c>
      <c r="X1501" s="52"/>
      <c r="Y1501" s="52"/>
      <c r="Z1501" s="52"/>
      <c r="AA1501" s="47" t="e">
        <f>INDEX(VISITORS[INSECT ORDER], MATCH(X1501,VISITORS[NAME USED],0))</f>
        <v>#N/A</v>
      </c>
      <c r="AB1501" s="47" t="e">
        <f t="shared" si="708"/>
        <v>#N/A</v>
      </c>
      <c r="AC1501" s="53" t="e">
        <f t="shared" si="709"/>
        <v>#VALUE!</v>
      </c>
      <c r="AD1501" s="54" t="str">
        <f t="shared" si="710"/>
        <v/>
      </c>
      <c r="AE1501" s="54"/>
      <c r="AF1501" s="54"/>
      <c r="AG1501" s="55" t="str">
        <f t="shared" si="711"/>
        <v/>
      </c>
      <c r="AH1501" s="56" t="str">
        <f t="shared" si="712"/>
        <v/>
      </c>
      <c r="AI1501" s="55"/>
      <c r="AJ1501" s="56" t="str">
        <f t="shared" si="713"/>
        <v/>
      </c>
      <c r="AK1501" s="55"/>
      <c r="AL1501" s="56" t="str">
        <f t="shared" si="714"/>
        <v/>
      </c>
      <c r="AM1501" s="55"/>
      <c r="AN1501" s="56" t="str">
        <f t="shared" si="715"/>
        <v/>
      </c>
      <c r="AO1501" s="55"/>
      <c r="AP1501" s="56" t="str">
        <f t="shared" si="716"/>
        <v/>
      </c>
      <c r="AQ1501" s="55"/>
      <c r="AR1501" s="56" t="str">
        <f t="shared" si="717"/>
        <v/>
      </c>
      <c r="AS1501" s="57"/>
      <c r="AT1501" s="58"/>
      <c r="AU1501" s="58"/>
      <c r="AV1501" s="59"/>
      <c r="AW1501" s="60" t="str">
        <f t="shared" si="718"/>
        <v/>
      </c>
      <c r="AX1501" s="61" t="str">
        <f t="shared" si="719"/>
        <v/>
      </c>
      <c r="AY1501" s="60" t="str">
        <f t="shared" si="720"/>
        <v/>
      </c>
      <c r="AZ1501" s="61" t="str">
        <f t="shared" si="721"/>
        <v/>
      </c>
    </row>
    <row r="1502" spans="1:52" s="3" customFormat="1" ht="15" hidden="1" thickBot="1" x14ac:dyDescent="0.4">
      <c r="A1502" s="85">
        <f t="shared" si="788"/>
        <v>2021</v>
      </c>
      <c r="B1502" s="85" t="str">
        <f t="shared" si="697"/>
        <v>Nov</v>
      </c>
      <c r="C1502" s="86">
        <f t="shared" si="698"/>
        <v>15</v>
      </c>
      <c r="D1502" s="87">
        <f t="shared" si="699"/>
        <v>14</v>
      </c>
      <c r="E1502" s="88">
        <f t="shared" si="789"/>
        <v>9</v>
      </c>
      <c r="F1502" s="89"/>
      <c r="G1502" s="90"/>
      <c r="H1502" s="68" t="str">
        <f t="shared" si="700"/>
        <v>Hyprev7_20211115_14_00</v>
      </c>
      <c r="I1502" s="91">
        <f t="shared" ref="I1502:N1503" si="803">I1501</f>
        <v>1</v>
      </c>
      <c r="J1502" s="92" t="str">
        <f t="shared" si="803"/>
        <v>Hypericum</v>
      </c>
      <c r="K1502" s="92" t="str">
        <f t="shared" si="803"/>
        <v>revolutum</v>
      </c>
      <c r="L1502" s="93">
        <f t="shared" si="803"/>
        <v>7</v>
      </c>
      <c r="M1502" s="93">
        <f t="shared" si="803"/>
        <v>2</v>
      </c>
      <c r="N1502" s="94">
        <f t="shared" si="803"/>
        <v>0</v>
      </c>
      <c r="O1502" s="95"/>
      <c r="P1502" s="96" t="str">
        <f t="shared" si="702"/>
        <v/>
      </c>
      <c r="Q1502" s="97" t="str">
        <f t="shared" si="703"/>
        <v/>
      </c>
      <c r="R1502" s="98" t="e">
        <f t="shared" si="704"/>
        <v>#VALUE!</v>
      </c>
      <c r="S1502" s="98" t="e">
        <f>IF(T1502&lt;D1502, (T1502*3600+U1502*60+V1502)+((23*3600+59*60+60)-(D1502*3600+E1502*60+LEFT(F1502,2))), (T1502*3600+U1502*60+V1502)-(D1502*3600+E1502*60+LEFT(F1502,2)))</f>
        <v>#VALUE!</v>
      </c>
      <c r="T1502" s="98" t="str">
        <f t="shared" si="706"/>
        <v/>
      </c>
      <c r="U1502" s="99"/>
      <c r="V1502" s="100"/>
      <c r="W1502" s="101" t="e">
        <f t="shared" si="707"/>
        <v>#VALUE!</v>
      </c>
      <c r="X1502" s="102"/>
      <c r="Y1502" s="122"/>
      <c r="Z1502" s="122"/>
      <c r="AA1502" s="47" t="e">
        <f>INDEX(VISITORS[INSECT ORDER], MATCH(X1502,VISITORS[NAME USED],0))</f>
        <v>#N/A</v>
      </c>
      <c r="AB1502" s="98" t="e">
        <f t="shared" si="708"/>
        <v>#N/A</v>
      </c>
      <c r="AC1502" s="53" t="e">
        <f t="shared" si="709"/>
        <v>#VALUE!</v>
      </c>
      <c r="AD1502" s="103" t="str">
        <f t="shared" si="710"/>
        <v/>
      </c>
      <c r="AE1502" s="103"/>
      <c r="AF1502" s="103"/>
      <c r="AG1502" s="104" t="str">
        <f t="shared" si="711"/>
        <v/>
      </c>
      <c r="AH1502" s="105" t="str">
        <f t="shared" si="712"/>
        <v/>
      </c>
      <c r="AI1502" s="104"/>
      <c r="AJ1502" s="105" t="str">
        <f t="shared" si="713"/>
        <v/>
      </c>
      <c r="AK1502" s="104"/>
      <c r="AL1502" s="105" t="str">
        <f t="shared" si="714"/>
        <v/>
      </c>
      <c r="AM1502" s="104"/>
      <c r="AN1502" s="105" t="str">
        <f t="shared" si="715"/>
        <v/>
      </c>
      <c r="AO1502" s="104"/>
      <c r="AP1502" s="105" t="str">
        <f t="shared" si="716"/>
        <v/>
      </c>
      <c r="AQ1502" s="104"/>
      <c r="AR1502" s="105" t="str">
        <f t="shared" si="717"/>
        <v/>
      </c>
      <c r="AS1502" s="106"/>
      <c r="AT1502" s="107"/>
      <c r="AU1502" s="107"/>
      <c r="AV1502" s="108"/>
      <c r="AW1502" s="109" t="str">
        <f t="shared" si="718"/>
        <v/>
      </c>
      <c r="AX1502" s="110" t="str">
        <f t="shared" si="719"/>
        <v/>
      </c>
      <c r="AY1502" s="109" t="str">
        <f t="shared" si="720"/>
        <v/>
      </c>
      <c r="AZ1502" s="110" t="str">
        <f t="shared" si="721"/>
        <v/>
      </c>
    </row>
    <row r="1503" spans="1:52" s="3" customFormat="1" ht="15" hidden="1" thickBot="1" x14ac:dyDescent="0.4">
      <c r="A1503" s="85">
        <f t="shared" si="788"/>
        <v>2021</v>
      </c>
      <c r="B1503" s="85" t="str">
        <f t="shared" ref="B1503" si="804">IF(C1502-C1503&gt;0, TEXT(DATE(2016,(MONTH(DATEVALUE(B1502&amp;"1"))+1),1),"mmm"), B1502)</f>
        <v>Nov</v>
      </c>
      <c r="C1503" s="86">
        <f t="shared" ref="C1503" si="805">IF(AND(D1503=0, E1503=0), IF(TEXT(C1502,"dd")=TEXT(EOMONTH(DATE(A1502,MONTH(DATEVALUE(B1502&amp;"1")),C1502),0), "dd"), 1, C1502+1), C1502)</f>
        <v>15</v>
      </c>
      <c r="D1503" s="87">
        <f t="shared" ref="D1503" si="806">IF(IF(E1502=59,D1502+1,D1502)=24,0,IF(E1502=59,D1502+1,D1502))</f>
        <v>14</v>
      </c>
      <c r="E1503" s="88">
        <f t="shared" si="789"/>
        <v>10</v>
      </c>
      <c r="F1503" s="89"/>
      <c r="G1503" s="90"/>
      <c r="H1503" s="68" t="str">
        <f t="shared" ref="H1503" si="807">IF(AND(OR(E1502=$G$3,E1502=$G$4,E1502=$G$5,E1502=$G$6,E1502=$G$7,E1502=$G$8),E1502&lt;&gt;RIGHT(H1502,2)),CONCATENATE(LEFT(J1503,3),LEFT(K1503,3),L1503,"_",A1503,TEXT(MONTH(DATEVALUE(B1503&amp;"1")),"00"),TEXT(C1503,"00"),"_",TEXT(D1503,"00"),"_",TEXT(E1502,"00")),IF(AND(OR(E1503=$G$3,E1503=$G$4,E1503=$G$5,E1503=$G$6,E1503=$G$7,E1503=$G$8),OR(F1503="",F1503&gt;$G$9-1)),CONCATENATE(LEFT(J1503,3),LEFT(K1503,3),L1503,"_",A1503,TEXT(MONTH(DATEVALUE(B1503&amp;"1")),"00"),TEXT(C1503,"00"),"_",TEXT(D1503,"00"),"_",TEXT(E1503,"00")),H1502))</f>
        <v>Hyprev7_20211115_14_00</v>
      </c>
      <c r="I1503" s="91">
        <f t="shared" si="803"/>
        <v>1</v>
      </c>
      <c r="J1503" s="92" t="str">
        <f t="shared" si="803"/>
        <v>Hypericum</v>
      </c>
      <c r="K1503" s="92" t="str">
        <f t="shared" si="803"/>
        <v>revolutum</v>
      </c>
      <c r="L1503" s="93">
        <f t="shared" si="803"/>
        <v>7</v>
      </c>
      <c r="M1503" s="93">
        <f t="shared" si="803"/>
        <v>2</v>
      </c>
      <c r="N1503" s="94">
        <f t="shared" si="803"/>
        <v>0</v>
      </c>
      <c r="O1503" s="95"/>
      <c r="P1503" s="96" t="str">
        <f t="shared" ref="P1503" si="808">IF(F1503="","",1)</f>
        <v/>
      </c>
      <c r="Q1503" s="97" t="str">
        <f t="shared" ref="Q1503" si="809">TEXT(IF(P1503=1,CONCATENATE($D1503,":",$E1503,":",(LEFT($F1503,2))),""),"hh:mm:ss")</f>
        <v/>
      </c>
      <c r="R1503" s="98" t="e">
        <f t="shared" ref="R1503" si="810">TEXT(Q1503-TIME(0,RIGHT($H1503,2),$G$9)+(Q1503&gt;TIME(0,RIGHT($H1503,2),$G$9)),"mm:ss")</f>
        <v>#VALUE!</v>
      </c>
      <c r="S1503" s="98" t="e">
        <f>IF(T1503&lt;D1503, (T1503*3600+U1503*60+V1503)+((23*3600+59*60+60)-(D1503*3600+E1503*60+LEFT(F1503,2))), (T1503*3600+U1503*60+V1503)-(D1503*3600+E1503*60+LEFT(F1503,2)))</f>
        <v>#VALUE!</v>
      </c>
      <c r="T1503" s="98" t="str">
        <f t="shared" ref="T1503" si="811">TEXT(IF(P1503=1,D1503,""),"00")</f>
        <v/>
      </c>
      <c r="U1503" s="99"/>
      <c r="V1503" s="100"/>
      <c r="W1503" s="101" t="e">
        <f t="shared" ref="W1503" si="812">IF(O1503=0,TEXT(TIME(T1503,U1503,V1503)-TIME(D1503,E1503,RIGHT(F1503,2))+TIME(0,LEFT(R1503,2),RIGHT(R1503,2)),"mm:ss"),TEXT(TIME(T1503,U1503,V1503)-TIME(D1503,E1503,RIGHT(F1503,2))+TIME(0,LEFT(R1503,2),RIGHT(R1503,2))-TIME(0,($G$10*O1503),0),"mm:ss"))</f>
        <v>#VALUE!</v>
      </c>
      <c r="X1503" s="102"/>
      <c r="Y1503" s="122"/>
      <c r="Z1503" s="122"/>
      <c r="AA1503" s="47" t="e">
        <f>INDEX(VISITORS[INSECT ORDER], MATCH(X1503,VISITORS[NAME USED],0))</f>
        <v>#N/A</v>
      </c>
      <c r="AB1503" s="98" t="e">
        <f t="shared" ref="AB1503" si="813">IF(AA1503&lt;&gt;0,"NA","")</f>
        <v>#N/A</v>
      </c>
      <c r="AC1503" s="53" t="e">
        <f t="shared" ref="AC1503" si="814">IF(SUM(AH1503,AJ1503,AL1503,AN1503,AP1503,AR1503)=S1503,,"")</f>
        <v>#VALUE!</v>
      </c>
      <c r="AD1503" s="103" t="str">
        <f t="shared" ref="AD1503" si="815">IF(P1503=1,1,"")</f>
        <v/>
      </c>
      <c r="AE1503" s="103"/>
      <c r="AF1503" s="103"/>
      <c r="AG1503" s="104" t="str">
        <f t="shared" ref="AG1503" si="816">IF(OR(X1503="Something small"),1,"")</f>
        <v/>
      </c>
      <c r="AH1503" s="105" t="str">
        <f t="shared" ref="AH1503" si="817">IF(AG1503=1,$S1503,"")</f>
        <v/>
      </c>
      <c r="AI1503" s="104"/>
      <c r="AJ1503" s="105" t="str">
        <f t="shared" ref="AJ1503" si="818">IF(AI1503=1,$S1503,"")</f>
        <v/>
      </c>
      <c r="AK1503" s="104"/>
      <c r="AL1503" s="105" t="str">
        <f t="shared" ref="AL1503" si="819">IF(AK1503=1,$S1503,"")</f>
        <v/>
      </c>
      <c r="AM1503" s="104"/>
      <c r="AN1503" s="105" t="str">
        <f t="shared" ref="AN1503" si="820">IF(AM1503=1,$S1503,"")</f>
        <v/>
      </c>
      <c r="AO1503" s="104"/>
      <c r="AP1503" s="105" t="str">
        <f t="shared" ref="AP1503" si="821">IF(AO1503=1,$S1503,"")</f>
        <v/>
      </c>
      <c r="AQ1503" s="104"/>
      <c r="AR1503" s="105" t="str">
        <f t="shared" ref="AR1503" si="822">IF(AQ1503=1,$S1503,"")</f>
        <v/>
      </c>
      <c r="AS1503" s="106"/>
      <c r="AT1503" s="107"/>
      <c r="AU1503" s="107"/>
      <c r="AV1503" s="108"/>
      <c r="AW1503" s="109" t="str">
        <f t="shared" ref="AW1503" si="823">IF(P1503=1,0,"")</f>
        <v/>
      </c>
      <c r="AX1503" s="110" t="str">
        <f t="shared" ref="AX1503" si="824">IF(AW1503=1,AD1503,"")</f>
        <v/>
      </c>
      <c r="AY1503" s="109" t="str">
        <f t="shared" ref="AY1503" si="825">IF(P1503=1,0,"")</f>
        <v/>
      </c>
      <c r="AZ1503" s="110" t="str">
        <f t="shared" ref="AZ1503" si="826">IF(AY1503=1,AD1503,"")</f>
        <v/>
      </c>
    </row>
  </sheetData>
  <sheetProtection formatCells="0" formatColumns="0" formatRows="0" sort="0" autoFilter="0"/>
  <protectedRanges>
    <protectedRange sqref="X3:Z3 AB3" name="Visitor ID_1"/>
    <protectedRange sqref="P3:P1503" name="Visitor arrival_1_1"/>
    <protectedRange sqref="W3:W1503" name="Time of Departure_1"/>
    <protectedRange sqref="AB4:AB1048576 X4:Z1064 X1066:Z1099 X1065 X1101:Z1048576 X1100"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04:P1048576" name="Visitor arrival_1"/>
    <protectedRange sqref="W1504:W1048576" name="Time of Departure"/>
    <protectedRange sqref="AA3:AA1048576" name="Visitor ID_2"/>
    <protectedRange sqref="AW1:AX1 AZ1:AZ1417 AW2:AY1417 AW1418:AZ1048576" name="Visitor behaviour_1_1"/>
    <protectedRange sqref="Y1065:Z1065" name="Visitor ID_3"/>
    <protectedRange sqref="Y1100:Z1100" name="Visitor ID_4"/>
  </protectedRanges>
  <autoFilter ref="A2:AZ1503" xr:uid="{00000000-0009-0000-0000-000000000000}">
    <filterColumn colId="12" showButton="0"/>
    <filterColumn colId="15">
      <customFilters>
        <customFilter operator="notEqual" val=" "/>
      </customFilters>
    </filterColumn>
    <filterColumn colId="19" showButton="0"/>
    <filterColumn colId="20" showButton="0"/>
    <filterColumn colId="23">
      <filters>
        <filter val="blue bird"/>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26" priority="418" operator="beginsWith" text="NA">
      <formula>LEFT(A1,LEN("NA"))="NA"</formula>
    </cfRule>
  </conditionalFormatting>
  <conditionalFormatting sqref="F3:F100000">
    <cfRule type="cellIs" dxfId="25" priority="13" operator="greaterThan">
      <formula>60</formula>
    </cfRule>
  </conditionalFormatting>
  <conditionalFormatting sqref="I1:I1503">
    <cfRule type="containsBlanks" dxfId="24" priority="17">
      <formula>LEN(TRIM(I1))=0</formula>
    </cfRule>
  </conditionalFormatting>
  <conditionalFormatting sqref="P2:S1503">
    <cfRule type="beginsWith" dxfId="23" priority="9" operator="beginsWith" text="NA">
      <formula>LEFT(P2,LEN("NA"))="NA"</formula>
    </cfRule>
  </conditionalFormatting>
  <conditionalFormatting sqref="R2:R1503">
    <cfRule type="containsErrors" dxfId="22" priority="19">
      <formula>ISERROR(R2)</formula>
    </cfRule>
  </conditionalFormatting>
  <conditionalFormatting sqref="S1:S1048576">
    <cfRule type="containsErrors" dxfId="21" priority="10">
      <formula>ISERROR(S1)</formula>
    </cfRule>
  </conditionalFormatting>
  <conditionalFormatting sqref="W2:W1442">
    <cfRule type="containsErrors" dxfId="20" priority="408">
      <formula>ISERROR(W2)</formula>
    </cfRule>
  </conditionalFormatting>
  <conditionalFormatting sqref="W1443:W1503">
    <cfRule type="beginsWith" dxfId="19" priority="11" operator="beginsWith" text="NA">
      <formula>LEFT(W1443,LEN("NA"))="NA"</formula>
    </cfRule>
    <cfRule type="containsErrors" dxfId="18" priority="12">
      <formula>ISERROR(W1443)</formula>
    </cfRule>
  </conditionalFormatting>
  <conditionalFormatting sqref="W2:AA1064 W1066:AA1099 W1065:X1065 AA1065 W1101:AA1442 W1100:X1100 AA1100">
    <cfRule type="beginsWith" dxfId="17" priority="386" operator="beginsWith" text="NA">
      <formula>LEFT(W2,LEN("NA"))="NA"</formula>
    </cfRule>
  </conditionalFormatting>
  <conditionalFormatting sqref="X1452:Z1474">
    <cfRule type="beginsWith" dxfId="16" priority="195" operator="beginsWith" text="NA">
      <formula>LEFT(X1452,LEN("NA"))="NA"</formula>
    </cfRule>
  </conditionalFormatting>
  <conditionalFormatting sqref="X1475:AA1503">
    <cfRule type="beginsWith" dxfId="15" priority="7" operator="beginsWith" text="NA">
      <formula>LEFT(X1475,LEN("NA"))="NA"</formula>
    </cfRule>
  </conditionalFormatting>
  <conditionalFormatting sqref="X1443:AH1451">
    <cfRule type="beginsWith" dxfId="14" priority="329" operator="beginsWith" text="NA">
      <formula>LEFT(X1443,LEN("NA"))="NA"</formula>
    </cfRule>
  </conditionalFormatting>
  <conditionalFormatting sqref="AA1463 AA1484">
    <cfRule type="beginsWith" dxfId="13" priority="3" operator="beginsWith" text="NA">
      <formula>LEFT(AA1463,LEN("NA"))="NA"</formula>
    </cfRule>
  </conditionalFormatting>
  <conditionalFormatting sqref="AA1467:AA1474">
    <cfRule type="beginsWith" dxfId="12" priority="185" operator="beginsWith" text="NA">
      <formula>LEFT(AA1467,LEN("NA"))="NA"</formula>
    </cfRule>
  </conditionalFormatting>
  <conditionalFormatting sqref="AA1:AB1048576">
    <cfRule type="containsErrors" dxfId="11" priority="6">
      <formula>ISERROR(AA1)</formula>
    </cfRule>
  </conditionalFormatting>
  <conditionalFormatting sqref="AA1452:AH1466">
    <cfRule type="beginsWith" dxfId="10" priority="239" operator="beginsWith" text="NA">
      <formula>LEFT(AA1452,LEN("NA"))="NA"</formula>
    </cfRule>
  </conditionalFormatting>
  <conditionalFormatting sqref="AB2 P1 AD1:AF1 AD2">
    <cfRule type="beginsWith" dxfId="9" priority="416" operator="beginsWith" text="NA">
      <formula>LEFT(P1,LEN("NA"))="NA"</formula>
    </cfRule>
  </conditionalFormatting>
  <conditionalFormatting sqref="AB1467:AH1503">
    <cfRule type="beginsWith" dxfId="8" priority="15" operator="beginsWith" text="NA">
      <formula>LEFT(AB1467,LEN("NA"))="NA"</formula>
    </cfRule>
  </conditionalFormatting>
  <conditionalFormatting sqref="AB3:AJ1442">
    <cfRule type="beginsWith" dxfId="7" priority="382" operator="beginsWith" text="NA">
      <formula>LEFT(AB3,LEN("NA"))="NA"</formula>
    </cfRule>
  </conditionalFormatting>
  <conditionalFormatting sqref="AC3:AC1503">
    <cfRule type="containsBlanks" dxfId="6" priority="18">
      <formula>LEN(TRIM(AC3))=0</formula>
    </cfRule>
  </conditionalFormatting>
  <conditionalFormatting sqref="AG2:AJ2">
    <cfRule type="beginsWith" dxfId="5" priority="390" operator="beginsWith" text="NA">
      <formula>LEFT(AG2,LEN("NA"))="NA"</formula>
    </cfRule>
  </conditionalFormatting>
  <conditionalFormatting sqref="AI1443:AZ1503">
    <cfRule type="beginsWith" dxfId="4" priority="4" operator="beginsWith" text="NA">
      <formula>LEFT(AI1443,LEN("NA"))="NA"</formula>
    </cfRule>
  </conditionalFormatting>
  <conditionalFormatting sqref="AV1:AW1 AK2:AZ1442">
    <cfRule type="beginsWith" dxfId="3" priority="380" operator="beginsWith" text="NA">
      <formula>LEFT(AK1,LEN("NA"))="NA"</formula>
    </cfRule>
  </conditionalFormatting>
  <conditionalFormatting sqref="BA1:XFD1503 A3:O1503">
    <cfRule type="beginsWith" dxfId="2" priority="16" operator="beginsWith" text="NA">
      <formula>LEFT(A1,LEN("NA"))="NA"</formula>
    </cfRule>
  </conditionalFormatting>
  <conditionalFormatting sqref="Y1065:Z1065">
    <cfRule type="beginsWith" dxfId="1" priority="2" operator="beginsWith" text="NA">
      <formula>LEFT(Y1065,LEN("NA"))="NA"</formula>
    </cfRule>
  </conditionalFormatting>
  <conditionalFormatting sqref="Y1100:Z1100">
    <cfRule type="beginsWith" dxfId="0" priority="1" operator="beginsWith" text="NA">
      <formula>LEFT(Y1100,LEN("NA"))="NA"</formula>
    </cfRule>
  </conditionalFormatting>
  <dataValidations count="1">
    <dataValidation type="whole" operator="equal" allowBlank="1" showInputMessage="1" showErrorMessage="1" sqref="I3:I150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2017-03-24T13:29:19Z</dcterms:created>
  <dcterms:modified xsi:type="dcterms:W3CDTF">2023-12-05T16:01:12Z</dcterms:modified>
</cp:coreProperties>
</file>