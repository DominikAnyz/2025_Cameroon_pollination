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3583852E-86F2-4699-AA38-418E8548DF7C}"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CopyMe!$A$2:$BB$1442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2" i="3" l="1"/>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3" i="3"/>
  <c r="AA74" i="3"/>
  <c r="AA75" i="3"/>
  <c r="AA76" i="3"/>
  <c r="AA77" i="3"/>
  <c r="AA78" i="3"/>
  <c r="AA79"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4" i="3"/>
  <c r="AA115" i="3"/>
  <c r="AA116" i="3"/>
  <c r="AA117" i="3"/>
  <c r="AA118" i="3"/>
  <c r="AA119" i="3"/>
  <c r="AA120" i="3"/>
  <c r="AA121" i="3"/>
  <c r="AA123" i="3"/>
  <c r="AA124" i="3"/>
  <c r="AA125" i="3"/>
  <c r="AA126" i="3"/>
  <c r="AA127" i="3"/>
  <c r="AA128" i="3"/>
  <c r="AA129" i="3"/>
  <c r="AA130" i="3"/>
  <c r="AA131" i="3"/>
  <c r="AA133" i="3"/>
  <c r="AA134" i="3"/>
  <c r="AA135" i="3"/>
  <c r="AA137" i="3"/>
  <c r="AA139" i="3"/>
  <c r="AA140" i="3"/>
  <c r="AA141" i="3"/>
  <c r="AA145" i="3"/>
  <c r="AA147" i="3"/>
  <c r="AA148" i="3"/>
  <c r="AA149" i="3"/>
  <c r="AA150" i="3"/>
  <c r="AA152" i="3"/>
  <c r="AA153" i="3"/>
  <c r="AA154" i="3"/>
  <c r="AA155" i="3"/>
  <c r="AA158" i="3"/>
  <c r="AA159" i="3"/>
  <c r="AA160" i="3"/>
  <c r="AA161" i="3"/>
  <c r="AA162" i="3"/>
  <c r="AA163" i="3"/>
  <c r="AA164" i="3"/>
  <c r="AA165" i="3"/>
  <c r="AA166" i="3"/>
  <c r="AA167" i="3"/>
  <c r="AA168" i="3"/>
  <c r="AA169" i="3"/>
  <c r="AA170" i="3"/>
  <c r="AA172" i="3"/>
  <c r="AA173" i="3"/>
  <c r="AA174" i="3"/>
  <c r="AA176" i="3"/>
  <c r="AA178" i="3"/>
  <c r="AA179" i="3"/>
  <c r="AA180" i="3"/>
  <c r="AA181" i="3"/>
  <c r="AA182" i="3"/>
  <c r="AA183" i="3"/>
  <c r="AA186" i="3"/>
  <c r="AA187" i="3"/>
  <c r="AA188" i="3"/>
  <c r="AA189" i="3"/>
  <c r="AA190" i="3"/>
  <c r="AA191" i="3"/>
  <c r="AA192" i="3"/>
  <c r="AA193" i="3"/>
  <c r="AA194" i="3"/>
  <c r="AA196" i="3"/>
  <c r="AA197" i="3"/>
  <c r="AA198" i="3"/>
  <c r="AA199" i="3"/>
  <c r="AA200" i="3"/>
  <c r="AA201" i="3"/>
  <c r="AA202" i="3"/>
  <c r="AA203" i="3"/>
  <c r="AA204" i="3"/>
  <c r="AA205" i="3"/>
  <c r="AA206" i="3"/>
  <c r="AA207" i="3"/>
  <c r="AA208" i="3"/>
  <c r="AA209" i="3"/>
  <c r="AA210" i="3"/>
  <c r="AA211" i="3"/>
  <c r="AA213" i="3"/>
  <c r="AA214" i="3"/>
  <c r="AA215" i="3"/>
  <c r="AA216" i="3"/>
  <c r="AA217" i="3"/>
  <c r="AA218" i="3"/>
  <c r="AA219" i="3"/>
  <c r="AA220" i="3"/>
  <c r="AA221" i="3"/>
  <c r="AA222" i="3"/>
  <c r="AA223" i="3"/>
  <c r="AA224" i="3"/>
  <c r="AA225" i="3"/>
  <c r="AA226" i="3"/>
  <c r="AA227" i="3"/>
  <c r="AA228" i="3"/>
  <c r="AA229" i="3"/>
  <c r="AA230" i="3"/>
  <c r="AA232" i="3"/>
  <c r="AA233" i="3"/>
  <c r="AA234" i="3"/>
  <c r="AA235" i="3"/>
  <c r="AA236" i="3"/>
  <c r="AA238" i="3"/>
  <c r="AA239" i="3"/>
  <c r="AA240" i="3"/>
  <c r="AA241" i="3"/>
  <c r="AA242" i="3"/>
  <c r="AA243" i="3"/>
  <c r="AA244" i="3"/>
  <c r="AA245" i="3"/>
  <c r="AA246" i="3"/>
  <c r="AA247" i="3"/>
  <c r="AA248" i="3"/>
  <c r="AA249" i="3"/>
  <c r="AA250" i="3"/>
  <c r="AA251" i="3"/>
  <c r="AA252" i="3"/>
  <c r="AA253" i="3"/>
  <c r="AA254" i="3"/>
  <c r="AA255" i="3"/>
  <c r="AA256" i="3"/>
  <c r="AA257" i="3"/>
  <c r="AA258" i="3"/>
  <c r="AA259"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5" i="3"/>
  <c r="AA336" i="3"/>
  <c r="AA337" i="3"/>
  <c r="AA338" i="3"/>
  <c r="AA339" i="3"/>
  <c r="AA340" i="3"/>
  <c r="AA341" i="3"/>
  <c r="AA342" i="3"/>
  <c r="AA343" i="3"/>
  <c r="AA344" i="3"/>
  <c r="AA345" i="3"/>
  <c r="AA346" i="3"/>
  <c r="AA347" i="3"/>
  <c r="AA348"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G7" i="3"/>
  <c r="AG8" i="3"/>
  <c r="AG9" i="3"/>
  <c r="AG10" i="3"/>
  <c r="AG11" i="3"/>
  <c r="AH11" i="3" s="1"/>
  <c r="AG12" i="3"/>
  <c r="AG13" i="3"/>
  <c r="AG14" i="3"/>
  <c r="AH14" i="3" s="1"/>
  <c r="AG15" i="3"/>
  <c r="AH15" i="3" s="1"/>
  <c r="AG16" i="3"/>
  <c r="AH16" i="3" s="1"/>
  <c r="AG17" i="3"/>
  <c r="AG18" i="3"/>
  <c r="AH18" i="3" s="1"/>
  <c r="AG19" i="3"/>
  <c r="AH19" i="3" s="1"/>
  <c r="AG20" i="3"/>
  <c r="AG21" i="3"/>
  <c r="AG22" i="3"/>
  <c r="AG23" i="3"/>
  <c r="AG24" i="3"/>
  <c r="AG25" i="3"/>
  <c r="AG26" i="3"/>
  <c r="AH26" i="3" s="1"/>
  <c r="AG27" i="3"/>
  <c r="AH27" i="3" s="1"/>
  <c r="AG28" i="3"/>
  <c r="AG29" i="3"/>
  <c r="AG30" i="3"/>
  <c r="AG31" i="3"/>
  <c r="AG32" i="3"/>
  <c r="AH32" i="3" s="1"/>
  <c r="AG33" i="3"/>
  <c r="AH33" i="3" s="1"/>
  <c r="AG34" i="3"/>
  <c r="AH34" i="3" s="1"/>
  <c r="AG35" i="3"/>
  <c r="AH35" i="3" s="1"/>
  <c r="AG36" i="3"/>
  <c r="AG37" i="3"/>
  <c r="AG38" i="3"/>
  <c r="AH38" i="3" s="1"/>
  <c r="AG39" i="3"/>
  <c r="AG40" i="3"/>
  <c r="AG41" i="3"/>
  <c r="AG42" i="3"/>
  <c r="AG43" i="3"/>
  <c r="AH43" i="3" s="1"/>
  <c r="AG44" i="3"/>
  <c r="AG45" i="3"/>
  <c r="AG46" i="3"/>
  <c r="AG47" i="3"/>
  <c r="AH47" i="3" s="1"/>
  <c r="AG48" i="3"/>
  <c r="AG49" i="3"/>
  <c r="AH49" i="3" s="1"/>
  <c r="AG50" i="3"/>
  <c r="AH50" i="3" s="1"/>
  <c r="AG51" i="3"/>
  <c r="AH51" i="3" s="1"/>
  <c r="AG52" i="3"/>
  <c r="AG53" i="3"/>
  <c r="AG54" i="3"/>
  <c r="AG55" i="3"/>
  <c r="AG56" i="3"/>
  <c r="AG57" i="3"/>
  <c r="AG58" i="3"/>
  <c r="AG59" i="3"/>
  <c r="AH59" i="3" s="1"/>
  <c r="AG60" i="3"/>
  <c r="AG61" i="3"/>
  <c r="AG62" i="3"/>
  <c r="AH62" i="3" s="1"/>
  <c r="AG63" i="3"/>
  <c r="AH63" i="3" s="1"/>
  <c r="AG64" i="3"/>
  <c r="AH64" i="3" s="1"/>
  <c r="AG65" i="3"/>
  <c r="AH65" i="3" s="1"/>
  <c r="AG66" i="3"/>
  <c r="AH66" i="3" s="1"/>
  <c r="AG67" i="3"/>
  <c r="AH67" i="3" s="1"/>
  <c r="AG68" i="3"/>
  <c r="AG69" i="3"/>
  <c r="AG70" i="3"/>
  <c r="AG71" i="3"/>
  <c r="AG73" i="3"/>
  <c r="AG74" i="3"/>
  <c r="AG75" i="3"/>
  <c r="AH75" i="3" s="1"/>
  <c r="AG76" i="3"/>
  <c r="AH76" i="3" s="1"/>
  <c r="AG77" i="3"/>
  <c r="AG78" i="3"/>
  <c r="AG79" i="3"/>
  <c r="AG81" i="3"/>
  <c r="AH81" i="3" s="1"/>
  <c r="AG82" i="3"/>
  <c r="AG83" i="3"/>
  <c r="AH83" i="3" s="1"/>
  <c r="AG84" i="3"/>
  <c r="AH84" i="3" s="1"/>
  <c r="AG85" i="3"/>
  <c r="AG86" i="3"/>
  <c r="AG87" i="3"/>
  <c r="AG88" i="3"/>
  <c r="AH88" i="3" s="1"/>
  <c r="AG89" i="3"/>
  <c r="AH89" i="3" s="1"/>
  <c r="AG90" i="3"/>
  <c r="AG91" i="3"/>
  <c r="AH91" i="3" s="1"/>
  <c r="AG92" i="3"/>
  <c r="AG93" i="3"/>
  <c r="AH93" i="3" s="1"/>
  <c r="AG94" i="3"/>
  <c r="AG95" i="3"/>
  <c r="AG96" i="3"/>
  <c r="AG97" i="3"/>
  <c r="AH97" i="3" s="1"/>
  <c r="AG98" i="3"/>
  <c r="AH98" i="3" s="1"/>
  <c r="AG99" i="3"/>
  <c r="AH99" i="3" s="1"/>
  <c r="AG100" i="3"/>
  <c r="AH100" i="3" s="1"/>
  <c r="AG101" i="3"/>
  <c r="AH101" i="3" s="1"/>
  <c r="AG102" i="3"/>
  <c r="AG103" i="3"/>
  <c r="AG104" i="3"/>
  <c r="AG105" i="3"/>
  <c r="AG106" i="3"/>
  <c r="AG107" i="3"/>
  <c r="AH107" i="3" s="1"/>
  <c r="AG108" i="3"/>
  <c r="AG109" i="3"/>
  <c r="AH109" i="3" s="1"/>
  <c r="AG110" i="3"/>
  <c r="AG111" i="3"/>
  <c r="AG112" i="3"/>
  <c r="AH112" i="3" s="1"/>
  <c r="AG114" i="3"/>
  <c r="AH114" i="3" s="1"/>
  <c r="AG115" i="3"/>
  <c r="AH115" i="3" s="1"/>
  <c r="AG116" i="3"/>
  <c r="AG117" i="3"/>
  <c r="AH117" i="3" s="1"/>
  <c r="AG118" i="3"/>
  <c r="AH118" i="3" s="1"/>
  <c r="AG119" i="3"/>
  <c r="AG120" i="3"/>
  <c r="AG121" i="3"/>
  <c r="AG123" i="3"/>
  <c r="AH123" i="3" s="1"/>
  <c r="AG124" i="3"/>
  <c r="AG125" i="3"/>
  <c r="AG126" i="3"/>
  <c r="AH126" i="3" s="1"/>
  <c r="AG127" i="3"/>
  <c r="AH127" i="3" s="1"/>
  <c r="AG128" i="3"/>
  <c r="AG129" i="3"/>
  <c r="AG130" i="3"/>
  <c r="AG131" i="3"/>
  <c r="AH131" i="3" s="1"/>
  <c r="AG133" i="3"/>
  <c r="AH133" i="3" s="1"/>
  <c r="AG134" i="3"/>
  <c r="AH134" i="3" s="1"/>
  <c r="AG135" i="3"/>
  <c r="AH135" i="3" s="1"/>
  <c r="AG137" i="3"/>
  <c r="AH137" i="3" s="1"/>
  <c r="AG139" i="3"/>
  <c r="AH139" i="3" s="1"/>
  <c r="AG140" i="3"/>
  <c r="AG141" i="3"/>
  <c r="AH141" i="3" s="1"/>
  <c r="AG145" i="3"/>
  <c r="AH145" i="3" s="1"/>
  <c r="AG147" i="3"/>
  <c r="AH147" i="3" s="1"/>
  <c r="AG148" i="3"/>
  <c r="AG149" i="3"/>
  <c r="AG150" i="3"/>
  <c r="AH150" i="3" s="1"/>
  <c r="AG152" i="3"/>
  <c r="AG153" i="3"/>
  <c r="AG154" i="3"/>
  <c r="AG155" i="3"/>
  <c r="AH155" i="3" s="1"/>
  <c r="AG158" i="3"/>
  <c r="AH158" i="3" s="1"/>
  <c r="AG159" i="3"/>
  <c r="AH159" i="3" s="1"/>
  <c r="AG160" i="3"/>
  <c r="AH160" i="3" s="1"/>
  <c r="AG161" i="3"/>
  <c r="AH161" i="3" s="1"/>
  <c r="AG162" i="3"/>
  <c r="AG163" i="3"/>
  <c r="AH163" i="3" s="1"/>
  <c r="AG164" i="3"/>
  <c r="AG165" i="3"/>
  <c r="AG166" i="3"/>
  <c r="AG167" i="3"/>
  <c r="AG168" i="3"/>
  <c r="AG169" i="3"/>
  <c r="AH169" i="3" s="1"/>
  <c r="AG170" i="3"/>
  <c r="AG172" i="3"/>
  <c r="AG173" i="3"/>
  <c r="AH173" i="3" s="1"/>
  <c r="AG174" i="3"/>
  <c r="AH174" i="3" s="1"/>
  <c r="AG176" i="3"/>
  <c r="AH176" i="3" s="1"/>
  <c r="AG178" i="3"/>
  <c r="AH178" i="3" s="1"/>
  <c r="AG179" i="3"/>
  <c r="AH179" i="3" s="1"/>
  <c r="AG180" i="3"/>
  <c r="AG181" i="3"/>
  <c r="AG182" i="3"/>
  <c r="AG183" i="3"/>
  <c r="AG186" i="3"/>
  <c r="AG187" i="3"/>
  <c r="AH187" i="3" s="1"/>
  <c r="AG188" i="3"/>
  <c r="AG189" i="3"/>
  <c r="AH189" i="3" s="1"/>
  <c r="AG190" i="3"/>
  <c r="AH190" i="3" s="1"/>
  <c r="AG191" i="3"/>
  <c r="AG192" i="3"/>
  <c r="AG193" i="3"/>
  <c r="AG194" i="3"/>
  <c r="AH194" i="3" s="1"/>
  <c r="AG196" i="3"/>
  <c r="AG197" i="3"/>
  <c r="AH197" i="3" s="1"/>
  <c r="AG198" i="3"/>
  <c r="AH198" i="3" s="1"/>
  <c r="AG199" i="3"/>
  <c r="AG200" i="3"/>
  <c r="AG201" i="3"/>
  <c r="AG202" i="3"/>
  <c r="AH202" i="3" s="1"/>
  <c r="AG203" i="3"/>
  <c r="AH203" i="3" s="1"/>
  <c r="AG204" i="3"/>
  <c r="AG205" i="3"/>
  <c r="AG206" i="3"/>
  <c r="AH206" i="3" s="1"/>
  <c r="AG207" i="3"/>
  <c r="AG208" i="3"/>
  <c r="AG209" i="3"/>
  <c r="AG210" i="3"/>
  <c r="AG211" i="3"/>
  <c r="AH211" i="3" s="1"/>
  <c r="AG213" i="3"/>
  <c r="AH213" i="3" s="1"/>
  <c r="AG214" i="3"/>
  <c r="AH214" i="3" s="1"/>
  <c r="AG215" i="3"/>
  <c r="AH215" i="3" s="1"/>
  <c r="AG216" i="3"/>
  <c r="AH216" i="3" s="1"/>
  <c r="AG217" i="3"/>
  <c r="AG218" i="3"/>
  <c r="AG219" i="3"/>
  <c r="AH219" i="3" s="1"/>
  <c r="AG220" i="3"/>
  <c r="AG221" i="3"/>
  <c r="AG222" i="3"/>
  <c r="AG223" i="3"/>
  <c r="AH223" i="3" s="1"/>
  <c r="AG224" i="3"/>
  <c r="AG225" i="3"/>
  <c r="AG226" i="3"/>
  <c r="AG227" i="3"/>
  <c r="AH227" i="3" s="1"/>
  <c r="AG228" i="3"/>
  <c r="AH228" i="3" s="1"/>
  <c r="AG229" i="3"/>
  <c r="AH229" i="3" s="1"/>
  <c r="AG230" i="3"/>
  <c r="AH230" i="3" s="1"/>
  <c r="AG232" i="3"/>
  <c r="AH232" i="3" s="1"/>
  <c r="AG233" i="3"/>
  <c r="AG234" i="3"/>
  <c r="AG235" i="3"/>
  <c r="AH235" i="3" s="1"/>
  <c r="AG236" i="3"/>
  <c r="AG238" i="3"/>
  <c r="AG239" i="3"/>
  <c r="AG240" i="3"/>
  <c r="AG241" i="3"/>
  <c r="AH241" i="3" s="1"/>
  <c r="AG242" i="3"/>
  <c r="AH242" i="3" s="1"/>
  <c r="AG243" i="3"/>
  <c r="AH243" i="3" s="1"/>
  <c r="AG244" i="3"/>
  <c r="AG245" i="3"/>
  <c r="AG246" i="3"/>
  <c r="AH246" i="3" s="1"/>
  <c r="AG247" i="3"/>
  <c r="AH247" i="3" s="1"/>
  <c r="AG248" i="3"/>
  <c r="AH248" i="3" s="1"/>
  <c r="AG249" i="3"/>
  <c r="AH249" i="3" s="1"/>
  <c r="AG250" i="3"/>
  <c r="AG251" i="3"/>
  <c r="AH251" i="3" s="1"/>
  <c r="AG252" i="3"/>
  <c r="AG253" i="3"/>
  <c r="AH253" i="3" s="1"/>
  <c r="AG254" i="3"/>
  <c r="AH254" i="3" s="1"/>
  <c r="AG255" i="3"/>
  <c r="AG256" i="3"/>
  <c r="AG257" i="3"/>
  <c r="AG258" i="3"/>
  <c r="AG259" i="3"/>
  <c r="AH259" i="3" s="1"/>
  <c r="AG261" i="3"/>
  <c r="AH261" i="3" s="1"/>
  <c r="AG262" i="3"/>
  <c r="AG263" i="3"/>
  <c r="AH263" i="3" s="1"/>
  <c r="AG264" i="3"/>
  <c r="AH264" i="3" s="1"/>
  <c r="AG265" i="3"/>
  <c r="AH265" i="3" s="1"/>
  <c r="AG266" i="3"/>
  <c r="AH266" i="3" s="1"/>
  <c r="AG267" i="3"/>
  <c r="AH267" i="3" s="1"/>
  <c r="AG268" i="3"/>
  <c r="AG269" i="3"/>
  <c r="AG270" i="3"/>
  <c r="AG271" i="3"/>
  <c r="AG272" i="3"/>
  <c r="AG273" i="3"/>
  <c r="AH273" i="3" s="1"/>
  <c r="AG274" i="3"/>
  <c r="AH274" i="3" s="1"/>
  <c r="AG275" i="3"/>
  <c r="AH275" i="3" s="1"/>
  <c r="AG276" i="3"/>
  <c r="AG277" i="3"/>
  <c r="AG278" i="3"/>
  <c r="AH278" i="3" s="1"/>
  <c r="AG279" i="3"/>
  <c r="AH279" i="3" s="1"/>
  <c r="AG280" i="3"/>
  <c r="AG281" i="3"/>
  <c r="AH281" i="3" s="1"/>
  <c r="AG282" i="3"/>
  <c r="AH282" i="3" s="1"/>
  <c r="AG283" i="3"/>
  <c r="AH283" i="3" s="1"/>
  <c r="AG284" i="3"/>
  <c r="AG285" i="3"/>
  <c r="AH285" i="3" s="1"/>
  <c r="AG286" i="3"/>
  <c r="AG287" i="3"/>
  <c r="AG288" i="3"/>
  <c r="AG289" i="3"/>
  <c r="AG290" i="3"/>
  <c r="AH290" i="3" s="1"/>
  <c r="AG291" i="3"/>
  <c r="AH291" i="3" s="1"/>
  <c r="AG292" i="3"/>
  <c r="AG293" i="3"/>
  <c r="AG294" i="3"/>
  <c r="AG295" i="3"/>
  <c r="AH295" i="3" s="1"/>
  <c r="AG296" i="3"/>
  <c r="AH296" i="3" s="1"/>
  <c r="AG297" i="3"/>
  <c r="AH297" i="3" s="1"/>
  <c r="AG298" i="3"/>
  <c r="AH298" i="3" s="1"/>
  <c r="AG299" i="3"/>
  <c r="AH299" i="3" s="1"/>
  <c r="AG300" i="3"/>
  <c r="AG301" i="3"/>
  <c r="AG302" i="3"/>
  <c r="AH302" i="3" s="1"/>
  <c r="AG303" i="3"/>
  <c r="AH303" i="3" s="1"/>
  <c r="AG304" i="3"/>
  <c r="AG305" i="3"/>
  <c r="AG306" i="3"/>
  <c r="AG307" i="3"/>
  <c r="AH307" i="3" s="1"/>
  <c r="AG308" i="3"/>
  <c r="AG309" i="3"/>
  <c r="AH309" i="3" s="1"/>
  <c r="AG310" i="3"/>
  <c r="AG311" i="3"/>
  <c r="AH311" i="3" s="1"/>
  <c r="AG312" i="3"/>
  <c r="AH312" i="3" s="1"/>
  <c r="AG313" i="3"/>
  <c r="AH313" i="3" s="1"/>
  <c r="AG314" i="3"/>
  <c r="AH314" i="3" s="1"/>
  <c r="AG315" i="3"/>
  <c r="AH315" i="3" s="1"/>
  <c r="AG316" i="3"/>
  <c r="AG317" i="3"/>
  <c r="AG318" i="3"/>
  <c r="AG319" i="3"/>
  <c r="AG320" i="3"/>
  <c r="AG321" i="3"/>
  <c r="AH321" i="3" s="1"/>
  <c r="AG322" i="3"/>
  <c r="AH322" i="3" s="1"/>
  <c r="AG323" i="3"/>
  <c r="AH323" i="3" s="1"/>
  <c r="AG324" i="3"/>
  <c r="AG325" i="3"/>
  <c r="AG326" i="3"/>
  <c r="AH326" i="3" s="1"/>
  <c r="AG327" i="3"/>
  <c r="AH327" i="3" s="1"/>
  <c r="AG328" i="3"/>
  <c r="AH328" i="3" s="1"/>
  <c r="AG329" i="3"/>
  <c r="AG330" i="3"/>
  <c r="AH330" i="3" s="1"/>
  <c r="AG331" i="3"/>
  <c r="AH331" i="3" s="1"/>
  <c r="AG332" i="3"/>
  <c r="AG333" i="3"/>
  <c r="AH333" i="3" s="1"/>
  <c r="AG335" i="3"/>
  <c r="AG336" i="3"/>
  <c r="AG337" i="3"/>
  <c r="AG338" i="3"/>
  <c r="AG339" i="3"/>
  <c r="AH339" i="3" s="1"/>
  <c r="AG340" i="3"/>
  <c r="AH340" i="3" s="1"/>
  <c r="AG341" i="3"/>
  <c r="AG342" i="3"/>
  <c r="AG343" i="3"/>
  <c r="AG344" i="3"/>
  <c r="AH344" i="3" s="1"/>
  <c r="AG345" i="3"/>
  <c r="AH345" i="3" s="1"/>
  <c r="AG346" i="3"/>
  <c r="AH346" i="3" s="1"/>
  <c r="AG347" i="3"/>
  <c r="AH347" i="3" s="1"/>
  <c r="AG348" i="3"/>
  <c r="AG350" i="3"/>
  <c r="AG351" i="3"/>
  <c r="AG352" i="3"/>
  <c r="AH352" i="3" s="1"/>
  <c r="AG353" i="3"/>
  <c r="AH353" i="3" s="1"/>
  <c r="AG354" i="3"/>
  <c r="AG355" i="3"/>
  <c r="AH355" i="3" s="1"/>
  <c r="AG356" i="3"/>
  <c r="AH356" i="3" s="1"/>
  <c r="AG357" i="3"/>
  <c r="AG358" i="3"/>
  <c r="AG359" i="3"/>
  <c r="AH359" i="3" s="1"/>
  <c r="AG360" i="3"/>
  <c r="AG361" i="3"/>
  <c r="AH361" i="3" s="1"/>
  <c r="AG362" i="3"/>
  <c r="AH362" i="3" s="1"/>
  <c r="AG363" i="3"/>
  <c r="AH363" i="3" s="1"/>
  <c r="AG364" i="3"/>
  <c r="AH364" i="3" s="1"/>
  <c r="AG365" i="3"/>
  <c r="AH365" i="3" s="1"/>
  <c r="AG366" i="3"/>
  <c r="AG367" i="3"/>
  <c r="AG368" i="3"/>
  <c r="AG369" i="3"/>
  <c r="AG370" i="3"/>
  <c r="AG371" i="3"/>
  <c r="AH371" i="3" s="1"/>
  <c r="AG372" i="3"/>
  <c r="AH372" i="3" s="1"/>
  <c r="AG373" i="3"/>
  <c r="AG374" i="3"/>
  <c r="AG375" i="3"/>
  <c r="AG376" i="3"/>
  <c r="AH376" i="3" s="1"/>
  <c r="AG377" i="3"/>
  <c r="AG378" i="3"/>
  <c r="AH378" i="3" s="1"/>
  <c r="AG379" i="3"/>
  <c r="AH379" i="3" s="1"/>
  <c r="AG380" i="3"/>
  <c r="AH380" i="3" s="1"/>
  <c r="AG381" i="3"/>
  <c r="AG382" i="3"/>
  <c r="AG383" i="3"/>
  <c r="AH383" i="3" s="1"/>
  <c r="AG384" i="3"/>
  <c r="AG385" i="3"/>
  <c r="AG386" i="3"/>
  <c r="AG387" i="3"/>
  <c r="AH387" i="3" s="1"/>
  <c r="AG388" i="3"/>
  <c r="AH388" i="3" s="1"/>
  <c r="AG389" i="3"/>
  <c r="AH389" i="3" s="1"/>
  <c r="AG390" i="3"/>
  <c r="AG391" i="3"/>
  <c r="AG392" i="3"/>
  <c r="AG393" i="3"/>
  <c r="AH393" i="3" s="1"/>
  <c r="AG394" i="3"/>
  <c r="AG395" i="3"/>
  <c r="AH395" i="3" s="1"/>
  <c r="AG396" i="3"/>
  <c r="AH396" i="3" s="1"/>
  <c r="AG397" i="3"/>
  <c r="AG398" i="3"/>
  <c r="AG399" i="3"/>
  <c r="AG400" i="3"/>
  <c r="AH400" i="3" s="1"/>
  <c r="AG401" i="3"/>
  <c r="AH401" i="3" s="1"/>
  <c r="AG402" i="3"/>
  <c r="AG403" i="3"/>
  <c r="AH403" i="3" s="1"/>
  <c r="AG404" i="3"/>
  <c r="AH404" i="3" s="1"/>
  <c r="AG405" i="3"/>
  <c r="AG406" i="3"/>
  <c r="AG407" i="3"/>
  <c r="AG408" i="3"/>
  <c r="AG409" i="3"/>
  <c r="AH409" i="3" s="1"/>
  <c r="AG410" i="3"/>
  <c r="AH410" i="3" s="1"/>
  <c r="AG411" i="3"/>
  <c r="AH411" i="3" s="1"/>
  <c r="AG412" i="3"/>
  <c r="AH412" i="3" s="1"/>
  <c r="AG413" i="3"/>
  <c r="AH413" i="3" s="1"/>
  <c r="AG414" i="3"/>
  <c r="AG415" i="3"/>
  <c r="AG416" i="3"/>
  <c r="AG417" i="3"/>
  <c r="AG418" i="3"/>
  <c r="AG419" i="3"/>
  <c r="AH419" i="3" s="1"/>
  <c r="AG420" i="3"/>
  <c r="AH420" i="3" s="1"/>
  <c r="AG421" i="3"/>
  <c r="AG422" i="3"/>
  <c r="AG423" i="3"/>
  <c r="AG424" i="3"/>
  <c r="AH424" i="3" s="1"/>
  <c r="AG425" i="3"/>
  <c r="AH425" i="3" s="1"/>
  <c r="AG426" i="3"/>
  <c r="AH426" i="3" s="1"/>
  <c r="AG427" i="3"/>
  <c r="AH427" i="3" s="1"/>
  <c r="AG428" i="3"/>
  <c r="AH428" i="3" s="1"/>
  <c r="AG429" i="3"/>
  <c r="AG430" i="3"/>
  <c r="AG431" i="3"/>
  <c r="AG432" i="3"/>
  <c r="AG433" i="3"/>
  <c r="AG434" i="3"/>
  <c r="AG435" i="3"/>
  <c r="AH435" i="3" s="1"/>
  <c r="AG436" i="3"/>
  <c r="AH436" i="3" s="1"/>
  <c r="AG437" i="3"/>
  <c r="AH437" i="3" s="1"/>
  <c r="AG438" i="3"/>
  <c r="AG439" i="3"/>
  <c r="AG440" i="3"/>
  <c r="AG441" i="3"/>
  <c r="AH441" i="3" s="1"/>
  <c r="AG442" i="3"/>
  <c r="AH442" i="3" s="1"/>
  <c r="AG443" i="3"/>
  <c r="AH443" i="3" s="1"/>
  <c r="AG444" i="3"/>
  <c r="AH444" i="3" s="1"/>
  <c r="AG445" i="3"/>
  <c r="AG446" i="3"/>
  <c r="AG447" i="3"/>
  <c r="AG448" i="3"/>
  <c r="AH448" i="3" s="1"/>
  <c r="AG449" i="3"/>
  <c r="AH449" i="3" s="1"/>
  <c r="AG450" i="3"/>
  <c r="AG451" i="3"/>
  <c r="AH451" i="3" s="1"/>
  <c r="AG452" i="3"/>
  <c r="AG453" i="3"/>
  <c r="AG454" i="3"/>
  <c r="AG455" i="3"/>
  <c r="AG456" i="3"/>
  <c r="AG457" i="3"/>
  <c r="AG458" i="3"/>
  <c r="AH458" i="3" s="1"/>
  <c r="AG459" i="3"/>
  <c r="AH459" i="3" s="1"/>
  <c r="AG460" i="3"/>
  <c r="AH460" i="3" s="1"/>
  <c r="AG461" i="3"/>
  <c r="AH461" i="3" s="1"/>
  <c r="AG462" i="3"/>
  <c r="AG463" i="3"/>
  <c r="AG464" i="3"/>
  <c r="AG465" i="3"/>
  <c r="AG466" i="3"/>
  <c r="AG467" i="3"/>
  <c r="AH467" i="3" s="1"/>
  <c r="AG468" i="3"/>
  <c r="AH468" i="3" s="1"/>
  <c r="AG469" i="3"/>
  <c r="AG470" i="3"/>
  <c r="AG471" i="3"/>
  <c r="AG472" i="3"/>
  <c r="AH472" i="3" s="1"/>
  <c r="AG473" i="3"/>
  <c r="AH473" i="3" s="1"/>
  <c r="AG474" i="3"/>
  <c r="AG475" i="3"/>
  <c r="AH475" i="3" s="1"/>
  <c r="AG476" i="3"/>
  <c r="AH476" i="3" s="1"/>
  <c r="AG477" i="3"/>
  <c r="AG478" i="3"/>
  <c r="AG479" i="3"/>
  <c r="AG480" i="3"/>
  <c r="AG481" i="3"/>
  <c r="AG482" i="3"/>
  <c r="AG483" i="3"/>
  <c r="AH483" i="3" s="1"/>
  <c r="AG484" i="3"/>
  <c r="AH484" i="3" s="1"/>
  <c r="AG485" i="3"/>
  <c r="AH485" i="3" s="1"/>
  <c r="AG486" i="3"/>
  <c r="AG487" i="3"/>
  <c r="AG488" i="3"/>
  <c r="AG489" i="3"/>
  <c r="AH489" i="3" s="1"/>
  <c r="AG490" i="3"/>
  <c r="AH490" i="3" s="1"/>
  <c r="AG491" i="3"/>
  <c r="AH491" i="3" s="1"/>
  <c r="AG492" i="3"/>
  <c r="AH492" i="3" s="1"/>
  <c r="AG493" i="3"/>
  <c r="AG494" i="3"/>
  <c r="AG495" i="3"/>
  <c r="AG496" i="3"/>
  <c r="AH496" i="3" s="1"/>
  <c r="AG497" i="3"/>
  <c r="AH497" i="3" s="1"/>
  <c r="AG498" i="3"/>
  <c r="AG499" i="3"/>
  <c r="AH499" i="3" s="1"/>
  <c r="AG500" i="3"/>
  <c r="AH500" i="3" s="1"/>
  <c r="AG501" i="3"/>
  <c r="AG502" i="3"/>
  <c r="AG503" i="3"/>
  <c r="AG504" i="3"/>
  <c r="AG505" i="3"/>
  <c r="AG506" i="3"/>
  <c r="AH506" i="3" s="1"/>
  <c r="AG507" i="3"/>
  <c r="AH507" i="3" s="1"/>
  <c r="AG508" i="3"/>
  <c r="AH508" i="3" s="1"/>
  <c r="AG509" i="3"/>
  <c r="AH509" i="3" s="1"/>
  <c r="AG510" i="3"/>
  <c r="AG511" i="3"/>
  <c r="AG512" i="3"/>
  <c r="AG513" i="3"/>
  <c r="AG514" i="3"/>
  <c r="AG515" i="3"/>
  <c r="AH515" i="3" s="1"/>
  <c r="AG516" i="3"/>
  <c r="AG517" i="3"/>
  <c r="AG518" i="3"/>
  <c r="AG519" i="3"/>
  <c r="AG520" i="3"/>
  <c r="AH520" i="3" s="1"/>
  <c r="AG521" i="3"/>
  <c r="AH521" i="3" s="1"/>
  <c r="AG522" i="3"/>
  <c r="AH522" i="3" s="1"/>
  <c r="AG523" i="3"/>
  <c r="AH523" i="3" s="1"/>
  <c r="AG524" i="3"/>
  <c r="AH524" i="3" s="1"/>
  <c r="AG525" i="3"/>
  <c r="AG526" i="3"/>
  <c r="AG527" i="3"/>
  <c r="AG528" i="3"/>
  <c r="AG529" i="3"/>
  <c r="AG530" i="3"/>
  <c r="AG531" i="3"/>
  <c r="AH531" i="3" s="1"/>
  <c r="AG532" i="3"/>
  <c r="AH532" i="3" s="1"/>
  <c r="AG533" i="3"/>
  <c r="AH533" i="3" s="1"/>
  <c r="AG534" i="3"/>
  <c r="AG535" i="3"/>
  <c r="AG536" i="3"/>
  <c r="AG537" i="3"/>
  <c r="AH537" i="3" s="1"/>
  <c r="AG538" i="3"/>
  <c r="AH538" i="3" s="1"/>
  <c r="AG539" i="3"/>
  <c r="AH539" i="3" s="1"/>
  <c r="AG540" i="3"/>
  <c r="AH540" i="3" s="1"/>
  <c r="AG541" i="3"/>
  <c r="AG542" i="3"/>
  <c r="AG543" i="3"/>
  <c r="AG544" i="3"/>
  <c r="AH544" i="3" s="1"/>
  <c r="AG545" i="3"/>
  <c r="AH545" i="3" s="1"/>
  <c r="AG546" i="3"/>
  <c r="AG547" i="3"/>
  <c r="AH547" i="3" s="1"/>
  <c r="AG548" i="3"/>
  <c r="AH548" i="3" s="1"/>
  <c r="AG549" i="3"/>
  <c r="AG550" i="3"/>
  <c r="AG551" i="3"/>
  <c r="AG552" i="3"/>
  <c r="AG553" i="3"/>
  <c r="AG554" i="3"/>
  <c r="AH554" i="3" s="1"/>
  <c r="AG555" i="3"/>
  <c r="AH555" i="3" s="1"/>
  <c r="AG556" i="3"/>
  <c r="AH556" i="3" s="1"/>
  <c r="AG557" i="3"/>
  <c r="AH557" i="3" s="1"/>
  <c r="AG558" i="3"/>
  <c r="AG559" i="3"/>
  <c r="AG560" i="3"/>
  <c r="AG561" i="3"/>
  <c r="AG562" i="3"/>
  <c r="AG563" i="3"/>
  <c r="AH563" i="3" s="1"/>
  <c r="AG564" i="3"/>
  <c r="AH564" i="3" s="1"/>
  <c r="AG565" i="3"/>
  <c r="AG566" i="3"/>
  <c r="AG567" i="3"/>
  <c r="AG568" i="3"/>
  <c r="AH568" i="3" s="1"/>
  <c r="AG569" i="3"/>
  <c r="AH569" i="3" s="1"/>
  <c r="AG570" i="3"/>
  <c r="AG571" i="3"/>
  <c r="AH571" i="3" s="1"/>
  <c r="AG572" i="3"/>
  <c r="AH572" i="3" s="1"/>
  <c r="AG573" i="3"/>
  <c r="AG574" i="3"/>
  <c r="AG575" i="3"/>
  <c r="AG576" i="3"/>
  <c r="AG577" i="3"/>
  <c r="AG578" i="3"/>
  <c r="AG579" i="3"/>
  <c r="AH579" i="3" s="1"/>
  <c r="AG580" i="3"/>
  <c r="AH580" i="3" s="1"/>
  <c r="AG581" i="3"/>
  <c r="AG582" i="3"/>
  <c r="AG583" i="3"/>
  <c r="AG584" i="3"/>
  <c r="AG585" i="3"/>
  <c r="AH585" i="3" s="1"/>
  <c r="AG586" i="3"/>
  <c r="AH586" i="3" s="1"/>
  <c r="AG587" i="3"/>
  <c r="AH587" i="3" s="1"/>
  <c r="AG588" i="3"/>
  <c r="AH588" i="3" s="1"/>
  <c r="AG589" i="3"/>
  <c r="AG590" i="3"/>
  <c r="AG591" i="3"/>
  <c r="AG592" i="3"/>
  <c r="AH592" i="3" s="1"/>
  <c r="AG593" i="3"/>
  <c r="AH593" i="3" s="1"/>
  <c r="AG594" i="3"/>
  <c r="AG595" i="3"/>
  <c r="AH595" i="3" s="1"/>
  <c r="AG596" i="3"/>
  <c r="AH596" i="3" s="1"/>
  <c r="AG597" i="3"/>
  <c r="AG598" i="3"/>
  <c r="AG599" i="3"/>
  <c r="AG600" i="3"/>
  <c r="AG601" i="3"/>
  <c r="AH601" i="3" s="1"/>
  <c r="AG602" i="3"/>
  <c r="AH602" i="3" s="1"/>
  <c r="AG603" i="3"/>
  <c r="AH603" i="3" s="1"/>
  <c r="AG604" i="3"/>
  <c r="AH604" i="3" s="1"/>
  <c r="AG605" i="3"/>
  <c r="AH605" i="3" s="1"/>
  <c r="AG606" i="3"/>
  <c r="AG607" i="3"/>
  <c r="AG608" i="3"/>
  <c r="AG609" i="3"/>
  <c r="AG610" i="3"/>
  <c r="AG611" i="3"/>
  <c r="AH611" i="3" s="1"/>
  <c r="AG612" i="3"/>
  <c r="AH612" i="3" s="1"/>
  <c r="AG613" i="3"/>
  <c r="AG614" i="3"/>
  <c r="AG615" i="3"/>
  <c r="AG616" i="3"/>
  <c r="AG617" i="3"/>
  <c r="AH617" i="3" s="1"/>
  <c r="AG618" i="3"/>
  <c r="AG619" i="3"/>
  <c r="AH619" i="3" s="1"/>
  <c r="AG620" i="3"/>
  <c r="AH620" i="3" s="1"/>
  <c r="AG621" i="3"/>
  <c r="AG622" i="3"/>
  <c r="AG623" i="3"/>
  <c r="AG624" i="3"/>
  <c r="AG625" i="3"/>
  <c r="AG626" i="3"/>
  <c r="AG627" i="3"/>
  <c r="AH627" i="3" s="1"/>
  <c r="AG628" i="3"/>
  <c r="AH628" i="3" s="1"/>
  <c r="AG629" i="3"/>
  <c r="AG630" i="3"/>
  <c r="AG631" i="3"/>
  <c r="AG632" i="3"/>
  <c r="AG633" i="3"/>
  <c r="AH633" i="3" s="1"/>
  <c r="AG634" i="3"/>
  <c r="AH634" i="3" s="1"/>
  <c r="AG635" i="3"/>
  <c r="AH635" i="3" s="1"/>
  <c r="AG636" i="3"/>
  <c r="AH636" i="3" s="1"/>
  <c r="AG637" i="3"/>
  <c r="AG638" i="3"/>
  <c r="AG639" i="3"/>
  <c r="AG640" i="3"/>
  <c r="AH640" i="3" s="1"/>
  <c r="AG641" i="3"/>
  <c r="AH641" i="3" s="1"/>
  <c r="AG642" i="3"/>
  <c r="AG643" i="3"/>
  <c r="AH643" i="3" s="1"/>
  <c r="AG644" i="3"/>
  <c r="AG645" i="3"/>
  <c r="AG646" i="3"/>
  <c r="AG647" i="3"/>
  <c r="AG648" i="3"/>
  <c r="AG649" i="3"/>
  <c r="AG650" i="3"/>
  <c r="AH650" i="3" s="1"/>
  <c r="AG651" i="3"/>
  <c r="AH651" i="3" s="1"/>
  <c r="AG652" i="3"/>
  <c r="AH652" i="3" s="1"/>
  <c r="AG653" i="3"/>
  <c r="AH653" i="3" s="1"/>
  <c r="AG654" i="3"/>
  <c r="AG655" i="3"/>
  <c r="AG656" i="3"/>
  <c r="AG657" i="3"/>
  <c r="AG658" i="3"/>
  <c r="AG659" i="3"/>
  <c r="AH659" i="3" s="1"/>
  <c r="AG660" i="3"/>
  <c r="AH660" i="3" s="1"/>
  <c r="AG661" i="3"/>
  <c r="AG662" i="3"/>
  <c r="AG663" i="3"/>
  <c r="AG664" i="3"/>
  <c r="AH664" i="3" s="1"/>
  <c r="AG665" i="3"/>
  <c r="AH665" i="3" s="1"/>
  <c r="AG666" i="3"/>
  <c r="AG667" i="3"/>
  <c r="AH667" i="3" s="1"/>
  <c r="AG668" i="3"/>
  <c r="AH668" i="3" s="1"/>
  <c r="AG669" i="3"/>
  <c r="AG670" i="3"/>
  <c r="AG671" i="3"/>
  <c r="AG672" i="3"/>
  <c r="AG673" i="3"/>
  <c r="AG674" i="3"/>
  <c r="AG675" i="3"/>
  <c r="AH675" i="3" s="1"/>
  <c r="AG676" i="3"/>
  <c r="AH676" i="3" s="1"/>
  <c r="AG677" i="3"/>
  <c r="AH677" i="3" s="1"/>
  <c r="AG678" i="3"/>
  <c r="AG679" i="3"/>
  <c r="AG680" i="3"/>
  <c r="AG681" i="3"/>
  <c r="AH681" i="3" s="1"/>
  <c r="AG682" i="3"/>
  <c r="AH682" i="3" s="1"/>
  <c r="AG683" i="3"/>
  <c r="AH683" i="3" s="1"/>
  <c r="AG684" i="3"/>
  <c r="AH684" i="3" s="1"/>
  <c r="AG685" i="3"/>
  <c r="AG686" i="3"/>
  <c r="AG687" i="3"/>
  <c r="AG688" i="3"/>
  <c r="AH688" i="3" s="1"/>
  <c r="AG689" i="3"/>
  <c r="AG690" i="3"/>
  <c r="AG691" i="3"/>
  <c r="AH691" i="3" s="1"/>
  <c r="AG692" i="3"/>
  <c r="AH692" i="3" s="1"/>
  <c r="AG693" i="3"/>
  <c r="AG694" i="3"/>
  <c r="AG695" i="3"/>
  <c r="AG696" i="3"/>
  <c r="AG697" i="3"/>
  <c r="AH697" i="3" s="1"/>
  <c r="AG698" i="3"/>
  <c r="AH698" i="3" s="1"/>
  <c r="AG699" i="3"/>
  <c r="AH699" i="3" s="1"/>
  <c r="AG700" i="3"/>
  <c r="AH700" i="3" s="1"/>
  <c r="AG701" i="3"/>
  <c r="AH701" i="3" s="1"/>
  <c r="AG702" i="3"/>
  <c r="AG703" i="3"/>
  <c r="AG704" i="3"/>
  <c r="AG705" i="3"/>
  <c r="AG706" i="3"/>
  <c r="AG707" i="3"/>
  <c r="AH707" i="3" s="1"/>
  <c r="AG708" i="3"/>
  <c r="AG709" i="3"/>
  <c r="AG710" i="3"/>
  <c r="AG711" i="3"/>
  <c r="AG712" i="3"/>
  <c r="AH712" i="3" s="1"/>
  <c r="AG713" i="3"/>
  <c r="AH713" i="3" s="1"/>
  <c r="AG714" i="3"/>
  <c r="AG715" i="3"/>
  <c r="AH715" i="3" s="1"/>
  <c r="AG716" i="3"/>
  <c r="AH716" i="3" s="1"/>
  <c r="AG717" i="3"/>
  <c r="AG718" i="3"/>
  <c r="AG719" i="3"/>
  <c r="AG720" i="3"/>
  <c r="AG721" i="3"/>
  <c r="AG722" i="3"/>
  <c r="AG723" i="3"/>
  <c r="AH723" i="3" s="1"/>
  <c r="AG724" i="3"/>
  <c r="AH724" i="3" s="1"/>
  <c r="AG725" i="3"/>
  <c r="AH725" i="3" s="1"/>
  <c r="AG726" i="3"/>
  <c r="AG727" i="3"/>
  <c r="AG728" i="3"/>
  <c r="AG729" i="3"/>
  <c r="AH729" i="3" s="1"/>
  <c r="AG730" i="3"/>
  <c r="AH730" i="3" s="1"/>
  <c r="AG731" i="3"/>
  <c r="AH731" i="3" s="1"/>
  <c r="AG732" i="3"/>
  <c r="AH732" i="3" s="1"/>
  <c r="AG733" i="3"/>
  <c r="AG734" i="3"/>
  <c r="AG735" i="3"/>
  <c r="AG736" i="3"/>
  <c r="AH736" i="3" s="1"/>
  <c r="AG737" i="3"/>
  <c r="AG738" i="3"/>
  <c r="AG739" i="3"/>
  <c r="AH739" i="3" s="1"/>
  <c r="AG740" i="3"/>
  <c r="AH740" i="3" s="1"/>
  <c r="AG741" i="3"/>
  <c r="AG742" i="3"/>
  <c r="AG743" i="3"/>
  <c r="AG744" i="3"/>
  <c r="AG745" i="3"/>
  <c r="AG746" i="3"/>
  <c r="AH746" i="3" s="1"/>
  <c r="AG747" i="3"/>
  <c r="AH747" i="3" s="1"/>
  <c r="AG748" i="3"/>
  <c r="AH748" i="3" s="1"/>
  <c r="AG749" i="3"/>
  <c r="AH749" i="3" s="1"/>
  <c r="AG750" i="3"/>
  <c r="AG751" i="3"/>
  <c r="AG752" i="3"/>
  <c r="AG753" i="3"/>
  <c r="AG754" i="3"/>
  <c r="AG755" i="3"/>
  <c r="AH755" i="3" s="1"/>
  <c r="AG756" i="3"/>
  <c r="AH756" i="3" s="1"/>
  <c r="AG757" i="3"/>
  <c r="AG758" i="3"/>
  <c r="AG759" i="3"/>
  <c r="AG760" i="3"/>
  <c r="AH760" i="3" s="1"/>
  <c r="AG761" i="3"/>
  <c r="AH761" i="3" s="1"/>
  <c r="AG762" i="3"/>
  <c r="AG763" i="3"/>
  <c r="AH763" i="3" s="1"/>
  <c r="AG764" i="3"/>
  <c r="AH764" i="3" s="1"/>
  <c r="AG765" i="3"/>
  <c r="AG766" i="3"/>
  <c r="AG767" i="3"/>
  <c r="AG768" i="3"/>
  <c r="AG769" i="3"/>
  <c r="AG770" i="3"/>
  <c r="AG771" i="3"/>
  <c r="AH771" i="3" s="1"/>
  <c r="AG772" i="3"/>
  <c r="AH772" i="3" s="1"/>
  <c r="AG773" i="3"/>
  <c r="AH773" i="3" s="1"/>
  <c r="AG774" i="3"/>
  <c r="AG775" i="3"/>
  <c r="AG776" i="3"/>
  <c r="AG777" i="3"/>
  <c r="AG778" i="3"/>
  <c r="AG779" i="3"/>
  <c r="AH779" i="3" s="1"/>
  <c r="AG780" i="3"/>
  <c r="AH780" i="3" s="1"/>
  <c r="AG781" i="3"/>
  <c r="AG782" i="3"/>
  <c r="AG783" i="3"/>
  <c r="AG784" i="3"/>
  <c r="AH784" i="3" s="1"/>
  <c r="AG785" i="3"/>
  <c r="AH785" i="3" s="1"/>
  <c r="AG786" i="3"/>
  <c r="AG787" i="3"/>
  <c r="AH787" i="3" s="1"/>
  <c r="AG788" i="3"/>
  <c r="AH788" i="3" s="1"/>
  <c r="AG789" i="3"/>
  <c r="AG790" i="3"/>
  <c r="AG791" i="3"/>
  <c r="AG792" i="3"/>
  <c r="AG793" i="3"/>
  <c r="AH793" i="3" s="1"/>
  <c r="AG794" i="3"/>
  <c r="AH794" i="3" s="1"/>
  <c r="AG795" i="3"/>
  <c r="AH795" i="3" s="1"/>
  <c r="AG796" i="3"/>
  <c r="AH796" i="3" s="1"/>
  <c r="AG797" i="3"/>
  <c r="AH797" i="3" s="1"/>
  <c r="AG798" i="3"/>
  <c r="AG799" i="3"/>
  <c r="AG800" i="3"/>
  <c r="AG801" i="3"/>
  <c r="AG802" i="3"/>
  <c r="AG803" i="3"/>
  <c r="AH803" i="3" s="1"/>
  <c r="AG804" i="3"/>
  <c r="AH804" i="3" s="1"/>
  <c r="AG805" i="3"/>
  <c r="AG806" i="3"/>
  <c r="AG807" i="3"/>
  <c r="AG808" i="3"/>
  <c r="AH808" i="3" s="1"/>
  <c r="AG809" i="3"/>
  <c r="AH809" i="3" s="1"/>
  <c r="AG810" i="3"/>
  <c r="AH810" i="3" s="1"/>
  <c r="AG811" i="3"/>
  <c r="AH811" i="3" s="1"/>
  <c r="AG812" i="3"/>
  <c r="AH812" i="3" s="1"/>
  <c r="AG813" i="3"/>
  <c r="AG814" i="3"/>
  <c r="AG815" i="3"/>
  <c r="AG816" i="3"/>
  <c r="AG817" i="3"/>
  <c r="AG818" i="3"/>
  <c r="AG819" i="3"/>
  <c r="AH819" i="3" s="1"/>
  <c r="AG820" i="3"/>
  <c r="AH820" i="3" s="1"/>
  <c r="AG821" i="3"/>
  <c r="AG822" i="3"/>
  <c r="AG823" i="3"/>
  <c r="AG824" i="3"/>
  <c r="AG825" i="3"/>
  <c r="AH825" i="3" s="1"/>
  <c r="AG826" i="3"/>
  <c r="AH826" i="3" s="1"/>
  <c r="AG827" i="3"/>
  <c r="AH827" i="3" s="1"/>
  <c r="AG828" i="3"/>
  <c r="AH828" i="3" s="1"/>
  <c r="AG829" i="3"/>
  <c r="AG830" i="3"/>
  <c r="AG831" i="3"/>
  <c r="AG832" i="3"/>
  <c r="AH832" i="3" s="1"/>
  <c r="AG833" i="3"/>
  <c r="AH833" i="3" s="1"/>
  <c r="AG834" i="3"/>
  <c r="AG835" i="3"/>
  <c r="AH835" i="3" s="1"/>
  <c r="AG836" i="3"/>
  <c r="AG837" i="3"/>
  <c r="AG838" i="3"/>
  <c r="AG839" i="3"/>
  <c r="AG840" i="3"/>
  <c r="AG841" i="3"/>
  <c r="AH841" i="3" s="1"/>
  <c r="AG842" i="3"/>
  <c r="AH842" i="3" s="1"/>
  <c r="AG843" i="3"/>
  <c r="AH843" i="3" s="1"/>
  <c r="AG844" i="3"/>
  <c r="AH844" i="3" s="1"/>
  <c r="AG845" i="3"/>
  <c r="AH845" i="3" s="1"/>
  <c r="AG846" i="3"/>
  <c r="AG847" i="3"/>
  <c r="AG848" i="3"/>
  <c r="AG849" i="3"/>
  <c r="AG850" i="3"/>
  <c r="AG851" i="3"/>
  <c r="AH851" i="3" s="1"/>
  <c r="AG852" i="3"/>
  <c r="AH852" i="3" s="1"/>
  <c r="AG853" i="3"/>
  <c r="AG854" i="3"/>
  <c r="AG855" i="3"/>
  <c r="AG856" i="3"/>
  <c r="AG857" i="3"/>
  <c r="AH857" i="3" s="1"/>
  <c r="AG858" i="3"/>
  <c r="AH858" i="3" s="1"/>
  <c r="AG859" i="3"/>
  <c r="AH859" i="3" s="1"/>
  <c r="AG860" i="3"/>
  <c r="AH860" i="3" s="1"/>
  <c r="AG861" i="3"/>
  <c r="AG862" i="3"/>
  <c r="AG863" i="3"/>
  <c r="AG864" i="3"/>
  <c r="AG865" i="3"/>
  <c r="AG866" i="3"/>
  <c r="AG867" i="3"/>
  <c r="AH867" i="3" s="1"/>
  <c r="AG868" i="3"/>
  <c r="AH868" i="3" s="1"/>
  <c r="AG869" i="3"/>
  <c r="AH869" i="3" s="1"/>
  <c r="AG870" i="3"/>
  <c r="AG871" i="3"/>
  <c r="AG872" i="3"/>
  <c r="AG873" i="3"/>
  <c r="AH873" i="3" s="1"/>
  <c r="AG874" i="3"/>
  <c r="AG875" i="3"/>
  <c r="AH875" i="3" s="1"/>
  <c r="AG876" i="3"/>
  <c r="AH876" i="3" s="1"/>
  <c r="AG877" i="3"/>
  <c r="AG878" i="3"/>
  <c r="AG879" i="3"/>
  <c r="AG880" i="3"/>
  <c r="AH880" i="3" s="1"/>
  <c r="AG881" i="3"/>
  <c r="AG882" i="3"/>
  <c r="AG883" i="3"/>
  <c r="AH883" i="3" s="1"/>
  <c r="AG884" i="3"/>
  <c r="AH884" i="3" s="1"/>
  <c r="AG885" i="3"/>
  <c r="AG886" i="3"/>
  <c r="AG887" i="3"/>
  <c r="AG888" i="3"/>
  <c r="AG889" i="3"/>
  <c r="AH889" i="3" s="1"/>
  <c r="AG890" i="3"/>
  <c r="AG891" i="3"/>
  <c r="AH891" i="3" s="1"/>
  <c r="AG892" i="3"/>
  <c r="AH892" i="3" s="1"/>
  <c r="AG893" i="3"/>
  <c r="AG894" i="3"/>
  <c r="AG895" i="3"/>
  <c r="AG896" i="3"/>
  <c r="AG897" i="3"/>
  <c r="AG898" i="3"/>
  <c r="AG899" i="3"/>
  <c r="AH899" i="3" s="1"/>
  <c r="AG900" i="3"/>
  <c r="AG901" i="3"/>
  <c r="AG902" i="3"/>
  <c r="AG903" i="3"/>
  <c r="AG904" i="3"/>
  <c r="AH904" i="3" s="1"/>
  <c r="AG905" i="3"/>
  <c r="AH905" i="3" s="1"/>
  <c r="AG906" i="3"/>
  <c r="AG907" i="3"/>
  <c r="AH907" i="3" s="1"/>
  <c r="AG908" i="3"/>
  <c r="AH908" i="3" s="1"/>
  <c r="AG909" i="3"/>
  <c r="AG910" i="3"/>
  <c r="AG911" i="3"/>
  <c r="AG912" i="3"/>
  <c r="AG913" i="3"/>
  <c r="AG914" i="3"/>
  <c r="AG915" i="3"/>
  <c r="AH915" i="3" s="1"/>
  <c r="AG916" i="3"/>
  <c r="AH916" i="3" s="1"/>
  <c r="AG917" i="3"/>
  <c r="AG918" i="3"/>
  <c r="AG919" i="3"/>
  <c r="AG920" i="3"/>
  <c r="AG921" i="3"/>
  <c r="AH921" i="3" s="1"/>
  <c r="AG922" i="3"/>
  <c r="AG923" i="3"/>
  <c r="AH923" i="3" s="1"/>
  <c r="AG924" i="3"/>
  <c r="AH924" i="3" s="1"/>
  <c r="AG925" i="3"/>
  <c r="AG926" i="3"/>
  <c r="AG927" i="3"/>
  <c r="AG928" i="3"/>
  <c r="AH928" i="3" s="1"/>
  <c r="AG929" i="3"/>
  <c r="AG930" i="3"/>
  <c r="AG931" i="3"/>
  <c r="AH931" i="3" s="1"/>
  <c r="AG932" i="3"/>
  <c r="AH932" i="3" s="1"/>
  <c r="AG933" i="3"/>
  <c r="AG934" i="3"/>
  <c r="AG935" i="3"/>
  <c r="AG936" i="3"/>
  <c r="AG937" i="3"/>
  <c r="AG938" i="3"/>
  <c r="AH938" i="3" s="1"/>
  <c r="AG939" i="3"/>
  <c r="AH939" i="3" s="1"/>
  <c r="AG940" i="3"/>
  <c r="AH940" i="3" s="1"/>
  <c r="AG941" i="3"/>
  <c r="AG942" i="3"/>
  <c r="AG943" i="3"/>
  <c r="AG944" i="3"/>
  <c r="AG945" i="3"/>
  <c r="AG946" i="3"/>
  <c r="AG947" i="3"/>
  <c r="AH947" i="3" s="1"/>
  <c r="AG948" i="3"/>
  <c r="AH948" i="3" s="1"/>
  <c r="AG949" i="3"/>
  <c r="AG950" i="3"/>
  <c r="AG951" i="3"/>
  <c r="AG952" i="3"/>
  <c r="AH952" i="3" s="1"/>
  <c r="AG953" i="3"/>
  <c r="AH953" i="3" s="1"/>
  <c r="AG954" i="3"/>
  <c r="AG955" i="3"/>
  <c r="AH955" i="3" s="1"/>
  <c r="AG956" i="3"/>
  <c r="AH956" i="3" s="1"/>
  <c r="AG957" i="3"/>
  <c r="AG958" i="3"/>
  <c r="AG959" i="3"/>
  <c r="AG960" i="3"/>
  <c r="AG961" i="3"/>
  <c r="AG962" i="3"/>
  <c r="AG963" i="3"/>
  <c r="AH963" i="3" s="1"/>
  <c r="AG964" i="3"/>
  <c r="AH964" i="3" s="1"/>
  <c r="AG965" i="3"/>
  <c r="AG966" i="3"/>
  <c r="AG967" i="3"/>
  <c r="AG968" i="3"/>
  <c r="AG969" i="3"/>
  <c r="AH969" i="3" s="1"/>
  <c r="AG970" i="3"/>
  <c r="AH970" i="3" s="1"/>
  <c r="AG971" i="3"/>
  <c r="AH971" i="3" s="1"/>
  <c r="AG972" i="3"/>
  <c r="AH972" i="3" s="1"/>
  <c r="AG973" i="3"/>
  <c r="AG974" i="3"/>
  <c r="AG975" i="3"/>
  <c r="AG976" i="3"/>
  <c r="AH976" i="3" s="1"/>
  <c r="AG977" i="3"/>
  <c r="AG978" i="3"/>
  <c r="AG979" i="3"/>
  <c r="AH979" i="3" s="1"/>
  <c r="AG980" i="3"/>
  <c r="AH980" i="3" s="1"/>
  <c r="AG981" i="3"/>
  <c r="AG982" i="3"/>
  <c r="AG983" i="3"/>
  <c r="AG984" i="3"/>
  <c r="AG985" i="3"/>
  <c r="AH985" i="3" s="1"/>
  <c r="AG986" i="3"/>
  <c r="AG987" i="3"/>
  <c r="AH987" i="3" s="1"/>
  <c r="AG988" i="3"/>
  <c r="AH988" i="3" s="1"/>
  <c r="AG989" i="3"/>
  <c r="AG990" i="3"/>
  <c r="AG991" i="3"/>
  <c r="AG992" i="3"/>
  <c r="AG993" i="3"/>
  <c r="AG994" i="3"/>
  <c r="AG995" i="3"/>
  <c r="AH995" i="3" s="1"/>
  <c r="AG996" i="3"/>
  <c r="AH996" i="3" s="1"/>
  <c r="AG997" i="3"/>
  <c r="AG998" i="3"/>
  <c r="AG999" i="3"/>
  <c r="AG1000" i="3"/>
  <c r="AH1000" i="3" s="1"/>
  <c r="AG1001" i="3"/>
  <c r="AH1001" i="3" s="1"/>
  <c r="AG1002" i="3"/>
  <c r="AG1003" i="3"/>
  <c r="AH1003" i="3" s="1"/>
  <c r="AG1004" i="3"/>
  <c r="AH1004" i="3" s="1"/>
  <c r="AG1005" i="3"/>
  <c r="AG1006" i="3"/>
  <c r="AG1007" i="3"/>
  <c r="AG1008" i="3"/>
  <c r="AG1009" i="3"/>
  <c r="AG1010" i="3"/>
  <c r="AG1011" i="3"/>
  <c r="AH1011" i="3" s="1"/>
  <c r="AG1012" i="3"/>
  <c r="AH1012" i="3" s="1"/>
  <c r="AG1013" i="3"/>
  <c r="AG1014" i="3"/>
  <c r="AG1015" i="3"/>
  <c r="AG1016" i="3"/>
  <c r="AG1017" i="3"/>
  <c r="AH1017" i="3" s="1"/>
  <c r="AG1018" i="3"/>
  <c r="AG1019" i="3"/>
  <c r="AH1019" i="3" s="1"/>
  <c r="AG1020" i="3"/>
  <c r="AH1020" i="3" s="1"/>
  <c r="AG1021" i="3"/>
  <c r="AG1022" i="3"/>
  <c r="AG1023" i="3"/>
  <c r="AG1024" i="3"/>
  <c r="AH1024" i="3" s="1"/>
  <c r="AG1025" i="3"/>
  <c r="AG1026" i="3"/>
  <c r="AG1027" i="3"/>
  <c r="AH1027" i="3" s="1"/>
  <c r="AG1028" i="3"/>
  <c r="AG1029" i="3"/>
  <c r="AG1030" i="3"/>
  <c r="AG1031" i="3"/>
  <c r="AG1032" i="3"/>
  <c r="AG1033" i="3"/>
  <c r="AH1033" i="3" s="1"/>
  <c r="AG1034" i="3"/>
  <c r="AG1035" i="3"/>
  <c r="AH1035" i="3" s="1"/>
  <c r="AG1036" i="3"/>
  <c r="AH1036" i="3" s="1"/>
  <c r="AG1037" i="3"/>
  <c r="AG1038" i="3"/>
  <c r="AG1039" i="3"/>
  <c r="AG1040" i="3"/>
  <c r="AG1041" i="3"/>
  <c r="AG1042" i="3"/>
  <c r="AG1043" i="3"/>
  <c r="AH1043" i="3" s="1"/>
  <c r="AG1044" i="3"/>
  <c r="AH1044" i="3" s="1"/>
  <c r="AG1045" i="3"/>
  <c r="AG1046" i="3"/>
  <c r="AG1047" i="3"/>
  <c r="AG1048" i="3"/>
  <c r="AH1048" i="3" s="1"/>
  <c r="AG1049" i="3"/>
  <c r="AG1050" i="3"/>
  <c r="AH1050" i="3" s="1"/>
  <c r="AG1051" i="3"/>
  <c r="AH1051" i="3" s="1"/>
  <c r="AG1052" i="3"/>
  <c r="AH1052" i="3" s="1"/>
  <c r="AG1053" i="3"/>
  <c r="AG1054" i="3"/>
  <c r="AG1055" i="3"/>
  <c r="AG1056" i="3"/>
  <c r="AG1057" i="3"/>
  <c r="AG1058" i="3"/>
  <c r="AG1059" i="3"/>
  <c r="AH1059" i="3" s="1"/>
  <c r="AG1060" i="3"/>
  <c r="AH1060" i="3" s="1"/>
  <c r="AG1061" i="3"/>
  <c r="AG1062" i="3"/>
  <c r="AG1063" i="3"/>
  <c r="AG1064" i="3"/>
  <c r="AG1065" i="3"/>
  <c r="AG1066" i="3"/>
  <c r="AG1067" i="3"/>
  <c r="AH1067" i="3" s="1"/>
  <c r="AG1068" i="3"/>
  <c r="AH1068" i="3" s="1"/>
  <c r="AG1069" i="3"/>
  <c r="AG1070" i="3"/>
  <c r="AG1071" i="3"/>
  <c r="AG1072" i="3"/>
  <c r="AH1072" i="3" s="1"/>
  <c r="AG1073" i="3"/>
  <c r="AG1074" i="3"/>
  <c r="AG1075" i="3"/>
  <c r="AH1075" i="3" s="1"/>
  <c r="AG1076" i="3"/>
  <c r="AH1076" i="3" s="1"/>
  <c r="AG1077" i="3"/>
  <c r="AG1078" i="3"/>
  <c r="AG1079" i="3"/>
  <c r="AG1080" i="3"/>
  <c r="AG1081" i="3"/>
  <c r="AH1081" i="3" s="1"/>
  <c r="AG1082" i="3"/>
  <c r="AH1082" i="3" s="1"/>
  <c r="AG1083" i="3"/>
  <c r="AH1083" i="3" s="1"/>
  <c r="AG1084" i="3"/>
  <c r="AH1084" i="3" s="1"/>
  <c r="AG1085" i="3"/>
  <c r="AG1086" i="3"/>
  <c r="AG1087" i="3"/>
  <c r="AG1088" i="3"/>
  <c r="AG1089" i="3"/>
  <c r="AG1090" i="3"/>
  <c r="AG1091" i="3"/>
  <c r="AH1091" i="3" s="1"/>
  <c r="AG1092" i="3"/>
  <c r="AG1093" i="3"/>
  <c r="AG1094" i="3"/>
  <c r="AG1095" i="3"/>
  <c r="AG1096" i="3"/>
  <c r="AH1096" i="3" s="1"/>
  <c r="AG1097" i="3"/>
  <c r="AG1098" i="3"/>
  <c r="AG1099" i="3"/>
  <c r="AH1099" i="3" s="1"/>
  <c r="AG1100" i="3"/>
  <c r="AH1100" i="3" s="1"/>
  <c r="AG1101" i="3"/>
  <c r="AG1102" i="3"/>
  <c r="AG1103" i="3"/>
  <c r="AG1104" i="3"/>
  <c r="AG1105" i="3"/>
  <c r="AG1106" i="3"/>
  <c r="AG1107" i="3"/>
  <c r="AH1107" i="3" s="1"/>
  <c r="AG1108" i="3"/>
  <c r="AH1108" i="3" s="1"/>
  <c r="AG1109" i="3"/>
  <c r="AG1110" i="3"/>
  <c r="AG1111" i="3"/>
  <c r="AG1112" i="3"/>
  <c r="AG1113" i="3"/>
  <c r="AG1114" i="3"/>
  <c r="AH1114" i="3" s="1"/>
  <c r="AG1115" i="3"/>
  <c r="AH1115" i="3" s="1"/>
  <c r="AG1116" i="3"/>
  <c r="AH1116" i="3" s="1"/>
  <c r="AG1117" i="3"/>
  <c r="AG1118" i="3"/>
  <c r="AG1119" i="3"/>
  <c r="AG1120" i="3"/>
  <c r="AH1120" i="3" s="1"/>
  <c r="AG1121" i="3"/>
  <c r="AG1122" i="3"/>
  <c r="AG1123" i="3"/>
  <c r="AH1123" i="3" s="1"/>
  <c r="AG1124" i="3"/>
  <c r="AH1124" i="3" s="1"/>
  <c r="AG1125" i="3"/>
  <c r="AG1126" i="3"/>
  <c r="AG1127" i="3"/>
  <c r="AG1128" i="3"/>
  <c r="AG1129" i="3"/>
  <c r="AG1130" i="3"/>
  <c r="AG1131" i="3"/>
  <c r="AH1131" i="3" s="1"/>
  <c r="AG1132" i="3"/>
  <c r="AH1132" i="3" s="1"/>
  <c r="AG1133" i="3"/>
  <c r="AG1134" i="3"/>
  <c r="AG1135" i="3"/>
  <c r="AG1136" i="3"/>
  <c r="AG1137" i="3"/>
  <c r="AG1138" i="3"/>
  <c r="AG1139" i="3"/>
  <c r="AH1139" i="3" s="1"/>
  <c r="AG1140" i="3"/>
  <c r="AH1140" i="3" s="1"/>
  <c r="AG1141" i="3"/>
  <c r="AG1142" i="3"/>
  <c r="AG1143" i="3"/>
  <c r="AG1144" i="3"/>
  <c r="AH1144" i="3" s="1"/>
  <c r="AG1145" i="3"/>
  <c r="AH1145" i="3" s="1"/>
  <c r="AG1146" i="3"/>
  <c r="AG1147" i="3"/>
  <c r="AH1147" i="3" s="1"/>
  <c r="AG1148" i="3"/>
  <c r="AH1148" i="3" s="1"/>
  <c r="AG1149" i="3"/>
  <c r="AG1150" i="3"/>
  <c r="AG1151" i="3"/>
  <c r="AG1152" i="3"/>
  <c r="AG1153" i="3"/>
  <c r="AG1154" i="3"/>
  <c r="AG1155" i="3"/>
  <c r="AH1155" i="3" s="1"/>
  <c r="AG1156" i="3"/>
  <c r="AH1156" i="3" s="1"/>
  <c r="AG1157" i="3"/>
  <c r="AG1158" i="3"/>
  <c r="AG1159" i="3"/>
  <c r="AG1160" i="3"/>
  <c r="AG1161" i="3"/>
  <c r="AG1162" i="3"/>
  <c r="AH1162" i="3" s="1"/>
  <c r="AG1163" i="3"/>
  <c r="AH1163" i="3" s="1"/>
  <c r="AG1164" i="3"/>
  <c r="AH1164" i="3" s="1"/>
  <c r="AG1165" i="3"/>
  <c r="AG1166" i="3"/>
  <c r="AG1167" i="3"/>
  <c r="AG1168" i="3"/>
  <c r="AH1168" i="3" s="1"/>
  <c r="AG1169" i="3"/>
  <c r="AG1170" i="3"/>
  <c r="AG1171" i="3"/>
  <c r="AH1171" i="3" s="1"/>
  <c r="AG1172" i="3"/>
  <c r="AH1172" i="3" s="1"/>
  <c r="AG1173" i="3"/>
  <c r="AG1174" i="3"/>
  <c r="AG1175" i="3"/>
  <c r="AG1176" i="3"/>
  <c r="AG1177" i="3"/>
  <c r="AG1178" i="3"/>
  <c r="AG1179" i="3"/>
  <c r="AH1179" i="3" s="1"/>
  <c r="AG1180" i="3"/>
  <c r="AH1180" i="3" s="1"/>
  <c r="AG1181" i="3"/>
  <c r="AG1182" i="3"/>
  <c r="AG1183" i="3"/>
  <c r="AG1184" i="3"/>
  <c r="AG1185" i="3"/>
  <c r="AG1186" i="3"/>
  <c r="AG1187" i="3"/>
  <c r="AH1187" i="3" s="1"/>
  <c r="AG1188" i="3"/>
  <c r="AH1188" i="3" s="1"/>
  <c r="AG1189" i="3"/>
  <c r="AG1190" i="3"/>
  <c r="AG1191" i="3"/>
  <c r="AG1192" i="3"/>
  <c r="AH1192" i="3" s="1"/>
  <c r="AG1193" i="3"/>
  <c r="AH1193" i="3" s="1"/>
  <c r="AG1194" i="3"/>
  <c r="AH1194" i="3" s="1"/>
  <c r="AG1195" i="3"/>
  <c r="AH1195" i="3" s="1"/>
  <c r="AG1196" i="3"/>
  <c r="AH1196" i="3" s="1"/>
  <c r="AG1197" i="3"/>
  <c r="AG1198" i="3"/>
  <c r="AG1199" i="3"/>
  <c r="AG1200" i="3"/>
  <c r="AG1201" i="3"/>
  <c r="AG1202" i="3"/>
  <c r="AG1203" i="3"/>
  <c r="AH1203" i="3" s="1"/>
  <c r="AG1204" i="3"/>
  <c r="AH1204" i="3" s="1"/>
  <c r="AG1205" i="3"/>
  <c r="AG1206" i="3"/>
  <c r="AG1207" i="3"/>
  <c r="AG1208" i="3"/>
  <c r="AG1209" i="3"/>
  <c r="AG1210" i="3"/>
  <c r="AG1211" i="3"/>
  <c r="AH1211" i="3" s="1"/>
  <c r="AG1212" i="3"/>
  <c r="AH1212" i="3" s="1"/>
  <c r="AG1213" i="3"/>
  <c r="AG1214" i="3"/>
  <c r="AG1215" i="3"/>
  <c r="AG1216" i="3"/>
  <c r="AH1216" i="3" s="1"/>
  <c r="AG1217" i="3"/>
  <c r="AG1218" i="3"/>
  <c r="AG1219" i="3"/>
  <c r="AH1219" i="3" s="1"/>
  <c r="AG1220" i="3"/>
  <c r="AG1221" i="3"/>
  <c r="AG1222" i="3"/>
  <c r="AG1223" i="3"/>
  <c r="AG1224" i="3"/>
  <c r="AG1225" i="3"/>
  <c r="AG1226" i="3"/>
  <c r="AH1226" i="3" s="1"/>
  <c r="AG1227" i="3"/>
  <c r="AH1227" i="3" s="1"/>
  <c r="AG1228" i="3"/>
  <c r="AH1228" i="3" s="1"/>
  <c r="AG1229" i="3"/>
  <c r="AG1230" i="3"/>
  <c r="AG1231" i="3"/>
  <c r="AG1232" i="3"/>
  <c r="AG1233" i="3"/>
  <c r="AG1234" i="3"/>
  <c r="AG1235" i="3"/>
  <c r="AH1235" i="3" s="1"/>
  <c r="AG1236" i="3"/>
  <c r="AH1236" i="3" s="1"/>
  <c r="AG1237" i="3"/>
  <c r="AG1238" i="3"/>
  <c r="AG1239" i="3"/>
  <c r="AG1240" i="3"/>
  <c r="AH1240" i="3" s="1"/>
  <c r="AG1241" i="3"/>
  <c r="AG1242" i="3"/>
  <c r="AG1243" i="3"/>
  <c r="AH1243" i="3" s="1"/>
  <c r="AG1244" i="3"/>
  <c r="AH1244" i="3" s="1"/>
  <c r="AG1245" i="3"/>
  <c r="AG1246" i="3"/>
  <c r="AG1247" i="3"/>
  <c r="AG1248" i="3"/>
  <c r="AG1249" i="3"/>
  <c r="AG1250" i="3"/>
  <c r="AG1251" i="3"/>
  <c r="AH1251" i="3" s="1"/>
  <c r="AG1252" i="3"/>
  <c r="AH1252" i="3" s="1"/>
  <c r="AG1253" i="3"/>
  <c r="AG1254" i="3"/>
  <c r="AG1255" i="3"/>
  <c r="AG1256" i="3"/>
  <c r="AG1257" i="3"/>
  <c r="AH1257" i="3" s="1"/>
  <c r="AG1258" i="3"/>
  <c r="AH1258" i="3" s="1"/>
  <c r="AG1259" i="3"/>
  <c r="AH1259" i="3" s="1"/>
  <c r="AG1260" i="3"/>
  <c r="AH1260" i="3" s="1"/>
  <c r="AG1261" i="3"/>
  <c r="AG1262" i="3"/>
  <c r="AG1263" i="3"/>
  <c r="AG1264" i="3"/>
  <c r="AH1264" i="3" s="1"/>
  <c r="AG1265" i="3"/>
  <c r="AG1266" i="3"/>
  <c r="AG1267" i="3"/>
  <c r="AH1267" i="3" s="1"/>
  <c r="AG1268" i="3"/>
  <c r="AH1268" i="3" s="1"/>
  <c r="AG1269" i="3"/>
  <c r="AG1270" i="3"/>
  <c r="AG1271" i="3"/>
  <c r="AG1272" i="3"/>
  <c r="AG1273" i="3"/>
  <c r="AG1274" i="3"/>
  <c r="AH1274" i="3" s="1"/>
  <c r="AG1275" i="3"/>
  <c r="AH1275" i="3" s="1"/>
  <c r="AG1276" i="3"/>
  <c r="AH1276" i="3" s="1"/>
  <c r="AG1277" i="3"/>
  <c r="AG1278" i="3"/>
  <c r="AG1279" i="3"/>
  <c r="AG1280" i="3"/>
  <c r="AG1281" i="3"/>
  <c r="AG1282" i="3"/>
  <c r="AG1283" i="3"/>
  <c r="AH1283" i="3" s="1"/>
  <c r="AG1284" i="3"/>
  <c r="AG1285" i="3"/>
  <c r="AG1286" i="3"/>
  <c r="AG1287" i="3"/>
  <c r="AG1288" i="3"/>
  <c r="AH1288" i="3" s="1"/>
  <c r="AG1289" i="3"/>
  <c r="AG1290" i="3"/>
  <c r="AG1291" i="3"/>
  <c r="AH1291" i="3" s="1"/>
  <c r="AG1292" i="3"/>
  <c r="AH1292" i="3" s="1"/>
  <c r="AG1293" i="3"/>
  <c r="AG1294" i="3"/>
  <c r="AG1295" i="3"/>
  <c r="AG1296" i="3"/>
  <c r="AG1297" i="3"/>
  <c r="AG1298" i="3"/>
  <c r="AG1299" i="3"/>
  <c r="AH1299" i="3" s="1"/>
  <c r="AG1300" i="3"/>
  <c r="AH1300" i="3" s="1"/>
  <c r="AG1301" i="3"/>
  <c r="AG1302" i="3"/>
  <c r="AG1303" i="3"/>
  <c r="AG1304" i="3"/>
  <c r="AG1305" i="3"/>
  <c r="AH1305" i="3" s="1"/>
  <c r="AG1306" i="3"/>
  <c r="AG1307" i="3"/>
  <c r="AH1307" i="3" s="1"/>
  <c r="AG1308" i="3"/>
  <c r="AH1308" i="3" s="1"/>
  <c r="AG1309" i="3"/>
  <c r="AG1310" i="3"/>
  <c r="AG1311" i="3"/>
  <c r="AG1312" i="3"/>
  <c r="AH1312" i="3" s="1"/>
  <c r="AG1313" i="3"/>
  <c r="AG1314" i="3"/>
  <c r="AG1315" i="3"/>
  <c r="AH1315" i="3" s="1"/>
  <c r="AG1316" i="3"/>
  <c r="AH1316" i="3" s="1"/>
  <c r="AG1317" i="3"/>
  <c r="AG1318" i="3"/>
  <c r="AG1319" i="3"/>
  <c r="AG1320" i="3"/>
  <c r="AG1321" i="3"/>
  <c r="AG1322" i="3"/>
  <c r="AG1323" i="3"/>
  <c r="AH1323" i="3" s="1"/>
  <c r="AG1324" i="3"/>
  <c r="AH1324" i="3" s="1"/>
  <c r="AG1325" i="3"/>
  <c r="AG1326" i="3"/>
  <c r="AG1327" i="3"/>
  <c r="AG1328" i="3"/>
  <c r="AG1329" i="3"/>
  <c r="AG1330" i="3"/>
  <c r="AG1331" i="3"/>
  <c r="AH1331" i="3" s="1"/>
  <c r="AG1332" i="3"/>
  <c r="AH1332" i="3" s="1"/>
  <c r="AG1333" i="3"/>
  <c r="AG1334" i="3"/>
  <c r="AG1335" i="3"/>
  <c r="AG1336" i="3"/>
  <c r="AH1336" i="3" s="1"/>
  <c r="AG1337" i="3"/>
  <c r="AG1338" i="3"/>
  <c r="AH1338" i="3" s="1"/>
  <c r="AG1339" i="3"/>
  <c r="AH1339" i="3" s="1"/>
  <c r="AG1340" i="3"/>
  <c r="AH1340" i="3" s="1"/>
  <c r="AG1341" i="3"/>
  <c r="AG1342" i="3"/>
  <c r="AG1343" i="3"/>
  <c r="AG1344" i="3"/>
  <c r="AG1345" i="3"/>
  <c r="AG1346" i="3"/>
  <c r="AG1347" i="3"/>
  <c r="AH1347" i="3" s="1"/>
  <c r="AG1348" i="3"/>
  <c r="AH1348" i="3" s="1"/>
  <c r="AG1349" i="3"/>
  <c r="AG1350" i="3"/>
  <c r="AG1351" i="3"/>
  <c r="AG1352" i="3"/>
  <c r="AG1353" i="3"/>
  <c r="AG1354" i="3"/>
  <c r="AG1355" i="3"/>
  <c r="AH1355" i="3" s="1"/>
  <c r="AG1356" i="3"/>
  <c r="AH1356" i="3" s="1"/>
  <c r="AG1357" i="3"/>
  <c r="AG1358" i="3"/>
  <c r="AG1359" i="3"/>
  <c r="AG1360" i="3"/>
  <c r="AG1361" i="3"/>
  <c r="AG1362" i="3"/>
  <c r="AG1363" i="3"/>
  <c r="AH1363" i="3" s="1"/>
  <c r="AG1364" i="3"/>
  <c r="AH1364" i="3" s="1"/>
  <c r="AG1365" i="3"/>
  <c r="AG1366" i="3"/>
  <c r="AG1367" i="3"/>
  <c r="AG1368" i="3"/>
  <c r="AG1369" i="3"/>
  <c r="AH1369" i="3" s="1"/>
  <c r="AG1370" i="3"/>
  <c r="AH1370" i="3" s="1"/>
  <c r="AG1371" i="3"/>
  <c r="AG1372" i="3"/>
  <c r="AH1372" i="3" s="1"/>
  <c r="AG1373" i="3"/>
  <c r="AG1374" i="3"/>
  <c r="AG1375" i="3"/>
  <c r="AG1376" i="3"/>
  <c r="AG1377" i="3"/>
  <c r="AG1378" i="3"/>
  <c r="AG1379" i="3"/>
  <c r="AG1380" i="3"/>
  <c r="AH1380" i="3" s="1"/>
  <c r="AG1381" i="3"/>
  <c r="AG1382" i="3"/>
  <c r="AG1383" i="3"/>
  <c r="AG1384" i="3"/>
  <c r="AH1384" i="3" s="1"/>
  <c r="AG1385" i="3"/>
  <c r="AG1386" i="3"/>
  <c r="AG1387" i="3"/>
  <c r="AH1387" i="3" s="1"/>
  <c r="AG1388" i="3"/>
  <c r="AH1388" i="3" s="1"/>
  <c r="AG1389" i="3"/>
  <c r="AG1390" i="3"/>
  <c r="AG1391" i="3"/>
  <c r="AG1392" i="3"/>
  <c r="AG1393" i="3"/>
  <c r="AG1394" i="3"/>
  <c r="AG1395" i="3"/>
  <c r="AG1396" i="3"/>
  <c r="AH1396" i="3" s="1"/>
  <c r="AG1397" i="3"/>
  <c r="AG1398" i="3"/>
  <c r="AG1399" i="3"/>
  <c r="AG1400" i="3"/>
  <c r="AG1401" i="3"/>
  <c r="AG1402" i="3"/>
  <c r="AH1402" i="3" s="1"/>
  <c r="AG1403" i="3"/>
  <c r="AH1403" i="3" s="1"/>
  <c r="AG1404" i="3"/>
  <c r="AH1404" i="3" s="1"/>
  <c r="AG1405" i="3"/>
  <c r="AG1406" i="3"/>
  <c r="AG1407" i="3"/>
  <c r="AG1408" i="3"/>
  <c r="AH1408" i="3" s="1"/>
  <c r="AG1409" i="3"/>
  <c r="AG1410" i="3"/>
  <c r="AG1411" i="3"/>
  <c r="AG1412" i="3"/>
  <c r="AH1412" i="3" s="1"/>
  <c r="AG1413" i="3"/>
  <c r="AG1414" i="3"/>
  <c r="AG1415" i="3"/>
  <c r="AG1416" i="3"/>
  <c r="AG1417" i="3"/>
  <c r="AG1418" i="3"/>
  <c r="AG1419" i="3"/>
  <c r="AH1419" i="3" s="1"/>
  <c r="AG1420" i="3"/>
  <c r="AH1420" i="3" s="1"/>
  <c r="AG1421" i="3"/>
  <c r="AG1422" i="3"/>
  <c r="AG1423" i="3"/>
  <c r="AG1424" i="3"/>
  <c r="AG1425" i="3"/>
  <c r="AG1426" i="3"/>
  <c r="AG1427" i="3"/>
  <c r="AG1428" i="3"/>
  <c r="AH1428" i="3" s="1"/>
  <c r="AG1429" i="3"/>
  <c r="AG1430" i="3"/>
  <c r="AG1431" i="3"/>
  <c r="AG1432" i="3"/>
  <c r="AH1432" i="3" s="1"/>
  <c r="AG1433" i="3"/>
  <c r="AH1433" i="3" s="1"/>
  <c r="AG1434" i="3"/>
  <c r="AG1435" i="3"/>
  <c r="AH1435" i="3" s="1"/>
  <c r="AG1436" i="3"/>
  <c r="AH1436" i="3" s="1"/>
  <c r="AG1437" i="3"/>
  <c r="AG1438" i="3"/>
  <c r="AG1439" i="3"/>
  <c r="AG1440" i="3"/>
  <c r="AG1441" i="3"/>
  <c r="AG1442" i="3"/>
  <c r="AG3" i="3"/>
  <c r="AH4" i="3"/>
  <c r="AJ4" i="3"/>
  <c r="AL4" i="3"/>
  <c r="AN4" i="3"/>
  <c r="AP4" i="3"/>
  <c r="AR4" i="3"/>
  <c r="AT4" i="3"/>
  <c r="AH5" i="3"/>
  <c r="AJ5" i="3"/>
  <c r="AL5" i="3"/>
  <c r="AN5" i="3"/>
  <c r="AP5" i="3"/>
  <c r="AR5" i="3"/>
  <c r="AT5" i="3"/>
  <c r="AH6" i="3"/>
  <c r="AJ6" i="3"/>
  <c r="AL6" i="3"/>
  <c r="AN6" i="3"/>
  <c r="AP6" i="3"/>
  <c r="AR6" i="3"/>
  <c r="AT6" i="3"/>
  <c r="AH7" i="3"/>
  <c r="AJ7" i="3"/>
  <c r="AL7" i="3"/>
  <c r="AN7" i="3"/>
  <c r="AP7" i="3"/>
  <c r="AR7" i="3"/>
  <c r="AT7" i="3"/>
  <c r="AH8" i="3"/>
  <c r="AJ8" i="3"/>
  <c r="AL8" i="3"/>
  <c r="AN8" i="3"/>
  <c r="AP8" i="3"/>
  <c r="AR8" i="3"/>
  <c r="AT8" i="3"/>
  <c r="AH9" i="3"/>
  <c r="AJ9" i="3"/>
  <c r="AL9" i="3"/>
  <c r="AN9" i="3"/>
  <c r="AP9" i="3"/>
  <c r="AR9" i="3"/>
  <c r="AT9" i="3"/>
  <c r="AH10" i="3"/>
  <c r="AJ10" i="3"/>
  <c r="AL10" i="3"/>
  <c r="AN10" i="3"/>
  <c r="AP10" i="3"/>
  <c r="AR10" i="3"/>
  <c r="AT10" i="3"/>
  <c r="AJ11" i="3"/>
  <c r="AL11" i="3"/>
  <c r="AN11" i="3"/>
  <c r="AP11" i="3"/>
  <c r="AR11" i="3"/>
  <c r="AT11" i="3"/>
  <c r="AH12" i="3"/>
  <c r="AJ12" i="3"/>
  <c r="AL12" i="3"/>
  <c r="AN12" i="3"/>
  <c r="AP12" i="3"/>
  <c r="AR12" i="3"/>
  <c r="AT12" i="3"/>
  <c r="AH13" i="3"/>
  <c r="AJ13" i="3"/>
  <c r="AL13" i="3"/>
  <c r="AN13" i="3"/>
  <c r="AP13" i="3"/>
  <c r="AR13" i="3"/>
  <c r="AT13" i="3"/>
  <c r="AJ14" i="3"/>
  <c r="AL14" i="3"/>
  <c r="AN14" i="3"/>
  <c r="AP14" i="3"/>
  <c r="AR14" i="3"/>
  <c r="AT14" i="3"/>
  <c r="AJ15" i="3"/>
  <c r="AL15" i="3"/>
  <c r="AN15" i="3"/>
  <c r="AP15" i="3"/>
  <c r="AR15" i="3"/>
  <c r="AT15" i="3"/>
  <c r="AJ16" i="3"/>
  <c r="AL16" i="3"/>
  <c r="AN16" i="3"/>
  <c r="AP16" i="3"/>
  <c r="AR16" i="3"/>
  <c r="AT16" i="3"/>
  <c r="AH17"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H22" i="3"/>
  <c r="AJ22" i="3"/>
  <c r="AL22" i="3"/>
  <c r="AN22" i="3"/>
  <c r="AP22" i="3"/>
  <c r="AR22" i="3"/>
  <c r="AT22" i="3"/>
  <c r="AH23" i="3"/>
  <c r="AJ23" i="3"/>
  <c r="AL23" i="3"/>
  <c r="AN23" i="3"/>
  <c r="AP23" i="3"/>
  <c r="AR23" i="3"/>
  <c r="AT23" i="3"/>
  <c r="AH24" i="3"/>
  <c r="AJ24" i="3"/>
  <c r="AL24" i="3"/>
  <c r="AN24" i="3"/>
  <c r="AP24" i="3"/>
  <c r="AR24" i="3"/>
  <c r="AT24" i="3"/>
  <c r="AH25" i="3"/>
  <c r="AJ25" i="3"/>
  <c r="AL25" i="3"/>
  <c r="AN25" i="3"/>
  <c r="AP25" i="3"/>
  <c r="AR25" i="3"/>
  <c r="AT25" i="3"/>
  <c r="AJ26" i="3"/>
  <c r="AL26" i="3"/>
  <c r="AN26" i="3"/>
  <c r="AP26" i="3"/>
  <c r="AR26" i="3"/>
  <c r="AT26" i="3"/>
  <c r="AJ27" i="3"/>
  <c r="AL27" i="3"/>
  <c r="AN27" i="3"/>
  <c r="AP27" i="3"/>
  <c r="AR27" i="3"/>
  <c r="AT27" i="3"/>
  <c r="AH28" i="3"/>
  <c r="AJ28" i="3"/>
  <c r="AL28" i="3"/>
  <c r="AN28" i="3"/>
  <c r="AP28" i="3"/>
  <c r="AR28" i="3"/>
  <c r="AT28" i="3"/>
  <c r="AH29" i="3"/>
  <c r="AJ29" i="3"/>
  <c r="AL29" i="3"/>
  <c r="AN29" i="3"/>
  <c r="AP29" i="3"/>
  <c r="AR29" i="3"/>
  <c r="AT29" i="3"/>
  <c r="AH30" i="3"/>
  <c r="AJ30" i="3"/>
  <c r="AL30" i="3"/>
  <c r="AN30" i="3"/>
  <c r="AP30" i="3"/>
  <c r="AR30" i="3"/>
  <c r="AT30" i="3"/>
  <c r="AH31"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H36" i="3"/>
  <c r="AJ36" i="3"/>
  <c r="AL36" i="3"/>
  <c r="AN36" i="3"/>
  <c r="AP36" i="3"/>
  <c r="AR36" i="3"/>
  <c r="AT36" i="3"/>
  <c r="AH37" i="3"/>
  <c r="AJ37" i="3"/>
  <c r="AL37" i="3"/>
  <c r="AN37" i="3"/>
  <c r="AP37" i="3"/>
  <c r="AR37" i="3"/>
  <c r="AT37" i="3"/>
  <c r="AJ38" i="3"/>
  <c r="AL38" i="3"/>
  <c r="AN38" i="3"/>
  <c r="AP38" i="3"/>
  <c r="AR38" i="3"/>
  <c r="AT38" i="3"/>
  <c r="AH39" i="3"/>
  <c r="AJ39" i="3"/>
  <c r="AL39" i="3"/>
  <c r="AN39" i="3"/>
  <c r="AP39" i="3"/>
  <c r="AR39" i="3"/>
  <c r="AT39" i="3"/>
  <c r="AH40" i="3"/>
  <c r="AJ40" i="3"/>
  <c r="AL40" i="3"/>
  <c r="AN40" i="3"/>
  <c r="AP40" i="3"/>
  <c r="AR40" i="3"/>
  <c r="AT40" i="3"/>
  <c r="AH41" i="3"/>
  <c r="AJ41" i="3"/>
  <c r="AL41" i="3"/>
  <c r="AN41" i="3"/>
  <c r="AP41" i="3"/>
  <c r="AR41" i="3"/>
  <c r="AT41" i="3"/>
  <c r="AH42" i="3"/>
  <c r="AJ42" i="3"/>
  <c r="AL42" i="3"/>
  <c r="AN42" i="3"/>
  <c r="AP42" i="3"/>
  <c r="AR42" i="3"/>
  <c r="AT42" i="3"/>
  <c r="AJ43" i="3"/>
  <c r="AL43" i="3"/>
  <c r="AN43" i="3"/>
  <c r="AP43" i="3"/>
  <c r="AR43" i="3"/>
  <c r="AT43" i="3"/>
  <c r="AH44" i="3"/>
  <c r="AJ44" i="3"/>
  <c r="AL44" i="3"/>
  <c r="AN44" i="3"/>
  <c r="AP44" i="3"/>
  <c r="AR44" i="3"/>
  <c r="AT44" i="3"/>
  <c r="AH45" i="3"/>
  <c r="AJ45" i="3"/>
  <c r="AL45" i="3"/>
  <c r="AN45" i="3"/>
  <c r="AP45" i="3"/>
  <c r="AR45" i="3"/>
  <c r="AT45" i="3"/>
  <c r="AH46" i="3"/>
  <c r="AJ46" i="3"/>
  <c r="AL46" i="3"/>
  <c r="AN46" i="3"/>
  <c r="AP46" i="3"/>
  <c r="AR46" i="3"/>
  <c r="AT46" i="3"/>
  <c r="AJ47" i="3"/>
  <c r="AL47" i="3"/>
  <c r="AN47" i="3"/>
  <c r="AP47" i="3"/>
  <c r="AR47" i="3"/>
  <c r="AT47" i="3"/>
  <c r="AH48" i="3"/>
  <c r="AJ48" i="3"/>
  <c r="AL48" i="3"/>
  <c r="AN48" i="3"/>
  <c r="AP48" i="3"/>
  <c r="AR48" i="3"/>
  <c r="AT48" i="3"/>
  <c r="AJ49" i="3"/>
  <c r="AL49" i="3"/>
  <c r="AN49" i="3"/>
  <c r="AP49" i="3"/>
  <c r="AR49" i="3"/>
  <c r="AT49" i="3"/>
  <c r="AJ50" i="3"/>
  <c r="AL50" i="3"/>
  <c r="AN50" i="3"/>
  <c r="AP50" i="3"/>
  <c r="AR50" i="3"/>
  <c r="AT50" i="3"/>
  <c r="AJ51" i="3"/>
  <c r="AL51" i="3"/>
  <c r="AN51" i="3"/>
  <c r="AP51" i="3"/>
  <c r="AR51" i="3"/>
  <c r="AT51" i="3"/>
  <c r="AH52" i="3"/>
  <c r="AJ52" i="3"/>
  <c r="AL52" i="3"/>
  <c r="AN52" i="3"/>
  <c r="AP52" i="3"/>
  <c r="AR52" i="3"/>
  <c r="AT52" i="3"/>
  <c r="AH53" i="3"/>
  <c r="AJ53" i="3"/>
  <c r="AL53" i="3"/>
  <c r="AN53" i="3"/>
  <c r="AP53" i="3"/>
  <c r="AR53" i="3"/>
  <c r="AT53" i="3"/>
  <c r="AH54" i="3"/>
  <c r="AJ54" i="3"/>
  <c r="AL54" i="3"/>
  <c r="AN54" i="3"/>
  <c r="AP54" i="3"/>
  <c r="AR54" i="3"/>
  <c r="AT54" i="3"/>
  <c r="AH55" i="3"/>
  <c r="AJ55" i="3"/>
  <c r="AL55" i="3"/>
  <c r="AN55" i="3"/>
  <c r="AP55" i="3"/>
  <c r="AR55" i="3"/>
  <c r="AT55" i="3"/>
  <c r="AH56" i="3"/>
  <c r="AJ56" i="3"/>
  <c r="AL56" i="3"/>
  <c r="AN56" i="3"/>
  <c r="AP56" i="3"/>
  <c r="AR56" i="3"/>
  <c r="AT56" i="3"/>
  <c r="AH57" i="3"/>
  <c r="AJ57" i="3"/>
  <c r="AL57" i="3"/>
  <c r="AN57" i="3"/>
  <c r="AP57" i="3"/>
  <c r="AR57" i="3"/>
  <c r="AT57" i="3"/>
  <c r="AH58" i="3"/>
  <c r="AJ58" i="3"/>
  <c r="AL58" i="3"/>
  <c r="AN58" i="3"/>
  <c r="AP58" i="3"/>
  <c r="AR58" i="3"/>
  <c r="AT58" i="3"/>
  <c r="AJ59" i="3"/>
  <c r="AL59" i="3"/>
  <c r="AN59" i="3"/>
  <c r="AP59" i="3"/>
  <c r="AR59" i="3"/>
  <c r="AT59" i="3"/>
  <c r="AH60" i="3"/>
  <c r="AJ60" i="3"/>
  <c r="AL60" i="3"/>
  <c r="AN60" i="3"/>
  <c r="AP60" i="3"/>
  <c r="AR60" i="3"/>
  <c r="AT60" i="3"/>
  <c r="AH61"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H68" i="3"/>
  <c r="AJ68" i="3"/>
  <c r="AL68" i="3"/>
  <c r="AN68" i="3"/>
  <c r="AP68" i="3"/>
  <c r="AR68" i="3"/>
  <c r="AT68" i="3"/>
  <c r="AH69" i="3"/>
  <c r="AJ69" i="3"/>
  <c r="AL69" i="3"/>
  <c r="AN69" i="3"/>
  <c r="AP69" i="3"/>
  <c r="AR69" i="3"/>
  <c r="AT69" i="3"/>
  <c r="AH70" i="3"/>
  <c r="AJ70" i="3"/>
  <c r="AL70" i="3"/>
  <c r="AN70" i="3"/>
  <c r="AP70" i="3"/>
  <c r="AR70" i="3"/>
  <c r="AT70" i="3"/>
  <c r="AH71" i="3"/>
  <c r="AJ71" i="3"/>
  <c r="AL71" i="3"/>
  <c r="AN71" i="3"/>
  <c r="AP71" i="3"/>
  <c r="AR71" i="3"/>
  <c r="AT71" i="3"/>
  <c r="AJ72" i="3"/>
  <c r="AP72" i="3"/>
  <c r="AR72" i="3"/>
  <c r="AT72" i="3"/>
  <c r="AH73" i="3"/>
  <c r="AJ73" i="3"/>
  <c r="AL73" i="3"/>
  <c r="AN73" i="3"/>
  <c r="AP73" i="3"/>
  <c r="AR73" i="3"/>
  <c r="AT73" i="3"/>
  <c r="AH74" i="3"/>
  <c r="AJ74" i="3"/>
  <c r="AL74" i="3"/>
  <c r="AN74" i="3"/>
  <c r="AP74" i="3"/>
  <c r="AR74" i="3"/>
  <c r="AT74" i="3"/>
  <c r="AJ75" i="3"/>
  <c r="AL75" i="3"/>
  <c r="AN75" i="3"/>
  <c r="AP75" i="3"/>
  <c r="AR75" i="3"/>
  <c r="AT75" i="3"/>
  <c r="AJ76" i="3"/>
  <c r="AL76" i="3"/>
  <c r="AN76" i="3"/>
  <c r="AP76" i="3"/>
  <c r="AR76" i="3"/>
  <c r="AT76" i="3"/>
  <c r="AH77" i="3"/>
  <c r="AJ77" i="3"/>
  <c r="AL77" i="3"/>
  <c r="AN77" i="3"/>
  <c r="AP77" i="3"/>
  <c r="AR77" i="3"/>
  <c r="AT77" i="3"/>
  <c r="AH78" i="3"/>
  <c r="AJ78" i="3"/>
  <c r="AL78" i="3"/>
  <c r="AN78" i="3"/>
  <c r="AP78" i="3"/>
  <c r="AR78" i="3"/>
  <c r="AT78" i="3"/>
  <c r="AH79" i="3"/>
  <c r="AJ79" i="3"/>
  <c r="AL79" i="3"/>
  <c r="AN79" i="3"/>
  <c r="AP79" i="3"/>
  <c r="AR79" i="3"/>
  <c r="AT79" i="3"/>
  <c r="AJ80" i="3"/>
  <c r="AL80" i="3"/>
  <c r="AP80" i="3"/>
  <c r="AR80" i="3"/>
  <c r="AT80" i="3"/>
  <c r="AJ81" i="3"/>
  <c r="AL81" i="3"/>
  <c r="AN81" i="3"/>
  <c r="AP81" i="3"/>
  <c r="AR81" i="3"/>
  <c r="AT81" i="3"/>
  <c r="AH82" i="3"/>
  <c r="AJ82" i="3"/>
  <c r="AL82" i="3"/>
  <c r="AN82" i="3"/>
  <c r="AP82" i="3"/>
  <c r="AR82" i="3"/>
  <c r="AT82" i="3"/>
  <c r="AJ83" i="3"/>
  <c r="AL83" i="3"/>
  <c r="AN83" i="3"/>
  <c r="AP83" i="3"/>
  <c r="AR83" i="3"/>
  <c r="AT83" i="3"/>
  <c r="AJ84" i="3"/>
  <c r="AL84" i="3"/>
  <c r="AN84" i="3"/>
  <c r="AP84" i="3"/>
  <c r="AR84" i="3"/>
  <c r="AT84" i="3"/>
  <c r="AH85" i="3"/>
  <c r="AJ85" i="3"/>
  <c r="AL85" i="3"/>
  <c r="AN85" i="3"/>
  <c r="AP85" i="3"/>
  <c r="AR85" i="3"/>
  <c r="AT85" i="3"/>
  <c r="AH86" i="3"/>
  <c r="AJ86" i="3"/>
  <c r="AL86" i="3"/>
  <c r="AN86" i="3"/>
  <c r="AP86" i="3"/>
  <c r="AR86" i="3"/>
  <c r="AT86" i="3"/>
  <c r="AH87" i="3"/>
  <c r="AJ87" i="3"/>
  <c r="AL87" i="3"/>
  <c r="AN87" i="3"/>
  <c r="AP87" i="3"/>
  <c r="AR87" i="3"/>
  <c r="AT87" i="3"/>
  <c r="AJ88" i="3"/>
  <c r="AL88" i="3"/>
  <c r="AN88" i="3"/>
  <c r="AP88" i="3"/>
  <c r="AR88" i="3"/>
  <c r="AT88" i="3"/>
  <c r="AJ89" i="3"/>
  <c r="AL89" i="3"/>
  <c r="AN89" i="3"/>
  <c r="AP89" i="3"/>
  <c r="AR89" i="3"/>
  <c r="AT89" i="3"/>
  <c r="AH90" i="3"/>
  <c r="AJ90" i="3"/>
  <c r="AL90" i="3"/>
  <c r="AN90" i="3"/>
  <c r="AP90" i="3"/>
  <c r="AR90" i="3"/>
  <c r="AT90" i="3"/>
  <c r="AJ91" i="3"/>
  <c r="AL91" i="3"/>
  <c r="AN91" i="3"/>
  <c r="AP91" i="3"/>
  <c r="AR91" i="3"/>
  <c r="AT91" i="3"/>
  <c r="AH92" i="3"/>
  <c r="AJ92" i="3"/>
  <c r="AL92" i="3"/>
  <c r="AN92" i="3"/>
  <c r="AP92" i="3"/>
  <c r="AR92" i="3"/>
  <c r="AT92" i="3"/>
  <c r="AJ93" i="3"/>
  <c r="AL93" i="3"/>
  <c r="AN93" i="3"/>
  <c r="AP93" i="3"/>
  <c r="AR93" i="3"/>
  <c r="AT93" i="3"/>
  <c r="AH94" i="3"/>
  <c r="AJ94" i="3"/>
  <c r="AL94" i="3"/>
  <c r="AN94" i="3"/>
  <c r="AP94" i="3"/>
  <c r="AR94" i="3"/>
  <c r="AT94" i="3"/>
  <c r="AH95" i="3"/>
  <c r="AJ95" i="3"/>
  <c r="AL95" i="3"/>
  <c r="AN95" i="3"/>
  <c r="AP95" i="3"/>
  <c r="AR95" i="3"/>
  <c r="AT95" i="3"/>
  <c r="AH96" i="3"/>
  <c r="AJ96" i="3"/>
  <c r="AL96" i="3"/>
  <c r="AN96" i="3"/>
  <c r="AP96" i="3"/>
  <c r="AR96" i="3"/>
  <c r="AT96" i="3"/>
  <c r="AJ97" i="3"/>
  <c r="AL97" i="3"/>
  <c r="AN97" i="3"/>
  <c r="AP97" i="3"/>
  <c r="AR97" i="3"/>
  <c r="AT97"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H102" i="3"/>
  <c r="AJ102" i="3"/>
  <c r="AL102" i="3"/>
  <c r="AN102" i="3"/>
  <c r="AP102" i="3"/>
  <c r="AR102" i="3"/>
  <c r="AT102" i="3"/>
  <c r="AH103" i="3"/>
  <c r="AJ103" i="3"/>
  <c r="AL103" i="3"/>
  <c r="AN103" i="3"/>
  <c r="AP103" i="3"/>
  <c r="AR103" i="3"/>
  <c r="AT103" i="3"/>
  <c r="AH104" i="3"/>
  <c r="AJ104" i="3"/>
  <c r="AL104" i="3"/>
  <c r="AN104" i="3"/>
  <c r="AP104" i="3"/>
  <c r="AR104" i="3"/>
  <c r="AT104" i="3"/>
  <c r="AH105" i="3"/>
  <c r="AJ105" i="3"/>
  <c r="AL105" i="3"/>
  <c r="AN105" i="3"/>
  <c r="AP105" i="3"/>
  <c r="AR105" i="3"/>
  <c r="AT105" i="3"/>
  <c r="AH106" i="3"/>
  <c r="AJ106" i="3"/>
  <c r="AL106" i="3"/>
  <c r="AN106" i="3"/>
  <c r="AP106" i="3"/>
  <c r="AR106" i="3"/>
  <c r="AT106" i="3"/>
  <c r="AJ107" i="3"/>
  <c r="AL107" i="3"/>
  <c r="AN107" i="3"/>
  <c r="AP107" i="3"/>
  <c r="AR107" i="3"/>
  <c r="AT107" i="3"/>
  <c r="AH108" i="3"/>
  <c r="AJ108" i="3"/>
  <c r="AL108" i="3"/>
  <c r="AN108" i="3"/>
  <c r="AP108" i="3"/>
  <c r="AR108" i="3"/>
  <c r="AT108" i="3"/>
  <c r="AJ109" i="3"/>
  <c r="AL109" i="3"/>
  <c r="AN109" i="3"/>
  <c r="AP109" i="3"/>
  <c r="AR109" i="3"/>
  <c r="AT109" i="3"/>
  <c r="AH110" i="3"/>
  <c r="AJ110" i="3"/>
  <c r="AL110" i="3"/>
  <c r="AN110" i="3"/>
  <c r="AP110" i="3"/>
  <c r="AR110" i="3"/>
  <c r="AT110" i="3"/>
  <c r="AH111" i="3"/>
  <c r="AJ111" i="3"/>
  <c r="AL111" i="3"/>
  <c r="AN111" i="3"/>
  <c r="AP111" i="3"/>
  <c r="AR111" i="3"/>
  <c r="AT111" i="3"/>
  <c r="AJ112" i="3"/>
  <c r="AL112" i="3"/>
  <c r="AN112" i="3"/>
  <c r="AP112" i="3"/>
  <c r="AR112" i="3"/>
  <c r="AT112" i="3"/>
  <c r="AJ113" i="3"/>
  <c r="AL113" i="3"/>
  <c r="AP113" i="3"/>
  <c r="AR113" i="3"/>
  <c r="AT113" i="3"/>
  <c r="AJ114" i="3"/>
  <c r="AL114" i="3"/>
  <c r="AN114" i="3"/>
  <c r="AP114" i="3"/>
  <c r="AR114" i="3"/>
  <c r="AT114" i="3"/>
  <c r="AJ115" i="3"/>
  <c r="AL115" i="3"/>
  <c r="AN115" i="3"/>
  <c r="AP115" i="3"/>
  <c r="AR115" i="3"/>
  <c r="AT115" i="3"/>
  <c r="AH116" i="3"/>
  <c r="AJ116" i="3"/>
  <c r="AL116" i="3"/>
  <c r="AN116" i="3"/>
  <c r="AP116" i="3"/>
  <c r="AR116" i="3"/>
  <c r="AT116" i="3"/>
  <c r="AJ117" i="3"/>
  <c r="AL117" i="3"/>
  <c r="AN117" i="3"/>
  <c r="AP117" i="3"/>
  <c r="AR117" i="3"/>
  <c r="AT117" i="3"/>
  <c r="AJ118" i="3"/>
  <c r="AL118" i="3"/>
  <c r="AN118" i="3"/>
  <c r="AP118" i="3"/>
  <c r="AR118" i="3"/>
  <c r="AT118" i="3"/>
  <c r="AH119" i="3"/>
  <c r="AJ119" i="3"/>
  <c r="AL119" i="3"/>
  <c r="AN119" i="3"/>
  <c r="AP119" i="3"/>
  <c r="AR119" i="3"/>
  <c r="AT119" i="3"/>
  <c r="AH120" i="3"/>
  <c r="AJ120" i="3"/>
  <c r="AL120" i="3"/>
  <c r="AN120" i="3"/>
  <c r="AP120" i="3"/>
  <c r="AR120" i="3"/>
  <c r="AT120" i="3"/>
  <c r="AH121" i="3"/>
  <c r="AJ121" i="3"/>
  <c r="AL121" i="3"/>
  <c r="AN121" i="3"/>
  <c r="AP121" i="3"/>
  <c r="AR121" i="3"/>
  <c r="AT121" i="3"/>
  <c r="AJ122" i="3"/>
  <c r="AL122" i="3"/>
  <c r="AN122" i="3"/>
  <c r="AP122" i="3"/>
  <c r="AR122" i="3"/>
  <c r="AT122" i="3"/>
  <c r="AJ123" i="3"/>
  <c r="AL123" i="3"/>
  <c r="AN123" i="3"/>
  <c r="AP123" i="3"/>
  <c r="AR123" i="3"/>
  <c r="AT123" i="3"/>
  <c r="AH124" i="3"/>
  <c r="AJ124" i="3"/>
  <c r="AL124" i="3"/>
  <c r="AN124" i="3"/>
  <c r="AP124" i="3"/>
  <c r="AR124" i="3"/>
  <c r="AT124" i="3"/>
  <c r="AH125" i="3"/>
  <c r="AJ125" i="3"/>
  <c r="AL125" i="3"/>
  <c r="AN125" i="3"/>
  <c r="AP125" i="3"/>
  <c r="AR125" i="3"/>
  <c r="AT125" i="3"/>
  <c r="AJ126" i="3"/>
  <c r="AL126" i="3"/>
  <c r="AN126" i="3"/>
  <c r="AP126" i="3"/>
  <c r="AR126" i="3"/>
  <c r="AT126" i="3"/>
  <c r="AJ127" i="3"/>
  <c r="AL127" i="3"/>
  <c r="AN127" i="3"/>
  <c r="AP127" i="3"/>
  <c r="AR127" i="3"/>
  <c r="AT127" i="3"/>
  <c r="AH128" i="3"/>
  <c r="AJ128" i="3"/>
  <c r="AL128" i="3"/>
  <c r="AN128" i="3"/>
  <c r="AP128" i="3"/>
  <c r="AR128" i="3"/>
  <c r="AT128" i="3"/>
  <c r="AH129" i="3"/>
  <c r="AJ129" i="3"/>
  <c r="AL129" i="3"/>
  <c r="AN129" i="3"/>
  <c r="AP129" i="3"/>
  <c r="AR129" i="3"/>
  <c r="AT129" i="3"/>
  <c r="AH130" i="3"/>
  <c r="AJ130" i="3"/>
  <c r="AL130" i="3"/>
  <c r="AN130" i="3"/>
  <c r="AP130" i="3"/>
  <c r="AR130" i="3"/>
  <c r="AT130" i="3"/>
  <c r="AJ131" i="3"/>
  <c r="AL131" i="3"/>
  <c r="AN131" i="3"/>
  <c r="AP131" i="3"/>
  <c r="AR131" i="3"/>
  <c r="AT131" i="3"/>
  <c r="AL132" i="3"/>
  <c r="AP132" i="3"/>
  <c r="AR132" i="3"/>
  <c r="AT132" i="3"/>
  <c r="AJ133" i="3"/>
  <c r="AL133" i="3"/>
  <c r="AN133" i="3"/>
  <c r="AP133" i="3"/>
  <c r="AR133" i="3"/>
  <c r="AT133" i="3"/>
  <c r="AJ134" i="3"/>
  <c r="AL134" i="3"/>
  <c r="AN134" i="3"/>
  <c r="AP134" i="3"/>
  <c r="AR134" i="3"/>
  <c r="AT134" i="3"/>
  <c r="AJ135" i="3"/>
  <c r="AL135" i="3"/>
  <c r="AN135" i="3"/>
  <c r="AP135" i="3"/>
  <c r="AR135" i="3"/>
  <c r="AT135" i="3"/>
  <c r="AL136" i="3"/>
  <c r="AP136" i="3"/>
  <c r="AR136" i="3"/>
  <c r="AT136" i="3"/>
  <c r="AJ137" i="3"/>
  <c r="AL137" i="3"/>
  <c r="AN137" i="3"/>
  <c r="AP137" i="3"/>
  <c r="AR137" i="3"/>
  <c r="AT137" i="3"/>
  <c r="AJ138" i="3"/>
  <c r="AL138" i="3"/>
  <c r="AN138" i="3"/>
  <c r="AP138" i="3"/>
  <c r="AR138" i="3"/>
  <c r="AT138" i="3"/>
  <c r="AJ139" i="3"/>
  <c r="AL139" i="3"/>
  <c r="AN139" i="3"/>
  <c r="AP139" i="3"/>
  <c r="AR139" i="3"/>
  <c r="AT139" i="3"/>
  <c r="AH140" i="3"/>
  <c r="AJ140" i="3"/>
  <c r="AL140" i="3"/>
  <c r="AN140" i="3"/>
  <c r="AP140" i="3"/>
  <c r="AR140" i="3"/>
  <c r="AT140" i="3"/>
  <c r="AJ141" i="3"/>
  <c r="AL141" i="3"/>
  <c r="AN141" i="3"/>
  <c r="AP141" i="3"/>
  <c r="AR141" i="3"/>
  <c r="AT141" i="3"/>
  <c r="AJ142" i="3"/>
  <c r="AP142" i="3"/>
  <c r="AR142" i="3"/>
  <c r="AT142" i="3"/>
  <c r="AJ143" i="3"/>
  <c r="AP143" i="3"/>
  <c r="AR143" i="3"/>
  <c r="AT143" i="3"/>
  <c r="AJ144" i="3"/>
  <c r="AL144" i="3"/>
  <c r="AP144" i="3"/>
  <c r="AR144" i="3"/>
  <c r="AT144" i="3"/>
  <c r="AJ145" i="3"/>
  <c r="AL145" i="3"/>
  <c r="AN145" i="3"/>
  <c r="AP145" i="3"/>
  <c r="AR145" i="3"/>
  <c r="AT145" i="3"/>
  <c r="AP146" i="3"/>
  <c r="AR146" i="3"/>
  <c r="AT146" i="3"/>
  <c r="AJ147" i="3"/>
  <c r="AL147" i="3"/>
  <c r="AN147" i="3"/>
  <c r="AP147" i="3"/>
  <c r="AR147" i="3"/>
  <c r="AT147" i="3"/>
  <c r="AH148" i="3"/>
  <c r="AJ148" i="3"/>
  <c r="AL148" i="3"/>
  <c r="AN148" i="3"/>
  <c r="AP148" i="3"/>
  <c r="AR148" i="3"/>
  <c r="AT148" i="3"/>
  <c r="AH149" i="3"/>
  <c r="AJ149" i="3"/>
  <c r="AL149" i="3"/>
  <c r="AN149" i="3"/>
  <c r="AP149" i="3"/>
  <c r="AR149" i="3"/>
  <c r="AT149" i="3"/>
  <c r="AJ150" i="3"/>
  <c r="AL150" i="3"/>
  <c r="AN150" i="3"/>
  <c r="AP150" i="3"/>
  <c r="AR150" i="3"/>
  <c r="AT150" i="3"/>
  <c r="AJ151" i="3"/>
  <c r="AL151" i="3"/>
  <c r="AN151" i="3"/>
  <c r="AP151" i="3"/>
  <c r="AR151" i="3"/>
  <c r="AT151" i="3"/>
  <c r="AH152" i="3"/>
  <c r="AJ152" i="3"/>
  <c r="AL152" i="3"/>
  <c r="AN152" i="3"/>
  <c r="AP152" i="3"/>
  <c r="AR152" i="3"/>
  <c r="AT152" i="3"/>
  <c r="AH153" i="3"/>
  <c r="AJ153" i="3"/>
  <c r="AL153" i="3"/>
  <c r="AN153" i="3"/>
  <c r="AP153" i="3"/>
  <c r="AR153" i="3"/>
  <c r="AT153" i="3"/>
  <c r="AH154" i="3"/>
  <c r="AJ154" i="3"/>
  <c r="AL154" i="3"/>
  <c r="AN154" i="3"/>
  <c r="AP154" i="3"/>
  <c r="AR154" i="3"/>
  <c r="AT154" i="3"/>
  <c r="AJ155" i="3"/>
  <c r="AL155" i="3"/>
  <c r="AN155" i="3"/>
  <c r="AP155" i="3"/>
  <c r="AR155" i="3"/>
  <c r="AT155" i="3"/>
  <c r="AJ156" i="3"/>
  <c r="AL156" i="3"/>
  <c r="AP156" i="3"/>
  <c r="AR156" i="3"/>
  <c r="AT156" i="3"/>
  <c r="AP157" i="3"/>
  <c r="AR157" i="3"/>
  <c r="AT157" i="3"/>
  <c r="AJ158" i="3"/>
  <c r="AL158" i="3"/>
  <c r="AN158" i="3"/>
  <c r="AP158" i="3"/>
  <c r="AR158" i="3"/>
  <c r="AT158" i="3"/>
  <c r="AJ159" i="3"/>
  <c r="AL159" i="3"/>
  <c r="AN159" i="3"/>
  <c r="AP159" i="3"/>
  <c r="AR159" i="3"/>
  <c r="AT159" i="3"/>
  <c r="AJ160" i="3"/>
  <c r="AL160" i="3"/>
  <c r="AN160" i="3"/>
  <c r="AP160" i="3"/>
  <c r="AR160" i="3"/>
  <c r="AT160" i="3"/>
  <c r="AJ161" i="3"/>
  <c r="AL161" i="3"/>
  <c r="AN161" i="3"/>
  <c r="AP161" i="3"/>
  <c r="AR161" i="3"/>
  <c r="AT161" i="3"/>
  <c r="AH162" i="3"/>
  <c r="AJ162" i="3"/>
  <c r="AL162" i="3"/>
  <c r="AN162" i="3"/>
  <c r="AP162" i="3"/>
  <c r="AR162" i="3"/>
  <c r="AT162" i="3"/>
  <c r="AJ163" i="3"/>
  <c r="AL163" i="3"/>
  <c r="AN163" i="3"/>
  <c r="AP163" i="3"/>
  <c r="AR163" i="3"/>
  <c r="AT163" i="3"/>
  <c r="AH164" i="3"/>
  <c r="AJ164" i="3"/>
  <c r="AL164" i="3"/>
  <c r="AN164" i="3"/>
  <c r="AP164" i="3"/>
  <c r="AR164" i="3"/>
  <c r="AT164" i="3"/>
  <c r="AH165" i="3"/>
  <c r="AJ165" i="3"/>
  <c r="AL165" i="3"/>
  <c r="AN165" i="3"/>
  <c r="AP165" i="3"/>
  <c r="AR165" i="3"/>
  <c r="AT165" i="3"/>
  <c r="AH166" i="3"/>
  <c r="AJ166" i="3"/>
  <c r="AL166" i="3"/>
  <c r="AN166" i="3"/>
  <c r="AP166" i="3"/>
  <c r="AR166" i="3"/>
  <c r="AT166" i="3"/>
  <c r="AH167" i="3"/>
  <c r="AJ167" i="3"/>
  <c r="AL167" i="3"/>
  <c r="AN167" i="3"/>
  <c r="AP167" i="3"/>
  <c r="AR167" i="3"/>
  <c r="AT167" i="3"/>
  <c r="AH168" i="3"/>
  <c r="AJ168" i="3"/>
  <c r="AL168" i="3"/>
  <c r="AN168" i="3"/>
  <c r="AP168" i="3"/>
  <c r="AR168" i="3"/>
  <c r="AT168" i="3"/>
  <c r="AJ169" i="3"/>
  <c r="AL169" i="3"/>
  <c r="AN169" i="3"/>
  <c r="AP169" i="3"/>
  <c r="AR169" i="3"/>
  <c r="AT169" i="3"/>
  <c r="AH170" i="3"/>
  <c r="AJ170" i="3"/>
  <c r="AL170" i="3"/>
  <c r="AN170" i="3"/>
  <c r="AP170" i="3"/>
  <c r="AR170" i="3"/>
  <c r="AT170" i="3"/>
  <c r="AJ171" i="3"/>
  <c r="AL171" i="3"/>
  <c r="AN171" i="3"/>
  <c r="AP171" i="3"/>
  <c r="AR171" i="3"/>
  <c r="AT171" i="3"/>
  <c r="AH172" i="3"/>
  <c r="AJ172" i="3"/>
  <c r="AL172" i="3"/>
  <c r="AN172" i="3"/>
  <c r="AP172" i="3"/>
  <c r="AR172" i="3"/>
  <c r="AT172" i="3"/>
  <c r="AJ173" i="3"/>
  <c r="AL173" i="3"/>
  <c r="AN173" i="3"/>
  <c r="AP173" i="3"/>
  <c r="AR173" i="3"/>
  <c r="AT173" i="3"/>
  <c r="AJ174" i="3"/>
  <c r="AL174" i="3"/>
  <c r="AN174" i="3"/>
  <c r="AP174" i="3"/>
  <c r="AR174" i="3"/>
  <c r="AT174" i="3"/>
  <c r="AJ175" i="3"/>
  <c r="AL175" i="3"/>
  <c r="AP175" i="3"/>
  <c r="AR175" i="3"/>
  <c r="AT175" i="3"/>
  <c r="AJ176" i="3"/>
  <c r="AL176" i="3"/>
  <c r="AN176" i="3"/>
  <c r="AP176" i="3"/>
  <c r="AR176" i="3"/>
  <c r="AT176" i="3"/>
  <c r="AJ177" i="3"/>
  <c r="AL177" i="3"/>
  <c r="AP177" i="3"/>
  <c r="AR177" i="3"/>
  <c r="AT177" i="3"/>
  <c r="AJ178" i="3"/>
  <c r="AL178" i="3"/>
  <c r="AN178" i="3"/>
  <c r="AP178" i="3"/>
  <c r="AR178" i="3"/>
  <c r="AT178" i="3"/>
  <c r="AJ179" i="3"/>
  <c r="AL179" i="3"/>
  <c r="AN179" i="3"/>
  <c r="AP179" i="3"/>
  <c r="AR179" i="3"/>
  <c r="AT179" i="3"/>
  <c r="AH180" i="3"/>
  <c r="AJ180" i="3"/>
  <c r="AL180" i="3"/>
  <c r="AN180" i="3"/>
  <c r="AP180" i="3"/>
  <c r="AR180" i="3"/>
  <c r="AT180" i="3"/>
  <c r="AH181" i="3"/>
  <c r="AJ181" i="3"/>
  <c r="AL181" i="3"/>
  <c r="AN181" i="3"/>
  <c r="AP181" i="3"/>
  <c r="AR181" i="3"/>
  <c r="AT181" i="3"/>
  <c r="AH182" i="3"/>
  <c r="AJ182" i="3"/>
  <c r="AL182" i="3"/>
  <c r="AN182" i="3"/>
  <c r="AP182" i="3"/>
  <c r="AR182" i="3"/>
  <c r="AT182" i="3"/>
  <c r="AH183" i="3"/>
  <c r="AJ183" i="3"/>
  <c r="AL183" i="3"/>
  <c r="AN183" i="3"/>
  <c r="AP183" i="3"/>
  <c r="AR183" i="3"/>
  <c r="AT183" i="3"/>
  <c r="AJ184" i="3"/>
  <c r="AL184" i="3"/>
  <c r="AN184" i="3"/>
  <c r="AP184" i="3"/>
  <c r="AR184" i="3"/>
  <c r="AT184" i="3"/>
  <c r="AJ185" i="3"/>
  <c r="AL185" i="3"/>
  <c r="AN185" i="3"/>
  <c r="AP185" i="3"/>
  <c r="AR185" i="3"/>
  <c r="AT185" i="3"/>
  <c r="AH186" i="3"/>
  <c r="AJ186" i="3"/>
  <c r="AL186" i="3"/>
  <c r="AN186" i="3"/>
  <c r="AP186" i="3"/>
  <c r="AR186" i="3"/>
  <c r="AT186" i="3"/>
  <c r="AJ187" i="3"/>
  <c r="AL187" i="3"/>
  <c r="AN187" i="3"/>
  <c r="AP187" i="3"/>
  <c r="AR187" i="3"/>
  <c r="AT187" i="3"/>
  <c r="AH188" i="3"/>
  <c r="AJ188" i="3"/>
  <c r="AL188" i="3"/>
  <c r="AN188" i="3"/>
  <c r="AP188" i="3"/>
  <c r="AR188" i="3"/>
  <c r="AT188" i="3"/>
  <c r="AJ189" i="3"/>
  <c r="AL189" i="3"/>
  <c r="AN189" i="3"/>
  <c r="AP189" i="3"/>
  <c r="AR189" i="3"/>
  <c r="AT189" i="3"/>
  <c r="AJ190" i="3"/>
  <c r="AL190" i="3"/>
  <c r="AN190" i="3"/>
  <c r="AP190" i="3"/>
  <c r="AR190" i="3"/>
  <c r="AT190" i="3"/>
  <c r="AH191" i="3"/>
  <c r="AJ191" i="3"/>
  <c r="AL191" i="3"/>
  <c r="AN191" i="3"/>
  <c r="AP191" i="3"/>
  <c r="AR191" i="3"/>
  <c r="AT191" i="3"/>
  <c r="AH192" i="3"/>
  <c r="AJ192" i="3"/>
  <c r="AL192" i="3"/>
  <c r="AN192" i="3"/>
  <c r="AP192" i="3"/>
  <c r="AR192" i="3"/>
  <c r="AT192" i="3"/>
  <c r="AH193" i="3"/>
  <c r="AJ193" i="3"/>
  <c r="AL193" i="3"/>
  <c r="AN193" i="3"/>
  <c r="AP193" i="3"/>
  <c r="AR193" i="3"/>
  <c r="AT193" i="3"/>
  <c r="AJ194" i="3"/>
  <c r="AL194" i="3"/>
  <c r="AN194" i="3"/>
  <c r="AP194" i="3"/>
  <c r="AR194" i="3"/>
  <c r="AT194" i="3"/>
  <c r="AJ195" i="3"/>
  <c r="AL195" i="3"/>
  <c r="AP195" i="3"/>
  <c r="AR195" i="3"/>
  <c r="AT195" i="3"/>
  <c r="AH196" i="3"/>
  <c r="AJ196" i="3"/>
  <c r="AL196" i="3"/>
  <c r="AN196" i="3"/>
  <c r="AP196" i="3"/>
  <c r="AR196" i="3"/>
  <c r="AT196" i="3"/>
  <c r="AJ197" i="3"/>
  <c r="AL197" i="3"/>
  <c r="AN197" i="3"/>
  <c r="AP197" i="3"/>
  <c r="AR197" i="3"/>
  <c r="AT197" i="3"/>
  <c r="AJ198" i="3"/>
  <c r="AL198" i="3"/>
  <c r="AN198" i="3"/>
  <c r="AP198" i="3"/>
  <c r="AR198" i="3"/>
  <c r="AT198" i="3"/>
  <c r="AH199" i="3"/>
  <c r="AJ199" i="3"/>
  <c r="AL199" i="3"/>
  <c r="AN199" i="3"/>
  <c r="AP199" i="3"/>
  <c r="AR199" i="3"/>
  <c r="AT199" i="3"/>
  <c r="AH200" i="3"/>
  <c r="AJ200" i="3"/>
  <c r="AL200" i="3"/>
  <c r="AN200" i="3"/>
  <c r="AP200" i="3"/>
  <c r="AR200" i="3"/>
  <c r="AT200" i="3"/>
  <c r="AH201" i="3"/>
  <c r="AJ201" i="3"/>
  <c r="AL201" i="3"/>
  <c r="AN201" i="3"/>
  <c r="AP201" i="3"/>
  <c r="AR201" i="3"/>
  <c r="AT201" i="3"/>
  <c r="AJ202" i="3"/>
  <c r="AL202" i="3"/>
  <c r="AN202" i="3"/>
  <c r="AP202" i="3"/>
  <c r="AR202" i="3"/>
  <c r="AT202" i="3"/>
  <c r="AJ203" i="3"/>
  <c r="AL203" i="3"/>
  <c r="AN203" i="3"/>
  <c r="AP203" i="3"/>
  <c r="AR203" i="3"/>
  <c r="AT203" i="3"/>
  <c r="AH204" i="3"/>
  <c r="AJ204" i="3"/>
  <c r="AL204" i="3"/>
  <c r="AN204" i="3"/>
  <c r="AP204" i="3"/>
  <c r="AR204" i="3"/>
  <c r="AT204" i="3"/>
  <c r="AH205" i="3"/>
  <c r="AJ205" i="3"/>
  <c r="AL205" i="3"/>
  <c r="AN205" i="3"/>
  <c r="AP205" i="3"/>
  <c r="AR205" i="3"/>
  <c r="AT205" i="3"/>
  <c r="AJ206" i="3"/>
  <c r="AL206" i="3"/>
  <c r="AN206" i="3"/>
  <c r="AP206" i="3"/>
  <c r="AR206" i="3"/>
  <c r="AT206" i="3"/>
  <c r="AH207" i="3"/>
  <c r="AJ207" i="3"/>
  <c r="AL207" i="3"/>
  <c r="AN207" i="3"/>
  <c r="AP207" i="3"/>
  <c r="AR207" i="3"/>
  <c r="AT207" i="3"/>
  <c r="AH208" i="3"/>
  <c r="AJ208" i="3"/>
  <c r="AL208" i="3"/>
  <c r="AN208" i="3"/>
  <c r="AP208" i="3"/>
  <c r="AR208" i="3"/>
  <c r="AT208" i="3"/>
  <c r="AH209" i="3"/>
  <c r="AJ209" i="3"/>
  <c r="AL209" i="3"/>
  <c r="AN209" i="3"/>
  <c r="AP209" i="3"/>
  <c r="AR209" i="3"/>
  <c r="AT209" i="3"/>
  <c r="AH210" i="3"/>
  <c r="AJ210" i="3"/>
  <c r="AL210" i="3"/>
  <c r="AN210" i="3"/>
  <c r="AP210" i="3"/>
  <c r="AR210" i="3"/>
  <c r="AT210" i="3"/>
  <c r="AJ211" i="3"/>
  <c r="AL211" i="3"/>
  <c r="AN211" i="3"/>
  <c r="AP211" i="3"/>
  <c r="AR211" i="3"/>
  <c r="AT211" i="3"/>
  <c r="AJ212" i="3"/>
  <c r="AL212" i="3"/>
  <c r="AP212" i="3"/>
  <c r="AR212" i="3"/>
  <c r="AT212" i="3"/>
  <c r="AJ213" i="3"/>
  <c r="AL213" i="3"/>
  <c r="AN213" i="3"/>
  <c r="AP213" i="3"/>
  <c r="AR213" i="3"/>
  <c r="AT213" i="3"/>
  <c r="AJ214" i="3"/>
  <c r="AL214" i="3"/>
  <c r="AN214" i="3"/>
  <c r="AP214" i="3"/>
  <c r="AR214" i="3"/>
  <c r="AT214" i="3"/>
  <c r="AJ215" i="3"/>
  <c r="AL215" i="3"/>
  <c r="AN215" i="3"/>
  <c r="AP215" i="3"/>
  <c r="AR215" i="3"/>
  <c r="AT215" i="3"/>
  <c r="AJ216" i="3"/>
  <c r="AL216" i="3"/>
  <c r="AN216" i="3"/>
  <c r="AP216" i="3"/>
  <c r="AR216" i="3"/>
  <c r="AT216" i="3"/>
  <c r="AH217" i="3"/>
  <c r="AJ217" i="3"/>
  <c r="AL217" i="3"/>
  <c r="AN217" i="3"/>
  <c r="AP217" i="3"/>
  <c r="AR217" i="3"/>
  <c r="AT217" i="3"/>
  <c r="AH218" i="3"/>
  <c r="AJ218" i="3"/>
  <c r="AL218" i="3"/>
  <c r="AN218" i="3"/>
  <c r="AP218" i="3"/>
  <c r="AR218" i="3"/>
  <c r="AT218" i="3"/>
  <c r="AJ219" i="3"/>
  <c r="AL219" i="3"/>
  <c r="AN219" i="3"/>
  <c r="AP219" i="3"/>
  <c r="AR219" i="3"/>
  <c r="AT219" i="3"/>
  <c r="AH220" i="3"/>
  <c r="AJ220" i="3"/>
  <c r="AL220" i="3"/>
  <c r="AN220" i="3"/>
  <c r="AP220" i="3"/>
  <c r="AR220" i="3"/>
  <c r="AT220" i="3"/>
  <c r="AH221" i="3"/>
  <c r="AJ221" i="3"/>
  <c r="AL221" i="3"/>
  <c r="AN221" i="3"/>
  <c r="AP221" i="3"/>
  <c r="AR221" i="3"/>
  <c r="AT221" i="3"/>
  <c r="AH222" i="3"/>
  <c r="AJ222" i="3"/>
  <c r="AL222" i="3"/>
  <c r="AN222" i="3"/>
  <c r="AP222" i="3"/>
  <c r="AR222" i="3"/>
  <c r="AT222" i="3"/>
  <c r="AJ223" i="3"/>
  <c r="AL223" i="3"/>
  <c r="AN223" i="3"/>
  <c r="AP223" i="3"/>
  <c r="AR223" i="3"/>
  <c r="AT223" i="3"/>
  <c r="AH224" i="3"/>
  <c r="AJ224" i="3"/>
  <c r="AL224" i="3"/>
  <c r="AN224" i="3"/>
  <c r="AP224" i="3"/>
  <c r="AR224" i="3"/>
  <c r="AT224" i="3"/>
  <c r="AH225" i="3"/>
  <c r="AJ225" i="3"/>
  <c r="AL225" i="3"/>
  <c r="AN225" i="3"/>
  <c r="AP225" i="3"/>
  <c r="AR225" i="3"/>
  <c r="AT225" i="3"/>
  <c r="AH226"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H233" i="3"/>
  <c r="AJ233" i="3"/>
  <c r="AL233" i="3"/>
  <c r="AN233" i="3"/>
  <c r="AP233" i="3"/>
  <c r="AR233" i="3"/>
  <c r="AT233" i="3"/>
  <c r="AH234" i="3"/>
  <c r="AJ234" i="3"/>
  <c r="AL234" i="3"/>
  <c r="AN234" i="3"/>
  <c r="AP234" i="3"/>
  <c r="AR234" i="3"/>
  <c r="AT234" i="3"/>
  <c r="AJ235" i="3"/>
  <c r="AL235" i="3"/>
  <c r="AN235" i="3"/>
  <c r="AP235" i="3"/>
  <c r="AR235" i="3"/>
  <c r="AT235" i="3"/>
  <c r="AH236" i="3"/>
  <c r="AJ236" i="3"/>
  <c r="AL236" i="3"/>
  <c r="AN236" i="3"/>
  <c r="AP236" i="3"/>
  <c r="AR236" i="3"/>
  <c r="AT236" i="3"/>
  <c r="AJ237" i="3"/>
  <c r="AP237" i="3"/>
  <c r="AR237" i="3"/>
  <c r="AT237" i="3"/>
  <c r="AH238" i="3"/>
  <c r="AJ238" i="3"/>
  <c r="AL238" i="3"/>
  <c r="AN238" i="3"/>
  <c r="AP238" i="3"/>
  <c r="AR238" i="3"/>
  <c r="AT238" i="3"/>
  <c r="AH239" i="3"/>
  <c r="AJ239" i="3"/>
  <c r="AL239" i="3"/>
  <c r="AN239" i="3"/>
  <c r="AP239" i="3"/>
  <c r="AR239" i="3"/>
  <c r="AT239" i="3"/>
  <c r="AH240"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H244" i="3"/>
  <c r="AJ244" i="3"/>
  <c r="AL244" i="3"/>
  <c r="AN244" i="3"/>
  <c r="AP244" i="3"/>
  <c r="AR244" i="3"/>
  <c r="AT244" i="3"/>
  <c r="AH245" i="3"/>
  <c r="AJ245" i="3"/>
  <c r="AL245" i="3"/>
  <c r="AN245" i="3"/>
  <c r="AP245" i="3"/>
  <c r="AR245" i="3"/>
  <c r="AT245"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H250" i="3"/>
  <c r="AJ250" i="3"/>
  <c r="AL250" i="3"/>
  <c r="AN250" i="3"/>
  <c r="AP250" i="3"/>
  <c r="AR250" i="3"/>
  <c r="AT250" i="3"/>
  <c r="AJ251" i="3"/>
  <c r="AL251" i="3"/>
  <c r="AN251" i="3"/>
  <c r="AP251" i="3"/>
  <c r="AR251" i="3"/>
  <c r="AT251" i="3"/>
  <c r="AH252" i="3"/>
  <c r="AJ252" i="3"/>
  <c r="AL252" i="3"/>
  <c r="AN252" i="3"/>
  <c r="AP252" i="3"/>
  <c r="AR252" i="3"/>
  <c r="AT252" i="3"/>
  <c r="AJ253" i="3"/>
  <c r="AL253" i="3"/>
  <c r="AN253" i="3"/>
  <c r="AP253" i="3"/>
  <c r="AR253" i="3"/>
  <c r="AT253" i="3"/>
  <c r="AJ254" i="3"/>
  <c r="AL254" i="3"/>
  <c r="AN254" i="3"/>
  <c r="AP254" i="3"/>
  <c r="AR254" i="3"/>
  <c r="AT254" i="3"/>
  <c r="AH255" i="3"/>
  <c r="AJ255" i="3"/>
  <c r="AL255" i="3"/>
  <c r="AN255" i="3"/>
  <c r="AP255" i="3"/>
  <c r="AR255" i="3"/>
  <c r="AT255" i="3"/>
  <c r="AH256" i="3"/>
  <c r="AJ256" i="3"/>
  <c r="AL256" i="3"/>
  <c r="AN256" i="3"/>
  <c r="AP256" i="3"/>
  <c r="AR256" i="3"/>
  <c r="AT256" i="3"/>
  <c r="AH257" i="3"/>
  <c r="AJ257" i="3"/>
  <c r="AL257" i="3"/>
  <c r="AN257" i="3"/>
  <c r="AP257" i="3"/>
  <c r="AR257" i="3"/>
  <c r="AT257" i="3"/>
  <c r="AH258"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H262" i="3"/>
  <c r="AJ262" i="3"/>
  <c r="AL262" i="3"/>
  <c r="AN262" i="3"/>
  <c r="AP262" i="3"/>
  <c r="AR262" i="3"/>
  <c r="AT262" i="3"/>
  <c r="AJ263" i="3"/>
  <c r="AL263" i="3"/>
  <c r="AN263" i="3"/>
  <c r="AP263" i="3"/>
  <c r="AR263" i="3"/>
  <c r="AT263"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H268" i="3"/>
  <c r="AJ268" i="3"/>
  <c r="AL268" i="3"/>
  <c r="AN268" i="3"/>
  <c r="AP268" i="3"/>
  <c r="AR268" i="3"/>
  <c r="AT268" i="3"/>
  <c r="AH269" i="3"/>
  <c r="AJ269" i="3"/>
  <c r="AL269" i="3"/>
  <c r="AN269" i="3"/>
  <c r="AP269" i="3"/>
  <c r="AR269" i="3"/>
  <c r="AT269" i="3"/>
  <c r="AH270" i="3"/>
  <c r="AJ270" i="3"/>
  <c r="AL270" i="3"/>
  <c r="AN270" i="3"/>
  <c r="AP270" i="3"/>
  <c r="AR270" i="3"/>
  <c r="AT270" i="3"/>
  <c r="AH271" i="3"/>
  <c r="AJ271" i="3"/>
  <c r="AL271" i="3"/>
  <c r="AN271" i="3"/>
  <c r="AP271" i="3"/>
  <c r="AR271" i="3"/>
  <c r="AT271" i="3"/>
  <c r="AH272"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H276" i="3"/>
  <c r="AJ276" i="3"/>
  <c r="AL276" i="3"/>
  <c r="AN276" i="3"/>
  <c r="AP276" i="3"/>
  <c r="AR276" i="3"/>
  <c r="AT276" i="3"/>
  <c r="AH277" i="3"/>
  <c r="AJ277" i="3"/>
  <c r="AL277" i="3"/>
  <c r="AN277" i="3"/>
  <c r="AP277" i="3"/>
  <c r="AR277" i="3"/>
  <c r="AT277" i="3"/>
  <c r="AJ278" i="3"/>
  <c r="AL278" i="3"/>
  <c r="AN278" i="3"/>
  <c r="AP278" i="3"/>
  <c r="AR278" i="3"/>
  <c r="AT278" i="3"/>
  <c r="AJ279" i="3"/>
  <c r="AL279" i="3"/>
  <c r="AN279" i="3"/>
  <c r="AP279" i="3"/>
  <c r="AR279" i="3"/>
  <c r="AT279" i="3"/>
  <c r="AH280"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H284" i="3"/>
  <c r="AJ284" i="3"/>
  <c r="AL284" i="3"/>
  <c r="AN284" i="3"/>
  <c r="AP284" i="3"/>
  <c r="AR284" i="3"/>
  <c r="AT284" i="3"/>
  <c r="AJ285" i="3"/>
  <c r="AL285" i="3"/>
  <c r="AN285" i="3"/>
  <c r="AP285" i="3"/>
  <c r="AR285" i="3"/>
  <c r="AT285" i="3"/>
  <c r="AH286" i="3"/>
  <c r="AJ286" i="3"/>
  <c r="AL286" i="3"/>
  <c r="AN286" i="3"/>
  <c r="AP286" i="3"/>
  <c r="AR286" i="3"/>
  <c r="AT286" i="3"/>
  <c r="AH287" i="3"/>
  <c r="AJ287" i="3"/>
  <c r="AL287" i="3"/>
  <c r="AN287" i="3"/>
  <c r="AP287" i="3"/>
  <c r="AR287" i="3"/>
  <c r="AT287" i="3"/>
  <c r="AH288" i="3"/>
  <c r="AJ288" i="3"/>
  <c r="AL288" i="3"/>
  <c r="AN288" i="3"/>
  <c r="AP288" i="3"/>
  <c r="AR288" i="3"/>
  <c r="AT288" i="3"/>
  <c r="AH289" i="3"/>
  <c r="AJ289" i="3"/>
  <c r="AL289" i="3"/>
  <c r="AN289" i="3"/>
  <c r="AP289" i="3"/>
  <c r="AR289" i="3"/>
  <c r="AT289" i="3"/>
  <c r="AJ290" i="3"/>
  <c r="AL290" i="3"/>
  <c r="AN290" i="3"/>
  <c r="AP290" i="3"/>
  <c r="AR290" i="3"/>
  <c r="AT290" i="3"/>
  <c r="AJ291" i="3"/>
  <c r="AL291" i="3"/>
  <c r="AN291" i="3"/>
  <c r="AP291" i="3"/>
  <c r="AR291" i="3"/>
  <c r="AT291" i="3"/>
  <c r="AH292" i="3"/>
  <c r="AJ292" i="3"/>
  <c r="AL292" i="3"/>
  <c r="AN292" i="3"/>
  <c r="AP292" i="3"/>
  <c r="AR292" i="3"/>
  <c r="AT292" i="3"/>
  <c r="AH293" i="3"/>
  <c r="AJ293" i="3"/>
  <c r="AL293" i="3"/>
  <c r="AN293" i="3"/>
  <c r="AP293" i="3"/>
  <c r="AR293" i="3"/>
  <c r="AT293" i="3"/>
  <c r="AH294"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H300" i="3"/>
  <c r="AJ300" i="3"/>
  <c r="AL300" i="3"/>
  <c r="AN300" i="3"/>
  <c r="AP300" i="3"/>
  <c r="AR300" i="3"/>
  <c r="AT300" i="3"/>
  <c r="AH301" i="3"/>
  <c r="AJ301" i="3"/>
  <c r="AL301" i="3"/>
  <c r="AN301" i="3"/>
  <c r="AP301" i="3"/>
  <c r="AR301" i="3"/>
  <c r="AT301" i="3"/>
  <c r="AJ302" i="3"/>
  <c r="AL302" i="3"/>
  <c r="AN302" i="3"/>
  <c r="AP302" i="3"/>
  <c r="AR302" i="3"/>
  <c r="AT302" i="3"/>
  <c r="AJ303" i="3"/>
  <c r="AL303" i="3"/>
  <c r="AN303" i="3"/>
  <c r="AP303" i="3"/>
  <c r="AR303" i="3"/>
  <c r="AT303" i="3"/>
  <c r="AH304" i="3"/>
  <c r="AJ304" i="3"/>
  <c r="AL304" i="3"/>
  <c r="AN304" i="3"/>
  <c r="AP304" i="3"/>
  <c r="AR304" i="3"/>
  <c r="AT304" i="3"/>
  <c r="AH305" i="3"/>
  <c r="AJ305" i="3"/>
  <c r="AL305" i="3"/>
  <c r="AN305" i="3"/>
  <c r="AP305" i="3"/>
  <c r="AR305" i="3"/>
  <c r="AT305" i="3"/>
  <c r="AH306" i="3"/>
  <c r="AJ306" i="3"/>
  <c r="AL306" i="3"/>
  <c r="AN306" i="3"/>
  <c r="AP306" i="3"/>
  <c r="AR306" i="3"/>
  <c r="AT306" i="3"/>
  <c r="AJ307" i="3"/>
  <c r="AL307" i="3"/>
  <c r="AN307" i="3"/>
  <c r="AP307" i="3"/>
  <c r="AR307" i="3"/>
  <c r="AT307" i="3"/>
  <c r="AH308" i="3"/>
  <c r="AJ308" i="3"/>
  <c r="AL308" i="3"/>
  <c r="AN308" i="3"/>
  <c r="AP308" i="3"/>
  <c r="AR308" i="3"/>
  <c r="AT308" i="3"/>
  <c r="AJ309" i="3"/>
  <c r="AL309" i="3"/>
  <c r="AN309" i="3"/>
  <c r="AP309" i="3"/>
  <c r="AR309" i="3"/>
  <c r="AT309" i="3"/>
  <c r="AH310" i="3"/>
  <c r="AJ310" i="3"/>
  <c r="AL310" i="3"/>
  <c r="AN310" i="3"/>
  <c r="AP310" i="3"/>
  <c r="AR310" i="3"/>
  <c r="AT310" i="3"/>
  <c r="AJ311" i="3"/>
  <c r="AL311" i="3"/>
  <c r="AN311" i="3"/>
  <c r="AP311" i="3"/>
  <c r="AR311" i="3"/>
  <c r="AT311" i="3"/>
  <c r="AJ312" i="3"/>
  <c r="AL312" i="3"/>
  <c r="AN312" i="3"/>
  <c r="AP312" i="3"/>
  <c r="AR312" i="3"/>
  <c r="AT312" i="3"/>
  <c r="AJ313" i="3"/>
  <c r="AL313" i="3"/>
  <c r="AN313" i="3"/>
  <c r="AP313" i="3"/>
  <c r="AR313" i="3"/>
  <c r="AT313" i="3"/>
  <c r="AJ314" i="3"/>
  <c r="AL314" i="3"/>
  <c r="AN314" i="3"/>
  <c r="AP314" i="3"/>
  <c r="AR314" i="3"/>
  <c r="AT314" i="3"/>
  <c r="AJ315" i="3"/>
  <c r="AL315" i="3"/>
  <c r="AN315" i="3"/>
  <c r="AP315" i="3"/>
  <c r="AR315" i="3"/>
  <c r="AT315" i="3"/>
  <c r="AH316" i="3"/>
  <c r="AJ316" i="3"/>
  <c r="AL316" i="3"/>
  <c r="AN316" i="3"/>
  <c r="AP316" i="3"/>
  <c r="AR316" i="3"/>
  <c r="AT316" i="3"/>
  <c r="AH317" i="3"/>
  <c r="AJ317" i="3"/>
  <c r="AL317" i="3"/>
  <c r="AN317" i="3"/>
  <c r="AP317" i="3"/>
  <c r="AR317" i="3"/>
  <c r="AT317" i="3"/>
  <c r="AH318" i="3"/>
  <c r="AJ318" i="3"/>
  <c r="AL318" i="3"/>
  <c r="AN318" i="3"/>
  <c r="AP318" i="3"/>
  <c r="AR318" i="3"/>
  <c r="AT318" i="3"/>
  <c r="AH319" i="3"/>
  <c r="AJ319" i="3"/>
  <c r="AL319" i="3"/>
  <c r="AN319" i="3"/>
  <c r="AP319" i="3"/>
  <c r="AR319" i="3"/>
  <c r="AT319" i="3"/>
  <c r="AH320"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H324" i="3"/>
  <c r="AJ324" i="3"/>
  <c r="AL324" i="3"/>
  <c r="AN324" i="3"/>
  <c r="AP324" i="3"/>
  <c r="AR324" i="3"/>
  <c r="AT324" i="3"/>
  <c r="AH325"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H329" i="3"/>
  <c r="AJ329" i="3"/>
  <c r="AL329" i="3"/>
  <c r="AN329" i="3"/>
  <c r="AP329" i="3"/>
  <c r="AR329" i="3"/>
  <c r="AT329" i="3"/>
  <c r="AJ330" i="3"/>
  <c r="AL330" i="3"/>
  <c r="AN330" i="3"/>
  <c r="AP330" i="3"/>
  <c r="AR330" i="3"/>
  <c r="AT330" i="3"/>
  <c r="AJ331" i="3"/>
  <c r="AL331" i="3"/>
  <c r="AN331" i="3"/>
  <c r="AP331" i="3"/>
  <c r="AR331" i="3"/>
  <c r="AT331" i="3"/>
  <c r="AH332" i="3"/>
  <c r="AJ332" i="3"/>
  <c r="AL332" i="3"/>
  <c r="AN332" i="3"/>
  <c r="AP332" i="3"/>
  <c r="AR332" i="3"/>
  <c r="AT332" i="3"/>
  <c r="AJ333" i="3"/>
  <c r="AL333" i="3"/>
  <c r="AN333" i="3"/>
  <c r="AP333" i="3"/>
  <c r="AR333" i="3"/>
  <c r="AT333" i="3"/>
  <c r="AJ334" i="3"/>
  <c r="AP334" i="3"/>
  <c r="AR334" i="3"/>
  <c r="AT334" i="3"/>
  <c r="AH335" i="3"/>
  <c r="AJ335" i="3"/>
  <c r="AL335" i="3"/>
  <c r="AN335" i="3"/>
  <c r="AP335" i="3"/>
  <c r="AR335" i="3"/>
  <c r="AT335" i="3"/>
  <c r="AH336" i="3"/>
  <c r="AJ336" i="3"/>
  <c r="AL336" i="3"/>
  <c r="AN336" i="3"/>
  <c r="AP336" i="3"/>
  <c r="AR336" i="3"/>
  <c r="AT336" i="3"/>
  <c r="AH337" i="3"/>
  <c r="AJ337" i="3"/>
  <c r="AL337" i="3"/>
  <c r="AN337" i="3"/>
  <c r="AP337" i="3"/>
  <c r="AR337" i="3"/>
  <c r="AT337" i="3"/>
  <c r="AH338" i="3"/>
  <c r="AJ338" i="3"/>
  <c r="AL338" i="3"/>
  <c r="AN338" i="3"/>
  <c r="AP338" i="3"/>
  <c r="AR338" i="3"/>
  <c r="AT338" i="3"/>
  <c r="AJ339" i="3"/>
  <c r="AL339" i="3"/>
  <c r="AN339" i="3"/>
  <c r="AP339" i="3"/>
  <c r="AR339" i="3"/>
  <c r="AT339" i="3"/>
  <c r="AJ340" i="3"/>
  <c r="AL340" i="3"/>
  <c r="AN340" i="3"/>
  <c r="AP340" i="3"/>
  <c r="AR340" i="3"/>
  <c r="AT340" i="3"/>
  <c r="AH341" i="3"/>
  <c r="AJ341" i="3"/>
  <c r="AL341" i="3"/>
  <c r="AN341" i="3"/>
  <c r="AP341" i="3"/>
  <c r="AR341" i="3"/>
  <c r="AT341" i="3"/>
  <c r="AH342" i="3"/>
  <c r="AJ342" i="3"/>
  <c r="AL342" i="3"/>
  <c r="AN342" i="3"/>
  <c r="AP342" i="3"/>
  <c r="AR342" i="3"/>
  <c r="AT342" i="3"/>
  <c r="AH343"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H348" i="3"/>
  <c r="AJ348" i="3"/>
  <c r="AL348" i="3"/>
  <c r="AN348" i="3"/>
  <c r="AP348" i="3"/>
  <c r="AR348" i="3"/>
  <c r="AT348" i="3"/>
  <c r="AJ349" i="3"/>
  <c r="AL349" i="3"/>
  <c r="AN349" i="3"/>
  <c r="AP349" i="3"/>
  <c r="AR349" i="3"/>
  <c r="AT349" i="3"/>
  <c r="AH350" i="3"/>
  <c r="AJ350" i="3"/>
  <c r="AL350" i="3"/>
  <c r="AN350" i="3"/>
  <c r="AP350" i="3"/>
  <c r="AR350" i="3"/>
  <c r="AT350" i="3"/>
  <c r="AH351" i="3"/>
  <c r="AJ351" i="3"/>
  <c r="AL351" i="3"/>
  <c r="AN351" i="3"/>
  <c r="AP351" i="3"/>
  <c r="AR351" i="3"/>
  <c r="AT351" i="3"/>
  <c r="AJ352" i="3"/>
  <c r="AL352" i="3"/>
  <c r="AN352" i="3"/>
  <c r="AP352" i="3"/>
  <c r="AR352" i="3"/>
  <c r="AT352" i="3"/>
  <c r="AJ353" i="3"/>
  <c r="AL353" i="3"/>
  <c r="AN353" i="3"/>
  <c r="AP353" i="3"/>
  <c r="AR353" i="3"/>
  <c r="AT353" i="3"/>
  <c r="AH354" i="3"/>
  <c r="AJ354" i="3"/>
  <c r="AL354" i="3"/>
  <c r="AN354" i="3"/>
  <c r="AP354" i="3"/>
  <c r="AR354" i="3"/>
  <c r="AT354" i="3"/>
  <c r="AJ355" i="3"/>
  <c r="AL355" i="3"/>
  <c r="AN355" i="3"/>
  <c r="AP355" i="3"/>
  <c r="AR355" i="3"/>
  <c r="AT355" i="3"/>
  <c r="AJ356" i="3"/>
  <c r="AL356" i="3"/>
  <c r="AN356" i="3"/>
  <c r="AP356" i="3"/>
  <c r="AR356" i="3"/>
  <c r="AT356" i="3"/>
  <c r="AH357" i="3"/>
  <c r="AJ357" i="3"/>
  <c r="AL357" i="3"/>
  <c r="AN357" i="3"/>
  <c r="AP357" i="3"/>
  <c r="AR357" i="3"/>
  <c r="AT357" i="3"/>
  <c r="AH358" i="3"/>
  <c r="AJ358" i="3"/>
  <c r="AL358" i="3"/>
  <c r="AN358" i="3"/>
  <c r="AP358" i="3"/>
  <c r="AR358" i="3"/>
  <c r="AT358" i="3"/>
  <c r="AJ359" i="3"/>
  <c r="AL359" i="3"/>
  <c r="AN359" i="3"/>
  <c r="AP359" i="3"/>
  <c r="AR359" i="3"/>
  <c r="AT359" i="3"/>
  <c r="AH360"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H366" i="3"/>
  <c r="AJ366" i="3"/>
  <c r="AL366" i="3"/>
  <c r="AN366" i="3"/>
  <c r="AP366" i="3"/>
  <c r="AR366" i="3"/>
  <c r="AT366" i="3"/>
  <c r="AH367" i="3"/>
  <c r="AJ367" i="3"/>
  <c r="AL367" i="3"/>
  <c r="AN367" i="3"/>
  <c r="AP367" i="3"/>
  <c r="AR367" i="3"/>
  <c r="AT367" i="3"/>
  <c r="AH368" i="3"/>
  <c r="AJ368" i="3"/>
  <c r="AL368" i="3"/>
  <c r="AN368" i="3"/>
  <c r="AP368" i="3"/>
  <c r="AR368" i="3"/>
  <c r="AT368" i="3"/>
  <c r="AH369" i="3"/>
  <c r="AJ369" i="3"/>
  <c r="AL369" i="3"/>
  <c r="AN369" i="3"/>
  <c r="AP369" i="3"/>
  <c r="AR369" i="3"/>
  <c r="AT369" i="3"/>
  <c r="AH370" i="3"/>
  <c r="AJ370" i="3"/>
  <c r="AL370" i="3"/>
  <c r="AN370" i="3"/>
  <c r="AP370" i="3"/>
  <c r="AR370" i="3"/>
  <c r="AT370" i="3"/>
  <c r="AJ371" i="3"/>
  <c r="AL371" i="3"/>
  <c r="AN371" i="3"/>
  <c r="AP371" i="3"/>
  <c r="AR371" i="3"/>
  <c r="AT371" i="3"/>
  <c r="AJ372" i="3"/>
  <c r="AL372" i="3"/>
  <c r="AN372" i="3"/>
  <c r="AP372" i="3"/>
  <c r="AR372" i="3"/>
  <c r="AT372" i="3"/>
  <c r="AH373" i="3"/>
  <c r="AJ373" i="3"/>
  <c r="AL373" i="3"/>
  <c r="AN373" i="3"/>
  <c r="AP373" i="3"/>
  <c r="AR373" i="3"/>
  <c r="AT373" i="3"/>
  <c r="AH374" i="3"/>
  <c r="AJ374" i="3"/>
  <c r="AL374" i="3"/>
  <c r="AN374" i="3"/>
  <c r="AP374" i="3"/>
  <c r="AR374" i="3"/>
  <c r="AT374" i="3"/>
  <c r="AH375" i="3"/>
  <c r="AJ375" i="3"/>
  <c r="AL375" i="3"/>
  <c r="AN375" i="3"/>
  <c r="AP375" i="3"/>
  <c r="AR375" i="3"/>
  <c r="AT375" i="3"/>
  <c r="AJ376" i="3"/>
  <c r="AL376" i="3"/>
  <c r="AN376" i="3"/>
  <c r="AP376" i="3"/>
  <c r="AR376" i="3"/>
  <c r="AT376" i="3"/>
  <c r="AH377"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H381" i="3"/>
  <c r="AJ381" i="3"/>
  <c r="AL381" i="3"/>
  <c r="AN381" i="3"/>
  <c r="AP381" i="3"/>
  <c r="AR381" i="3"/>
  <c r="AT381" i="3"/>
  <c r="AH382" i="3"/>
  <c r="AJ382" i="3"/>
  <c r="AL382" i="3"/>
  <c r="AN382" i="3"/>
  <c r="AP382" i="3"/>
  <c r="AR382" i="3"/>
  <c r="AT382" i="3"/>
  <c r="AJ383" i="3"/>
  <c r="AL383" i="3"/>
  <c r="AN383" i="3"/>
  <c r="AP383" i="3"/>
  <c r="AR383" i="3"/>
  <c r="AT383" i="3"/>
  <c r="AH384" i="3"/>
  <c r="AJ384" i="3"/>
  <c r="AL384" i="3"/>
  <c r="AN384" i="3"/>
  <c r="AP384" i="3"/>
  <c r="AR384" i="3"/>
  <c r="AT384" i="3"/>
  <c r="AH385" i="3"/>
  <c r="AJ385" i="3"/>
  <c r="AL385" i="3"/>
  <c r="AN385" i="3"/>
  <c r="AP385" i="3"/>
  <c r="AR385" i="3"/>
  <c r="AT385" i="3"/>
  <c r="AH386"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H390" i="3"/>
  <c r="AJ390" i="3"/>
  <c r="AL390" i="3"/>
  <c r="AN390" i="3"/>
  <c r="AP390" i="3"/>
  <c r="AR390" i="3"/>
  <c r="AT390" i="3"/>
  <c r="AH391" i="3"/>
  <c r="AJ391" i="3"/>
  <c r="AL391" i="3"/>
  <c r="AN391" i="3"/>
  <c r="AP391" i="3"/>
  <c r="AR391" i="3"/>
  <c r="AT391" i="3"/>
  <c r="AH392" i="3"/>
  <c r="AJ392" i="3"/>
  <c r="AL392" i="3"/>
  <c r="AN392" i="3"/>
  <c r="AP392" i="3"/>
  <c r="AR392" i="3"/>
  <c r="AT392" i="3"/>
  <c r="AJ393" i="3"/>
  <c r="AL393" i="3"/>
  <c r="AN393" i="3"/>
  <c r="AP393" i="3"/>
  <c r="AR393" i="3"/>
  <c r="AT393" i="3"/>
  <c r="AH394" i="3"/>
  <c r="AJ394" i="3"/>
  <c r="AL394" i="3"/>
  <c r="AN394" i="3"/>
  <c r="AP394" i="3"/>
  <c r="AR394" i="3"/>
  <c r="AT394" i="3"/>
  <c r="AJ395" i="3"/>
  <c r="AL395" i="3"/>
  <c r="AN395" i="3"/>
  <c r="AP395" i="3"/>
  <c r="AR395" i="3"/>
  <c r="AT395" i="3"/>
  <c r="AJ396" i="3"/>
  <c r="AL396" i="3"/>
  <c r="AN396" i="3"/>
  <c r="AP396" i="3"/>
  <c r="AR396" i="3"/>
  <c r="AT396" i="3"/>
  <c r="AH397" i="3"/>
  <c r="AJ397" i="3"/>
  <c r="AL397" i="3"/>
  <c r="AN397" i="3"/>
  <c r="AP397" i="3"/>
  <c r="AR397" i="3"/>
  <c r="AT397" i="3"/>
  <c r="AH398" i="3"/>
  <c r="AJ398" i="3"/>
  <c r="AL398" i="3"/>
  <c r="AN398" i="3"/>
  <c r="AP398" i="3"/>
  <c r="AR398" i="3"/>
  <c r="AT398" i="3"/>
  <c r="AH399" i="3"/>
  <c r="AJ399" i="3"/>
  <c r="AL399" i="3"/>
  <c r="AN399" i="3"/>
  <c r="AP399" i="3"/>
  <c r="AR399" i="3"/>
  <c r="AT399" i="3"/>
  <c r="AJ400" i="3"/>
  <c r="AL400" i="3"/>
  <c r="AN400" i="3"/>
  <c r="AP400" i="3"/>
  <c r="AR400" i="3"/>
  <c r="AT400" i="3"/>
  <c r="AJ401" i="3"/>
  <c r="AL401" i="3"/>
  <c r="AN401" i="3"/>
  <c r="AP401" i="3"/>
  <c r="AR401" i="3"/>
  <c r="AT401" i="3"/>
  <c r="AH402" i="3"/>
  <c r="AJ402" i="3"/>
  <c r="AL402" i="3"/>
  <c r="AN402" i="3"/>
  <c r="AP402" i="3"/>
  <c r="AR402" i="3"/>
  <c r="AT402" i="3"/>
  <c r="AJ403" i="3"/>
  <c r="AL403" i="3"/>
  <c r="AN403" i="3"/>
  <c r="AP403" i="3"/>
  <c r="AR403" i="3"/>
  <c r="AT403" i="3"/>
  <c r="AJ404" i="3"/>
  <c r="AL404" i="3"/>
  <c r="AN404" i="3"/>
  <c r="AP404" i="3"/>
  <c r="AR404" i="3"/>
  <c r="AT404" i="3"/>
  <c r="AH405" i="3"/>
  <c r="AJ405" i="3"/>
  <c r="AL405" i="3"/>
  <c r="AN405" i="3"/>
  <c r="AP405" i="3"/>
  <c r="AR405" i="3"/>
  <c r="AT405" i="3"/>
  <c r="AH406" i="3"/>
  <c r="AJ406" i="3"/>
  <c r="AL406" i="3"/>
  <c r="AN406" i="3"/>
  <c r="AP406" i="3"/>
  <c r="AR406" i="3"/>
  <c r="AT406" i="3"/>
  <c r="AH407" i="3"/>
  <c r="AJ407" i="3"/>
  <c r="AL407" i="3"/>
  <c r="AN407" i="3"/>
  <c r="AP407" i="3"/>
  <c r="AR407" i="3"/>
  <c r="AT407" i="3"/>
  <c r="AH408"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H414" i="3"/>
  <c r="AJ414" i="3"/>
  <c r="AL414" i="3"/>
  <c r="AN414" i="3"/>
  <c r="AP414" i="3"/>
  <c r="AR414" i="3"/>
  <c r="AT414" i="3"/>
  <c r="AH415" i="3"/>
  <c r="AJ415" i="3"/>
  <c r="AL415" i="3"/>
  <c r="AN415" i="3"/>
  <c r="AP415" i="3"/>
  <c r="AR415" i="3"/>
  <c r="AT415" i="3"/>
  <c r="AH416" i="3"/>
  <c r="AJ416" i="3"/>
  <c r="AL416" i="3"/>
  <c r="AN416" i="3"/>
  <c r="AP416" i="3"/>
  <c r="AR416" i="3"/>
  <c r="AT416" i="3"/>
  <c r="AH417" i="3"/>
  <c r="AJ417" i="3"/>
  <c r="AL417" i="3"/>
  <c r="AN417" i="3"/>
  <c r="AP417" i="3"/>
  <c r="AR417" i="3"/>
  <c r="AT417" i="3"/>
  <c r="AH418" i="3"/>
  <c r="AJ418" i="3"/>
  <c r="AL418" i="3"/>
  <c r="AN418" i="3"/>
  <c r="AP418" i="3"/>
  <c r="AR418" i="3"/>
  <c r="AT418" i="3"/>
  <c r="AJ419" i="3"/>
  <c r="AL419" i="3"/>
  <c r="AN419" i="3"/>
  <c r="AP419" i="3"/>
  <c r="AR419" i="3"/>
  <c r="AT419" i="3"/>
  <c r="AJ420" i="3"/>
  <c r="AL420" i="3"/>
  <c r="AN420" i="3"/>
  <c r="AP420" i="3"/>
  <c r="AR420" i="3"/>
  <c r="AT420" i="3"/>
  <c r="AH421" i="3"/>
  <c r="AJ421" i="3"/>
  <c r="AL421" i="3"/>
  <c r="AN421" i="3"/>
  <c r="AP421" i="3"/>
  <c r="AR421" i="3"/>
  <c r="AT421" i="3"/>
  <c r="AH422" i="3"/>
  <c r="AJ422" i="3"/>
  <c r="AL422" i="3"/>
  <c r="AN422" i="3"/>
  <c r="AP422" i="3"/>
  <c r="AR422" i="3"/>
  <c r="AT422" i="3"/>
  <c r="AH423"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J428" i="3"/>
  <c r="AL428" i="3"/>
  <c r="AN428" i="3"/>
  <c r="AP428" i="3"/>
  <c r="AR428" i="3"/>
  <c r="AT428" i="3"/>
  <c r="AH429" i="3"/>
  <c r="AJ429" i="3"/>
  <c r="AL429" i="3"/>
  <c r="AN429" i="3"/>
  <c r="AP429" i="3"/>
  <c r="AR429" i="3"/>
  <c r="AT429" i="3"/>
  <c r="AH430" i="3"/>
  <c r="AJ430" i="3"/>
  <c r="AL430" i="3"/>
  <c r="AN430" i="3"/>
  <c r="AP430" i="3"/>
  <c r="AR430" i="3"/>
  <c r="AT430" i="3"/>
  <c r="AH431" i="3"/>
  <c r="AJ431" i="3"/>
  <c r="AL431" i="3"/>
  <c r="AN431" i="3"/>
  <c r="AP431" i="3"/>
  <c r="AR431" i="3"/>
  <c r="AT431" i="3"/>
  <c r="AH432" i="3"/>
  <c r="AJ432" i="3"/>
  <c r="AL432" i="3"/>
  <c r="AN432" i="3"/>
  <c r="AP432" i="3"/>
  <c r="AR432" i="3"/>
  <c r="AT432" i="3"/>
  <c r="AH433" i="3"/>
  <c r="AJ433" i="3"/>
  <c r="AL433" i="3"/>
  <c r="AN433" i="3"/>
  <c r="AP433" i="3"/>
  <c r="AR433" i="3"/>
  <c r="AT433" i="3"/>
  <c r="AH434"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H438" i="3"/>
  <c r="AJ438" i="3"/>
  <c r="AL438" i="3"/>
  <c r="AN438" i="3"/>
  <c r="AP438" i="3"/>
  <c r="AR438" i="3"/>
  <c r="AT438" i="3"/>
  <c r="AH439" i="3"/>
  <c r="AJ439" i="3"/>
  <c r="AL439" i="3"/>
  <c r="AN439" i="3"/>
  <c r="AP439" i="3"/>
  <c r="AR439" i="3"/>
  <c r="AT439" i="3"/>
  <c r="AH440"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H445" i="3"/>
  <c r="AJ445" i="3"/>
  <c r="AL445" i="3"/>
  <c r="AN445" i="3"/>
  <c r="AP445" i="3"/>
  <c r="AR445" i="3"/>
  <c r="AT445" i="3"/>
  <c r="AH446" i="3"/>
  <c r="AJ446" i="3"/>
  <c r="AL446" i="3"/>
  <c r="AN446" i="3"/>
  <c r="AP446" i="3"/>
  <c r="AR446" i="3"/>
  <c r="AT446" i="3"/>
  <c r="AH447" i="3"/>
  <c r="AJ447" i="3"/>
  <c r="AL447" i="3"/>
  <c r="AN447" i="3"/>
  <c r="AP447" i="3"/>
  <c r="AR447" i="3"/>
  <c r="AT447" i="3"/>
  <c r="AJ448" i="3"/>
  <c r="AL448" i="3"/>
  <c r="AN448" i="3"/>
  <c r="AP448" i="3"/>
  <c r="AR448" i="3"/>
  <c r="AT448" i="3"/>
  <c r="AJ449" i="3"/>
  <c r="AL449" i="3"/>
  <c r="AN449" i="3"/>
  <c r="AP449" i="3"/>
  <c r="AR449" i="3"/>
  <c r="AT449" i="3"/>
  <c r="AH450" i="3"/>
  <c r="AJ450" i="3"/>
  <c r="AL450" i="3"/>
  <c r="AN450" i="3"/>
  <c r="AP450" i="3"/>
  <c r="AR450" i="3"/>
  <c r="AT450" i="3"/>
  <c r="AJ451" i="3"/>
  <c r="AL451" i="3"/>
  <c r="AN451" i="3"/>
  <c r="AP451" i="3"/>
  <c r="AR451" i="3"/>
  <c r="AT451" i="3"/>
  <c r="AH452" i="3"/>
  <c r="AJ452" i="3"/>
  <c r="AL452" i="3"/>
  <c r="AN452" i="3"/>
  <c r="AP452" i="3"/>
  <c r="AR452" i="3"/>
  <c r="AT452" i="3"/>
  <c r="AH453" i="3"/>
  <c r="AJ453" i="3"/>
  <c r="AL453" i="3"/>
  <c r="AN453" i="3"/>
  <c r="AP453" i="3"/>
  <c r="AR453" i="3"/>
  <c r="AT453" i="3"/>
  <c r="AH454" i="3"/>
  <c r="AJ454" i="3"/>
  <c r="AL454" i="3"/>
  <c r="AN454" i="3"/>
  <c r="AP454" i="3"/>
  <c r="AR454" i="3"/>
  <c r="AT454" i="3"/>
  <c r="AH455" i="3"/>
  <c r="AJ455" i="3"/>
  <c r="AL455" i="3"/>
  <c r="AN455" i="3"/>
  <c r="AP455" i="3"/>
  <c r="AR455" i="3"/>
  <c r="AT455" i="3"/>
  <c r="AH456" i="3"/>
  <c r="AJ456" i="3"/>
  <c r="AL456" i="3"/>
  <c r="AN456" i="3"/>
  <c r="AP456" i="3"/>
  <c r="AR456" i="3"/>
  <c r="AT456" i="3"/>
  <c r="AH457" i="3"/>
  <c r="AJ457" i="3"/>
  <c r="AL457" i="3"/>
  <c r="AN457" i="3"/>
  <c r="AP457" i="3"/>
  <c r="AR457" i="3"/>
  <c r="AT457"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H462" i="3"/>
  <c r="AJ462" i="3"/>
  <c r="AL462" i="3"/>
  <c r="AN462" i="3"/>
  <c r="AP462" i="3"/>
  <c r="AR462" i="3"/>
  <c r="AT462" i="3"/>
  <c r="AH463" i="3"/>
  <c r="AJ463" i="3"/>
  <c r="AL463" i="3"/>
  <c r="AN463" i="3"/>
  <c r="AP463" i="3"/>
  <c r="AR463" i="3"/>
  <c r="AT463" i="3"/>
  <c r="AH464" i="3"/>
  <c r="AJ464" i="3"/>
  <c r="AL464" i="3"/>
  <c r="AN464" i="3"/>
  <c r="AP464" i="3"/>
  <c r="AR464" i="3"/>
  <c r="AT464" i="3"/>
  <c r="AH465" i="3"/>
  <c r="AJ465" i="3"/>
  <c r="AL465" i="3"/>
  <c r="AN465" i="3"/>
  <c r="AP465" i="3"/>
  <c r="AR465" i="3"/>
  <c r="AT465" i="3"/>
  <c r="AH466" i="3"/>
  <c r="AJ466" i="3"/>
  <c r="AL466" i="3"/>
  <c r="AN466" i="3"/>
  <c r="AP466" i="3"/>
  <c r="AR466" i="3"/>
  <c r="AT466" i="3"/>
  <c r="AJ467" i="3"/>
  <c r="AL467" i="3"/>
  <c r="AN467" i="3"/>
  <c r="AP467" i="3"/>
  <c r="AR467" i="3"/>
  <c r="AT467" i="3"/>
  <c r="AJ468" i="3"/>
  <c r="AL468" i="3"/>
  <c r="AN468" i="3"/>
  <c r="AP468" i="3"/>
  <c r="AR468" i="3"/>
  <c r="AT468" i="3"/>
  <c r="AH469" i="3"/>
  <c r="AJ469" i="3"/>
  <c r="AL469" i="3"/>
  <c r="AN469" i="3"/>
  <c r="AP469" i="3"/>
  <c r="AR469" i="3"/>
  <c r="AT469" i="3"/>
  <c r="AH470" i="3"/>
  <c r="AJ470" i="3"/>
  <c r="AL470" i="3"/>
  <c r="AN470" i="3"/>
  <c r="AP470" i="3"/>
  <c r="AR470" i="3"/>
  <c r="AT470" i="3"/>
  <c r="AH471" i="3"/>
  <c r="AJ471" i="3"/>
  <c r="AL471" i="3"/>
  <c r="AN471" i="3"/>
  <c r="AP471" i="3"/>
  <c r="AR471" i="3"/>
  <c r="AT471" i="3"/>
  <c r="AJ472" i="3"/>
  <c r="AL472" i="3"/>
  <c r="AN472" i="3"/>
  <c r="AP472" i="3"/>
  <c r="AR472" i="3"/>
  <c r="AT472" i="3"/>
  <c r="AJ473" i="3"/>
  <c r="AL473" i="3"/>
  <c r="AN473" i="3"/>
  <c r="AP473" i="3"/>
  <c r="AR473" i="3"/>
  <c r="AT473" i="3"/>
  <c r="AH474" i="3"/>
  <c r="AJ474" i="3"/>
  <c r="AL474" i="3"/>
  <c r="AN474" i="3"/>
  <c r="AP474" i="3"/>
  <c r="AR474" i="3"/>
  <c r="AT474" i="3"/>
  <c r="AJ475" i="3"/>
  <c r="AL475" i="3"/>
  <c r="AN475" i="3"/>
  <c r="AP475" i="3"/>
  <c r="AR475" i="3"/>
  <c r="AT475" i="3"/>
  <c r="AJ476" i="3"/>
  <c r="AL476" i="3"/>
  <c r="AN476" i="3"/>
  <c r="AP476" i="3"/>
  <c r="AR476" i="3"/>
  <c r="AT476" i="3"/>
  <c r="AH477" i="3"/>
  <c r="AJ477" i="3"/>
  <c r="AL477" i="3"/>
  <c r="AN477" i="3"/>
  <c r="AP477" i="3"/>
  <c r="AR477" i="3"/>
  <c r="AT477" i="3"/>
  <c r="AH478" i="3"/>
  <c r="AJ478" i="3"/>
  <c r="AL478" i="3"/>
  <c r="AN478" i="3"/>
  <c r="AP478" i="3"/>
  <c r="AR478" i="3"/>
  <c r="AT478" i="3"/>
  <c r="AH479" i="3"/>
  <c r="AJ479" i="3"/>
  <c r="AL479" i="3"/>
  <c r="AN479" i="3"/>
  <c r="AP479" i="3"/>
  <c r="AR479" i="3"/>
  <c r="AT479" i="3"/>
  <c r="AH480" i="3"/>
  <c r="AJ480" i="3"/>
  <c r="AL480" i="3"/>
  <c r="AN480" i="3"/>
  <c r="AP480" i="3"/>
  <c r="AR480" i="3"/>
  <c r="AT480" i="3"/>
  <c r="AH481"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H486" i="3"/>
  <c r="AJ486" i="3"/>
  <c r="AL486" i="3"/>
  <c r="AN486" i="3"/>
  <c r="AP486" i="3"/>
  <c r="AR486" i="3"/>
  <c r="AT486" i="3"/>
  <c r="AH487" i="3"/>
  <c r="AJ487" i="3"/>
  <c r="AL487" i="3"/>
  <c r="AN487" i="3"/>
  <c r="AP487" i="3"/>
  <c r="AR487" i="3"/>
  <c r="AT487" i="3"/>
  <c r="AH488"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H493" i="3"/>
  <c r="AJ493" i="3"/>
  <c r="AL493" i="3"/>
  <c r="AN493" i="3"/>
  <c r="AP493" i="3"/>
  <c r="AR493" i="3"/>
  <c r="AT493" i="3"/>
  <c r="AH494" i="3"/>
  <c r="AJ494" i="3"/>
  <c r="AL494" i="3"/>
  <c r="AN494" i="3"/>
  <c r="AP494" i="3"/>
  <c r="AR494" i="3"/>
  <c r="AT494" i="3"/>
  <c r="AH495" i="3"/>
  <c r="AJ495" i="3"/>
  <c r="AL495" i="3"/>
  <c r="AN495" i="3"/>
  <c r="AP495" i="3"/>
  <c r="AR495" i="3"/>
  <c r="AT495" i="3"/>
  <c r="AJ496" i="3"/>
  <c r="AL496" i="3"/>
  <c r="AN496" i="3"/>
  <c r="AP496" i="3"/>
  <c r="AR496" i="3"/>
  <c r="AT496" i="3"/>
  <c r="AJ497" i="3"/>
  <c r="AL497" i="3"/>
  <c r="AN497" i="3"/>
  <c r="AP497" i="3"/>
  <c r="AR497" i="3"/>
  <c r="AT497" i="3"/>
  <c r="AH498" i="3"/>
  <c r="AJ498" i="3"/>
  <c r="AL498" i="3"/>
  <c r="AN498" i="3"/>
  <c r="AP498" i="3"/>
  <c r="AR498" i="3"/>
  <c r="AT498" i="3"/>
  <c r="AJ499" i="3"/>
  <c r="AL499" i="3"/>
  <c r="AN499" i="3"/>
  <c r="AP499" i="3"/>
  <c r="AR499" i="3"/>
  <c r="AT499" i="3"/>
  <c r="AJ500" i="3"/>
  <c r="AL500" i="3"/>
  <c r="AN500" i="3"/>
  <c r="AP500" i="3"/>
  <c r="AR500" i="3"/>
  <c r="AT500" i="3"/>
  <c r="AH501" i="3"/>
  <c r="AJ501" i="3"/>
  <c r="AL501" i="3"/>
  <c r="AN501" i="3"/>
  <c r="AP501" i="3"/>
  <c r="AR501" i="3"/>
  <c r="AT501" i="3"/>
  <c r="AH502" i="3"/>
  <c r="AJ502" i="3"/>
  <c r="AL502" i="3"/>
  <c r="AN502" i="3"/>
  <c r="AP502" i="3"/>
  <c r="AR502" i="3"/>
  <c r="AT502" i="3"/>
  <c r="AH503" i="3"/>
  <c r="AJ503" i="3"/>
  <c r="AL503" i="3"/>
  <c r="AN503" i="3"/>
  <c r="AP503" i="3"/>
  <c r="AR503" i="3"/>
  <c r="AT503" i="3"/>
  <c r="AH504" i="3"/>
  <c r="AJ504" i="3"/>
  <c r="AL504" i="3"/>
  <c r="AN504" i="3"/>
  <c r="AP504" i="3"/>
  <c r="AR504" i="3"/>
  <c r="AT504" i="3"/>
  <c r="AH505"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H510" i="3"/>
  <c r="AJ510" i="3"/>
  <c r="AL510" i="3"/>
  <c r="AN510" i="3"/>
  <c r="AP510" i="3"/>
  <c r="AR510" i="3"/>
  <c r="AT510" i="3"/>
  <c r="AH511" i="3"/>
  <c r="AJ511" i="3"/>
  <c r="AL511" i="3"/>
  <c r="AN511" i="3"/>
  <c r="AP511" i="3"/>
  <c r="AR511" i="3"/>
  <c r="AT511" i="3"/>
  <c r="AH512" i="3"/>
  <c r="AJ512" i="3"/>
  <c r="AL512" i="3"/>
  <c r="AN512" i="3"/>
  <c r="AP512" i="3"/>
  <c r="AR512" i="3"/>
  <c r="AT512" i="3"/>
  <c r="AH513" i="3"/>
  <c r="AJ513" i="3"/>
  <c r="AL513" i="3"/>
  <c r="AN513" i="3"/>
  <c r="AP513" i="3"/>
  <c r="AR513" i="3"/>
  <c r="AT513" i="3"/>
  <c r="AH514" i="3"/>
  <c r="AJ514" i="3"/>
  <c r="AL514" i="3"/>
  <c r="AN514" i="3"/>
  <c r="AP514" i="3"/>
  <c r="AR514" i="3"/>
  <c r="AT514" i="3"/>
  <c r="AJ515" i="3"/>
  <c r="AL515" i="3"/>
  <c r="AN515" i="3"/>
  <c r="AP515" i="3"/>
  <c r="AR515" i="3"/>
  <c r="AT515" i="3"/>
  <c r="AH516" i="3"/>
  <c r="AJ516" i="3"/>
  <c r="AL516" i="3"/>
  <c r="AN516" i="3"/>
  <c r="AP516" i="3"/>
  <c r="AR516" i="3"/>
  <c r="AT516" i="3"/>
  <c r="AH517" i="3"/>
  <c r="AJ517" i="3"/>
  <c r="AL517" i="3"/>
  <c r="AN517" i="3"/>
  <c r="AP517" i="3"/>
  <c r="AR517" i="3"/>
  <c r="AT517" i="3"/>
  <c r="AH518" i="3"/>
  <c r="AJ518" i="3"/>
  <c r="AL518" i="3"/>
  <c r="AN518" i="3"/>
  <c r="AP518" i="3"/>
  <c r="AR518" i="3"/>
  <c r="AT518" i="3"/>
  <c r="AH519"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H525" i="3"/>
  <c r="AJ525" i="3"/>
  <c r="AL525" i="3"/>
  <c r="AN525" i="3"/>
  <c r="AP525" i="3"/>
  <c r="AR525" i="3"/>
  <c r="AT525" i="3"/>
  <c r="AH526" i="3"/>
  <c r="AJ526" i="3"/>
  <c r="AL526" i="3"/>
  <c r="AN526" i="3"/>
  <c r="AP526" i="3"/>
  <c r="AR526" i="3"/>
  <c r="AT526" i="3"/>
  <c r="AH527" i="3"/>
  <c r="AJ527" i="3"/>
  <c r="AL527" i="3"/>
  <c r="AN527" i="3"/>
  <c r="AP527" i="3"/>
  <c r="AR527" i="3"/>
  <c r="AT527" i="3"/>
  <c r="AH528" i="3"/>
  <c r="AJ528" i="3"/>
  <c r="AL528" i="3"/>
  <c r="AN528" i="3"/>
  <c r="AP528" i="3"/>
  <c r="AR528" i="3"/>
  <c r="AT528" i="3"/>
  <c r="AH529" i="3"/>
  <c r="AJ529" i="3"/>
  <c r="AL529" i="3"/>
  <c r="AN529" i="3"/>
  <c r="AP529" i="3"/>
  <c r="AR529" i="3"/>
  <c r="AT529" i="3"/>
  <c r="AH530"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H534" i="3"/>
  <c r="AJ534" i="3"/>
  <c r="AL534" i="3"/>
  <c r="AN534" i="3"/>
  <c r="AP534" i="3"/>
  <c r="AR534" i="3"/>
  <c r="AT534" i="3"/>
  <c r="AH535" i="3"/>
  <c r="AJ535" i="3"/>
  <c r="AL535" i="3"/>
  <c r="AN535" i="3"/>
  <c r="AP535" i="3"/>
  <c r="AR535" i="3"/>
  <c r="AT535" i="3"/>
  <c r="AH536"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H541" i="3"/>
  <c r="AJ541" i="3"/>
  <c r="AL541" i="3"/>
  <c r="AN541" i="3"/>
  <c r="AP541" i="3"/>
  <c r="AR541" i="3"/>
  <c r="AT541" i="3"/>
  <c r="AH542" i="3"/>
  <c r="AJ542" i="3"/>
  <c r="AL542" i="3"/>
  <c r="AN542" i="3"/>
  <c r="AP542" i="3"/>
  <c r="AR542" i="3"/>
  <c r="AT542" i="3"/>
  <c r="AH543" i="3"/>
  <c r="AJ543" i="3"/>
  <c r="AL543" i="3"/>
  <c r="AN543" i="3"/>
  <c r="AP543" i="3"/>
  <c r="AR543" i="3"/>
  <c r="AT543" i="3"/>
  <c r="AJ544" i="3"/>
  <c r="AL544" i="3"/>
  <c r="AN544" i="3"/>
  <c r="AP544" i="3"/>
  <c r="AR544" i="3"/>
  <c r="AT544" i="3"/>
  <c r="AJ545" i="3"/>
  <c r="AL545" i="3"/>
  <c r="AN545" i="3"/>
  <c r="AP545" i="3"/>
  <c r="AR545" i="3"/>
  <c r="AT545" i="3"/>
  <c r="AH546" i="3"/>
  <c r="AJ546" i="3"/>
  <c r="AL546" i="3"/>
  <c r="AN546" i="3"/>
  <c r="AP546" i="3"/>
  <c r="AR546" i="3"/>
  <c r="AT546" i="3"/>
  <c r="AJ547" i="3"/>
  <c r="AL547" i="3"/>
  <c r="AN547" i="3"/>
  <c r="AP547" i="3"/>
  <c r="AR547" i="3"/>
  <c r="AT547" i="3"/>
  <c r="AJ548" i="3"/>
  <c r="AL548" i="3"/>
  <c r="AN548" i="3"/>
  <c r="AP548" i="3"/>
  <c r="AR548" i="3"/>
  <c r="AT548" i="3"/>
  <c r="AH549" i="3"/>
  <c r="AJ549" i="3"/>
  <c r="AL549" i="3"/>
  <c r="AN549" i="3"/>
  <c r="AP549" i="3"/>
  <c r="AR549" i="3"/>
  <c r="AT549" i="3"/>
  <c r="AH550" i="3"/>
  <c r="AJ550" i="3"/>
  <c r="AL550" i="3"/>
  <c r="AN550" i="3"/>
  <c r="AP550" i="3"/>
  <c r="AR550" i="3"/>
  <c r="AT550" i="3"/>
  <c r="AH551" i="3"/>
  <c r="AJ551" i="3"/>
  <c r="AL551" i="3"/>
  <c r="AN551" i="3"/>
  <c r="AP551" i="3"/>
  <c r="AR551" i="3"/>
  <c r="AT551" i="3"/>
  <c r="AH552" i="3"/>
  <c r="AJ552" i="3"/>
  <c r="AL552" i="3"/>
  <c r="AN552" i="3"/>
  <c r="AP552" i="3"/>
  <c r="AR552" i="3"/>
  <c r="AT552" i="3"/>
  <c r="AH553"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H558" i="3"/>
  <c r="AJ558" i="3"/>
  <c r="AL558" i="3"/>
  <c r="AN558" i="3"/>
  <c r="AP558" i="3"/>
  <c r="AR558" i="3"/>
  <c r="AT558" i="3"/>
  <c r="AH559" i="3"/>
  <c r="AJ559" i="3"/>
  <c r="AL559" i="3"/>
  <c r="AN559" i="3"/>
  <c r="AP559" i="3"/>
  <c r="AR559" i="3"/>
  <c r="AT559" i="3"/>
  <c r="AH560" i="3"/>
  <c r="AJ560" i="3"/>
  <c r="AL560" i="3"/>
  <c r="AN560" i="3"/>
  <c r="AP560" i="3"/>
  <c r="AR560" i="3"/>
  <c r="AT560" i="3"/>
  <c r="AH561" i="3"/>
  <c r="AJ561" i="3"/>
  <c r="AL561" i="3"/>
  <c r="AN561" i="3"/>
  <c r="AP561" i="3"/>
  <c r="AR561" i="3"/>
  <c r="AT561" i="3"/>
  <c r="AH562" i="3"/>
  <c r="AJ562" i="3"/>
  <c r="AL562" i="3"/>
  <c r="AN562" i="3"/>
  <c r="AP562" i="3"/>
  <c r="AR562" i="3"/>
  <c r="AT562" i="3"/>
  <c r="AJ563" i="3"/>
  <c r="AL563" i="3"/>
  <c r="AN563" i="3"/>
  <c r="AP563" i="3"/>
  <c r="AR563" i="3"/>
  <c r="AT563" i="3"/>
  <c r="AJ564" i="3"/>
  <c r="AL564" i="3"/>
  <c r="AN564" i="3"/>
  <c r="AP564" i="3"/>
  <c r="AR564" i="3"/>
  <c r="AT564" i="3"/>
  <c r="AH565" i="3"/>
  <c r="AJ565" i="3"/>
  <c r="AL565" i="3"/>
  <c r="AN565" i="3"/>
  <c r="AP565" i="3"/>
  <c r="AR565" i="3"/>
  <c r="AT565" i="3"/>
  <c r="AH566" i="3"/>
  <c r="AJ566" i="3"/>
  <c r="AL566" i="3"/>
  <c r="AN566" i="3"/>
  <c r="AP566" i="3"/>
  <c r="AR566" i="3"/>
  <c r="AT566" i="3"/>
  <c r="AH567" i="3"/>
  <c r="AJ567" i="3"/>
  <c r="AL567" i="3"/>
  <c r="AN567" i="3"/>
  <c r="AP567" i="3"/>
  <c r="AR567" i="3"/>
  <c r="AT567" i="3"/>
  <c r="AJ568" i="3"/>
  <c r="AL568" i="3"/>
  <c r="AN568" i="3"/>
  <c r="AP568" i="3"/>
  <c r="AR568" i="3"/>
  <c r="AT568" i="3"/>
  <c r="AJ569" i="3"/>
  <c r="AL569" i="3"/>
  <c r="AN569" i="3"/>
  <c r="AP569" i="3"/>
  <c r="AR569" i="3"/>
  <c r="AT569" i="3"/>
  <c r="AH570" i="3"/>
  <c r="AJ570" i="3"/>
  <c r="AL570" i="3"/>
  <c r="AN570" i="3"/>
  <c r="AP570" i="3"/>
  <c r="AR570" i="3"/>
  <c r="AT570" i="3"/>
  <c r="AJ571" i="3"/>
  <c r="AL571" i="3"/>
  <c r="AN571" i="3"/>
  <c r="AP571" i="3"/>
  <c r="AR571" i="3"/>
  <c r="AT571" i="3"/>
  <c r="AJ572" i="3"/>
  <c r="AL572" i="3"/>
  <c r="AN572" i="3"/>
  <c r="AP572" i="3"/>
  <c r="AR572" i="3"/>
  <c r="AT572" i="3"/>
  <c r="AH573" i="3"/>
  <c r="AJ573" i="3"/>
  <c r="AL573" i="3"/>
  <c r="AN573" i="3"/>
  <c r="AP573" i="3"/>
  <c r="AR573" i="3"/>
  <c r="AT573" i="3"/>
  <c r="AH574" i="3"/>
  <c r="AJ574" i="3"/>
  <c r="AL574" i="3"/>
  <c r="AN574" i="3"/>
  <c r="AP574" i="3"/>
  <c r="AR574" i="3"/>
  <c r="AT574" i="3"/>
  <c r="AH575" i="3"/>
  <c r="AJ575" i="3"/>
  <c r="AL575" i="3"/>
  <c r="AN575" i="3"/>
  <c r="AP575" i="3"/>
  <c r="AR575" i="3"/>
  <c r="AT575" i="3"/>
  <c r="AH576" i="3"/>
  <c r="AJ576" i="3"/>
  <c r="AL576" i="3"/>
  <c r="AN576" i="3"/>
  <c r="AP576" i="3"/>
  <c r="AR576" i="3"/>
  <c r="AT576" i="3"/>
  <c r="AH577" i="3"/>
  <c r="AJ577" i="3"/>
  <c r="AL577" i="3"/>
  <c r="AN577" i="3"/>
  <c r="AP577" i="3"/>
  <c r="AR577" i="3"/>
  <c r="AT577" i="3"/>
  <c r="AH578" i="3"/>
  <c r="AJ578" i="3"/>
  <c r="AL578" i="3"/>
  <c r="AN578" i="3"/>
  <c r="AP578" i="3"/>
  <c r="AR578" i="3"/>
  <c r="AT578" i="3"/>
  <c r="AJ579" i="3"/>
  <c r="AL579" i="3"/>
  <c r="AN579" i="3"/>
  <c r="AP579" i="3"/>
  <c r="AR579" i="3"/>
  <c r="AT579" i="3"/>
  <c r="AJ580" i="3"/>
  <c r="AL580" i="3"/>
  <c r="AN580" i="3"/>
  <c r="AP580" i="3"/>
  <c r="AR580" i="3"/>
  <c r="AT580" i="3"/>
  <c r="AH581" i="3"/>
  <c r="AJ581" i="3"/>
  <c r="AL581" i="3"/>
  <c r="AN581" i="3"/>
  <c r="AP581" i="3"/>
  <c r="AR581" i="3"/>
  <c r="AT581" i="3"/>
  <c r="AH582" i="3"/>
  <c r="AJ582" i="3"/>
  <c r="AL582" i="3"/>
  <c r="AN582" i="3"/>
  <c r="AP582" i="3"/>
  <c r="AR582" i="3"/>
  <c r="AT582" i="3"/>
  <c r="AH583" i="3"/>
  <c r="AJ583" i="3"/>
  <c r="AL583" i="3"/>
  <c r="AN583" i="3"/>
  <c r="AP583" i="3"/>
  <c r="AR583" i="3"/>
  <c r="AT583" i="3"/>
  <c r="AH584"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H589" i="3"/>
  <c r="AJ589" i="3"/>
  <c r="AL589" i="3"/>
  <c r="AN589" i="3"/>
  <c r="AP589" i="3"/>
  <c r="AR589" i="3"/>
  <c r="AT589" i="3"/>
  <c r="AH590" i="3"/>
  <c r="AJ590" i="3"/>
  <c r="AL590" i="3"/>
  <c r="AN590" i="3"/>
  <c r="AP590" i="3"/>
  <c r="AR590" i="3"/>
  <c r="AT590" i="3"/>
  <c r="AH591" i="3"/>
  <c r="AJ591" i="3"/>
  <c r="AL591" i="3"/>
  <c r="AN591" i="3"/>
  <c r="AP591" i="3"/>
  <c r="AR591" i="3"/>
  <c r="AT591" i="3"/>
  <c r="AJ592" i="3"/>
  <c r="AL592" i="3"/>
  <c r="AN592" i="3"/>
  <c r="AP592" i="3"/>
  <c r="AR592" i="3"/>
  <c r="AT592" i="3"/>
  <c r="AJ593" i="3"/>
  <c r="AL593" i="3"/>
  <c r="AN593" i="3"/>
  <c r="AP593" i="3"/>
  <c r="AR593" i="3"/>
  <c r="AT593" i="3"/>
  <c r="AH594" i="3"/>
  <c r="AJ594" i="3"/>
  <c r="AL594" i="3"/>
  <c r="AN594" i="3"/>
  <c r="AP594" i="3"/>
  <c r="AR594" i="3"/>
  <c r="AT594" i="3"/>
  <c r="AJ595" i="3"/>
  <c r="AL595" i="3"/>
  <c r="AN595" i="3"/>
  <c r="AP595" i="3"/>
  <c r="AR595" i="3"/>
  <c r="AT595" i="3"/>
  <c r="AJ596" i="3"/>
  <c r="AL596" i="3"/>
  <c r="AN596" i="3"/>
  <c r="AP596" i="3"/>
  <c r="AR596" i="3"/>
  <c r="AT596" i="3"/>
  <c r="AH597" i="3"/>
  <c r="AJ597" i="3"/>
  <c r="AL597" i="3"/>
  <c r="AN597" i="3"/>
  <c r="AP597" i="3"/>
  <c r="AR597" i="3"/>
  <c r="AT597" i="3"/>
  <c r="AH598" i="3"/>
  <c r="AJ598" i="3"/>
  <c r="AL598" i="3"/>
  <c r="AN598" i="3"/>
  <c r="AP598" i="3"/>
  <c r="AR598" i="3"/>
  <c r="AT598" i="3"/>
  <c r="AH599" i="3"/>
  <c r="AJ599" i="3"/>
  <c r="AL599" i="3"/>
  <c r="AN599" i="3"/>
  <c r="AP599" i="3"/>
  <c r="AR599" i="3"/>
  <c r="AT599" i="3"/>
  <c r="AH600"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H606" i="3"/>
  <c r="AJ606" i="3"/>
  <c r="AL606" i="3"/>
  <c r="AN606" i="3"/>
  <c r="AP606" i="3"/>
  <c r="AR606" i="3"/>
  <c r="AT606" i="3"/>
  <c r="AH607" i="3"/>
  <c r="AJ607" i="3"/>
  <c r="AL607" i="3"/>
  <c r="AN607" i="3"/>
  <c r="AP607" i="3"/>
  <c r="AR607" i="3"/>
  <c r="AT607" i="3"/>
  <c r="AH608" i="3"/>
  <c r="AJ608" i="3"/>
  <c r="AL608" i="3"/>
  <c r="AN608" i="3"/>
  <c r="AP608" i="3"/>
  <c r="AR608" i="3"/>
  <c r="AT608" i="3"/>
  <c r="AH609" i="3"/>
  <c r="AJ609" i="3"/>
  <c r="AL609" i="3"/>
  <c r="AN609" i="3"/>
  <c r="AP609" i="3"/>
  <c r="AR609" i="3"/>
  <c r="AT609" i="3"/>
  <c r="AH610" i="3"/>
  <c r="AJ610" i="3"/>
  <c r="AL610" i="3"/>
  <c r="AN610" i="3"/>
  <c r="AP610" i="3"/>
  <c r="AR610" i="3"/>
  <c r="AT610" i="3"/>
  <c r="AJ611" i="3"/>
  <c r="AL611" i="3"/>
  <c r="AN611" i="3"/>
  <c r="AP611" i="3"/>
  <c r="AR611" i="3"/>
  <c r="AT611" i="3"/>
  <c r="AJ612" i="3"/>
  <c r="AL612" i="3"/>
  <c r="AN612" i="3"/>
  <c r="AP612" i="3"/>
  <c r="AR612" i="3"/>
  <c r="AT612" i="3"/>
  <c r="AH613" i="3"/>
  <c r="AJ613" i="3"/>
  <c r="AL613" i="3"/>
  <c r="AN613" i="3"/>
  <c r="AP613" i="3"/>
  <c r="AR613" i="3"/>
  <c r="AT613" i="3"/>
  <c r="AH614" i="3"/>
  <c r="AJ614" i="3"/>
  <c r="AL614" i="3"/>
  <c r="AN614" i="3"/>
  <c r="AP614" i="3"/>
  <c r="AR614" i="3"/>
  <c r="AT614" i="3"/>
  <c r="AH615" i="3"/>
  <c r="AJ615" i="3"/>
  <c r="AL615" i="3"/>
  <c r="AN615" i="3"/>
  <c r="AP615" i="3"/>
  <c r="AR615" i="3"/>
  <c r="AT615" i="3"/>
  <c r="AH616" i="3"/>
  <c r="AJ616" i="3"/>
  <c r="AL616" i="3"/>
  <c r="AN616" i="3"/>
  <c r="AP616" i="3"/>
  <c r="AR616" i="3"/>
  <c r="AT616" i="3"/>
  <c r="AJ617" i="3"/>
  <c r="AL617" i="3"/>
  <c r="AN617" i="3"/>
  <c r="AP617" i="3"/>
  <c r="AR617" i="3"/>
  <c r="AT617" i="3"/>
  <c r="AH618" i="3"/>
  <c r="AJ618" i="3"/>
  <c r="AL618" i="3"/>
  <c r="AN618" i="3"/>
  <c r="AP618" i="3"/>
  <c r="AR618" i="3"/>
  <c r="AT618" i="3"/>
  <c r="AJ619" i="3"/>
  <c r="AL619" i="3"/>
  <c r="AN619" i="3"/>
  <c r="AP619" i="3"/>
  <c r="AR619" i="3"/>
  <c r="AT619" i="3"/>
  <c r="AJ620" i="3"/>
  <c r="AL620" i="3"/>
  <c r="AN620" i="3"/>
  <c r="AP620" i="3"/>
  <c r="AR620" i="3"/>
  <c r="AT620" i="3"/>
  <c r="AH621" i="3"/>
  <c r="AJ621" i="3"/>
  <c r="AL621" i="3"/>
  <c r="AN621" i="3"/>
  <c r="AP621" i="3"/>
  <c r="AR621" i="3"/>
  <c r="AT621" i="3"/>
  <c r="AH622" i="3"/>
  <c r="AJ622" i="3"/>
  <c r="AL622" i="3"/>
  <c r="AN622" i="3"/>
  <c r="AP622" i="3"/>
  <c r="AR622" i="3"/>
  <c r="AT622" i="3"/>
  <c r="AH623" i="3"/>
  <c r="AJ623" i="3"/>
  <c r="AL623" i="3"/>
  <c r="AN623" i="3"/>
  <c r="AP623" i="3"/>
  <c r="AR623" i="3"/>
  <c r="AT623" i="3"/>
  <c r="AH624" i="3"/>
  <c r="AJ624" i="3"/>
  <c r="AL624" i="3"/>
  <c r="AN624" i="3"/>
  <c r="AP624" i="3"/>
  <c r="AR624" i="3"/>
  <c r="AT624" i="3"/>
  <c r="AH625" i="3"/>
  <c r="AJ625" i="3"/>
  <c r="AL625" i="3"/>
  <c r="AN625" i="3"/>
  <c r="AP625" i="3"/>
  <c r="AR625" i="3"/>
  <c r="AT625" i="3"/>
  <c r="AH626" i="3"/>
  <c r="AJ626" i="3"/>
  <c r="AL626" i="3"/>
  <c r="AN626" i="3"/>
  <c r="AP626" i="3"/>
  <c r="AR626" i="3"/>
  <c r="AT626" i="3"/>
  <c r="AJ627" i="3"/>
  <c r="AL627" i="3"/>
  <c r="AN627" i="3"/>
  <c r="AP627" i="3"/>
  <c r="AR627" i="3"/>
  <c r="AT627" i="3"/>
  <c r="AJ628" i="3"/>
  <c r="AL628" i="3"/>
  <c r="AN628" i="3"/>
  <c r="AP628" i="3"/>
  <c r="AR628" i="3"/>
  <c r="AT628" i="3"/>
  <c r="AH629" i="3"/>
  <c r="AJ629" i="3"/>
  <c r="AL629" i="3"/>
  <c r="AN629" i="3"/>
  <c r="AP629" i="3"/>
  <c r="AR629" i="3"/>
  <c r="AT629" i="3"/>
  <c r="AH630" i="3"/>
  <c r="AJ630" i="3"/>
  <c r="AL630" i="3"/>
  <c r="AN630" i="3"/>
  <c r="AP630" i="3"/>
  <c r="AR630" i="3"/>
  <c r="AT630" i="3"/>
  <c r="AH631" i="3"/>
  <c r="AJ631" i="3"/>
  <c r="AL631" i="3"/>
  <c r="AN631" i="3"/>
  <c r="AP631" i="3"/>
  <c r="AR631" i="3"/>
  <c r="AT631" i="3"/>
  <c r="AH632"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H637" i="3"/>
  <c r="AJ637" i="3"/>
  <c r="AL637" i="3"/>
  <c r="AN637" i="3"/>
  <c r="AP637" i="3"/>
  <c r="AR637" i="3"/>
  <c r="AT637" i="3"/>
  <c r="AH638" i="3"/>
  <c r="AJ638" i="3"/>
  <c r="AL638" i="3"/>
  <c r="AN638" i="3"/>
  <c r="AP638" i="3"/>
  <c r="AR638" i="3"/>
  <c r="AT638" i="3"/>
  <c r="AH639" i="3"/>
  <c r="AJ639" i="3"/>
  <c r="AL639" i="3"/>
  <c r="AN639" i="3"/>
  <c r="AP639" i="3"/>
  <c r="AR639" i="3"/>
  <c r="AT639" i="3"/>
  <c r="AJ640" i="3"/>
  <c r="AL640" i="3"/>
  <c r="AN640" i="3"/>
  <c r="AP640" i="3"/>
  <c r="AR640" i="3"/>
  <c r="AT640" i="3"/>
  <c r="AJ641" i="3"/>
  <c r="AL641" i="3"/>
  <c r="AN641" i="3"/>
  <c r="AP641" i="3"/>
  <c r="AR641" i="3"/>
  <c r="AT641" i="3"/>
  <c r="AH642" i="3"/>
  <c r="AJ642" i="3"/>
  <c r="AL642" i="3"/>
  <c r="AN642" i="3"/>
  <c r="AP642" i="3"/>
  <c r="AR642" i="3"/>
  <c r="AT642" i="3"/>
  <c r="AJ643" i="3"/>
  <c r="AL643" i="3"/>
  <c r="AN643" i="3"/>
  <c r="AP643" i="3"/>
  <c r="AR643" i="3"/>
  <c r="AT643" i="3"/>
  <c r="AH644" i="3"/>
  <c r="AJ644" i="3"/>
  <c r="AL644" i="3"/>
  <c r="AN644" i="3"/>
  <c r="AP644" i="3"/>
  <c r="AR644" i="3"/>
  <c r="AT644" i="3"/>
  <c r="AH645" i="3"/>
  <c r="AJ645" i="3"/>
  <c r="AL645" i="3"/>
  <c r="AN645" i="3"/>
  <c r="AP645" i="3"/>
  <c r="AR645" i="3"/>
  <c r="AT645" i="3"/>
  <c r="AH646" i="3"/>
  <c r="AJ646" i="3"/>
  <c r="AL646" i="3"/>
  <c r="AN646" i="3"/>
  <c r="AP646" i="3"/>
  <c r="AR646" i="3"/>
  <c r="AT646" i="3"/>
  <c r="AH647" i="3"/>
  <c r="AJ647" i="3"/>
  <c r="AL647" i="3"/>
  <c r="AN647" i="3"/>
  <c r="AP647" i="3"/>
  <c r="AR647" i="3"/>
  <c r="AT647" i="3"/>
  <c r="AH648" i="3"/>
  <c r="AJ648" i="3"/>
  <c r="AL648" i="3"/>
  <c r="AN648" i="3"/>
  <c r="AP648" i="3"/>
  <c r="AR648" i="3"/>
  <c r="AT648" i="3"/>
  <c r="AH649"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H654" i="3"/>
  <c r="AJ654" i="3"/>
  <c r="AL654" i="3"/>
  <c r="AN654" i="3"/>
  <c r="AP654" i="3"/>
  <c r="AR654" i="3"/>
  <c r="AT654" i="3"/>
  <c r="AH655" i="3"/>
  <c r="AJ655" i="3"/>
  <c r="AL655" i="3"/>
  <c r="AN655" i="3"/>
  <c r="AP655" i="3"/>
  <c r="AR655" i="3"/>
  <c r="AT655" i="3"/>
  <c r="AH656" i="3"/>
  <c r="AJ656" i="3"/>
  <c r="AL656" i="3"/>
  <c r="AN656" i="3"/>
  <c r="AP656" i="3"/>
  <c r="AR656" i="3"/>
  <c r="AT656" i="3"/>
  <c r="AH657" i="3"/>
  <c r="AJ657" i="3"/>
  <c r="AL657" i="3"/>
  <c r="AN657" i="3"/>
  <c r="AP657" i="3"/>
  <c r="AR657" i="3"/>
  <c r="AT657" i="3"/>
  <c r="AH658" i="3"/>
  <c r="AJ658" i="3"/>
  <c r="AL658" i="3"/>
  <c r="AN658" i="3"/>
  <c r="AP658" i="3"/>
  <c r="AR658" i="3"/>
  <c r="AT658" i="3"/>
  <c r="AJ659" i="3"/>
  <c r="AL659" i="3"/>
  <c r="AN659" i="3"/>
  <c r="AP659" i="3"/>
  <c r="AR659" i="3"/>
  <c r="AT659" i="3"/>
  <c r="AJ660" i="3"/>
  <c r="AL660" i="3"/>
  <c r="AN660" i="3"/>
  <c r="AP660" i="3"/>
  <c r="AR660" i="3"/>
  <c r="AT660" i="3"/>
  <c r="AH661" i="3"/>
  <c r="AJ661" i="3"/>
  <c r="AL661" i="3"/>
  <c r="AN661" i="3"/>
  <c r="AP661" i="3"/>
  <c r="AR661" i="3"/>
  <c r="AT661" i="3"/>
  <c r="AH662" i="3"/>
  <c r="AJ662" i="3"/>
  <c r="AL662" i="3"/>
  <c r="AN662" i="3"/>
  <c r="AP662" i="3"/>
  <c r="AR662" i="3"/>
  <c r="AT662" i="3"/>
  <c r="AH663" i="3"/>
  <c r="AJ663" i="3"/>
  <c r="AL663" i="3"/>
  <c r="AN663" i="3"/>
  <c r="AP663" i="3"/>
  <c r="AR663" i="3"/>
  <c r="AT663" i="3"/>
  <c r="AJ664" i="3"/>
  <c r="AL664" i="3"/>
  <c r="AN664" i="3"/>
  <c r="AP664" i="3"/>
  <c r="AR664" i="3"/>
  <c r="AT664" i="3"/>
  <c r="AJ665" i="3"/>
  <c r="AL665" i="3"/>
  <c r="AN665" i="3"/>
  <c r="AP665" i="3"/>
  <c r="AR665" i="3"/>
  <c r="AT665" i="3"/>
  <c r="AH666" i="3"/>
  <c r="AJ666" i="3"/>
  <c r="AL666" i="3"/>
  <c r="AN666" i="3"/>
  <c r="AP666" i="3"/>
  <c r="AR666" i="3"/>
  <c r="AT666" i="3"/>
  <c r="AJ667" i="3"/>
  <c r="AL667" i="3"/>
  <c r="AN667" i="3"/>
  <c r="AP667" i="3"/>
  <c r="AR667" i="3"/>
  <c r="AT667" i="3"/>
  <c r="AJ668" i="3"/>
  <c r="AL668" i="3"/>
  <c r="AN668" i="3"/>
  <c r="AP668" i="3"/>
  <c r="AR668" i="3"/>
  <c r="AT668" i="3"/>
  <c r="AH669" i="3"/>
  <c r="AJ669" i="3"/>
  <c r="AL669" i="3"/>
  <c r="AN669" i="3"/>
  <c r="AP669" i="3"/>
  <c r="AR669" i="3"/>
  <c r="AT669" i="3"/>
  <c r="AH670" i="3"/>
  <c r="AJ670" i="3"/>
  <c r="AL670" i="3"/>
  <c r="AN670" i="3"/>
  <c r="AP670" i="3"/>
  <c r="AR670" i="3"/>
  <c r="AT670" i="3"/>
  <c r="AH671" i="3"/>
  <c r="AJ671" i="3"/>
  <c r="AL671" i="3"/>
  <c r="AN671" i="3"/>
  <c r="AP671" i="3"/>
  <c r="AR671" i="3"/>
  <c r="AT671" i="3"/>
  <c r="AH672" i="3"/>
  <c r="AJ672" i="3"/>
  <c r="AL672" i="3"/>
  <c r="AN672" i="3"/>
  <c r="AP672" i="3"/>
  <c r="AR672" i="3"/>
  <c r="AT672" i="3"/>
  <c r="AH673" i="3"/>
  <c r="AJ673" i="3"/>
  <c r="AL673" i="3"/>
  <c r="AN673" i="3"/>
  <c r="AP673" i="3"/>
  <c r="AR673" i="3"/>
  <c r="AT673" i="3"/>
  <c r="AH674"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H678" i="3"/>
  <c r="AJ678" i="3"/>
  <c r="AL678" i="3"/>
  <c r="AN678" i="3"/>
  <c r="AP678" i="3"/>
  <c r="AR678" i="3"/>
  <c r="AT678" i="3"/>
  <c r="AH679" i="3"/>
  <c r="AJ679" i="3"/>
  <c r="AL679" i="3"/>
  <c r="AN679" i="3"/>
  <c r="AP679" i="3"/>
  <c r="AR679" i="3"/>
  <c r="AT679" i="3"/>
  <c r="AH680"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H685" i="3"/>
  <c r="AJ685" i="3"/>
  <c r="AL685" i="3"/>
  <c r="AN685" i="3"/>
  <c r="AP685" i="3"/>
  <c r="AR685" i="3"/>
  <c r="AT685" i="3"/>
  <c r="AH686" i="3"/>
  <c r="AJ686" i="3"/>
  <c r="AL686" i="3"/>
  <c r="AN686" i="3"/>
  <c r="AP686" i="3"/>
  <c r="AR686" i="3"/>
  <c r="AT686" i="3"/>
  <c r="AH687" i="3"/>
  <c r="AJ687" i="3"/>
  <c r="AL687" i="3"/>
  <c r="AN687" i="3"/>
  <c r="AP687" i="3"/>
  <c r="AR687" i="3"/>
  <c r="AT687" i="3"/>
  <c r="AJ688" i="3"/>
  <c r="AL688" i="3"/>
  <c r="AN688" i="3"/>
  <c r="AP688" i="3"/>
  <c r="AR688" i="3"/>
  <c r="AT688" i="3"/>
  <c r="AH689" i="3"/>
  <c r="AJ689" i="3"/>
  <c r="AL689" i="3"/>
  <c r="AN689" i="3"/>
  <c r="AP689" i="3"/>
  <c r="AR689" i="3"/>
  <c r="AT689" i="3"/>
  <c r="AH690" i="3"/>
  <c r="AJ690" i="3"/>
  <c r="AL690" i="3"/>
  <c r="AN690" i="3"/>
  <c r="AP690" i="3"/>
  <c r="AR690" i="3"/>
  <c r="AT690" i="3"/>
  <c r="AJ691" i="3"/>
  <c r="AL691" i="3"/>
  <c r="AN691" i="3"/>
  <c r="AP691" i="3"/>
  <c r="AR691" i="3"/>
  <c r="AT691" i="3"/>
  <c r="AJ692" i="3"/>
  <c r="AL692" i="3"/>
  <c r="AN692" i="3"/>
  <c r="AP692" i="3"/>
  <c r="AR692" i="3"/>
  <c r="AT692" i="3"/>
  <c r="AH693" i="3"/>
  <c r="AJ693" i="3"/>
  <c r="AL693" i="3"/>
  <c r="AN693" i="3"/>
  <c r="AP693" i="3"/>
  <c r="AR693" i="3"/>
  <c r="AT693" i="3"/>
  <c r="AH694" i="3"/>
  <c r="AJ694" i="3"/>
  <c r="AL694" i="3"/>
  <c r="AN694" i="3"/>
  <c r="AP694" i="3"/>
  <c r="AR694" i="3"/>
  <c r="AT694" i="3"/>
  <c r="AH695" i="3"/>
  <c r="AJ695" i="3"/>
  <c r="AL695" i="3"/>
  <c r="AN695" i="3"/>
  <c r="AP695" i="3"/>
  <c r="AR695" i="3"/>
  <c r="AT695" i="3"/>
  <c r="AH696"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H702" i="3"/>
  <c r="AJ702" i="3"/>
  <c r="AL702" i="3"/>
  <c r="AN702" i="3"/>
  <c r="AP702" i="3"/>
  <c r="AR702" i="3"/>
  <c r="AT702" i="3"/>
  <c r="AH703" i="3"/>
  <c r="AJ703" i="3"/>
  <c r="AL703" i="3"/>
  <c r="AN703" i="3"/>
  <c r="AP703" i="3"/>
  <c r="AR703" i="3"/>
  <c r="AT703" i="3"/>
  <c r="AH704" i="3"/>
  <c r="AJ704" i="3"/>
  <c r="AL704" i="3"/>
  <c r="AN704" i="3"/>
  <c r="AP704" i="3"/>
  <c r="AR704" i="3"/>
  <c r="AT704" i="3"/>
  <c r="AH705" i="3"/>
  <c r="AJ705" i="3"/>
  <c r="AL705" i="3"/>
  <c r="AN705" i="3"/>
  <c r="AP705" i="3"/>
  <c r="AR705" i="3"/>
  <c r="AT705" i="3"/>
  <c r="AH706" i="3"/>
  <c r="AJ706" i="3"/>
  <c r="AL706" i="3"/>
  <c r="AN706" i="3"/>
  <c r="AP706" i="3"/>
  <c r="AR706" i="3"/>
  <c r="AT706" i="3"/>
  <c r="AJ707" i="3"/>
  <c r="AL707" i="3"/>
  <c r="AN707" i="3"/>
  <c r="AP707" i="3"/>
  <c r="AR707" i="3"/>
  <c r="AT707" i="3"/>
  <c r="AH708" i="3"/>
  <c r="AJ708" i="3"/>
  <c r="AL708" i="3"/>
  <c r="AN708" i="3"/>
  <c r="AP708" i="3"/>
  <c r="AR708" i="3"/>
  <c r="AT708" i="3"/>
  <c r="AH709" i="3"/>
  <c r="AJ709" i="3"/>
  <c r="AL709" i="3"/>
  <c r="AN709" i="3"/>
  <c r="AP709" i="3"/>
  <c r="AR709" i="3"/>
  <c r="AT709" i="3"/>
  <c r="AH710" i="3"/>
  <c r="AJ710" i="3"/>
  <c r="AL710" i="3"/>
  <c r="AN710" i="3"/>
  <c r="AP710" i="3"/>
  <c r="AR710" i="3"/>
  <c r="AT710" i="3"/>
  <c r="AH711" i="3"/>
  <c r="AJ711" i="3"/>
  <c r="AL711" i="3"/>
  <c r="AN711" i="3"/>
  <c r="AP711" i="3"/>
  <c r="AR711" i="3"/>
  <c r="AT711" i="3"/>
  <c r="AJ712" i="3"/>
  <c r="AL712" i="3"/>
  <c r="AN712" i="3"/>
  <c r="AP712" i="3"/>
  <c r="AR712" i="3"/>
  <c r="AT712" i="3"/>
  <c r="AJ713" i="3"/>
  <c r="AL713" i="3"/>
  <c r="AN713" i="3"/>
  <c r="AP713" i="3"/>
  <c r="AR713" i="3"/>
  <c r="AT713" i="3"/>
  <c r="AH714" i="3"/>
  <c r="AJ714" i="3"/>
  <c r="AL714" i="3"/>
  <c r="AN714" i="3"/>
  <c r="AP714" i="3"/>
  <c r="AR714" i="3"/>
  <c r="AT714" i="3"/>
  <c r="AJ715" i="3"/>
  <c r="AL715" i="3"/>
  <c r="AN715" i="3"/>
  <c r="AP715" i="3"/>
  <c r="AR715" i="3"/>
  <c r="AT715" i="3"/>
  <c r="AJ716" i="3"/>
  <c r="AL716" i="3"/>
  <c r="AN716" i="3"/>
  <c r="AP716" i="3"/>
  <c r="AR716" i="3"/>
  <c r="AT716" i="3"/>
  <c r="AH717" i="3"/>
  <c r="AJ717" i="3"/>
  <c r="AL717" i="3"/>
  <c r="AN717" i="3"/>
  <c r="AP717" i="3"/>
  <c r="AR717" i="3"/>
  <c r="AT717" i="3"/>
  <c r="AH718" i="3"/>
  <c r="AJ718" i="3"/>
  <c r="AL718" i="3"/>
  <c r="AN718" i="3"/>
  <c r="AP718" i="3"/>
  <c r="AR718" i="3"/>
  <c r="AT718" i="3"/>
  <c r="AH719" i="3"/>
  <c r="AJ719" i="3"/>
  <c r="AL719" i="3"/>
  <c r="AN719" i="3"/>
  <c r="AP719" i="3"/>
  <c r="AR719" i="3"/>
  <c r="AT719" i="3"/>
  <c r="AH720" i="3"/>
  <c r="AJ720" i="3"/>
  <c r="AL720" i="3"/>
  <c r="AN720" i="3"/>
  <c r="AP720" i="3"/>
  <c r="AR720" i="3"/>
  <c r="AT720" i="3"/>
  <c r="AH721" i="3"/>
  <c r="AJ721" i="3"/>
  <c r="AL721" i="3"/>
  <c r="AN721" i="3"/>
  <c r="AP721" i="3"/>
  <c r="AR721" i="3"/>
  <c r="AT721" i="3"/>
  <c r="AH722"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H726" i="3"/>
  <c r="AJ726" i="3"/>
  <c r="AL726" i="3"/>
  <c r="AN726" i="3"/>
  <c r="AP726" i="3"/>
  <c r="AR726" i="3"/>
  <c r="AT726" i="3"/>
  <c r="AH727" i="3"/>
  <c r="AJ727" i="3"/>
  <c r="AL727" i="3"/>
  <c r="AN727" i="3"/>
  <c r="AP727" i="3"/>
  <c r="AR727" i="3"/>
  <c r="AT727" i="3"/>
  <c r="AH728"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H733" i="3"/>
  <c r="AJ733" i="3"/>
  <c r="AL733" i="3"/>
  <c r="AN733" i="3"/>
  <c r="AP733" i="3"/>
  <c r="AR733" i="3"/>
  <c r="AT733" i="3"/>
  <c r="AH734" i="3"/>
  <c r="AJ734" i="3"/>
  <c r="AL734" i="3"/>
  <c r="AN734" i="3"/>
  <c r="AP734" i="3"/>
  <c r="AR734" i="3"/>
  <c r="AT734" i="3"/>
  <c r="AH735" i="3"/>
  <c r="AJ735" i="3"/>
  <c r="AL735" i="3"/>
  <c r="AN735" i="3"/>
  <c r="AP735" i="3"/>
  <c r="AR735" i="3"/>
  <c r="AT735" i="3"/>
  <c r="AJ736" i="3"/>
  <c r="AL736" i="3"/>
  <c r="AN736" i="3"/>
  <c r="AP736" i="3"/>
  <c r="AR736" i="3"/>
  <c r="AT736" i="3"/>
  <c r="AH737" i="3"/>
  <c r="AJ737" i="3"/>
  <c r="AL737" i="3"/>
  <c r="AN737" i="3"/>
  <c r="AP737" i="3"/>
  <c r="AR737" i="3"/>
  <c r="AT737" i="3"/>
  <c r="AH738" i="3"/>
  <c r="AJ738" i="3"/>
  <c r="AL738" i="3"/>
  <c r="AN738" i="3"/>
  <c r="AP738" i="3"/>
  <c r="AR738" i="3"/>
  <c r="AT738" i="3"/>
  <c r="AJ739" i="3"/>
  <c r="AL739" i="3"/>
  <c r="AN739" i="3"/>
  <c r="AP739" i="3"/>
  <c r="AR739" i="3"/>
  <c r="AT739" i="3"/>
  <c r="AJ740" i="3"/>
  <c r="AL740" i="3"/>
  <c r="AN740" i="3"/>
  <c r="AP740" i="3"/>
  <c r="AR740" i="3"/>
  <c r="AT740" i="3"/>
  <c r="AH741" i="3"/>
  <c r="AJ741" i="3"/>
  <c r="AL741" i="3"/>
  <c r="AN741" i="3"/>
  <c r="AP741" i="3"/>
  <c r="AR741" i="3"/>
  <c r="AT741" i="3"/>
  <c r="AH742" i="3"/>
  <c r="AJ742" i="3"/>
  <c r="AL742" i="3"/>
  <c r="AN742" i="3"/>
  <c r="AP742" i="3"/>
  <c r="AR742" i="3"/>
  <c r="AT742" i="3"/>
  <c r="AH743" i="3"/>
  <c r="AJ743" i="3"/>
  <c r="AL743" i="3"/>
  <c r="AN743" i="3"/>
  <c r="AP743" i="3"/>
  <c r="AR743" i="3"/>
  <c r="AT743" i="3"/>
  <c r="AH744" i="3"/>
  <c r="AJ744" i="3"/>
  <c r="AL744" i="3"/>
  <c r="AN744" i="3"/>
  <c r="AP744" i="3"/>
  <c r="AR744" i="3"/>
  <c r="AT744" i="3"/>
  <c r="AH745"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H750" i="3"/>
  <c r="AJ750" i="3"/>
  <c r="AL750" i="3"/>
  <c r="AN750" i="3"/>
  <c r="AP750" i="3"/>
  <c r="AR750" i="3"/>
  <c r="AT750" i="3"/>
  <c r="AH751" i="3"/>
  <c r="AJ751" i="3"/>
  <c r="AL751" i="3"/>
  <c r="AN751" i="3"/>
  <c r="AP751" i="3"/>
  <c r="AR751" i="3"/>
  <c r="AT751" i="3"/>
  <c r="AH752" i="3"/>
  <c r="AJ752" i="3"/>
  <c r="AL752" i="3"/>
  <c r="AN752" i="3"/>
  <c r="AP752" i="3"/>
  <c r="AR752" i="3"/>
  <c r="AT752" i="3"/>
  <c r="AH753" i="3"/>
  <c r="AJ753" i="3"/>
  <c r="AL753" i="3"/>
  <c r="AN753" i="3"/>
  <c r="AP753" i="3"/>
  <c r="AR753" i="3"/>
  <c r="AT753" i="3"/>
  <c r="AH754" i="3"/>
  <c r="AJ754" i="3"/>
  <c r="AL754" i="3"/>
  <c r="AN754" i="3"/>
  <c r="AP754" i="3"/>
  <c r="AR754" i="3"/>
  <c r="AT754" i="3"/>
  <c r="AJ755" i="3"/>
  <c r="AL755" i="3"/>
  <c r="AN755" i="3"/>
  <c r="AP755" i="3"/>
  <c r="AR755" i="3"/>
  <c r="AT755" i="3"/>
  <c r="AJ756" i="3"/>
  <c r="AL756" i="3"/>
  <c r="AN756" i="3"/>
  <c r="AP756" i="3"/>
  <c r="AR756" i="3"/>
  <c r="AT756" i="3"/>
  <c r="AH757" i="3"/>
  <c r="AJ757" i="3"/>
  <c r="AL757" i="3"/>
  <c r="AN757" i="3"/>
  <c r="AP757" i="3"/>
  <c r="AR757" i="3"/>
  <c r="AT757" i="3"/>
  <c r="AH758" i="3"/>
  <c r="AJ758" i="3"/>
  <c r="AL758" i="3"/>
  <c r="AN758" i="3"/>
  <c r="AP758" i="3"/>
  <c r="AR758" i="3"/>
  <c r="AT758" i="3"/>
  <c r="AH759" i="3"/>
  <c r="AJ759" i="3"/>
  <c r="AL759" i="3"/>
  <c r="AN759" i="3"/>
  <c r="AP759" i="3"/>
  <c r="AR759" i="3"/>
  <c r="AT759" i="3"/>
  <c r="AJ760" i="3"/>
  <c r="AL760" i="3"/>
  <c r="AN760" i="3"/>
  <c r="AP760" i="3"/>
  <c r="AR760" i="3"/>
  <c r="AT760" i="3"/>
  <c r="AJ761" i="3"/>
  <c r="AL761" i="3"/>
  <c r="AN761" i="3"/>
  <c r="AP761" i="3"/>
  <c r="AR761" i="3"/>
  <c r="AT761" i="3"/>
  <c r="AH762" i="3"/>
  <c r="AJ762" i="3"/>
  <c r="AL762" i="3"/>
  <c r="AN762" i="3"/>
  <c r="AP762" i="3"/>
  <c r="AR762" i="3"/>
  <c r="AT762" i="3"/>
  <c r="AJ763" i="3"/>
  <c r="AL763" i="3"/>
  <c r="AN763" i="3"/>
  <c r="AP763" i="3"/>
  <c r="AR763" i="3"/>
  <c r="AT763" i="3"/>
  <c r="AJ764" i="3"/>
  <c r="AL764" i="3"/>
  <c r="AN764" i="3"/>
  <c r="AP764" i="3"/>
  <c r="AR764" i="3"/>
  <c r="AT764" i="3"/>
  <c r="AH765" i="3"/>
  <c r="AJ765" i="3"/>
  <c r="AL765" i="3"/>
  <c r="AN765" i="3"/>
  <c r="AP765" i="3"/>
  <c r="AR765" i="3"/>
  <c r="AT765" i="3"/>
  <c r="AH766" i="3"/>
  <c r="AJ766" i="3"/>
  <c r="AL766" i="3"/>
  <c r="AN766" i="3"/>
  <c r="AP766" i="3"/>
  <c r="AR766" i="3"/>
  <c r="AT766" i="3"/>
  <c r="AH767" i="3"/>
  <c r="AJ767" i="3"/>
  <c r="AL767" i="3"/>
  <c r="AN767" i="3"/>
  <c r="AP767" i="3"/>
  <c r="AR767" i="3"/>
  <c r="AT767" i="3"/>
  <c r="AH768" i="3"/>
  <c r="AJ768" i="3"/>
  <c r="AL768" i="3"/>
  <c r="AN768" i="3"/>
  <c r="AP768" i="3"/>
  <c r="AR768" i="3"/>
  <c r="AT768" i="3"/>
  <c r="AH769" i="3"/>
  <c r="AJ769" i="3"/>
  <c r="AL769" i="3"/>
  <c r="AN769" i="3"/>
  <c r="AP769" i="3"/>
  <c r="AR769" i="3"/>
  <c r="AT769" i="3"/>
  <c r="AH770"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H774" i="3"/>
  <c r="AJ774" i="3"/>
  <c r="AL774" i="3"/>
  <c r="AN774" i="3"/>
  <c r="AP774" i="3"/>
  <c r="AR774" i="3"/>
  <c r="AT774" i="3"/>
  <c r="AH775" i="3"/>
  <c r="AJ775" i="3"/>
  <c r="AL775" i="3"/>
  <c r="AN775" i="3"/>
  <c r="AP775" i="3"/>
  <c r="AR775" i="3"/>
  <c r="AT775" i="3"/>
  <c r="AH776" i="3"/>
  <c r="AJ776" i="3"/>
  <c r="AL776" i="3"/>
  <c r="AN776" i="3"/>
  <c r="AP776" i="3"/>
  <c r="AR776" i="3"/>
  <c r="AT776" i="3"/>
  <c r="AH777" i="3"/>
  <c r="AJ777" i="3"/>
  <c r="AL777" i="3"/>
  <c r="AN777" i="3"/>
  <c r="AP777" i="3"/>
  <c r="AR777" i="3"/>
  <c r="AT777" i="3"/>
  <c r="AH778" i="3"/>
  <c r="AJ778" i="3"/>
  <c r="AL778" i="3"/>
  <c r="AN778" i="3"/>
  <c r="AP778" i="3"/>
  <c r="AR778" i="3"/>
  <c r="AT778" i="3"/>
  <c r="AJ779" i="3"/>
  <c r="AL779" i="3"/>
  <c r="AN779" i="3"/>
  <c r="AP779" i="3"/>
  <c r="AR779" i="3"/>
  <c r="AT779" i="3"/>
  <c r="AJ780" i="3"/>
  <c r="AL780" i="3"/>
  <c r="AN780" i="3"/>
  <c r="AP780" i="3"/>
  <c r="AR780" i="3"/>
  <c r="AT780" i="3"/>
  <c r="AH781" i="3"/>
  <c r="AJ781" i="3"/>
  <c r="AL781" i="3"/>
  <c r="AN781" i="3"/>
  <c r="AP781" i="3"/>
  <c r="AR781" i="3"/>
  <c r="AT781" i="3"/>
  <c r="AH782" i="3"/>
  <c r="AJ782" i="3"/>
  <c r="AL782" i="3"/>
  <c r="AN782" i="3"/>
  <c r="AP782" i="3"/>
  <c r="AR782" i="3"/>
  <c r="AT782" i="3"/>
  <c r="AH783" i="3"/>
  <c r="AJ783" i="3"/>
  <c r="AL783" i="3"/>
  <c r="AN783" i="3"/>
  <c r="AP783" i="3"/>
  <c r="AR783" i="3"/>
  <c r="AT783" i="3"/>
  <c r="AJ784" i="3"/>
  <c r="AL784" i="3"/>
  <c r="AN784" i="3"/>
  <c r="AP784" i="3"/>
  <c r="AR784" i="3"/>
  <c r="AT784" i="3"/>
  <c r="AJ785" i="3"/>
  <c r="AL785" i="3"/>
  <c r="AN785" i="3"/>
  <c r="AP785" i="3"/>
  <c r="AR785" i="3"/>
  <c r="AT785" i="3"/>
  <c r="AH786" i="3"/>
  <c r="AJ786" i="3"/>
  <c r="AL786" i="3"/>
  <c r="AN786" i="3"/>
  <c r="AP786" i="3"/>
  <c r="AR786" i="3"/>
  <c r="AT786" i="3"/>
  <c r="AJ787" i="3"/>
  <c r="AL787" i="3"/>
  <c r="AN787" i="3"/>
  <c r="AP787" i="3"/>
  <c r="AR787" i="3"/>
  <c r="AT787" i="3"/>
  <c r="AJ788" i="3"/>
  <c r="AL788" i="3"/>
  <c r="AN788" i="3"/>
  <c r="AP788" i="3"/>
  <c r="AR788" i="3"/>
  <c r="AT788" i="3"/>
  <c r="AH789" i="3"/>
  <c r="AJ789" i="3"/>
  <c r="AL789" i="3"/>
  <c r="AN789" i="3"/>
  <c r="AP789" i="3"/>
  <c r="AR789" i="3"/>
  <c r="AT789" i="3"/>
  <c r="AH790" i="3"/>
  <c r="AJ790" i="3"/>
  <c r="AL790" i="3"/>
  <c r="AN790" i="3"/>
  <c r="AP790" i="3"/>
  <c r="AR790" i="3"/>
  <c r="AT790" i="3"/>
  <c r="AH791" i="3"/>
  <c r="AJ791" i="3"/>
  <c r="AL791" i="3"/>
  <c r="AN791" i="3"/>
  <c r="AP791" i="3"/>
  <c r="AR791" i="3"/>
  <c r="AT791" i="3"/>
  <c r="AH792"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H798" i="3"/>
  <c r="AJ798" i="3"/>
  <c r="AL798" i="3"/>
  <c r="AN798" i="3"/>
  <c r="AP798" i="3"/>
  <c r="AR798" i="3"/>
  <c r="AT798" i="3"/>
  <c r="AH799" i="3"/>
  <c r="AJ799" i="3"/>
  <c r="AL799" i="3"/>
  <c r="AN799" i="3"/>
  <c r="AP799" i="3"/>
  <c r="AR799" i="3"/>
  <c r="AT799" i="3"/>
  <c r="AH800" i="3"/>
  <c r="AJ800" i="3"/>
  <c r="AL800" i="3"/>
  <c r="AN800" i="3"/>
  <c r="AP800" i="3"/>
  <c r="AR800" i="3"/>
  <c r="AT800" i="3"/>
  <c r="AH801" i="3"/>
  <c r="AJ801" i="3"/>
  <c r="AL801" i="3"/>
  <c r="AN801" i="3"/>
  <c r="AP801" i="3"/>
  <c r="AR801" i="3"/>
  <c r="AT801" i="3"/>
  <c r="AH802" i="3"/>
  <c r="AJ802" i="3"/>
  <c r="AL802" i="3"/>
  <c r="AN802" i="3"/>
  <c r="AP802" i="3"/>
  <c r="AR802" i="3"/>
  <c r="AT802" i="3"/>
  <c r="AJ803" i="3"/>
  <c r="AL803" i="3"/>
  <c r="AN803" i="3"/>
  <c r="AP803" i="3"/>
  <c r="AR803" i="3"/>
  <c r="AT803" i="3"/>
  <c r="AJ804" i="3"/>
  <c r="AL804" i="3"/>
  <c r="AN804" i="3"/>
  <c r="AP804" i="3"/>
  <c r="AR804" i="3"/>
  <c r="AT804" i="3"/>
  <c r="AH805" i="3"/>
  <c r="AJ805" i="3"/>
  <c r="AL805" i="3"/>
  <c r="AN805" i="3"/>
  <c r="AP805" i="3"/>
  <c r="AR805" i="3"/>
  <c r="AT805" i="3"/>
  <c r="AH806" i="3"/>
  <c r="AJ806" i="3"/>
  <c r="AL806" i="3"/>
  <c r="AN806" i="3"/>
  <c r="AP806" i="3"/>
  <c r="AR806" i="3"/>
  <c r="AT806" i="3"/>
  <c r="AH807" i="3"/>
  <c r="AJ807" i="3"/>
  <c r="AL807" i="3"/>
  <c r="AN807" i="3"/>
  <c r="AP807" i="3"/>
  <c r="AR807" i="3"/>
  <c r="AT807"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H813" i="3"/>
  <c r="AJ813" i="3"/>
  <c r="AL813" i="3"/>
  <c r="AN813" i="3"/>
  <c r="AP813" i="3"/>
  <c r="AR813" i="3"/>
  <c r="AT813" i="3"/>
  <c r="AH814" i="3"/>
  <c r="AJ814" i="3"/>
  <c r="AL814" i="3"/>
  <c r="AN814" i="3"/>
  <c r="AP814" i="3"/>
  <c r="AR814" i="3"/>
  <c r="AT814" i="3"/>
  <c r="AH815" i="3"/>
  <c r="AJ815" i="3"/>
  <c r="AL815" i="3"/>
  <c r="AN815" i="3"/>
  <c r="AP815" i="3"/>
  <c r="AR815" i="3"/>
  <c r="AT815" i="3"/>
  <c r="AH816" i="3"/>
  <c r="AJ816" i="3"/>
  <c r="AL816" i="3"/>
  <c r="AN816" i="3"/>
  <c r="AP816" i="3"/>
  <c r="AR816" i="3"/>
  <c r="AT816" i="3"/>
  <c r="AH817" i="3"/>
  <c r="AJ817" i="3"/>
  <c r="AL817" i="3"/>
  <c r="AN817" i="3"/>
  <c r="AP817" i="3"/>
  <c r="AR817" i="3"/>
  <c r="AT817" i="3"/>
  <c r="AH818" i="3"/>
  <c r="AJ818" i="3"/>
  <c r="AL818" i="3"/>
  <c r="AN818" i="3"/>
  <c r="AP818" i="3"/>
  <c r="AR818" i="3"/>
  <c r="AT818" i="3"/>
  <c r="AJ819" i="3"/>
  <c r="AL819" i="3"/>
  <c r="AN819" i="3"/>
  <c r="AP819" i="3"/>
  <c r="AR819" i="3"/>
  <c r="AT819" i="3"/>
  <c r="AJ820" i="3"/>
  <c r="AL820" i="3"/>
  <c r="AN820" i="3"/>
  <c r="AP820" i="3"/>
  <c r="AR820" i="3"/>
  <c r="AT820" i="3"/>
  <c r="AH821" i="3"/>
  <c r="AJ821" i="3"/>
  <c r="AL821" i="3"/>
  <c r="AN821" i="3"/>
  <c r="AP821" i="3"/>
  <c r="AR821" i="3"/>
  <c r="AT821" i="3"/>
  <c r="AH822" i="3"/>
  <c r="AJ822" i="3"/>
  <c r="AL822" i="3"/>
  <c r="AN822" i="3"/>
  <c r="AP822" i="3"/>
  <c r="AR822" i="3"/>
  <c r="AT822" i="3"/>
  <c r="AH823" i="3"/>
  <c r="AJ823" i="3"/>
  <c r="AL823" i="3"/>
  <c r="AN823" i="3"/>
  <c r="AP823" i="3"/>
  <c r="AR823" i="3"/>
  <c r="AT823" i="3"/>
  <c r="AH824" i="3"/>
  <c r="AJ824" i="3"/>
  <c r="AL824" i="3"/>
  <c r="AN824" i="3"/>
  <c r="AP824" i="3"/>
  <c r="AR824" i="3"/>
  <c r="AT824"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H829" i="3"/>
  <c r="AJ829" i="3"/>
  <c r="AL829" i="3"/>
  <c r="AN829" i="3"/>
  <c r="AP829" i="3"/>
  <c r="AR829" i="3"/>
  <c r="AT829" i="3"/>
  <c r="AH830" i="3"/>
  <c r="AJ830" i="3"/>
  <c r="AL830" i="3"/>
  <c r="AN830" i="3"/>
  <c r="AP830" i="3"/>
  <c r="AR830" i="3"/>
  <c r="AT830" i="3"/>
  <c r="AH831" i="3"/>
  <c r="AJ831" i="3"/>
  <c r="AL831" i="3"/>
  <c r="AN831" i="3"/>
  <c r="AP831" i="3"/>
  <c r="AR831" i="3"/>
  <c r="AT831" i="3"/>
  <c r="AJ832" i="3"/>
  <c r="AL832" i="3"/>
  <c r="AN832" i="3"/>
  <c r="AP832" i="3"/>
  <c r="AR832" i="3"/>
  <c r="AT832" i="3"/>
  <c r="AJ833" i="3"/>
  <c r="AL833" i="3"/>
  <c r="AN833" i="3"/>
  <c r="AP833" i="3"/>
  <c r="AR833" i="3"/>
  <c r="AT833" i="3"/>
  <c r="AH834" i="3"/>
  <c r="AJ834" i="3"/>
  <c r="AL834" i="3"/>
  <c r="AN834" i="3"/>
  <c r="AP834" i="3"/>
  <c r="AR834" i="3"/>
  <c r="AT834" i="3"/>
  <c r="AJ835" i="3"/>
  <c r="AL835" i="3"/>
  <c r="AN835" i="3"/>
  <c r="AP835" i="3"/>
  <c r="AR835" i="3"/>
  <c r="AT835" i="3"/>
  <c r="AH836" i="3"/>
  <c r="AJ836" i="3"/>
  <c r="AL836" i="3"/>
  <c r="AN836" i="3"/>
  <c r="AP836" i="3"/>
  <c r="AR836" i="3"/>
  <c r="AT836" i="3"/>
  <c r="AH837" i="3"/>
  <c r="AJ837" i="3"/>
  <c r="AL837" i="3"/>
  <c r="AN837" i="3"/>
  <c r="AP837" i="3"/>
  <c r="AR837" i="3"/>
  <c r="AT837" i="3"/>
  <c r="AH838" i="3"/>
  <c r="AJ838" i="3"/>
  <c r="AL838" i="3"/>
  <c r="AN838" i="3"/>
  <c r="AP838" i="3"/>
  <c r="AR838" i="3"/>
  <c r="AT838" i="3"/>
  <c r="AH839" i="3"/>
  <c r="AJ839" i="3"/>
  <c r="AL839" i="3"/>
  <c r="AN839" i="3"/>
  <c r="AP839" i="3"/>
  <c r="AR839" i="3"/>
  <c r="AT839" i="3"/>
  <c r="AH840"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H846" i="3"/>
  <c r="AJ846" i="3"/>
  <c r="AL846" i="3"/>
  <c r="AN846" i="3"/>
  <c r="AP846" i="3"/>
  <c r="AR846" i="3"/>
  <c r="AT846" i="3"/>
  <c r="AH847" i="3"/>
  <c r="AJ847" i="3"/>
  <c r="AL847" i="3"/>
  <c r="AN847" i="3"/>
  <c r="AP847" i="3"/>
  <c r="AR847" i="3"/>
  <c r="AT847" i="3"/>
  <c r="AH848" i="3"/>
  <c r="AJ848" i="3"/>
  <c r="AL848" i="3"/>
  <c r="AN848" i="3"/>
  <c r="AP848" i="3"/>
  <c r="AR848" i="3"/>
  <c r="AT848" i="3"/>
  <c r="AH849" i="3"/>
  <c r="AJ849" i="3"/>
  <c r="AL849" i="3"/>
  <c r="AN849" i="3"/>
  <c r="AP849" i="3"/>
  <c r="AR849" i="3"/>
  <c r="AT849" i="3"/>
  <c r="AH850" i="3"/>
  <c r="AJ850" i="3"/>
  <c r="AL850" i="3"/>
  <c r="AN850" i="3"/>
  <c r="AP850" i="3"/>
  <c r="AR850" i="3"/>
  <c r="AT850" i="3"/>
  <c r="AJ851" i="3"/>
  <c r="AL851" i="3"/>
  <c r="AN851" i="3"/>
  <c r="AP851" i="3"/>
  <c r="AR851" i="3"/>
  <c r="AT851" i="3"/>
  <c r="AJ852" i="3"/>
  <c r="AL852" i="3"/>
  <c r="AN852" i="3"/>
  <c r="AP852" i="3"/>
  <c r="AR852" i="3"/>
  <c r="AT852" i="3"/>
  <c r="AH853" i="3"/>
  <c r="AJ853" i="3"/>
  <c r="AL853" i="3"/>
  <c r="AN853" i="3"/>
  <c r="AP853" i="3"/>
  <c r="AR853" i="3"/>
  <c r="AT853" i="3"/>
  <c r="AH854" i="3"/>
  <c r="AJ854" i="3"/>
  <c r="AL854" i="3"/>
  <c r="AN854" i="3"/>
  <c r="AP854" i="3"/>
  <c r="AR854" i="3"/>
  <c r="AT854" i="3"/>
  <c r="AH855" i="3"/>
  <c r="AJ855" i="3"/>
  <c r="AL855" i="3"/>
  <c r="AN855" i="3"/>
  <c r="AP855" i="3"/>
  <c r="AR855" i="3"/>
  <c r="AT855" i="3"/>
  <c r="AH856"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H861" i="3"/>
  <c r="AJ861" i="3"/>
  <c r="AL861" i="3"/>
  <c r="AN861" i="3"/>
  <c r="AP861" i="3"/>
  <c r="AR861" i="3"/>
  <c r="AT861" i="3"/>
  <c r="AH862" i="3"/>
  <c r="AJ862" i="3"/>
  <c r="AL862" i="3"/>
  <c r="AN862" i="3"/>
  <c r="AP862" i="3"/>
  <c r="AR862" i="3"/>
  <c r="AT862" i="3"/>
  <c r="AH863" i="3"/>
  <c r="AJ863" i="3"/>
  <c r="AL863" i="3"/>
  <c r="AN863" i="3"/>
  <c r="AP863" i="3"/>
  <c r="AR863" i="3"/>
  <c r="AT863" i="3"/>
  <c r="AH864" i="3"/>
  <c r="AJ864" i="3"/>
  <c r="AL864" i="3"/>
  <c r="AN864" i="3"/>
  <c r="AP864" i="3"/>
  <c r="AR864" i="3"/>
  <c r="AT864" i="3"/>
  <c r="AH865"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H870" i="3"/>
  <c r="AJ870" i="3"/>
  <c r="AL870" i="3"/>
  <c r="AN870" i="3"/>
  <c r="AP870" i="3"/>
  <c r="AR870" i="3"/>
  <c r="AT870" i="3"/>
  <c r="AH871" i="3"/>
  <c r="AJ871" i="3"/>
  <c r="AL871" i="3"/>
  <c r="AN871" i="3"/>
  <c r="AP871" i="3"/>
  <c r="AR871" i="3"/>
  <c r="AT871" i="3"/>
  <c r="AH872" i="3"/>
  <c r="AJ872" i="3"/>
  <c r="AL872" i="3"/>
  <c r="AN872" i="3"/>
  <c r="AP872" i="3"/>
  <c r="AR872" i="3"/>
  <c r="AT872" i="3"/>
  <c r="AJ873" i="3"/>
  <c r="AL873" i="3"/>
  <c r="AN873" i="3"/>
  <c r="AP873" i="3"/>
  <c r="AR873" i="3"/>
  <c r="AT873" i="3"/>
  <c r="AH874" i="3"/>
  <c r="AJ874" i="3"/>
  <c r="AL874" i="3"/>
  <c r="AN874" i="3"/>
  <c r="AP874" i="3"/>
  <c r="AR874" i="3"/>
  <c r="AT874" i="3"/>
  <c r="AJ875" i="3"/>
  <c r="AL875" i="3"/>
  <c r="AN875" i="3"/>
  <c r="AP875" i="3"/>
  <c r="AR875" i="3"/>
  <c r="AT875" i="3"/>
  <c r="AJ876" i="3"/>
  <c r="AL876" i="3"/>
  <c r="AN876" i="3"/>
  <c r="AP876" i="3"/>
  <c r="AR876" i="3"/>
  <c r="AT876" i="3"/>
  <c r="AH877" i="3"/>
  <c r="AJ877" i="3"/>
  <c r="AL877" i="3"/>
  <c r="AN877" i="3"/>
  <c r="AP877" i="3"/>
  <c r="AR877" i="3"/>
  <c r="AT877" i="3"/>
  <c r="AH878" i="3"/>
  <c r="AJ878" i="3"/>
  <c r="AL878" i="3"/>
  <c r="AN878" i="3"/>
  <c r="AP878" i="3"/>
  <c r="AR878" i="3"/>
  <c r="AT878" i="3"/>
  <c r="AH879" i="3"/>
  <c r="AJ879" i="3"/>
  <c r="AL879" i="3"/>
  <c r="AN879" i="3"/>
  <c r="AP879" i="3"/>
  <c r="AR879" i="3"/>
  <c r="AT879" i="3"/>
  <c r="AJ880" i="3"/>
  <c r="AL880" i="3"/>
  <c r="AN880" i="3"/>
  <c r="AP880" i="3"/>
  <c r="AR880" i="3"/>
  <c r="AT880" i="3"/>
  <c r="AH881" i="3"/>
  <c r="AJ881" i="3"/>
  <c r="AL881" i="3"/>
  <c r="AN881" i="3"/>
  <c r="AP881" i="3"/>
  <c r="AR881" i="3"/>
  <c r="AT881" i="3"/>
  <c r="AH882" i="3"/>
  <c r="AJ882" i="3"/>
  <c r="AL882" i="3"/>
  <c r="AN882" i="3"/>
  <c r="AP882" i="3"/>
  <c r="AR882" i="3"/>
  <c r="AT882" i="3"/>
  <c r="AJ883" i="3"/>
  <c r="AL883" i="3"/>
  <c r="AN883" i="3"/>
  <c r="AP883" i="3"/>
  <c r="AR883" i="3"/>
  <c r="AT883" i="3"/>
  <c r="AJ884" i="3"/>
  <c r="AL884" i="3"/>
  <c r="AN884" i="3"/>
  <c r="AP884" i="3"/>
  <c r="AR884" i="3"/>
  <c r="AT884" i="3"/>
  <c r="AH885" i="3"/>
  <c r="AJ885" i="3"/>
  <c r="AL885" i="3"/>
  <c r="AN885" i="3"/>
  <c r="AP885" i="3"/>
  <c r="AR885" i="3"/>
  <c r="AT885" i="3"/>
  <c r="AH886" i="3"/>
  <c r="AJ886" i="3"/>
  <c r="AL886" i="3"/>
  <c r="AN886" i="3"/>
  <c r="AP886" i="3"/>
  <c r="AR886" i="3"/>
  <c r="AT886" i="3"/>
  <c r="AH887" i="3"/>
  <c r="AJ887" i="3"/>
  <c r="AL887" i="3"/>
  <c r="AN887" i="3"/>
  <c r="AP887" i="3"/>
  <c r="AR887" i="3"/>
  <c r="AT887" i="3"/>
  <c r="AH888" i="3"/>
  <c r="AJ888" i="3"/>
  <c r="AL888" i="3"/>
  <c r="AN888" i="3"/>
  <c r="AP888" i="3"/>
  <c r="AR888" i="3"/>
  <c r="AT888" i="3"/>
  <c r="AJ889" i="3"/>
  <c r="AL889" i="3"/>
  <c r="AN889" i="3"/>
  <c r="AP889" i="3"/>
  <c r="AR889" i="3"/>
  <c r="AT889" i="3"/>
  <c r="AH890" i="3"/>
  <c r="AJ890" i="3"/>
  <c r="AL890" i="3"/>
  <c r="AN890" i="3"/>
  <c r="AP890" i="3"/>
  <c r="AR890" i="3"/>
  <c r="AT890" i="3"/>
  <c r="AJ891" i="3"/>
  <c r="AL891" i="3"/>
  <c r="AN891" i="3"/>
  <c r="AP891" i="3"/>
  <c r="AR891" i="3"/>
  <c r="AT891" i="3"/>
  <c r="AJ892" i="3"/>
  <c r="AL892" i="3"/>
  <c r="AN892" i="3"/>
  <c r="AP892" i="3"/>
  <c r="AR892" i="3"/>
  <c r="AT892" i="3"/>
  <c r="AH893" i="3"/>
  <c r="AJ893" i="3"/>
  <c r="AL893" i="3"/>
  <c r="AN893" i="3"/>
  <c r="AP893" i="3"/>
  <c r="AR893" i="3"/>
  <c r="AT893" i="3"/>
  <c r="AH894" i="3"/>
  <c r="AJ894" i="3"/>
  <c r="AL894" i="3"/>
  <c r="AN894" i="3"/>
  <c r="AP894" i="3"/>
  <c r="AR894" i="3"/>
  <c r="AT894" i="3"/>
  <c r="AH895" i="3"/>
  <c r="AJ895" i="3"/>
  <c r="AL895" i="3"/>
  <c r="AN895" i="3"/>
  <c r="AP895" i="3"/>
  <c r="AR895" i="3"/>
  <c r="AT895" i="3"/>
  <c r="AH896" i="3"/>
  <c r="AJ896" i="3"/>
  <c r="AL896" i="3"/>
  <c r="AN896" i="3"/>
  <c r="AP896" i="3"/>
  <c r="AR896" i="3"/>
  <c r="AT896" i="3"/>
  <c r="AH897" i="3"/>
  <c r="AJ897" i="3"/>
  <c r="AL897" i="3"/>
  <c r="AN897" i="3"/>
  <c r="AP897" i="3"/>
  <c r="AR897" i="3"/>
  <c r="AT897" i="3"/>
  <c r="AH898" i="3"/>
  <c r="AJ898" i="3"/>
  <c r="AL898" i="3"/>
  <c r="AN898" i="3"/>
  <c r="AP898" i="3"/>
  <c r="AR898" i="3"/>
  <c r="AT898" i="3"/>
  <c r="AJ899" i="3"/>
  <c r="AL899" i="3"/>
  <c r="AN899" i="3"/>
  <c r="AP899" i="3"/>
  <c r="AR899" i="3"/>
  <c r="AT899" i="3"/>
  <c r="AH900" i="3"/>
  <c r="AJ900" i="3"/>
  <c r="AL900" i="3"/>
  <c r="AN900" i="3"/>
  <c r="AP900" i="3"/>
  <c r="AR900" i="3"/>
  <c r="AT900" i="3"/>
  <c r="AH901" i="3"/>
  <c r="AJ901" i="3"/>
  <c r="AL901" i="3"/>
  <c r="AN901" i="3"/>
  <c r="AP901" i="3"/>
  <c r="AR901" i="3"/>
  <c r="AT901" i="3"/>
  <c r="AH902" i="3"/>
  <c r="AJ902" i="3"/>
  <c r="AL902" i="3"/>
  <c r="AN902" i="3"/>
  <c r="AP902" i="3"/>
  <c r="AR902" i="3"/>
  <c r="AT902" i="3"/>
  <c r="AH903" i="3"/>
  <c r="AJ903" i="3"/>
  <c r="AL903" i="3"/>
  <c r="AN903" i="3"/>
  <c r="AP903" i="3"/>
  <c r="AR903" i="3"/>
  <c r="AT903" i="3"/>
  <c r="AJ904" i="3"/>
  <c r="AL904" i="3"/>
  <c r="AN904" i="3"/>
  <c r="AP904" i="3"/>
  <c r="AR904" i="3"/>
  <c r="AT904" i="3"/>
  <c r="AJ905" i="3"/>
  <c r="AL905" i="3"/>
  <c r="AN905" i="3"/>
  <c r="AP905" i="3"/>
  <c r="AR905" i="3"/>
  <c r="AT905" i="3"/>
  <c r="AH906" i="3"/>
  <c r="AJ906" i="3"/>
  <c r="AL906" i="3"/>
  <c r="AN906" i="3"/>
  <c r="AP906" i="3"/>
  <c r="AR906" i="3"/>
  <c r="AT906" i="3"/>
  <c r="AJ907" i="3"/>
  <c r="AL907" i="3"/>
  <c r="AN907" i="3"/>
  <c r="AP907" i="3"/>
  <c r="AR907" i="3"/>
  <c r="AT907" i="3"/>
  <c r="AJ908" i="3"/>
  <c r="AL908" i="3"/>
  <c r="AN908" i="3"/>
  <c r="AP908" i="3"/>
  <c r="AR908" i="3"/>
  <c r="AT908" i="3"/>
  <c r="AH909" i="3"/>
  <c r="AJ909" i="3"/>
  <c r="AL909" i="3"/>
  <c r="AN909" i="3"/>
  <c r="AP909" i="3"/>
  <c r="AR909" i="3"/>
  <c r="AT909" i="3"/>
  <c r="AH910" i="3"/>
  <c r="AJ910" i="3"/>
  <c r="AL910" i="3"/>
  <c r="AN910" i="3"/>
  <c r="AP910" i="3"/>
  <c r="AR910" i="3"/>
  <c r="AT910" i="3"/>
  <c r="AH911" i="3"/>
  <c r="AJ911" i="3"/>
  <c r="AL911" i="3"/>
  <c r="AN911" i="3"/>
  <c r="AP911" i="3"/>
  <c r="AR911" i="3"/>
  <c r="AT911" i="3"/>
  <c r="AH912" i="3"/>
  <c r="AJ912" i="3"/>
  <c r="AL912" i="3"/>
  <c r="AN912" i="3"/>
  <c r="AP912" i="3"/>
  <c r="AR912" i="3"/>
  <c r="AT912" i="3"/>
  <c r="AH913" i="3"/>
  <c r="AJ913" i="3"/>
  <c r="AL913" i="3"/>
  <c r="AN913" i="3"/>
  <c r="AP913" i="3"/>
  <c r="AR913" i="3"/>
  <c r="AT913" i="3"/>
  <c r="AH914" i="3"/>
  <c r="AJ914" i="3"/>
  <c r="AL914" i="3"/>
  <c r="AN914" i="3"/>
  <c r="AP914" i="3"/>
  <c r="AR914" i="3"/>
  <c r="AT914" i="3"/>
  <c r="AJ915" i="3"/>
  <c r="AL915" i="3"/>
  <c r="AN915" i="3"/>
  <c r="AP915" i="3"/>
  <c r="AR915" i="3"/>
  <c r="AT915" i="3"/>
  <c r="AJ916" i="3"/>
  <c r="AL916" i="3"/>
  <c r="AN916" i="3"/>
  <c r="AP916" i="3"/>
  <c r="AR916" i="3"/>
  <c r="AT916" i="3"/>
  <c r="AH917" i="3"/>
  <c r="AJ917" i="3"/>
  <c r="AL917" i="3"/>
  <c r="AN917" i="3"/>
  <c r="AP917" i="3"/>
  <c r="AR917" i="3"/>
  <c r="AT917" i="3"/>
  <c r="AH918" i="3"/>
  <c r="AJ918" i="3"/>
  <c r="AL918" i="3"/>
  <c r="AN918" i="3"/>
  <c r="AP918" i="3"/>
  <c r="AR918" i="3"/>
  <c r="AT918" i="3"/>
  <c r="AH919" i="3"/>
  <c r="AJ919" i="3"/>
  <c r="AL919" i="3"/>
  <c r="AN919" i="3"/>
  <c r="AP919" i="3"/>
  <c r="AR919" i="3"/>
  <c r="AT919" i="3"/>
  <c r="AH920" i="3"/>
  <c r="AJ920" i="3"/>
  <c r="AL920" i="3"/>
  <c r="AN920" i="3"/>
  <c r="AP920" i="3"/>
  <c r="AR920" i="3"/>
  <c r="AT920" i="3"/>
  <c r="AJ921" i="3"/>
  <c r="AL921" i="3"/>
  <c r="AN921" i="3"/>
  <c r="AP921" i="3"/>
  <c r="AR921" i="3"/>
  <c r="AT921" i="3"/>
  <c r="AH922" i="3"/>
  <c r="AJ922" i="3"/>
  <c r="AL922" i="3"/>
  <c r="AN922" i="3"/>
  <c r="AP922" i="3"/>
  <c r="AR922" i="3"/>
  <c r="AT922" i="3"/>
  <c r="AJ923" i="3"/>
  <c r="AL923" i="3"/>
  <c r="AN923" i="3"/>
  <c r="AP923" i="3"/>
  <c r="AR923" i="3"/>
  <c r="AT923" i="3"/>
  <c r="AJ924" i="3"/>
  <c r="AL924" i="3"/>
  <c r="AN924" i="3"/>
  <c r="AP924" i="3"/>
  <c r="AR924" i="3"/>
  <c r="AT924" i="3"/>
  <c r="AH925" i="3"/>
  <c r="AJ925" i="3"/>
  <c r="AL925" i="3"/>
  <c r="AN925" i="3"/>
  <c r="AP925" i="3"/>
  <c r="AR925" i="3"/>
  <c r="AT925" i="3"/>
  <c r="AH926" i="3"/>
  <c r="AJ926" i="3"/>
  <c r="AL926" i="3"/>
  <c r="AN926" i="3"/>
  <c r="AP926" i="3"/>
  <c r="AR926" i="3"/>
  <c r="AT926" i="3"/>
  <c r="AH927" i="3"/>
  <c r="AJ927" i="3"/>
  <c r="AL927" i="3"/>
  <c r="AN927" i="3"/>
  <c r="AP927" i="3"/>
  <c r="AR927" i="3"/>
  <c r="AT927" i="3"/>
  <c r="AJ928" i="3"/>
  <c r="AL928" i="3"/>
  <c r="AN928" i="3"/>
  <c r="AP928" i="3"/>
  <c r="AR928" i="3"/>
  <c r="AT928" i="3"/>
  <c r="AH929" i="3"/>
  <c r="AJ929" i="3"/>
  <c r="AL929" i="3"/>
  <c r="AN929" i="3"/>
  <c r="AP929" i="3"/>
  <c r="AR929" i="3"/>
  <c r="AT929" i="3"/>
  <c r="AH930" i="3"/>
  <c r="AJ930" i="3"/>
  <c r="AL930" i="3"/>
  <c r="AN930" i="3"/>
  <c r="AP930" i="3"/>
  <c r="AR930" i="3"/>
  <c r="AT930" i="3"/>
  <c r="AJ931" i="3"/>
  <c r="AL931" i="3"/>
  <c r="AN931" i="3"/>
  <c r="AP931" i="3"/>
  <c r="AR931" i="3"/>
  <c r="AT931" i="3"/>
  <c r="AJ932" i="3"/>
  <c r="AL932" i="3"/>
  <c r="AN932" i="3"/>
  <c r="AP932" i="3"/>
  <c r="AR932" i="3"/>
  <c r="AT932" i="3"/>
  <c r="AH933" i="3"/>
  <c r="AJ933" i="3"/>
  <c r="AL933" i="3"/>
  <c r="AN933" i="3"/>
  <c r="AP933" i="3"/>
  <c r="AR933" i="3"/>
  <c r="AT933" i="3"/>
  <c r="AH934" i="3"/>
  <c r="AJ934" i="3"/>
  <c r="AL934" i="3"/>
  <c r="AN934" i="3"/>
  <c r="AP934" i="3"/>
  <c r="AR934" i="3"/>
  <c r="AT934" i="3"/>
  <c r="AH935" i="3"/>
  <c r="AJ935" i="3"/>
  <c r="AL935" i="3"/>
  <c r="AN935" i="3"/>
  <c r="AP935" i="3"/>
  <c r="AR935" i="3"/>
  <c r="AT935" i="3"/>
  <c r="AH936" i="3"/>
  <c r="AJ936" i="3"/>
  <c r="AL936" i="3"/>
  <c r="AN936" i="3"/>
  <c r="AP936" i="3"/>
  <c r="AR936" i="3"/>
  <c r="AT936" i="3"/>
  <c r="AH937" i="3"/>
  <c r="AJ937" i="3"/>
  <c r="AL937" i="3"/>
  <c r="AN937" i="3"/>
  <c r="AP937" i="3"/>
  <c r="AR937" i="3"/>
  <c r="AT937" i="3"/>
  <c r="AJ938" i="3"/>
  <c r="AL938" i="3"/>
  <c r="AN938" i="3"/>
  <c r="AP938" i="3"/>
  <c r="AR938" i="3"/>
  <c r="AT938" i="3"/>
  <c r="AJ939" i="3"/>
  <c r="AL939" i="3"/>
  <c r="AN939" i="3"/>
  <c r="AP939" i="3"/>
  <c r="AR939" i="3"/>
  <c r="AT939" i="3"/>
  <c r="AJ940" i="3"/>
  <c r="AL940" i="3"/>
  <c r="AN940" i="3"/>
  <c r="AP940" i="3"/>
  <c r="AR940" i="3"/>
  <c r="AT940" i="3"/>
  <c r="AH941" i="3"/>
  <c r="AJ941" i="3"/>
  <c r="AL941" i="3"/>
  <c r="AN941" i="3"/>
  <c r="AP941" i="3"/>
  <c r="AR941" i="3"/>
  <c r="AT941" i="3"/>
  <c r="AH942" i="3"/>
  <c r="AJ942" i="3"/>
  <c r="AL942" i="3"/>
  <c r="AN942" i="3"/>
  <c r="AP942" i="3"/>
  <c r="AR942" i="3"/>
  <c r="AT942" i="3"/>
  <c r="AH943" i="3"/>
  <c r="AJ943" i="3"/>
  <c r="AL943" i="3"/>
  <c r="AN943" i="3"/>
  <c r="AP943" i="3"/>
  <c r="AR943" i="3"/>
  <c r="AT943" i="3"/>
  <c r="AH944" i="3"/>
  <c r="AJ944" i="3"/>
  <c r="AL944" i="3"/>
  <c r="AN944" i="3"/>
  <c r="AP944" i="3"/>
  <c r="AR944" i="3"/>
  <c r="AT944" i="3"/>
  <c r="AH945" i="3"/>
  <c r="AJ945" i="3"/>
  <c r="AL945" i="3"/>
  <c r="AN945" i="3"/>
  <c r="AP945" i="3"/>
  <c r="AR945" i="3"/>
  <c r="AT945" i="3"/>
  <c r="AH946" i="3"/>
  <c r="AJ946" i="3"/>
  <c r="AL946" i="3"/>
  <c r="AN946" i="3"/>
  <c r="AP946" i="3"/>
  <c r="AR946" i="3"/>
  <c r="AT946" i="3"/>
  <c r="AJ947" i="3"/>
  <c r="AL947" i="3"/>
  <c r="AN947" i="3"/>
  <c r="AP947" i="3"/>
  <c r="AR947" i="3"/>
  <c r="AT947" i="3"/>
  <c r="AJ948" i="3"/>
  <c r="AL948" i="3"/>
  <c r="AN948" i="3"/>
  <c r="AP948" i="3"/>
  <c r="AR948" i="3"/>
  <c r="AT948" i="3"/>
  <c r="AH949" i="3"/>
  <c r="AJ949" i="3"/>
  <c r="AL949" i="3"/>
  <c r="AN949" i="3"/>
  <c r="AP949" i="3"/>
  <c r="AR949" i="3"/>
  <c r="AT949" i="3"/>
  <c r="AH950" i="3"/>
  <c r="AJ950" i="3"/>
  <c r="AL950" i="3"/>
  <c r="AN950" i="3"/>
  <c r="AP950" i="3"/>
  <c r="AR950" i="3"/>
  <c r="AT950" i="3"/>
  <c r="AH951" i="3"/>
  <c r="AJ951" i="3"/>
  <c r="AL951" i="3"/>
  <c r="AN951" i="3"/>
  <c r="AP951" i="3"/>
  <c r="AR951" i="3"/>
  <c r="AT951" i="3"/>
  <c r="AJ952" i="3"/>
  <c r="AL952" i="3"/>
  <c r="AN952" i="3"/>
  <c r="AP952" i="3"/>
  <c r="AR952" i="3"/>
  <c r="AT952" i="3"/>
  <c r="AJ953" i="3"/>
  <c r="AL953" i="3"/>
  <c r="AN953" i="3"/>
  <c r="AP953" i="3"/>
  <c r="AR953" i="3"/>
  <c r="AT953" i="3"/>
  <c r="AH954" i="3"/>
  <c r="AJ954" i="3"/>
  <c r="AL954" i="3"/>
  <c r="AN954" i="3"/>
  <c r="AP954" i="3"/>
  <c r="AR954" i="3"/>
  <c r="AT954" i="3"/>
  <c r="AJ955" i="3"/>
  <c r="AL955" i="3"/>
  <c r="AN955" i="3"/>
  <c r="AP955" i="3"/>
  <c r="AR955" i="3"/>
  <c r="AT955" i="3"/>
  <c r="AJ956" i="3"/>
  <c r="AL956" i="3"/>
  <c r="AN956" i="3"/>
  <c r="AP956" i="3"/>
  <c r="AR956" i="3"/>
  <c r="AT956" i="3"/>
  <c r="AH957" i="3"/>
  <c r="AJ957" i="3"/>
  <c r="AL957" i="3"/>
  <c r="AN957" i="3"/>
  <c r="AP957" i="3"/>
  <c r="AR957" i="3"/>
  <c r="AT957" i="3"/>
  <c r="AH958" i="3"/>
  <c r="AJ958" i="3"/>
  <c r="AL958" i="3"/>
  <c r="AN958" i="3"/>
  <c r="AP958" i="3"/>
  <c r="AR958" i="3"/>
  <c r="AT958" i="3"/>
  <c r="AH959" i="3"/>
  <c r="AJ959" i="3"/>
  <c r="AL959" i="3"/>
  <c r="AN959" i="3"/>
  <c r="AP959" i="3"/>
  <c r="AR959" i="3"/>
  <c r="AT959" i="3"/>
  <c r="AH960" i="3"/>
  <c r="AJ960" i="3"/>
  <c r="AL960" i="3"/>
  <c r="AN960" i="3"/>
  <c r="AP960" i="3"/>
  <c r="AR960" i="3"/>
  <c r="AT960" i="3"/>
  <c r="AH961"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H965" i="3"/>
  <c r="AJ965" i="3"/>
  <c r="AL965" i="3"/>
  <c r="AN965" i="3"/>
  <c r="AP965" i="3"/>
  <c r="AR965" i="3"/>
  <c r="AT965" i="3"/>
  <c r="AH966" i="3"/>
  <c r="AJ966" i="3"/>
  <c r="AL966" i="3"/>
  <c r="AN966" i="3"/>
  <c r="AP966" i="3"/>
  <c r="AR966" i="3"/>
  <c r="AT966" i="3"/>
  <c r="AH967" i="3"/>
  <c r="AJ967" i="3"/>
  <c r="AL967" i="3"/>
  <c r="AN967" i="3"/>
  <c r="AP967" i="3"/>
  <c r="AR967" i="3"/>
  <c r="AT967" i="3"/>
  <c r="AH968"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H973" i="3"/>
  <c r="AJ973" i="3"/>
  <c r="AL973" i="3"/>
  <c r="AN973" i="3"/>
  <c r="AP973" i="3"/>
  <c r="AR973" i="3"/>
  <c r="AT973" i="3"/>
  <c r="AH974" i="3"/>
  <c r="AJ974" i="3"/>
  <c r="AL974" i="3"/>
  <c r="AN974" i="3"/>
  <c r="AP974" i="3"/>
  <c r="AR974" i="3"/>
  <c r="AT974" i="3"/>
  <c r="AH975" i="3"/>
  <c r="AJ975" i="3"/>
  <c r="AL975" i="3"/>
  <c r="AN975" i="3"/>
  <c r="AP975" i="3"/>
  <c r="AR975" i="3"/>
  <c r="AT975" i="3"/>
  <c r="AJ976" i="3"/>
  <c r="AL976" i="3"/>
  <c r="AN976" i="3"/>
  <c r="AP976" i="3"/>
  <c r="AR976" i="3"/>
  <c r="AT976" i="3"/>
  <c r="AH977"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H981" i="3"/>
  <c r="AJ981" i="3"/>
  <c r="AL981" i="3"/>
  <c r="AN981" i="3"/>
  <c r="AP981" i="3"/>
  <c r="AR981" i="3"/>
  <c r="AT981" i="3"/>
  <c r="AH982" i="3"/>
  <c r="AJ982" i="3"/>
  <c r="AL982" i="3"/>
  <c r="AN982" i="3"/>
  <c r="AP982" i="3"/>
  <c r="AR982" i="3"/>
  <c r="AT982" i="3"/>
  <c r="AH983" i="3"/>
  <c r="AJ983" i="3"/>
  <c r="AL983" i="3"/>
  <c r="AN983" i="3"/>
  <c r="AP983" i="3"/>
  <c r="AR983" i="3"/>
  <c r="AT983" i="3"/>
  <c r="AH984" i="3"/>
  <c r="AJ984" i="3"/>
  <c r="AL984" i="3"/>
  <c r="AN984" i="3"/>
  <c r="AP984" i="3"/>
  <c r="AR984" i="3"/>
  <c r="AT984" i="3"/>
  <c r="AJ985" i="3"/>
  <c r="AL985" i="3"/>
  <c r="AN985" i="3"/>
  <c r="AP985" i="3"/>
  <c r="AR985" i="3"/>
  <c r="AT985" i="3"/>
  <c r="AH986" i="3"/>
  <c r="AJ986" i="3"/>
  <c r="AL986" i="3"/>
  <c r="AN986" i="3"/>
  <c r="AP986" i="3"/>
  <c r="AR986" i="3"/>
  <c r="AT986" i="3"/>
  <c r="AJ987" i="3"/>
  <c r="AL987" i="3"/>
  <c r="AN987" i="3"/>
  <c r="AP987" i="3"/>
  <c r="AR987" i="3"/>
  <c r="AT987" i="3"/>
  <c r="AJ988" i="3"/>
  <c r="AL988" i="3"/>
  <c r="AN988" i="3"/>
  <c r="AP988" i="3"/>
  <c r="AR988" i="3"/>
  <c r="AT988" i="3"/>
  <c r="AH989" i="3"/>
  <c r="AJ989" i="3"/>
  <c r="AL989" i="3"/>
  <c r="AN989" i="3"/>
  <c r="AP989" i="3"/>
  <c r="AR989" i="3"/>
  <c r="AT989" i="3"/>
  <c r="AH990" i="3"/>
  <c r="AJ990" i="3"/>
  <c r="AL990" i="3"/>
  <c r="AN990" i="3"/>
  <c r="AP990" i="3"/>
  <c r="AR990" i="3"/>
  <c r="AT990" i="3"/>
  <c r="AH991" i="3"/>
  <c r="AJ991" i="3"/>
  <c r="AL991" i="3"/>
  <c r="AN991" i="3"/>
  <c r="AP991" i="3"/>
  <c r="AR991" i="3"/>
  <c r="AT991" i="3"/>
  <c r="AH992" i="3"/>
  <c r="AJ992" i="3"/>
  <c r="AL992" i="3"/>
  <c r="AN992" i="3"/>
  <c r="AP992" i="3"/>
  <c r="AR992" i="3"/>
  <c r="AT992" i="3"/>
  <c r="AH993" i="3"/>
  <c r="AJ993" i="3"/>
  <c r="AL993" i="3"/>
  <c r="AN993" i="3"/>
  <c r="AP993" i="3"/>
  <c r="AR993" i="3"/>
  <c r="AT993" i="3"/>
  <c r="AH994" i="3"/>
  <c r="AJ994" i="3"/>
  <c r="AL994" i="3"/>
  <c r="AN994" i="3"/>
  <c r="AP994" i="3"/>
  <c r="AR994" i="3"/>
  <c r="AT994" i="3"/>
  <c r="AJ995" i="3"/>
  <c r="AL995" i="3"/>
  <c r="AN995" i="3"/>
  <c r="AP995" i="3"/>
  <c r="AR995" i="3"/>
  <c r="AT995" i="3"/>
  <c r="AJ996" i="3"/>
  <c r="AL996" i="3"/>
  <c r="AN996" i="3"/>
  <c r="AP996" i="3"/>
  <c r="AR996" i="3"/>
  <c r="AT996" i="3"/>
  <c r="AH997" i="3"/>
  <c r="AJ997" i="3"/>
  <c r="AL997" i="3"/>
  <c r="AN997" i="3"/>
  <c r="AP997" i="3"/>
  <c r="AR997" i="3"/>
  <c r="AT997" i="3"/>
  <c r="AH998" i="3"/>
  <c r="AJ998" i="3"/>
  <c r="AL998" i="3"/>
  <c r="AN998" i="3"/>
  <c r="AP998" i="3"/>
  <c r="AR998" i="3"/>
  <c r="AT998" i="3"/>
  <c r="AH999" i="3"/>
  <c r="AJ999" i="3"/>
  <c r="AL999" i="3"/>
  <c r="AN999" i="3"/>
  <c r="AP999" i="3"/>
  <c r="AR999" i="3"/>
  <c r="AT999" i="3"/>
  <c r="AJ1000" i="3"/>
  <c r="AL1000" i="3"/>
  <c r="AN1000" i="3"/>
  <c r="AP1000" i="3"/>
  <c r="AR1000" i="3"/>
  <c r="AT1000" i="3"/>
  <c r="AJ1001" i="3"/>
  <c r="AL1001" i="3"/>
  <c r="AN1001" i="3"/>
  <c r="AP1001" i="3"/>
  <c r="AR1001" i="3"/>
  <c r="AT1001" i="3"/>
  <c r="AH1002" i="3"/>
  <c r="AJ1002" i="3"/>
  <c r="AL1002" i="3"/>
  <c r="AN1002" i="3"/>
  <c r="AP1002" i="3"/>
  <c r="AR1002" i="3"/>
  <c r="AT1002" i="3"/>
  <c r="AJ1003" i="3"/>
  <c r="AL1003" i="3"/>
  <c r="AN1003" i="3"/>
  <c r="AP1003" i="3"/>
  <c r="AR1003" i="3"/>
  <c r="AT1003" i="3"/>
  <c r="AJ1004" i="3"/>
  <c r="AL1004" i="3"/>
  <c r="AN1004" i="3"/>
  <c r="AP1004" i="3"/>
  <c r="AR1004" i="3"/>
  <c r="AT1004" i="3"/>
  <c r="AH1005" i="3"/>
  <c r="AJ1005" i="3"/>
  <c r="AL1005" i="3"/>
  <c r="AN1005" i="3"/>
  <c r="AP1005" i="3"/>
  <c r="AR1005" i="3"/>
  <c r="AT1005" i="3"/>
  <c r="AH1006" i="3"/>
  <c r="AJ1006" i="3"/>
  <c r="AL1006" i="3"/>
  <c r="AN1006" i="3"/>
  <c r="AP1006" i="3"/>
  <c r="AR1006" i="3"/>
  <c r="AT1006" i="3"/>
  <c r="AH1007" i="3"/>
  <c r="AJ1007" i="3"/>
  <c r="AL1007" i="3"/>
  <c r="AN1007" i="3"/>
  <c r="AP1007" i="3"/>
  <c r="AR1007" i="3"/>
  <c r="AT1007" i="3"/>
  <c r="AH1008" i="3"/>
  <c r="AJ1008" i="3"/>
  <c r="AL1008" i="3"/>
  <c r="AN1008" i="3"/>
  <c r="AP1008" i="3"/>
  <c r="AR1008" i="3"/>
  <c r="AT1008" i="3"/>
  <c r="AH1009" i="3"/>
  <c r="AJ1009" i="3"/>
  <c r="AL1009" i="3"/>
  <c r="AN1009" i="3"/>
  <c r="AP1009" i="3"/>
  <c r="AR1009" i="3"/>
  <c r="AT1009" i="3"/>
  <c r="AH1010" i="3"/>
  <c r="AJ1010" i="3"/>
  <c r="AL1010" i="3"/>
  <c r="AN1010" i="3"/>
  <c r="AP1010" i="3"/>
  <c r="AR1010" i="3"/>
  <c r="AT1010" i="3"/>
  <c r="AJ1011" i="3"/>
  <c r="AL1011" i="3"/>
  <c r="AN1011" i="3"/>
  <c r="AP1011" i="3"/>
  <c r="AR1011" i="3"/>
  <c r="AT1011" i="3"/>
  <c r="AJ1012" i="3"/>
  <c r="AL1012" i="3"/>
  <c r="AN1012" i="3"/>
  <c r="AP1012" i="3"/>
  <c r="AR1012" i="3"/>
  <c r="AT1012" i="3"/>
  <c r="AH1013" i="3"/>
  <c r="AJ1013" i="3"/>
  <c r="AL1013" i="3"/>
  <c r="AN1013" i="3"/>
  <c r="AP1013" i="3"/>
  <c r="AR1013" i="3"/>
  <c r="AT1013" i="3"/>
  <c r="AH1014" i="3"/>
  <c r="AJ1014" i="3"/>
  <c r="AL1014" i="3"/>
  <c r="AN1014" i="3"/>
  <c r="AP1014" i="3"/>
  <c r="AR1014" i="3"/>
  <c r="AT1014" i="3"/>
  <c r="AH1015" i="3"/>
  <c r="AJ1015" i="3"/>
  <c r="AL1015" i="3"/>
  <c r="AN1015" i="3"/>
  <c r="AP1015" i="3"/>
  <c r="AR1015" i="3"/>
  <c r="AT1015" i="3"/>
  <c r="AH1016" i="3"/>
  <c r="AJ1016" i="3"/>
  <c r="AL1016" i="3"/>
  <c r="AN1016" i="3"/>
  <c r="AP1016" i="3"/>
  <c r="AR1016" i="3"/>
  <c r="AT1016" i="3"/>
  <c r="AJ1017" i="3"/>
  <c r="AL1017" i="3"/>
  <c r="AN1017" i="3"/>
  <c r="AP1017" i="3"/>
  <c r="AR1017" i="3"/>
  <c r="AT1017" i="3"/>
  <c r="AH1018" i="3"/>
  <c r="AJ1018" i="3"/>
  <c r="AL1018" i="3"/>
  <c r="AN1018" i="3"/>
  <c r="AP1018" i="3"/>
  <c r="AR1018" i="3"/>
  <c r="AT1018" i="3"/>
  <c r="AJ1019" i="3"/>
  <c r="AL1019" i="3"/>
  <c r="AN1019" i="3"/>
  <c r="AP1019" i="3"/>
  <c r="AR1019" i="3"/>
  <c r="AT1019" i="3"/>
  <c r="AJ1020" i="3"/>
  <c r="AL1020" i="3"/>
  <c r="AN1020" i="3"/>
  <c r="AP1020" i="3"/>
  <c r="AR1020" i="3"/>
  <c r="AT1020" i="3"/>
  <c r="AH1021" i="3"/>
  <c r="AJ1021" i="3"/>
  <c r="AL1021" i="3"/>
  <c r="AN1021" i="3"/>
  <c r="AP1021" i="3"/>
  <c r="AR1021" i="3"/>
  <c r="AT1021" i="3"/>
  <c r="AH1022" i="3"/>
  <c r="AJ1022" i="3"/>
  <c r="AL1022" i="3"/>
  <c r="AN1022" i="3"/>
  <c r="AP1022" i="3"/>
  <c r="AR1022" i="3"/>
  <c r="AT1022" i="3"/>
  <c r="AH1023" i="3"/>
  <c r="AJ1023" i="3"/>
  <c r="AL1023" i="3"/>
  <c r="AN1023" i="3"/>
  <c r="AP1023" i="3"/>
  <c r="AR1023" i="3"/>
  <c r="AT1023" i="3"/>
  <c r="AJ1024" i="3"/>
  <c r="AL1024" i="3"/>
  <c r="AN1024" i="3"/>
  <c r="AP1024" i="3"/>
  <c r="AR1024" i="3"/>
  <c r="AT1024" i="3"/>
  <c r="AH1025" i="3"/>
  <c r="AJ1025" i="3"/>
  <c r="AL1025" i="3"/>
  <c r="AN1025" i="3"/>
  <c r="AP1025" i="3"/>
  <c r="AR1025" i="3"/>
  <c r="AT1025" i="3"/>
  <c r="AH1026" i="3"/>
  <c r="AJ1026" i="3"/>
  <c r="AL1026" i="3"/>
  <c r="AN1026" i="3"/>
  <c r="AP1026" i="3"/>
  <c r="AR1026" i="3"/>
  <c r="AT1026" i="3"/>
  <c r="AJ1027" i="3"/>
  <c r="AL1027" i="3"/>
  <c r="AN1027" i="3"/>
  <c r="AP1027" i="3"/>
  <c r="AR1027" i="3"/>
  <c r="AT1027" i="3"/>
  <c r="AH1028" i="3"/>
  <c r="AJ1028" i="3"/>
  <c r="AL1028" i="3"/>
  <c r="AN1028" i="3"/>
  <c r="AP1028" i="3"/>
  <c r="AR1028" i="3"/>
  <c r="AT1028" i="3"/>
  <c r="AH1029" i="3"/>
  <c r="AJ1029" i="3"/>
  <c r="AL1029" i="3"/>
  <c r="AN1029" i="3"/>
  <c r="AP1029" i="3"/>
  <c r="AR1029" i="3"/>
  <c r="AT1029" i="3"/>
  <c r="AH1030" i="3"/>
  <c r="AJ1030" i="3"/>
  <c r="AL1030" i="3"/>
  <c r="AN1030" i="3"/>
  <c r="AP1030" i="3"/>
  <c r="AR1030" i="3"/>
  <c r="AT1030" i="3"/>
  <c r="AH1031" i="3"/>
  <c r="AJ1031" i="3"/>
  <c r="AL1031" i="3"/>
  <c r="AN1031" i="3"/>
  <c r="AP1031" i="3"/>
  <c r="AR1031" i="3"/>
  <c r="AT1031" i="3"/>
  <c r="AH1032" i="3"/>
  <c r="AJ1032" i="3"/>
  <c r="AL1032" i="3"/>
  <c r="AN1032" i="3"/>
  <c r="AP1032" i="3"/>
  <c r="AR1032" i="3"/>
  <c r="AT1032" i="3"/>
  <c r="AJ1033" i="3"/>
  <c r="AL1033" i="3"/>
  <c r="AN1033" i="3"/>
  <c r="AP1033" i="3"/>
  <c r="AR1033" i="3"/>
  <c r="AT1033" i="3"/>
  <c r="AH1034" i="3"/>
  <c r="AJ1034" i="3"/>
  <c r="AL1034" i="3"/>
  <c r="AN1034" i="3"/>
  <c r="AP1034" i="3"/>
  <c r="AR1034" i="3"/>
  <c r="AT1034" i="3"/>
  <c r="AJ1035" i="3"/>
  <c r="AL1035" i="3"/>
  <c r="AN1035" i="3"/>
  <c r="AP1035" i="3"/>
  <c r="AR1035" i="3"/>
  <c r="AT1035" i="3"/>
  <c r="AJ1036" i="3"/>
  <c r="AL1036" i="3"/>
  <c r="AN1036" i="3"/>
  <c r="AP1036" i="3"/>
  <c r="AR1036" i="3"/>
  <c r="AT1036" i="3"/>
  <c r="AH1037" i="3"/>
  <c r="AJ1037" i="3"/>
  <c r="AL1037" i="3"/>
  <c r="AN1037" i="3"/>
  <c r="AP1037" i="3"/>
  <c r="AR1037" i="3"/>
  <c r="AT1037" i="3"/>
  <c r="AH1038" i="3"/>
  <c r="AJ1038" i="3"/>
  <c r="AL1038" i="3"/>
  <c r="AN1038" i="3"/>
  <c r="AP1038" i="3"/>
  <c r="AR1038" i="3"/>
  <c r="AT1038" i="3"/>
  <c r="AH1039" i="3"/>
  <c r="AJ1039" i="3"/>
  <c r="AL1039" i="3"/>
  <c r="AN1039" i="3"/>
  <c r="AP1039" i="3"/>
  <c r="AR1039" i="3"/>
  <c r="AT1039" i="3"/>
  <c r="AH1040" i="3"/>
  <c r="AJ1040" i="3"/>
  <c r="AL1040" i="3"/>
  <c r="AN1040" i="3"/>
  <c r="AP1040" i="3"/>
  <c r="AR1040" i="3"/>
  <c r="AT1040" i="3"/>
  <c r="AH1041" i="3"/>
  <c r="AJ1041" i="3"/>
  <c r="AL1041" i="3"/>
  <c r="AN1041" i="3"/>
  <c r="AP1041" i="3"/>
  <c r="AR1041" i="3"/>
  <c r="AT1041" i="3"/>
  <c r="AH1042" i="3"/>
  <c r="AJ1042" i="3"/>
  <c r="AL1042" i="3"/>
  <c r="AN1042" i="3"/>
  <c r="AP1042" i="3"/>
  <c r="AR1042" i="3"/>
  <c r="AT1042" i="3"/>
  <c r="AJ1043" i="3"/>
  <c r="AL1043" i="3"/>
  <c r="AN1043" i="3"/>
  <c r="AP1043" i="3"/>
  <c r="AR1043" i="3"/>
  <c r="AT1043" i="3"/>
  <c r="AJ1044" i="3"/>
  <c r="AL1044" i="3"/>
  <c r="AN1044" i="3"/>
  <c r="AP1044" i="3"/>
  <c r="AR1044" i="3"/>
  <c r="AT1044" i="3"/>
  <c r="AH1045" i="3"/>
  <c r="AJ1045" i="3"/>
  <c r="AL1045" i="3"/>
  <c r="AN1045" i="3"/>
  <c r="AP1045" i="3"/>
  <c r="AR1045" i="3"/>
  <c r="AT1045" i="3"/>
  <c r="AH1046" i="3"/>
  <c r="AJ1046" i="3"/>
  <c r="AL1046" i="3"/>
  <c r="AN1046" i="3"/>
  <c r="AP1046" i="3"/>
  <c r="AR1046" i="3"/>
  <c r="AT1046" i="3"/>
  <c r="AH1047" i="3"/>
  <c r="AJ1047" i="3"/>
  <c r="AL1047" i="3"/>
  <c r="AN1047" i="3"/>
  <c r="AP1047" i="3"/>
  <c r="AR1047" i="3"/>
  <c r="AT1047" i="3"/>
  <c r="AJ1048" i="3"/>
  <c r="AL1048" i="3"/>
  <c r="AN1048" i="3"/>
  <c r="AP1048" i="3"/>
  <c r="AR1048" i="3"/>
  <c r="AT1048" i="3"/>
  <c r="AH1049"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H1053" i="3"/>
  <c r="AJ1053" i="3"/>
  <c r="AL1053" i="3"/>
  <c r="AN1053" i="3"/>
  <c r="AP1053" i="3"/>
  <c r="AR1053" i="3"/>
  <c r="AT1053" i="3"/>
  <c r="AH1054" i="3"/>
  <c r="AJ1054" i="3"/>
  <c r="AL1054" i="3"/>
  <c r="AN1054" i="3"/>
  <c r="AP1054" i="3"/>
  <c r="AR1054" i="3"/>
  <c r="AT1054" i="3"/>
  <c r="AH1055" i="3"/>
  <c r="AJ1055" i="3"/>
  <c r="AL1055" i="3"/>
  <c r="AN1055" i="3"/>
  <c r="AP1055" i="3"/>
  <c r="AR1055" i="3"/>
  <c r="AT1055" i="3"/>
  <c r="AH1056" i="3"/>
  <c r="AJ1056" i="3"/>
  <c r="AL1056" i="3"/>
  <c r="AN1056" i="3"/>
  <c r="AP1056" i="3"/>
  <c r="AR1056" i="3"/>
  <c r="AT1056" i="3"/>
  <c r="AH1057" i="3"/>
  <c r="AJ1057" i="3"/>
  <c r="AL1057" i="3"/>
  <c r="AN1057" i="3"/>
  <c r="AP1057" i="3"/>
  <c r="AR1057" i="3"/>
  <c r="AT1057" i="3"/>
  <c r="AH1058" i="3"/>
  <c r="AJ1058" i="3"/>
  <c r="AL1058" i="3"/>
  <c r="AN1058" i="3"/>
  <c r="AP1058" i="3"/>
  <c r="AR1058" i="3"/>
  <c r="AT1058" i="3"/>
  <c r="AJ1059" i="3"/>
  <c r="AL1059" i="3"/>
  <c r="AN1059" i="3"/>
  <c r="AP1059" i="3"/>
  <c r="AR1059" i="3"/>
  <c r="AT1059" i="3"/>
  <c r="AJ1060" i="3"/>
  <c r="AL1060" i="3"/>
  <c r="AN1060" i="3"/>
  <c r="AP1060" i="3"/>
  <c r="AR1060" i="3"/>
  <c r="AT1060" i="3"/>
  <c r="AH1061" i="3"/>
  <c r="AJ1061" i="3"/>
  <c r="AL1061" i="3"/>
  <c r="AN1061" i="3"/>
  <c r="AP1061" i="3"/>
  <c r="AR1061" i="3"/>
  <c r="AT1061" i="3"/>
  <c r="AH1062" i="3"/>
  <c r="AJ1062" i="3"/>
  <c r="AL1062" i="3"/>
  <c r="AN1062" i="3"/>
  <c r="AP1062" i="3"/>
  <c r="AR1062" i="3"/>
  <c r="AT1062" i="3"/>
  <c r="AH1063" i="3"/>
  <c r="AJ1063" i="3"/>
  <c r="AL1063" i="3"/>
  <c r="AN1063" i="3"/>
  <c r="AP1063" i="3"/>
  <c r="AR1063" i="3"/>
  <c r="AT1063" i="3"/>
  <c r="AH1064" i="3"/>
  <c r="AJ1064" i="3"/>
  <c r="AL1064" i="3"/>
  <c r="AN1064" i="3"/>
  <c r="AP1064" i="3"/>
  <c r="AR1064" i="3"/>
  <c r="AT1064" i="3"/>
  <c r="AH1065" i="3"/>
  <c r="AJ1065" i="3"/>
  <c r="AL1065" i="3"/>
  <c r="AN1065" i="3"/>
  <c r="AP1065" i="3"/>
  <c r="AR1065" i="3"/>
  <c r="AT1065" i="3"/>
  <c r="AH1066" i="3"/>
  <c r="AJ1066" i="3"/>
  <c r="AL1066" i="3"/>
  <c r="AN1066" i="3"/>
  <c r="AP1066" i="3"/>
  <c r="AR1066" i="3"/>
  <c r="AT1066" i="3"/>
  <c r="AJ1067" i="3"/>
  <c r="AL1067" i="3"/>
  <c r="AN1067" i="3"/>
  <c r="AP1067" i="3"/>
  <c r="AR1067" i="3"/>
  <c r="AT1067" i="3"/>
  <c r="AJ1068" i="3"/>
  <c r="AL1068" i="3"/>
  <c r="AN1068" i="3"/>
  <c r="AP1068" i="3"/>
  <c r="AR1068" i="3"/>
  <c r="AT1068" i="3"/>
  <c r="AH1069" i="3"/>
  <c r="AJ1069" i="3"/>
  <c r="AL1069" i="3"/>
  <c r="AN1069" i="3"/>
  <c r="AP1069" i="3"/>
  <c r="AR1069" i="3"/>
  <c r="AT1069" i="3"/>
  <c r="AH1070" i="3"/>
  <c r="AJ1070" i="3"/>
  <c r="AL1070" i="3"/>
  <c r="AN1070" i="3"/>
  <c r="AP1070" i="3"/>
  <c r="AR1070" i="3"/>
  <c r="AT1070" i="3"/>
  <c r="AH1071" i="3"/>
  <c r="AJ1071" i="3"/>
  <c r="AL1071" i="3"/>
  <c r="AN1071" i="3"/>
  <c r="AP1071" i="3"/>
  <c r="AR1071" i="3"/>
  <c r="AT1071" i="3"/>
  <c r="AJ1072" i="3"/>
  <c r="AL1072" i="3"/>
  <c r="AN1072" i="3"/>
  <c r="AP1072" i="3"/>
  <c r="AR1072" i="3"/>
  <c r="AT1072" i="3"/>
  <c r="AH1073" i="3"/>
  <c r="AJ1073" i="3"/>
  <c r="AL1073" i="3"/>
  <c r="AN1073" i="3"/>
  <c r="AP1073" i="3"/>
  <c r="AR1073" i="3"/>
  <c r="AT1073" i="3"/>
  <c r="AH1074" i="3"/>
  <c r="AJ1074" i="3"/>
  <c r="AL1074" i="3"/>
  <c r="AN1074" i="3"/>
  <c r="AP1074" i="3"/>
  <c r="AR1074" i="3"/>
  <c r="AT1074" i="3"/>
  <c r="AJ1075" i="3"/>
  <c r="AL1075" i="3"/>
  <c r="AN1075" i="3"/>
  <c r="AP1075" i="3"/>
  <c r="AR1075" i="3"/>
  <c r="AT1075" i="3"/>
  <c r="AJ1076" i="3"/>
  <c r="AL1076" i="3"/>
  <c r="AN1076" i="3"/>
  <c r="AP1076" i="3"/>
  <c r="AR1076" i="3"/>
  <c r="AT1076" i="3"/>
  <c r="AH1077" i="3"/>
  <c r="AJ1077" i="3"/>
  <c r="AL1077" i="3"/>
  <c r="AN1077" i="3"/>
  <c r="AP1077" i="3"/>
  <c r="AR1077" i="3"/>
  <c r="AT1077" i="3"/>
  <c r="AH1078" i="3"/>
  <c r="AJ1078" i="3"/>
  <c r="AL1078" i="3"/>
  <c r="AN1078" i="3"/>
  <c r="AP1078" i="3"/>
  <c r="AR1078" i="3"/>
  <c r="AT1078" i="3"/>
  <c r="AH1079" i="3"/>
  <c r="AJ1079" i="3"/>
  <c r="AL1079" i="3"/>
  <c r="AN1079" i="3"/>
  <c r="AP1079" i="3"/>
  <c r="AR1079" i="3"/>
  <c r="AT1079" i="3"/>
  <c r="AH1080" i="3"/>
  <c r="AJ1080" i="3"/>
  <c r="AL1080" i="3"/>
  <c r="AN1080" i="3"/>
  <c r="AP1080" i="3"/>
  <c r="AR1080" i="3"/>
  <c r="AT1080"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H1085" i="3"/>
  <c r="AJ1085" i="3"/>
  <c r="AL1085" i="3"/>
  <c r="AN1085" i="3"/>
  <c r="AP1085" i="3"/>
  <c r="AR1085" i="3"/>
  <c r="AT1085" i="3"/>
  <c r="AH1086" i="3"/>
  <c r="AJ1086" i="3"/>
  <c r="AL1086" i="3"/>
  <c r="AN1086" i="3"/>
  <c r="AP1086" i="3"/>
  <c r="AR1086" i="3"/>
  <c r="AT1086" i="3"/>
  <c r="AH1087" i="3"/>
  <c r="AJ1087" i="3"/>
  <c r="AL1087" i="3"/>
  <c r="AN1087" i="3"/>
  <c r="AP1087" i="3"/>
  <c r="AR1087" i="3"/>
  <c r="AT1087" i="3"/>
  <c r="AH1088" i="3"/>
  <c r="AJ1088" i="3"/>
  <c r="AL1088" i="3"/>
  <c r="AN1088" i="3"/>
  <c r="AP1088" i="3"/>
  <c r="AR1088" i="3"/>
  <c r="AT1088" i="3"/>
  <c r="AH1089" i="3"/>
  <c r="AJ1089" i="3"/>
  <c r="AL1089" i="3"/>
  <c r="AN1089" i="3"/>
  <c r="AP1089" i="3"/>
  <c r="AR1089" i="3"/>
  <c r="AT1089" i="3"/>
  <c r="AH1090" i="3"/>
  <c r="AJ1090" i="3"/>
  <c r="AL1090" i="3"/>
  <c r="AN1090" i="3"/>
  <c r="AP1090" i="3"/>
  <c r="AR1090" i="3"/>
  <c r="AT1090" i="3"/>
  <c r="AJ1091" i="3"/>
  <c r="AL1091" i="3"/>
  <c r="AN1091" i="3"/>
  <c r="AP1091" i="3"/>
  <c r="AR1091" i="3"/>
  <c r="AT1091" i="3"/>
  <c r="AH1092" i="3"/>
  <c r="AJ1092" i="3"/>
  <c r="AL1092" i="3"/>
  <c r="AN1092" i="3"/>
  <c r="AP1092" i="3"/>
  <c r="AR1092" i="3"/>
  <c r="AT1092" i="3"/>
  <c r="AH1093" i="3"/>
  <c r="AJ1093" i="3"/>
  <c r="AL1093" i="3"/>
  <c r="AN1093" i="3"/>
  <c r="AP1093" i="3"/>
  <c r="AR1093" i="3"/>
  <c r="AT1093" i="3"/>
  <c r="AH1094" i="3"/>
  <c r="AJ1094" i="3"/>
  <c r="AL1094" i="3"/>
  <c r="AN1094" i="3"/>
  <c r="AP1094" i="3"/>
  <c r="AR1094" i="3"/>
  <c r="AT1094" i="3"/>
  <c r="AH1095" i="3"/>
  <c r="AJ1095" i="3"/>
  <c r="AL1095" i="3"/>
  <c r="AN1095" i="3"/>
  <c r="AP1095" i="3"/>
  <c r="AR1095" i="3"/>
  <c r="AT1095" i="3"/>
  <c r="AJ1096" i="3"/>
  <c r="AL1096" i="3"/>
  <c r="AN1096" i="3"/>
  <c r="AP1096" i="3"/>
  <c r="AR1096" i="3"/>
  <c r="AT1096" i="3"/>
  <c r="AH1097" i="3"/>
  <c r="AJ1097" i="3"/>
  <c r="AL1097" i="3"/>
  <c r="AN1097" i="3"/>
  <c r="AP1097" i="3"/>
  <c r="AR1097" i="3"/>
  <c r="AT1097" i="3"/>
  <c r="AH1098" i="3"/>
  <c r="AJ1098" i="3"/>
  <c r="AL1098" i="3"/>
  <c r="AN1098" i="3"/>
  <c r="AP1098" i="3"/>
  <c r="AR1098" i="3"/>
  <c r="AT1098" i="3"/>
  <c r="AJ1099" i="3"/>
  <c r="AL1099" i="3"/>
  <c r="AN1099" i="3"/>
  <c r="AP1099" i="3"/>
  <c r="AR1099" i="3"/>
  <c r="AT1099" i="3"/>
  <c r="AJ1100" i="3"/>
  <c r="AL1100" i="3"/>
  <c r="AN1100" i="3"/>
  <c r="AP1100" i="3"/>
  <c r="AR1100" i="3"/>
  <c r="AT1100" i="3"/>
  <c r="AH1101" i="3"/>
  <c r="AJ1101" i="3"/>
  <c r="AL1101" i="3"/>
  <c r="AN1101" i="3"/>
  <c r="AP1101" i="3"/>
  <c r="AR1101" i="3"/>
  <c r="AT1101" i="3"/>
  <c r="AH1102" i="3"/>
  <c r="AJ1102" i="3"/>
  <c r="AL1102" i="3"/>
  <c r="AN1102" i="3"/>
  <c r="AP1102" i="3"/>
  <c r="AR1102" i="3"/>
  <c r="AT1102" i="3"/>
  <c r="AH1103" i="3"/>
  <c r="AJ1103" i="3"/>
  <c r="AL1103" i="3"/>
  <c r="AN1103" i="3"/>
  <c r="AP1103" i="3"/>
  <c r="AR1103" i="3"/>
  <c r="AT1103" i="3"/>
  <c r="AH1104" i="3"/>
  <c r="AJ1104" i="3"/>
  <c r="AL1104" i="3"/>
  <c r="AN1104" i="3"/>
  <c r="AP1104" i="3"/>
  <c r="AR1104" i="3"/>
  <c r="AT1104" i="3"/>
  <c r="AH1105" i="3"/>
  <c r="AJ1105" i="3"/>
  <c r="AL1105" i="3"/>
  <c r="AN1105" i="3"/>
  <c r="AP1105" i="3"/>
  <c r="AR1105" i="3"/>
  <c r="AT1105" i="3"/>
  <c r="AH1106" i="3"/>
  <c r="AJ1106" i="3"/>
  <c r="AL1106" i="3"/>
  <c r="AN1106" i="3"/>
  <c r="AP1106" i="3"/>
  <c r="AR1106" i="3"/>
  <c r="AT1106" i="3"/>
  <c r="AJ1107" i="3"/>
  <c r="AL1107" i="3"/>
  <c r="AN1107" i="3"/>
  <c r="AP1107" i="3"/>
  <c r="AR1107" i="3"/>
  <c r="AT1107" i="3"/>
  <c r="AJ1108" i="3"/>
  <c r="AL1108" i="3"/>
  <c r="AN1108" i="3"/>
  <c r="AP1108" i="3"/>
  <c r="AR1108" i="3"/>
  <c r="AT1108" i="3"/>
  <c r="AH1109" i="3"/>
  <c r="AJ1109" i="3"/>
  <c r="AL1109" i="3"/>
  <c r="AN1109" i="3"/>
  <c r="AP1109" i="3"/>
  <c r="AR1109" i="3"/>
  <c r="AT1109" i="3"/>
  <c r="AH1110" i="3"/>
  <c r="AJ1110" i="3"/>
  <c r="AL1110" i="3"/>
  <c r="AN1110" i="3"/>
  <c r="AP1110" i="3"/>
  <c r="AR1110" i="3"/>
  <c r="AT1110" i="3"/>
  <c r="AH1111" i="3"/>
  <c r="AJ1111" i="3"/>
  <c r="AL1111" i="3"/>
  <c r="AN1111" i="3"/>
  <c r="AP1111" i="3"/>
  <c r="AR1111" i="3"/>
  <c r="AT1111" i="3"/>
  <c r="AH1112" i="3"/>
  <c r="AJ1112" i="3"/>
  <c r="AL1112" i="3"/>
  <c r="AN1112" i="3"/>
  <c r="AP1112" i="3"/>
  <c r="AR1112" i="3"/>
  <c r="AT1112" i="3"/>
  <c r="AH1113"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H1117" i="3"/>
  <c r="AJ1117" i="3"/>
  <c r="AL1117" i="3"/>
  <c r="AN1117" i="3"/>
  <c r="AP1117" i="3"/>
  <c r="AR1117" i="3"/>
  <c r="AT1117" i="3"/>
  <c r="AH1118" i="3"/>
  <c r="AJ1118" i="3"/>
  <c r="AL1118" i="3"/>
  <c r="AN1118" i="3"/>
  <c r="AP1118" i="3"/>
  <c r="AR1118" i="3"/>
  <c r="AT1118" i="3"/>
  <c r="AH1119" i="3"/>
  <c r="AJ1119" i="3"/>
  <c r="AL1119" i="3"/>
  <c r="AN1119" i="3"/>
  <c r="AP1119" i="3"/>
  <c r="AR1119" i="3"/>
  <c r="AT1119" i="3"/>
  <c r="AJ1120" i="3"/>
  <c r="AL1120" i="3"/>
  <c r="AN1120" i="3"/>
  <c r="AP1120" i="3"/>
  <c r="AR1120" i="3"/>
  <c r="AT1120" i="3"/>
  <c r="AH1121" i="3"/>
  <c r="AJ1121" i="3"/>
  <c r="AL1121" i="3"/>
  <c r="AN1121" i="3"/>
  <c r="AP1121" i="3"/>
  <c r="AR1121" i="3"/>
  <c r="AT1121" i="3"/>
  <c r="AH1122" i="3"/>
  <c r="AJ1122" i="3"/>
  <c r="AL1122" i="3"/>
  <c r="AN1122" i="3"/>
  <c r="AP1122" i="3"/>
  <c r="AR1122" i="3"/>
  <c r="AT1122" i="3"/>
  <c r="AJ1123" i="3"/>
  <c r="AL1123" i="3"/>
  <c r="AN1123" i="3"/>
  <c r="AP1123" i="3"/>
  <c r="AR1123" i="3"/>
  <c r="AT1123" i="3"/>
  <c r="AJ1124" i="3"/>
  <c r="AL1124" i="3"/>
  <c r="AN1124" i="3"/>
  <c r="AP1124" i="3"/>
  <c r="AR1124" i="3"/>
  <c r="AT1124" i="3"/>
  <c r="AH1125" i="3"/>
  <c r="AJ1125" i="3"/>
  <c r="AL1125" i="3"/>
  <c r="AN1125" i="3"/>
  <c r="AP1125" i="3"/>
  <c r="AR1125" i="3"/>
  <c r="AT1125" i="3"/>
  <c r="AH1126" i="3"/>
  <c r="AJ1126" i="3"/>
  <c r="AL1126" i="3"/>
  <c r="AN1126" i="3"/>
  <c r="AP1126" i="3"/>
  <c r="AR1126" i="3"/>
  <c r="AT1126" i="3"/>
  <c r="AH1127" i="3"/>
  <c r="AJ1127" i="3"/>
  <c r="AL1127" i="3"/>
  <c r="AN1127" i="3"/>
  <c r="AP1127" i="3"/>
  <c r="AR1127" i="3"/>
  <c r="AT1127" i="3"/>
  <c r="AH1128" i="3"/>
  <c r="AJ1128" i="3"/>
  <c r="AL1128" i="3"/>
  <c r="AN1128" i="3"/>
  <c r="AP1128" i="3"/>
  <c r="AR1128" i="3"/>
  <c r="AT1128" i="3"/>
  <c r="AH1129" i="3"/>
  <c r="AJ1129" i="3"/>
  <c r="AL1129" i="3"/>
  <c r="AN1129" i="3"/>
  <c r="AP1129" i="3"/>
  <c r="AR1129" i="3"/>
  <c r="AT1129" i="3"/>
  <c r="AH1130" i="3"/>
  <c r="AJ1130" i="3"/>
  <c r="AL1130" i="3"/>
  <c r="AN1130" i="3"/>
  <c r="AP1130" i="3"/>
  <c r="AR1130" i="3"/>
  <c r="AT1130" i="3"/>
  <c r="AJ1131" i="3"/>
  <c r="AL1131" i="3"/>
  <c r="AN1131" i="3"/>
  <c r="AP1131" i="3"/>
  <c r="AR1131" i="3"/>
  <c r="AT1131" i="3"/>
  <c r="AJ1132" i="3"/>
  <c r="AL1132" i="3"/>
  <c r="AN1132" i="3"/>
  <c r="AP1132" i="3"/>
  <c r="AR1132" i="3"/>
  <c r="AT1132" i="3"/>
  <c r="AH1133" i="3"/>
  <c r="AJ1133" i="3"/>
  <c r="AL1133" i="3"/>
  <c r="AN1133" i="3"/>
  <c r="AP1133" i="3"/>
  <c r="AR1133" i="3"/>
  <c r="AT1133" i="3"/>
  <c r="AH1134" i="3"/>
  <c r="AJ1134" i="3"/>
  <c r="AL1134" i="3"/>
  <c r="AN1134" i="3"/>
  <c r="AP1134" i="3"/>
  <c r="AR1134" i="3"/>
  <c r="AT1134" i="3"/>
  <c r="AH1135" i="3"/>
  <c r="AJ1135" i="3"/>
  <c r="AL1135" i="3"/>
  <c r="AN1135" i="3"/>
  <c r="AP1135" i="3"/>
  <c r="AR1135" i="3"/>
  <c r="AT1135" i="3"/>
  <c r="AH1136" i="3"/>
  <c r="AJ1136" i="3"/>
  <c r="AL1136" i="3"/>
  <c r="AN1136" i="3"/>
  <c r="AP1136" i="3"/>
  <c r="AR1136" i="3"/>
  <c r="AT1136" i="3"/>
  <c r="AH1137" i="3"/>
  <c r="AJ1137" i="3"/>
  <c r="AL1137" i="3"/>
  <c r="AN1137" i="3"/>
  <c r="AP1137" i="3"/>
  <c r="AR1137" i="3"/>
  <c r="AT1137" i="3"/>
  <c r="AH1138" i="3"/>
  <c r="AJ1138" i="3"/>
  <c r="AL1138" i="3"/>
  <c r="AN1138" i="3"/>
  <c r="AP1138" i="3"/>
  <c r="AR1138" i="3"/>
  <c r="AT1138" i="3"/>
  <c r="AJ1139" i="3"/>
  <c r="AL1139" i="3"/>
  <c r="AN1139" i="3"/>
  <c r="AP1139" i="3"/>
  <c r="AR1139" i="3"/>
  <c r="AT1139" i="3"/>
  <c r="AJ1140" i="3"/>
  <c r="AL1140" i="3"/>
  <c r="AN1140" i="3"/>
  <c r="AP1140" i="3"/>
  <c r="AR1140" i="3"/>
  <c r="AT1140" i="3"/>
  <c r="AH1141" i="3"/>
  <c r="AJ1141" i="3"/>
  <c r="AL1141" i="3"/>
  <c r="AN1141" i="3"/>
  <c r="AP1141" i="3"/>
  <c r="AR1141" i="3"/>
  <c r="AT1141" i="3"/>
  <c r="AH1142" i="3"/>
  <c r="AJ1142" i="3"/>
  <c r="AL1142" i="3"/>
  <c r="AN1142" i="3"/>
  <c r="AP1142" i="3"/>
  <c r="AR1142" i="3"/>
  <c r="AT1142" i="3"/>
  <c r="AH1143" i="3"/>
  <c r="AJ1143" i="3"/>
  <c r="AL1143" i="3"/>
  <c r="AN1143" i="3"/>
  <c r="AP1143" i="3"/>
  <c r="AR1143" i="3"/>
  <c r="AT1143" i="3"/>
  <c r="AJ1144" i="3"/>
  <c r="AL1144" i="3"/>
  <c r="AN1144" i="3"/>
  <c r="AP1144" i="3"/>
  <c r="AR1144" i="3"/>
  <c r="AT1144" i="3"/>
  <c r="AJ1145" i="3"/>
  <c r="AL1145" i="3"/>
  <c r="AN1145" i="3"/>
  <c r="AP1145" i="3"/>
  <c r="AR1145" i="3"/>
  <c r="AT1145" i="3"/>
  <c r="AH1146" i="3"/>
  <c r="AJ1146" i="3"/>
  <c r="AL1146" i="3"/>
  <c r="AN1146" i="3"/>
  <c r="AP1146" i="3"/>
  <c r="AR1146" i="3"/>
  <c r="AT1146" i="3"/>
  <c r="AJ1147" i="3"/>
  <c r="AL1147" i="3"/>
  <c r="AN1147" i="3"/>
  <c r="AP1147" i="3"/>
  <c r="AR1147" i="3"/>
  <c r="AT1147" i="3"/>
  <c r="AJ1148" i="3"/>
  <c r="AL1148" i="3"/>
  <c r="AN1148" i="3"/>
  <c r="AP1148" i="3"/>
  <c r="AR1148" i="3"/>
  <c r="AT1148" i="3"/>
  <c r="AH1149" i="3"/>
  <c r="AJ1149" i="3"/>
  <c r="AL1149" i="3"/>
  <c r="AN1149" i="3"/>
  <c r="AP1149" i="3"/>
  <c r="AR1149" i="3"/>
  <c r="AT1149" i="3"/>
  <c r="AH1150" i="3"/>
  <c r="AJ1150" i="3"/>
  <c r="AL1150" i="3"/>
  <c r="AN1150" i="3"/>
  <c r="AP1150" i="3"/>
  <c r="AR1150" i="3"/>
  <c r="AT1150" i="3"/>
  <c r="AH1151" i="3"/>
  <c r="AJ1151" i="3"/>
  <c r="AL1151" i="3"/>
  <c r="AN1151" i="3"/>
  <c r="AP1151" i="3"/>
  <c r="AR1151" i="3"/>
  <c r="AT1151" i="3"/>
  <c r="AH1152" i="3"/>
  <c r="AJ1152" i="3"/>
  <c r="AL1152" i="3"/>
  <c r="AN1152" i="3"/>
  <c r="AP1152" i="3"/>
  <c r="AR1152" i="3"/>
  <c r="AT1152" i="3"/>
  <c r="AH1153" i="3"/>
  <c r="AJ1153" i="3"/>
  <c r="AL1153" i="3"/>
  <c r="AN1153" i="3"/>
  <c r="AP1153" i="3"/>
  <c r="AR1153" i="3"/>
  <c r="AT1153" i="3"/>
  <c r="AH1154" i="3"/>
  <c r="AJ1154" i="3"/>
  <c r="AL1154" i="3"/>
  <c r="AN1154" i="3"/>
  <c r="AP1154" i="3"/>
  <c r="AR1154" i="3"/>
  <c r="AT1154" i="3"/>
  <c r="AJ1155" i="3"/>
  <c r="AL1155" i="3"/>
  <c r="AN1155" i="3"/>
  <c r="AP1155" i="3"/>
  <c r="AR1155" i="3"/>
  <c r="AT1155" i="3"/>
  <c r="AJ1156" i="3"/>
  <c r="AL1156" i="3"/>
  <c r="AN1156" i="3"/>
  <c r="AP1156" i="3"/>
  <c r="AR1156" i="3"/>
  <c r="AT1156" i="3"/>
  <c r="AH1157" i="3"/>
  <c r="AJ1157" i="3"/>
  <c r="AL1157" i="3"/>
  <c r="AN1157" i="3"/>
  <c r="AP1157" i="3"/>
  <c r="AR1157" i="3"/>
  <c r="AT1157" i="3"/>
  <c r="AH1158" i="3"/>
  <c r="AJ1158" i="3"/>
  <c r="AL1158" i="3"/>
  <c r="AN1158" i="3"/>
  <c r="AP1158" i="3"/>
  <c r="AR1158" i="3"/>
  <c r="AT1158" i="3"/>
  <c r="AH1159" i="3"/>
  <c r="AJ1159" i="3"/>
  <c r="AL1159" i="3"/>
  <c r="AN1159" i="3"/>
  <c r="AP1159" i="3"/>
  <c r="AR1159" i="3"/>
  <c r="AT1159" i="3"/>
  <c r="AH1160" i="3"/>
  <c r="AJ1160" i="3"/>
  <c r="AL1160" i="3"/>
  <c r="AN1160" i="3"/>
  <c r="AP1160" i="3"/>
  <c r="AR1160" i="3"/>
  <c r="AT1160" i="3"/>
  <c r="AH1161" i="3"/>
  <c r="AJ1161" i="3"/>
  <c r="AL1161" i="3"/>
  <c r="AN1161" i="3"/>
  <c r="AP1161" i="3"/>
  <c r="AR1161" i="3"/>
  <c r="AT1161" i="3"/>
  <c r="AJ1162" i="3"/>
  <c r="AL1162" i="3"/>
  <c r="AN1162" i="3"/>
  <c r="AP1162" i="3"/>
  <c r="AR1162" i="3"/>
  <c r="AT1162" i="3"/>
  <c r="AJ1163" i="3"/>
  <c r="AL1163" i="3"/>
  <c r="AN1163" i="3"/>
  <c r="AP1163" i="3"/>
  <c r="AR1163" i="3"/>
  <c r="AT1163" i="3"/>
  <c r="AJ1164" i="3"/>
  <c r="AL1164" i="3"/>
  <c r="AN1164" i="3"/>
  <c r="AP1164" i="3"/>
  <c r="AR1164" i="3"/>
  <c r="AT1164" i="3"/>
  <c r="AH1165" i="3"/>
  <c r="AJ1165" i="3"/>
  <c r="AL1165" i="3"/>
  <c r="AN1165" i="3"/>
  <c r="AP1165" i="3"/>
  <c r="AR1165" i="3"/>
  <c r="AT1165" i="3"/>
  <c r="AH1166" i="3"/>
  <c r="AJ1166" i="3"/>
  <c r="AL1166" i="3"/>
  <c r="AN1166" i="3"/>
  <c r="AP1166" i="3"/>
  <c r="AR1166" i="3"/>
  <c r="AT1166" i="3"/>
  <c r="AH1167" i="3"/>
  <c r="AJ1167" i="3"/>
  <c r="AL1167" i="3"/>
  <c r="AN1167" i="3"/>
  <c r="AP1167" i="3"/>
  <c r="AR1167" i="3"/>
  <c r="AT1167" i="3"/>
  <c r="AJ1168" i="3"/>
  <c r="AL1168" i="3"/>
  <c r="AN1168" i="3"/>
  <c r="AP1168" i="3"/>
  <c r="AR1168" i="3"/>
  <c r="AT1168" i="3"/>
  <c r="AH1169" i="3"/>
  <c r="AJ1169" i="3"/>
  <c r="AL1169" i="3"/>
  <c r="AN1169" i="3"/>
  <c r="AP1169" i="3"/>
  <c r="AR1169" i="3"/>
  <c r="AT1169" i="3"/>
  <c r="AH1170" i="3"/>
  <c r="AJ1170" i="3"/>
  <c r="AL1170" i="3"/>
  <c r="AN1170" i="3"/>
  <c r="AP1170" i="3"/>
  <c r="AR1170" i="3"/>
  <c r="AT1170" i="3"/>
  <c r="AJ1171" i="3"/>
  <c r="AL1171" i="3"/>
  <c r="AN1171" i="3"/>
  <c r="AP1171" i="3"/>
  <c r="AR1171" i="3"/>
  <c r="AT1171" i="3"/>
  <c r="AJ1172" i="3"/>
  <c r="AL1172" i="3"/>
  <c r="AN1172" i="3"/>
  <c r="AP1172" i="3"/>
  <c r="AR1172" i="3"/>
  <c r="AT1172" i="3"/>
  <c r="AH1173" i="3"/>
  <c r="AJ1173" i="3"/>
  <c r="AL1173" i="3"/>
  <c r="AN1173" i="3"/>
  <c r="AP1173" i="3"/>
  <c r="AR1173" i="3"/>
  <c r="AT1173" i="3"/>
  <c r="AH1174" i="3"/>
  <c r="AJ1174" i="3"/>
  <c r="AL1174" i="3"/>
  <c r="AN1174" i="3"/>
  <c r="AP1174" i="3"/>
  <c r="AR1174" i="3"/>
  <c r="AT1174" i="3"/>
  <c r="AH1175" i="3"/>
  <c r="AJ1175" i="3"/>
  <c r="AL1175" i="3"/>
  <c r="AN1175" i="3"/>
  <c r="AP1175" i="3"/>
  <c r="AR1175" i="3"/>
  <c r="AT1175" i="3"/>
  <c r="AH1176" i="3"/>
  <c r="AJ1176" i="3"/>
  <c r="AL1176" i="3"/>
  <c r="AN1176" i="3"/>
  <c r="AP1176" i="3"/>
  <c r="AR1176" i="3"/>
  <c r="AT1176" i="3"/>
  <c r="AH1177" i="3"/>
  <c r="AJ1177" i="3"/>
  <c r="AL1177" i="3"/>
  <c r="AN1177" i="3"/>
  <c r="AP1177" i="3"/>
  <c r="AR1177" i="3"/>
  <c r="AT1177" i="3"/>
  <c r="AH1178" i="3"/>
  <c r="AJ1178" i="3"/>
  <c r="AL1178" i="3"/>
  <c r="AN1178" i="3"/>
  <c r="AP1178" i="3"/>
  <c r="AR1178" i="3"/>
  <c r="AT1178" i="3"/>
  <c r="AJ1179" i="3"/>
  <c r="AL1179" i="3"/>
  <c r="AN1179" i="3"/>
  <c r="AP1179" i="3"/>
  <c r="AR1179" i="3"/>
  <c r="AT1179" i="3"/>
  <c r="AJ1180" i="3"/>
  <c r="AL1180" i="3"/>
  <c r="AN1180" i="3"/>
  <c r="AP1180" i="3"/>
  <c r="AR1180" i="3"/>
  <c r="AT1180" i="3"/>
  <c r="AH1181" i="3"/>
  <c r="AJ1181" i="3"/>
  <c r="AL1181" i="3"/>
  <c r="AN1181" i="3"/>
  <c r="AP1181" i="3"/>
  <c r="AR1181" i="3"/>
  <c r="AT1181" i="3"/>
  <c r="AH1182" i="3"/>
  <c r="AJ1182" i="3"/>
  <c r="AL1182" i="3"/>
  <c r="AN1182" i="3"/>
  <c r="AP1182" i="3"/>
  <c r="AR1182" i="3"/>
  <c r="AT1182" i="3"/>
  <c r="AH1183" i="3"/>
  <c r="AJ1183" i="3"/>
  <c r="AL1183" i="3"/>
  <c r="AN1183" i="3"/>
  <c r="AP1183" i="3"/>
  <c r="AR1183" i="3"/>
  <c r="AT1183" i="3"/>
  <c r="AH1184" i="3"/>
  <c r="AJ1184" i="3"/>
  <c r="AL1184" i="3"/>
  <c r="AN1184" i="3"/>
  <c r="AP1184" i="3"/>
  <c r="AR1184" i="3"/>
  <c r="AT1184" i="3"/>
  <c r="AH1185" i="3"/>
  <c r="AJ1185" i="3"/>
  <c r="AL1185" i="3"/>
  <c r="AN1185" i="3"/>
  <c r="AP1185" i="3"/>
  <c r="AR1185" i="3"/>
  <c r="AT1185" i="3"/>
  <c r="AH1186" i="3"/>
  <c r="AJ1186" i="3"/>
  <c r="AL1186" i="3"/>
  <c r="AN1186" i="3"/>
  <c r="AP1186" i="3"/>
  <c r="AR1186" i="3"/>
  <c r="AT1186" i="3"/>
  <c r="AJ1187" i="3"/>
  <c r="AL1187" i="3"/>
  <c r="AN1187" i="3"/>
  <c r="AP1187" i="3"/>
  <c r="AR1187" i="3"/>
  <c r="AT1187" i="3"/>
  <c r="AJ1188" i="3"/>
  <c r="AL1188" i="3"/>
  <c r="AN1188" i="3"/>
  <c r="AP1188" i="3"/>
  <c r="AR1188" i="3"/>
  <c r="AT1188" i="3"/>
  <c r="AH1189" i="3"/>
  <c r="AJ1189" i="3"/>
  <c r="AL1189" i="3"/>
  <c r="AN1189" i="3"/>
  <c r="AP1189" i="3"/>
  <c r="AR1189" i="3"/>
  <c r="AT1189" i="3"/>
  <c r="AH1190" i="3"/>
  <c r="AJ1190" i="3"/>
  <c r="AL1190" i="3"/>
  <c r="AN1190" i="3"/>
  <c r="AP1190" i="3"/>
  <c r="AR1190" i="3"/>
  <c r="AT1190" i="3"/>
  <c r="AH1191" i="3"/>
  <c r="AJ1191" i="3"/>
  <c r="AL1191" i="3"/>
  <c r="AN1191" i="3"/>
  <c r="AP1191" i="3"/>
  <c r="AR1191" i="3"/>
  <c r="AT1191" i="3"/>
  <c r="AJ1192" i="3"/>
  <c r="AL1192" i="3"/>
  <c r="AN1192" i="3"/>
  <c r="AP1192" i="3"/>
  <c r="AR1192" i="3"/>
  <c r="AT1192" i="3"/>
  <c r="AJ1193" i="3"/>
  <c r="AL1193" i="3"/>
  <c r="AN1193" i="3"/>
  <c r="AP1193" i="3"/>
  <c r="AR1193" i="3"/>
  <c r="AT1193" i="3"/>
  <c r="AJ1194" i="3"/>
  <c r="AL1194" i="3"/>
  <c r="AN1194" i="3"/>
  <c r="AP1194" i="3"/>
  <c r="AR1194" i="3"/>
  <c r="AT1194" i="3"/>
  <c r="AJ1195" i="3"/>
  <c r="AL1195" i="3"/>
  <c r="AN1195" i="3"/>
  <c r="AP1195" i="3"/>
  <c r="AR1195" i="3"/>
  <c r="AT1195" i="3"/>
  <c r="AJ1196" i="3"/>
  <c r="AL1196" i="3"/>
  <c r="AN1196" i="3"/>
  <c r="AP1196" i="3"/>
  <c r="AR1196" i="3"/>
  <c r="AT1196" i="3"/>
  <c r="AH1197" i="3"/>
  <c r="AJ1197" i="3"/>
  <c r="AL1197" i="3"/>
  <c r="AN1197" i="3"/>
  <c r="AP1197" i="3"/>
  <c r="AR1197" i="3"/>
  <c r="AT1197" i="3"/>
  <c r="AH1198" i="3"/>
  <c r="AJ1198" i="3"/>
  <c r="AL1198" i="3"/>
  <c r="AN1198" i="3"/>
  <c r="AP1198" i="3"/>
  <c r="AR1198" i="3"/>
  <c r="AT1198" i="3"/>
  <c r="AH1199" i="3"/>
  <c r="AJ1199" i="3"/>
  <c r="AL1199" i="3"/>
  <c r="AN1199" i="3"/>
  <c r="AP1199" i="3"/>
  <c r="AR1199" i="3"/>
  <c r="AT1199" i="3"/>
  <c r="AH1200" i="3"/>
  <c r="AJ1200" i="3"/>
  <c r="AL1200" i="3"/>
  <c r="AN1200" i="3"/>
  <c r="AP1200" i="3"/>
  <c r="AR1200" i="3"/>
  <c r="AT1200" i="3"/>
  <c r="AH1201" i="3"/>
  <c r="AJ1201" i="3"/>
  <c r="AL1201" i="3"/>
  <c r="AN1201" i="3"/>
  <c r="AP1201" i="3"/>
  <c r="AR1201" i="3"/>
  <c r="AT1201" i="3"/>
  <c r="AH1202" i="3"/>
  <c r="AJ1202" i="3"/>
  <c r="AL1202" i="3"/>
  <c r="AN1202" i="3"/>
  <c r="AP1202" i="3"/>
  <c r="AR1202" i="3"/>
  <c r="AT1202" i="3"/>
  <c r="AJ1203" i="3"/>
  <c r="AL1203" i="3"/>
  <c r="AN1203" i="3"/>
  <c r="AP1203" i="3"/>
  <c r="AR1203" i="3"/>
  <c r="AT1203" i="3"/>
  <c r="AJ1204" i="3"/>
  <c r="AL1204" i="3"/>
  <c r="AN1204" i="3"/>
  <c r="AP1204" i="3"/>
  <c r="AR1204" i="3"/>
  <c r="AT1204" i="3"/>
  <c r="AH1205" i="3"/>
  <c r="AJ1205" i="3"/>
  <c r="AL1205" i="3"/>
  <c r="AN1205" i="3"/>
  <c r="AP1205" i="3"/>
  <c r="AR1205" i="3"/>
  <c r="AT1205" i="3"/>
  <c r="AH1206" i="3"/>
  <c r="AJ1206" i="3"/>
  <c r="AL1206" i="3"/>
  <c r="AN1206" i="3"/>
  <c r="AP1206" i="3"/>
  <c r="AR1206" i="3"/>
  <c r="AT1206" i="3"/>
  <c r="AH1207" i="3"/>
  <c r="AJ1207" i="3"/>
  <c r="AL1207" i="3"/>
  <c r="AN1207" i="3"/>
  <c r="AP1207" i="3"/>
  <c r="AR1207" i="3"/>
  <c r="AT1207" i="3"/>
  <c r="AH1208" i="3"/>
  <c r="AJ1208" i="3"/>
  <c r="AL1208" i="3"/>
  <c r="AN1208" i="3"/>
  <c r="AP1208" i="3"/>
  <c r="AR1208" i="3"/>
  <c r="AT1208" i="3"/>
  <c r="AH1209" i="3"/>
  <c r="AJ1209" i="3"/>
  <c r="AL1209" i="3"/>
  <c r="AN1209" i="3"/>
  <c r="AP1209" i="3"/>
  <c r="AR1209" i="3"/>
  <c r="AT1209" i="3"/>
  <c r="AH1210" i="3"/>
  <c r="AJ1210" i="3"/>
  <c r="AL1210" i="3"/>
  <c r="AN1210" i="3"/>
  <c r="AP1210" i="3"/>
  <c r="AR1210" i="3"/>
  <c r="AT1210" i="3"/>
  <c r="AJ1211" i="3"/>
  <c r="AL1211" i="3"/>
  <c r="AN1211" i="3"/>
  <c r="AP1211" i="3"/>
  <c r="AR1211" i="3"/>
  <c r="AT1211" i="3"/>
  <c r="AJ1212" i="3"/>
  <c r="AL1212" i="3"/>
  <c r="AN1212" i="3"/>
  <c r="AP1212" i="3"/>
  <c r="AR1212" i="3"/>
  <c r="AT1212" i="3"/>
  <c r="AH1213" i="3"/>
  <c r="AJ1213" i="3"/>
  <c r="AL1213" i="3"/>
  <c r="AN1213" i="3"/>
  <c r="AP1213" i="3"/>
  <c r="AR1213" i="3"/>
  <c r="AT1213" i="3"/>
  <c r="AH1214" i="3"/>
  <c r="AJ1214" i="3"/>
  <c r="AL1214" i="3"/>
  <c r="AN1214" i="3"/>
  <c r="AP1214" i="3"/>
  <c r="AR1214" i="3"/>
  <c r="AT1214" i="3"/>
  <c r="AH1215" i="3"/>
  <c r="AJ1215" i="3"/>
  <c r="AL1215" i="3"/>
  <c r="AN1215" i="3"/>
  <c r="AP1215" i="3"/>
  <c r="AR1215" i="3"/>
  <c r="AT1215" i="3"/>
  <c r="AJ1216" i="3"/>
  <c r="AL1216" i="3"/>
  <c r="AN1216" i="3"/>
  <c r="AP1216" i="3"/>
  <c r="AR1216" i="3"/>
  <c r="AT1216" i="3"/>
  <c r="AH1217" i="3"/>
  <c r="AJ1217" i="3"/>
  <c r="AL1217" i="3"/>
  <c r="AN1217" i="3"/>
  <c r="AP1217" i="3"/>
  <c r="AR1217" i="3"/>
  <c r="AT1217" i="3"/>
  <c r="AH1218" i="3"/>
  <c r="AJ1218" i="3"/>
  <c r="AL1218" i="3"/>
  <c r="AN1218" i="3"/>
  <c r="AP1218" i="3"/>
  <c r="AR1218" i="3"/>
  <c r="AT1218" i="3"/>
  <c r="AJ1219" i="3"/>
  <c r="AL1219" i="3"/>
  <c r="AN1219" i="3"/>
  <c r="AP1219" i="3"/>
  <c r="AR1219" i="3"/>
  <c r="AT1219" i="3"/>
  <c r="AH1220" i="3"/>
  <c r="AJ1220" i="3"/>
  <c r="AL1220" i="3"/>
  <c r="AN1220" i="3"/>
  <c r="AP1220" i="3"/>
  <c r="AR1220" i="3"/>
  <c r="AT1220" i="3"/>
  <c r="AH1221" i="3"/>
  <c r="AJ1221" i="3"/>
  <c r="AL1221" i="3"/>
  <c r="AN1221" i="3"/>
  <c r="AP1221" i="3"/>
  <c r="AR1221" i="3"/>
  <c r="AT1221" i="3"/>
  <c r="AH1222" i="3"/>
  <c r="AJ1222" i="3"/>
  <c r="AL1222" i="3"/>
  <c r="AN1222" i="3"/>
  <c r="AP1222" i="3"/>
  <c r="AR1222" i="3"/>
  <c r="AT1222" i="3"/>
  <c r="AH1223" i="3"/>
  <c r="AJ1223" i="3"/>
  <c r="AL1223" i="3"/>
  <c r="AN1223" i="3"/>
  <c r="AP1223" i="3"/>
  <c r="AR1223" i="3"/>
  <c r="AT1223" i="3"/>
  <c r="AH1224" i="3"/>
  <c r="AJ1224" i="3"/>
  <c r="AL1224" i="3"/>
  <c r="AN1224" i="3"/>
  <c r="AP1224" i="3"/>
  <c r="AR1224" i="3"/>
  <c r="AT1224" i="3"/>
  <c r="AH1225" i="3"/>
  <c r="AJ1225" i="3"/>
  <c r="AL1225" i="3"/>
  <c r="AN1225" i="3"/>
  <c r="AP1225" i="3"/>
  <c r="AR1225" i="3"/>
  <c r="AT1225" i="3"/>
  <c r="AJ1226" i="3"/>
  <c r="AL1226" i="3"/>
  <c r="AN1226" i="3"/>
  <c r="AP1226" i="3"/>
  <c r="AR1226" i="3"/>
  <c r="AT1226" i="3"/>
  <c r="AJ1227" i="3"/>
  <c r="AL1227" i="3"/>
  <c r="AN1227" i="3"/>
  <c r="AP1227" i="3"/>
  <c r="AR1227" i="3"/>
  <c r="AT1227" i="3"/>
  <c r="AJ1228" i="3"/>
  <c r="AL1228" i="3"/>
  <c r="AN1228" i="3"/>
  <c r="AP1228" i="3"/>
  <c r="AR1228" i="3"/>
  <c r="AT1228" i="3"/>
  <c r="AH1229" i="3"/>
  <c r="AJ1229" i="3"/>
  <c r="AL1229" i="3"/>
  <c r="AN1229" i="3"/>
  <c r="AP1229" i="3"/>
  <c r="AR1229" i="3"/>
  <c r="AT1229" i="3"/>
  <c r="AH1230" i="3"/>
  <c r="AJ1230" i="3"/>
  <c r="AL1230" i="3"/>
  <c r="AN1230" i="3"/>
  <c r="AP1230" i="3"/>
  <c r="AR1230" i="3"/>
  <c r="AT1230" i="3"/>
  <c r="AH1231" i="3"/>
  <c r="AJ1231" i="3"/>
  <c r="AL1231" i="3"/>
  <c r="AN1231" i="3"/>
  <c r="AP1231" i="3"/>
  <c r="AR1231" i="3"/>
  <c r="AT1231" i="3"/>
  <c r="AH1232" i="3"/>
  <c r="AJ1232" i="3"/>
  <c r="AL1232" i="3"/>
  <c r="AN1232" i="3"/>
  <c r="AP1232" i="3"/>
  <c r="AR1232" i="3"/>
  <c r="AT1232" i="3"/>
  <c r="AH1233" i="3"/>
  <c r="AJ1233" i="3"/>
  <c r="AL1233" i="3"/>
  <c r="AN1233" i="3"/>
  <c r="AP1233" i="3"/>
  <c r="AR1233" i="3"/>
  <c r="AT1233" i="3"/>
  <c r="AH1234" i="3"/>
  <c r="AJ1234" i="3"/>
  <c r="AL1234" i="3"/>
  <c r="AN1234" i="3"/>
  <c r="AP1234" i="3"/>
  <c r="AR1234" i="3"/>
  <c r="AT1234" i="3"/>
  <c r="AJ1235" i="3"/>
  <c r="AL1235" i="3"/>
  <c r="AN1235" i="3"/>
  <c r="AP1235" i="3"/>
  <c r="AR1235" i="3"/>
  <c r="AT1235" i="3"/>
  <c r="AJ1236" i="3"/>
  <c r="AL1236" i="3"/>
  <c r="AN1236" i="3"/>
  <c r="AP1236" i="3"/>
  <c r="AR1236" i="3"/>
  <c r="AT1236" i="3"/>
  <c r="AH1237" i="3"/>
  <c r="AJ1237" i="3"/>
  <c r="AL1237" i="3"/>
  <c r="AN1237" i="3"/>
  <c r="AP1237" i="3"/>
  <c r="AR1237" i="3"/>
  <c r="AT1237" i="3"/>
  <c r="AH1238" i="3"/>
  <c r="AJ1238" i="3"/>
  <c r="AL1238" i="3"/>
  <c r="AN1238" i="3"/>
  <c r="AP1238" i="3"/>
  <c r="AR1238" i="3"/>
  <c r="AT1238" i="3"/>
  <c r="AH1239" i="3"/>
  <c r="AJ1239" i="3"/>
  <c r="AL1239" i="3"/>
  <c r="AN1239" i="3"/>
  <c r="AP1239" i="3"/>
  <c r="AR1239" i="3"/>
  <c r="AT1239" i="3"/>
  <c r="AJ1240" i="3"/>
  <c r="AL1240" i="3"/>
  <c r="AN1240" i="3"/>
  <c r="AP1240" i="3"/>
  <c r="AR1240" i="3"/>
  <c r="AT1240" i="3"/>
  <c r="AH1241" i="3"/>
  <c r="AJ1241" i="3"/>
  <c r="AL1241" i="3"/>
  <c r="AN1241" i="3"/>
  <c r="AP1241" i="3"/>
  <c r="AR1241" i="3"/>
  <c r="AT1241" i="3"/>
  <c r="AH1242" i="3"/>
  <c r="AJ1242" i="3"/>
  <c r="AL1242" i="3"/>
  <c r="AN1242" i="3"/>
  <c r="AP1242" i="3"/>
  <c r="AR1242" i="3"/>
  <c r="AT1242" i="3"/>
  <c r="AJ1243" i="3"/>
  <c r="AL1243" i="3"/>
  <c r="AN1243" i="3"/>
  <c r="AP1243" i="3"/>
  <c r="AR1243" i="3"/>
  <c r="AT1243" i="3"/>
  <c r="AJ1244" i="3"/>
  <c r="AL1244" i="3"/>
  <c r="AN1244" i="3"/>
  <c r="AP1244" i="3"/>
  <c r="AR1244" i="3"/>
  <c r="AT1244" i="3"/>
  <c r="AH1245" i="3"/>
  <c r="AJ1245" i="3"/>
  <c r="AL1245" i="3"/>
  <c r="AN1245" i="3"/>
  <c r="AP1245" i="3"/>
  <c r="AR1245" i="3"/>
  <c r="AT1245" i="3"/>
  <c r="AH1246" i="3"/>
  <c r="AJ1246" i="3"/>
  <c r="AL1246" i="3"/>
  <c r="AN1246" i="3"/>
  <c r="AP1246" i="3"/>
  <c r="AR1246" i="3"/>
  <c r="AT1246" i="3"/>
  <c r="AH1247" i="3"/>
  <c r="AJ1247" i="3"/>
  <c r="AL1247" i="3"/>
  <c r="AN1247" i="3"/>
  <c r="AP1247" i="3"/>
  <c r="AR1247" i="3"/>
  <c r="AT1247" i="3"/>
  <c r="AH1248" i="3"/>
  <c r="AJ1248" i="3"/>
  <c r="AL1248" i="3"/>
  <c r="AN1248" i="3"/>
  <c r="AP1248" i="3"/>
  <c r="AR1248" i="3"/>
  <c r="AT1248" i="3"/>
  <c r="AH1249" i="3"/>
  <c r="AJ1249" i="3"/>
  <c r="AL1249" i="3"/>
  <c r="AN1249" i="3"/>
  <c r="AP1249" i="3"/>
  <c r="AR1249" i="3"/>
  <c r="AT1249" i="3"/>
  <c r="AH1250" i="3"/>
  <c r="AJ1250" i="3"/>
  <c r="AL1250" i="3"/>
  <c r="AN1250" i="3"/>
  <c r="AP1250" i="3"/>
  <c r="AR1250" i="3"/>
  <c r="AT1250" i="3"/>
  <c r="AJ1251" i="3"/>
  <c r="AL1251" i="3"/>
  <c r="AN1251" i="3"/>
  <c r="AP1251" i="3"/>
  <c r="AR1251" i="3"/>
  <c r="AT1251" i="3"/>
  <c r="AJ1252" i="3"/>
  <c r="AL1252" i="3"/>
  <c r="AN1252" i="3"/>
  <c r="AP1252" i="3"/>
  <c r="AR1252" i="3"/>
  <c r="AT1252" i="3"/>
  <c r="AH1253" i="3"/>
  <c r="AJ1253" i="3"/>
  <c r="AL1253" i="3"/>
  <c r="AN1253" i="3"/>
  <c r="AP1253" i="3"/>
  <c r="AR1253" i="3"/>
  <c r="AT1253" i="3"/>
  <c r="AH1254" i="3"/>
  <c r="AJ1254" i="3"/>
  <c r="AL1254" i="3"/>
  <c r="AN1254" i="3"/>
  <c r="AP1254" i="3"/>
  <c r="AR1254" i="3"/>
  <c r="AT1254" i="3"/>
  <c r="AH1255" i="3"/>
  <c r="AJ1255" i="3"/>
  <c r="AL1255" i="3"/>
  <c r="AN1255" i="3"/>
  <c r="AP1255" i="3"/>
  <c r="AR1255" i="3"/>
  <c r="AT1255" i="3"/>
  <c r="AH1256" i="3"/>
  <c r="AJ1256" i="3"/>
  <c r="AL1256" i="3"/>
  <c r="AN1256" i="3"/>
  <c r="AP1256" i="3"/>
  <c r="AR1256" i="3"/>
  <c r="AT1256" i="3"/>
  <c r="AJ1257" i="3"/>
  <c r="AL1257" i="3"/>
  <c r="AN1257" i="3"/>
  <c r="AP1257" i="3"/>
  <c r="AR1257" i="3"/>
  <c r="AT1257" i="3"/>
  <c r="AJ1258" i="3"/>
  <c r="AL1258" i="3"/>
  <c r="AN1258" i="3"/>
  <c r="AP1258" i="3"/>
  <c r="AR1258" i="3"/>
  <c r="AT1258" i="3"/>
  <c r="AJ1259" i="3"/>
  <c r="AL1259" i="3"/>
  <c r="AN1259" i="3"/>
  <c r="AP1259" i="3"/>
  <c r="AR1259" i="3"/>
  <c r="AT1259" i="3"/>
  <c r="AJ1260" i="3"/>
  <c r="AL1260" i="3"/>
  <c r="AN1260" i="3"/>
  <c r="AP1260" i="3"/>
  <c r="AR1260" i="3"/>
  <c r="AT1260" i="3"/>
  <c r="AH1261" i="3"/>
  <c r="AJ1261" i="3"/>
  <c r="AL1261" i="3"/>
  <c r="AN1261" i="3"/>
  <c r="AP1261" i="3"/>
  <c r="AR1261" i="3"/>
  <c r="AT1261" i="3"/>
  <c r="AH1262" i="3"/>
  <c r="AJ1262" i="3"/>
  <c r="AL1262" i="3"/>
  <c r="AN1262" i="3"/>
  <c r="AP1262" i="3"/>
  <c r="AR1262" i="3"/>
  <c r="AT1262" i="3"/>
  <c r="AH1263" i="3"/>
  <c r="AJ1263" i="3"/>
  <c r="AL1263" i="3"/>
  <c r="AN1263" i="3"/>
  <c r="AP1263" i="3"/>
  <c r="AR1263" i="3"/>
  <c r="AT1263" i="3"/>
  <c r="AJ1264" i="3"/>
  <c r="AL1264" i="3"/>
  <c r="AN1264" i="3"/>
  <c r="AP1264" i="3"/>
  <c r="AR1264" i="3"/>
  <c r="AT1264" i="3"/>
  <c r="AH1265" i="3"/>
  <c r="AJ1265" i="3"/>
  <c r="AL1265" i="3"/>
  <c r="AN1265" i="3"/>
  <c r="AP1265" i="3"/>
  <c r="AR1265" i="3"/>
  <c r="AT1265" i="3"/>
  <c r="AH1266" i="3"/>
  <c r="AJ1266" i="3"/>
  <c r="AL1266" i="3"/>
  <c r="AN1266" i="3"/>
  <c r="AP1266" i="3"/>
  <c r="AR1266" i="3"/>
  <c r="AT1266" i="3"/>
  <c r="AJ1267" i="3"/>
  <c r="AL1267" i="3"/>
  <c r="AN1267" i="3"/>
  <c r="AP1267" i="3"/>
  <c r="AR1267" i="3"/>
  <c r="AT1267" i="3"/>
  <c r="AJ1268" i="3"/>
  <c r="AL1268" i="3"/>
  <c r="AN1268" i="3"/>
  <c r="AP1268" i="3"/>
  <c r="AR1268" i="3"/>
  <c r="AT1268" i="3"/>
  <c r="AH1269" i="3"/>
  <c r="AJ1269" i="3"/>
  <c r="AL1269" i="3"/>
  <c r="AN1269" i="3"/>
  <c r="AP1269" i="3"/>
  <c r="AR1269" i="3"/>
  <c r="AT1269" i="3"/>
  <c r="AH1270" i="3"/>
  <c r="AJ1270" i="3"/>
  <c r="AL1270" i="3"/>
  <c r="AN1270" i="3"/>
  <c r="AP1270" i="3"/>
  <c r="AR1270" i="3"/>
  <c r="AT1270" i="3"/>
  <c r="AH1271" i="3"/>
  <c r="AJ1271" i="3"/>
  <c r="AL1271" i="3"/>
  <c r="AN1271" i="3"/>
  <c r="AP1271" i="3"/>
  <c r="AR1271" i="3"/>
  <c r="AT1271" i="3"/>
  <c r="AH1272" i="3"/>
  <c r="AJ1272" i="3"/>
  <c r="AL1272" i="3"/>
  <c r="AN1272" i="3"/>
  <c r="AP1272" i="3"/>
  <c r="AR1272" i="3"/>
  <c r="AT1272" i="3"/>
  <c r="AH1273" i="3"/>
  <c r="AJ1273" i="3"/>
  <c r="AL1273" i="3"/>
  <c r="AN1273" i="3"/>
  <c r="AP1273" i="3"/>
  <c r="AR1273" i="3"/>
  <c r="AT1273" i="3"/>
  <c r="AJ1274" i="3"/>
  <c r="AL1274" i="3"/>
  <c r="AN1274" i="3"/>
  <c r="AP1274" i="3"/>
  <c r="AR1274" i="3"/>
  <c r="AT1274" i="3"/>
  <c r="AJ1275" i="3"/>
  <c r="AL1275" i="3"/>
  <c r="AN1275" i="3"/>
  <c r="AP1275" i="3"/>
  <c r="AR1275" i="3"/>
  <c r="AT1275" i="3"/>
  <c r="AJ1276" i="3"/>
  <c r="AL1276" i="3"/>
  <c r="AN1276" i="3"/>
  <c r="AP1276" i="3"/>
  <c r="AR1276" i="3"/>
  <c r="AT1276" i="3"/>
  <c r="AH1277" i="3"/>
  <c r="AJ1277" i="3"/>
  <c r="AL1277" i="3"/>
  <c r="AN1277" i="3"/>
  <c r="AP1277" i="3"/>
  <c r="AR1277" i="3"/>
  <c r="AT1277" i="3"/>
  <c r="AH1278" i="3"/>
  <c r="AJ1278" i="3"/>
  <c r="AL1278" i="3"/>
  <c r="AN1278" i="3"/>
  <c r="AP1278" i="3"/>
  <c r="AR1278" i="3"/>
  <c r="AT1278" i="3"/>
  <c r="AH1279" i="3"/>
  <c r="AJ1279" i="3"/>
  <c r="AL1279" i="3"/>
  <c r="AN1279" i="3"/>
  <c r="AP1279" i="3"/>
  <c r="AR1279" i="3"/>
  <c r="AT1279" i="3"/>
  <c r="AH1280" i="3"/>
  <c r="AJ1280" i="3"/>
  <c r="AL1280" i="3"/>
  <c r="AN1280" i="3"/>
  <c r="AP1280" i="3"/>
  <c r="AR1280" i="3"/>
  <c r="AT1280" i="3"/>
  <c r="AH1281" i="3"/>
  <c r="AJ1281" i="3"/>
  <c r="AL1281" i="3"/>
  <c r="AN1281" i="3"/>
  <c r="AP1281" i="3"/>
  <c r="AR1281" i="3"/>
  <c r="AT1281" i="3"/>
  <c r="AH1282" i="3"/>
  <c r="AJ1282" i="3"/>
  <c r="AL1282" i="3"/>
  <c r="AN1282" i="3"/>
  <c r="AP1282" i="3"/>
  <c r="AR1282" i="3"/>
  <c r="AT1282" i="3"/>
  <c r="AJ1283" i="3"/>
  <c r="AL1283" i="3"/>
  <c r="AN1283" i="3"/>
  <c r="AP1283" i="3"/>
  <c r="AR1283" i="3"/>
  <c r="AT1283" i="3"/>
  <c r="AH1284" i="3"/>
  <c r="AJ1284" i="3"/>
  <c r="AL1284" i="3"/>
  <c r="AN1284" i="3"/>
  <c r="AP1284" i="3"/>
  <c r="AR1284" i="3"/>
  <c r="AT1284" i="3"/>
  <c r="AH1285" i="3"/>
  <c r="AJ1285" i="3"/>
  <c r="AL1285" i="3"/>
  <c r="AN1285" i="3"/>
  <c r="AP1285" i="3"/>
  <c r="AR1285" i="3"/>
  <c r="AT1285" i="3"/>
  <c r="AH1286" i="3"/>
  <c r="AJ1286" i="3"/>
  <c r="AL1286" i="3"/>
  <c r="AN1286" i="3"/>
  <c r="AP1286" i="3"/>
  <c r="AR1286" i="3"/>
  <c r="AT1286" i="3"/>
  <c r="AH1287" i="3"/>
  <c r="AJ1287" i="3"/>
  <c r="AL1287" i="3"/>
  <c r="AN1287" i="3"/>
  <c r="AP1287" i="3"/>
  <c r="AR1287" i="3"/>
  <c r="AT1287" i="3"/>
  <c r="AJ1288" i="3"/>
  <c r="AL1288" i="3"/>
  <c r="AN1288" i="3"/>
  <c r="AP1288" i="3"/>
  <c r="AR1288" i="3"/>
  <c r="AT1288" i="3"/>
  <c r="AH1289" i="3"/>
  <c r="AJ1289" i="3"/>
  <c r="AL1289" i="3"/>
  <c r="AN1289" i="3"/>
  <c r="AP1289" i="3"/>
  <c r="AR1289" i="3"/>
  <c r="AT1289" i="3"/>
  <c r="AH1290" i="3"/>
  <c r="AJ1290" i="3"/>
  <c r="AL1290" i="3"/>
  <c r="AN1290" i="3"/>
  <c r="AP1290" i="3"/>
  <c r="AR1290" i="3"/>
  <c r="AT1290" i="3"/>
  <c r="AJ1291" i="3"/>
  <c r="AL1291" i="3"/>
  <c r="AN1291" i="3"/>
  <c r="AP1291" i="3"/>
  <c r="AR1291" i="3"/>
  <c r="AT1291" i="3"/>
  <c r="AJ1292" i="3"/>
  <c r="AL1292" i="3"/>
  <c r="AN1292" i="3"/>
  <c r="AP1292" i="3"/>
  <c r="AR1292" i="3"/>
  <c r="AT1292" i="3"/>
  <c r="AH1293" i="3"/>
  <c r="AJ1293" i="3"/>
  <c r="AL1293" i="3"/>
  <c r="AN1293" i="3"/>
  <c r="AP1293" i="3"/>
  <c r="AR1293" i="3"/>
  <c r="AT1293" i="3"/>
  <c r="AH1294" i="3"/>
  <c r="AJ1294" i="3"/>
  <c r="AL1294" i="3"/>
  <c r="AN1294" i="3"/>
  <c r="AP1294" i="3"/>
  <c r="AR1294" i="3"/>
  <c r="AT1294" i="3"/>
  <c r="AH1295" i="3"/>
  <c r="AJ1295" i="3"/>
  <c r="AL1295" i="3"/>
  <c r="AN1295" i="3"/>
  <c r="AP1295" i="3"/>
  <c r="AR1295" i="3"/>
  <c r="AT1295" i="3"/>
  <c r="AH1296" i="3"/>
  <c r="AJ1296" i="3"/>
  <c r="AL1296" i="3"/>
  <c r="AN1296" i="3"/>
  <c r="AP1296" i="3"/>
  <c r="AR1296" i="3"/>
  <c r="AT1296" i="3"/>
  <c r="AH1297" i="3"/>
  <c r="AJ1297" i="3"/>
  <c r="AL1297" i="3"/>
  <c r="AN1297" i="3"/>
  <c r="AP1297" i="3"/>
  <c r="AR1297" i="3"/>
  <c r="AT1297" i="3"/>
  <c r="AH1298" i="3"/>
  <c r="AJ1298" i="3"/>
  <c r="AL1298" i="3"/>
  <c r="AN1298" i="3"/>
  <c r="AP1298" i="3"/>
  <c r="AR1298" i="3"/>
  <c r="AT1298" i="3"/>
  <c r="AJ1299" i="3"/>
  <c r="AL1299" i="3"/>
  <c r="AN1299" i="3"/>
  <c r="AP1299" i="3"/>
  <c r="AR1299" i="3"/>
  <c r="AT1299" i="3"/>
  <c r="AJ1300" i="3"/>
  <c r="AL1300" i="3"/>
  <c r="AN1300" i="3"/>
  <c r="AP1300" i="3"/>
  <c r="AR1300" i="3"/>
  <c r="AT1300" i="3"/>
  <c r="AH1301" i="3"/>
  <c r="AJ1301" i="3"/>
  <c r="AL1301" i="3"/>
  <c r="AN1301" i="3"/>
  <c r="AP1301" i="3"/>
  <c r="AR1301" i="3"/>
  <c r="AT1301" i="3"/>
  <c r="AH1302" i="3"/>
  <c r="AJ1302" i="3"/>
  <c r="AL1302" i="3"/>
  <c r="AN1302" i="3"/>
  <c r="AP1302" i="3"/>
  <c r="AR1302" i="3"/>
  <c r="AT1302" i="3"/>
  <c r="AH1303" i="3"/>
  <c r="AJ1303" i="3"/>
  <c r="AL1303" i="3"/>
  <c r="AN1303" i="3"/>
  <c r="AP1303" i="3"/>
  <c r="AR1303" i="3"/>
  <c r="AT1303" i="3"/>
  <c r="AH1304" i="3"/>
  <c r="AJ1304" i="3"/>
  <c r="AL1304" i="3"/>
  <c r="AN1304" i="3"/>
  <c r="AP1304" i="3"/>
  <c r="AR1304" i="3"/>
  <c r="AT1304" i="3"/>
  <c r="AJ1305" i="3"/>
  <c r="AL1305" i="3"/>
  <c r="AN1305" i="3"/>
  <c r="AP1305" i="3"/>
  <c r="AR1305" i="3"/>
  <c r="AT1305" i="3"/>
  <c r="AH1306" i="3"/>
  <c r="AJ1306" i="3"/>
  <c r="AL1306" i="3"/>
  <c r="AN1306" i="3"/>
  <c r="AP1306" i="3"/>
  <c r="AR1306" i="3"/>
  <c r="AT1306" i="3"/>
  <c r="AJ1307" i="3"/>
  <c r="AL1307" i="3"/>
  <c r="AN1307" i="3"/>
  <c r="AP1307" i="3"/>
  <c r="AR1307" i="3"/>
  <c r="AT1307" i="3"/>
  <c r="AJ1308" i="3"/>
  <c r="AL1308" i="3"/>
  <c r="AN1308" i="3"/>
  <c r="AP1308" i="3"/>
  <c r="AR1308" i="3"/>
  <c r="AT1308" i="3"/>
  <c r="AH1309" i="3"/>
  <c r="AJ1309" i="3"/>
  <c r="AL1309" i="3"/>
  <c r="AN1309" i="3"/>
  <c r="AP1309" i="3"/>
  <c r="AR1309" i="3"/>
  <c r="AT1309" i="3"/>
  <c r="AH1310" i="3"/>
  <c r="AJ1310" i="3"/>
  <c r="AL1310" i="3"/>
  <c r="AN1310" i="3"/>
  <c r="AP1310" i="3"/>
  <c r="AR1310" i="3"/>
  <c r="AT1310" i="3"/>
  <c r="AH1311" i="3"/>
  <c r="AJ1311" i="3"/>
  <c r="AL1311" i="3"/>
  <c r="AN1311" i="3"/>
  <c r="AP1311" i="3"/>
  <c r="AR1311" i="3"/>
  <c r="AT1311" i="3"/>
  <c r="AJ1312" i="3"/>
  <c r="AL1312" i="3"/>
  <c r="AN1312" i="3"/>
  <c r="AP1312" i="3"/>
  <c r="AR1312" i="3"/>
  <c r="AT1312" i="3"/>
  <c r="AH1313" i="3"/>
  <c r="AJ1313" i="3"/>
  <c r="AL1313" i="3"/>
  <c r="AN1313" i="3"/>
  <c r="AP1313" i="3"/>
  <c r="AR1313" i="3"/>
  <c r="AT1313" i="3"/>
  <c r="AH1314" i="3"/>
  <c r="AJ1314" i="3"/>
  <c r="AL1314" i="3"/>
  <c r="AN1314" i="3"/>
  <c r="AP1314" i="3"/>
  <c r="AR1314" i="3"/>
  <c r="AT1314" i="3"/>
  <c r="AJ1315" i="3"/>
  <c r="AL1315" i="3"/>
  <c r="AN1315" i="3"/>
  <c r="AP1315" i="3"/>
  <c r="AR1315" i="3"/>
  <c r="AT1315" i="3"/>
  <c r="AJ1316" i="3"/>
  <c r="AL1316" i="3"/>
  <c r="AN1316" i="3"/>
  <c r="AP1316" i="3"/>
  <c r="AR1316" i="3"/>
  <c r="AT1316" i="3"/>
  <c r="AH1317" i="3"/>
  <c r="AJ1317" i="3"/>
  <c r="AL1317" i="3"/>
  <c r="AN1317" i="3"/>
  <c r="AP1317" i="3"/>
  <c r="AR1317" i="3"/>
  <c r="AT1317" i="3"/>
  <c r="AH1318" i="3"/>
  <c r="AJ1318" i="3"/>
  <c r="AL1318" i="3"/>
  <c r="AN1318" i="3"/>
  <c r="AP1318" i="3"/>
  <c r="AR1318" i="3"/>
  <c r="AT1318" i="3"/>
  <c r="AH1319" i="3"/>
  <c r="AJ1319" i="3"/>
  <c r="AL1319" i="3"/>
  <c r="AN1319" i="3"/>
  <c r="AP1319" i="3"/>
  <c r="AR1319" i="3"/>
  <c r="AT1319" i="3"/>
  <c r="AH1320" i="3"/>
  <c r="AJ1320" i="3"/>
  <c r="AL1320" i="3"/>
  <c r="AN1320" i="3"/>
  <c r="AP1320" i="3"/>
  <c r="AR1320" i="3"/>
  <c r="AT1320" i="3"/>
  <c r="AH1321" i="3"/>
  <c r="AJ1321" i="3"/>
  <c r="AL1321" i="3"/>
  <c r="AN1321" i="3"/>
  <c r="AP1321" i="3"/>
  <c r="AR1321" i="3"/>
  <c r="AT1321" i="3"/>
  <c r="AH1322" i="3"/>
  <c r="AJ1322" i="3"/>
  <c r="AL1322" i="3"/>
  <c r="AN1322" i="3"/>
  <c r="AP1322" i="3"/>
  <c r="AR1322" i="3"/>
  <c r="AT1322" i="3"/>
  <c r="AJ1323" i="3"/>
  <c r="AL1323" i="3"/>
  <c r="AN1323" i="3"/>
  <c r="AP1323" i="3"/>
  <c r="AR1323" i="3"/>
  <c r="AT1323" i="3"/>
  <c r="AJ1324" i="3"/>
  <c r="AL1324" i="3"/>
  <c r="AN1324" i="3"/>
  <c r="AP1324" i="3"/>
  <c r="AR1324" i="3"/>
  <c r="AT1324" i="3"/>
  <c r="AH1325" i="3"/>
  <c r="AJ1325" i="3"/>
  <c r="AL1325" i="3"/>
  <c r="AN1325" i="3"/>
  <c r="AP1325" i="3"/>
  <c r="AR1325" i="3"/>
  <c r="AT1325" i="3"/>
  <c r="AH1326" i="3"/>
  <c r="AJ1326" i="3"/>
  <c r="AL1326" i="3"/>
  <c r="AN1326" i="3"/>
  <c r="AP1326" i="3"/>
  <c r="AR1326" i="3"/>
  <c r="AT1326" i="3"/>
  <c r="AH1327" i="3"/>
  <c r="AJ1327" i="3"/>
  <c r="AL1327" i="3"/>
  <c r="AN1327" i="3"/>
  <c r="AP1327" i="3"/>
  <c r="AR1327" i="3"/>
  <c r="AT1327" i="3"/>
  <c r="AH1328" i="3"/>
  <c r="AJ1328" i="3"/>
  <c r="AL1328" i="3"/>
  <c r="AN1328" i="3"/>
  <c r="AP1328" i="3"/>
  <c r="AR1328" i="3"/>
  <c r="AT1328" i="3"/>
  <c r="AH1329" i="3"/>
  <c r="AJ1329" i="3"/>
  <c r="AL1329" i="3"/>
  <c r="AN1329" i="3"/>
  <c r="AP1329" i="3"/>
  <c r="AR1329" i="3"/>
  <c r="AT1329" i="3"/>
  <c r="AH1330" i="3"/>
  <c r="AJ1330" i="3"/>
  <c r="AL1330" i="3"/>
  <c r="AN1330" i="3"/>
  <c r="AP1330" i="3"/>
  <c r="AR1330" i="3"/>
  <c r="AT1330" i="3"/>
  <c r="AJ1331" i="3"/>
  <c r="AL1331" i="3"/>
  <c r="AN1331" i="3"/>
  <c r="AP1331" i="3"/>
  <c r="AR1331" i="3"/>
  <c r="AT1331" i="3"/>
  <c r="AJ1332" i="3"/>
  <c r="AL1332" i="3"/>
  <c r="AN1332" i="3"/>
  <c r="AP1332" i="3"/>
  <c r="AR1332" i="3"/>
  <c r="AT1332" i="3"/>
  <c r="AH1333" i="3"/>
  <c r="AJ1333" i="3"/>
  <c r="AL1333" i="3"/>
  <c r="AN1333" i="3"/>
  <c r="AP1333" i="3"/>
  <c r="AR1333" i="3"/>
  <c r="AT1333" i="3"/>
  <c r="AH1334" i="3"/>
  <c r="AJ1334" i="3"/>
  <c r="AL1334" i="3"/>
  <c r="AN1334" i="3"/>
  <c r="AP1334" i="3"/>
  <c r="AR1334" i="3"/>
  <c r="AT1334" i="3"/>
  <c r="AH1335" i="3"/>
  <c r="AJ1335" i="3"/>
  <c r="AL1335" i="3"/>
  <c r="AN1335" i="3"/>
  <c r="AP1335" i="3"/>
  <c r="AR1335" i="3"/>
  <c r="AT1335" i="3"/>
  <c r="AJ1336" i="3"/>
  <c r="AL1336" i="3"/>
  <c r="AN1336" i="3"/>
  <c r="AP1336" i="3"/>
  <c r="AR1336" i="3"/>
  <c r="AT1336" i="3"/>
  <c r="AH1337" i="3"/>
  <c r="AJ1337" i="3"/>
  <c r="AL1337" i="3"/>
  <c r="AN1337" i="3"/>
  <c r="AP1337" i="3"/>
  <c r="AR1337" i="3"/>
  <c r="AT1337" i="3"/>
  <c r="AJ1338" i="3"/>
  <c r="AL1338" i="3"/>
  <c r="AN1338" i="3"/>
  <c r="AP1338" i="3"/>
  <c r="AR1338" i="3"/>
  <c r="AT1338" i="3"/>
  <c r="AJ1339" i="3"/>
  <c r="AL1339" i="3"/>
  <c r="AN1339" i="3"/>
  <c r="AP1339" i="3"/>
  <c r="AR1339" i="3"/>
  <c r="AT1339" i="3"/>
  <c r="AJ1340" i="3"/>
  <c r="AL1340" i="3"/>
  <c r="AN1340" i="3"/>
  <c r="AP1340" i="3"/>
  <c r="AR1340" i="3"/>
  <c r="AT1340" i="3"/>
  <c r="AH1341" i="3"/>
  <c r="AJ1341" i="3"/>
  <c r="AL1341" i="3"/>
  <c r="AN1341" i="3"/>
  <c r="AP1341" i="3"/>
  <c r="AR1341" i="3"/>
  <c r="AT1341" i="3"/>
  <c r="AH1342" i="3"/>
  <c r="AJ1342" i="3"/>
  <c r="AL1342" i="3"/>
  <c r="AN1342" i="3"/>
  <c r="AP1342" i="3"/>
  <c r="AR1342" i="3"/>
  <c r="AT1342" i="3"/>
  <c r="AH1343" i="3"/>
  <c r="AJ1343" i="3"/>
  <c r="AL1343" i="3"/>
  <c r="AN1343" i="3"/>
  <c r="AP1343" i="3"/>
  <c r="AR1343" i="3"/>
  <c r="AT1343" i="3"/>
  <c r="AH1344" i="3"/>
  <c r="AJ1344" i="3"/>
  <c r="AL1344" i="3"/>
  <c r="AN1344" i="3"/>
  <c r="AP1344" i="3"/>
  <c r="AR1344" i="3"/>
  <c r="AT1344" i="3"/>
  <c r="AH1345" i="3"/>
  <c r="AJ1345" i="3"/>
  <c r="AL1345" i="3"/>
  <c r="AN1345" i="3"/>
  <c r="AP1345" i="3"/>
  <c r="AR1345" i="3"/>
  <c r="AT1345" i="3"/>
  <c r="AH1346" i="3"/>
  <c r="AJ1346" i="3"/>
  <c r="AL1346" i="3"/>
  <c r="AN1346" i="3"/>
  <c r="AP1346" i="3"/>
  <c r="AR1346" i="3"/>
  <c r="AT1346" i="3"/>
  <c r="AJ1347" i="3"/>
  <c r="AL1347" i="3"/>
  <c r="AN1347" i="3"/>
  <c r="AP1347" i="3"/>
  <c r="AR1347" i="3"/>
  <c r="AT1347" i="3"/>
  <c r="AJ1348" i="3"/>
  <c r="AL1348" i="3"/>
  <c r="AN1348" i="3"/>
  <c r="AP1348" i="3"/>
  <c r="AR1348" i="3"/>
  <c r="AT1348" i="3"/>
  <c r="AH1349" i="3"/>
  <c r="AJ1349" i="3"/>
  <c r="AL1349" i="3"/>
  <c r="AN1349" i="3"/>
  <c r="AP1349" i="3"/>
  <c r="AR1349" i="3"/>
  <c r="AT1349" i="3"/>
  <c r="AH1350" i="3"/>
  <c r="AJ1350" i="3"/>
  <c r="AL1350" i="3"/>
  <c r="AN1350" i="3"/>
  <c r="AP1350" i="3"/>
  <c r="AR1350" i="3"/>
  <c r="AT1350" i="3"/>
  <c r="AH1351" i="3"/>
  <c r="AJ1351" i="3"/>
  <c r="AL1351" i="3"/>
  <c r="AN1351" i="3"/>
  <c r="AP1351" i="3"/>
  <c r="AR1351" i="3"/>
  <c r="AT1351" i="3"/>
  <c r="AH1352" i="3"/>
  <c r="AJ1352" i="3"/>
  <c r="AL1352" i="3"/>
  <c r="AN1352" i="3"/>
  <c r="AP1352" i="3"/>
  <c r="AR1352" i="3"/>
  <c r="AT1352" i="3"/>
  <c r="AH1353" i="3"/>
  <c r="AJ1353" i="3"/>
  <c r="AL1353" i="3"/>
  <c r="AN1353" i="3"/>
  <c r="AP1353" i="3"/>
  <c r="AR1353" i="3"/>
  <c r="AT1353" i="3"/>
  <c r="AH1354" i="3"/>
  <c r="AJ1354" i="3"/>
  <c r="AL1354" i="3"/>
  <c r="AN1354" i="3"/>
  <c r="AP1354" i="3"/>
  <c r="AR1354" i="3"/>
  <c r="AT1354" i="3"/>
  <c r="AJ1355" i="3"/>
  <c r="AL1355" i="3"/>
  <c r="AN1355" i="3"/>
  <c r="AP1355" i="3"/>
  <c r="AR1355" i="3"/>
  <c r="AT1355" i="3"/>
  <c r="AJ1356" i="3"/>
  <c r="AL1356" i="3"/>
  <c r="AN1356" i="3"/>
  <c r="AP1356" i="3"/>
  <c r="AR1356" i="3"/>
  <c r="AT1356" i="3"/>
  <c r="AH1357" i="3"/>
  <c r="AJ1357" i="3"/>
  <c r="AL1357" i="3"/>
  <c r="AN1357" i="3"/>
  <c r="AP1357" i="3"/>
  <c r="AR1357" i="3"/>
  <c r="AT1357" i="3"/>
  <c r="AH1358" i="3"/>
  <c r="AJ1358" i="3"/>
  <c r="AL1358" i="3"/>
  <c r="AN1358" i="3"/>
  <c r="AP1358" i="3"/>
  <c r="AR1358" i="3"/>
  <c r="AT1358" i="3"/>
  <c r="AH1359" i="3"/>
  <c r="AJ1359" i="3"/>
  <c r="AL1359" i="3"/>
  <c r="AN1359" i="3"/>
  <c r="AP1359" i="3"/>
  <c r="AR1359" i="3"/>
  <c r="AT1359" i="3"/>
  <c r="AH1360" i="3"/>
  <c r="AJ1360" i="3"/>
  <c r="AL1360" i="3"/>
  <c r="AN1360" i="3"/>
  <c r="AP1360" i="3"/>
  <c r="AR1360" i="3"/>
  <c r="AT1360" i="3"/>
  <c r="AH1361" i="3"/>
  <c r="AJ1361" i="3"/>
  <c r="AL1361" i="3"/>
  <c r="AN1361" i="3"/>
  <c r="AP1361" i="3"/>
  <c r="AR1361" i="3"/>
  <c r="AT1361" i="3"/>
  <c r="AH1362" i="3"/>
  <c r="AJ1362" i="3"/>
  <c r="AL1362" i="3"/>
  <c r="AN1362" i="3"/>
  <c r="AP1362" i="3"/>
  <c r="AR1362" i="3"/>
  <c r="AT1362" i="3"/>
  <c r="AJ1363" i="3"/>
  <c r="AL1363" i="3"/>
  <c r="AN1363" i="3"/>
  <c r="AP1363" i="3"/>
  <c r="AR1363" i="3"/>
  <c r="AT1363" i="3"/>
  <c r="AJ1364" i="3"/>
  <c r="AL1364" i="3"/>
  <c r="AN1364" i="3"/>
  <c r="AP1364" i="3"/>
  <c r="AR1364" i="3"/>
  <c r="AT1364" i="3"/>
  <c r="AH1365" i="3"/>
  <c r="AJ1365" i="3"/>
  <c r="AL1365" i="3"/>
  <c r="AN1365" i="3"/>
  <c r="AP1365" i="3"/>
  <c r="AR1365" i="3"/>
  <c r="AT1365" i="3"/>
  <c r="AH1366" i="3"/>
  <c r="AJ1366" i="3"/>
  <c r="AL1366" i="3"/>
  <c r="AN1366" i="3"/>
  <c r="AP1366" i="3"/>
  <c r="AR1366" i="3"/>
  <c r="AT1366" i="3"/>
  <c r="AH1367" i="3"/>
  <c r="AJ1367" i="3"/>
  <c r="AL1367" i="3"/>
  <c r="AN1367" i="3"/>
  <c r="AP1367" i="3"/>
  <c r="AR1367" i="3"/>
  <c r="AT1367" i="3"/>
  <c r="AH1368" i="3"/>
  <c r="AJ1368" i="3"/>
  <c r="AL1368" i="3"/>
  <c r="AN1368" i="3"/>
  <c r="AP1368" i="3"/>
  <c r="AR1368" i="3"/>
  <c r="AT1368" i="3"/>
  <c r="AJ1369" i="3"/>
  <c r="AL1369" i="3"/>
  <c r="AN1369" i="3"/>
  <c r="AP1369" i="3"/>
  <c r="AR1369" i="3"/>
  <c r="AT1369" i="3"/>
  <c r="AJ1370" i="3"/>
  <c r="AL1370" i="3"/>
  <c r="AN1370" i="3"/>
  <c r="AP1370" i="3"/>
  <c r="AR1370" i="3"/>
  <c r="AT1370" i="3"/>
  <c r="AH1371" i="3"/>
  <c r="AJ1371" i="3"/>
  <c r="AL1371" i="3"/>
  <c r="AN1371" i="3"/>
  <c r="AP1371" i="3"/>
  <c r="AR1371" i="3"/>
  <c r="AT1371" i="3"/>
  <c r="AJ1372" i="3"/>
  <c r="AL1372" i="3"/>
  <c r="AN1372" i="3"/>
  <c r="AP1372" i="3"/>
  <c r="AR1372" i="3"/>
  <c r="AT1372" i="3"/>
  <c r="AH1373" i="3"/>
  <c r="AJ1373" i="3"/>
  <c r="AL1373" i="3"/>
  <c r="AN1373" i="3"/>
  <c r="AP1373" i="3"/>
  <c r="AR1373" i="3"/>
  <c r="AT1373" i="3"/>
  <c r="AH1374" i="3"/>
  <c r="AJ1374" i="3"/>
  <c r="AL1374" i="3"/>
  <c r="AN1374" i="3"/>
  <c r="AP1374" i="3"/>
  <c r="AR1374" i="3"/>
  <c r="AT1374" i="3"/>
  <c r="AH1375" i="3"/>
  <c r="AJ1375" i="3"/>
  <c r="AL1375" i="3"/>
  <c r="AN1375" i="3"/>
  <c r="AP1375" i="3"/>
  <c r="AR1375" i="3"/>
  <c r="AT1375" i="3"/>
  <c r="AH1376" i="3"/>
  <c r="AJ1376" i="3"/>
  <c r="AL1376" i="3"/>
  <c r="AN1376" i="3"/>
  <c r="AP1376" i="3"/>
  <c r="AR1376" i="3"/>
  <c r="AT1376" i="3"/>
  <c r="AH1377" i="3"/>
  <c r="AJ1377" i="3"/>
  <c r="AL1377" i="3"/>
  <c r="AN1377" i="3"/>
  <c r="AP1377" i="3"/>
  <c r="AR1377" i="3"/>
  <c r="AT1377" i="3"/>
  <c r="AH1378" i="3"/>
  <c r="AJ1378" i="3"/>
  <c r="AL1378" i="3"/>
  <c r="AN1378" i="3"/>
  <c r="AP1378" i="3"/>
  <c r="AR1378" i="3"/>
  <c r="AT1378" i="3"/>
  <c r="AH1379" i="3"/>
  <c r="AJ1379" i="3"/>
  <c r="AL1379" i="3"/>
  <c r="AN1379" i="3"/>
  <c r="AP1379" i="3"/>
  <c r="AR1379" i="3"/>
  <c r="AT1379" i="3"/>
  <c r="AJ1380" i="3"/>
  <c r="AL1380" i="3"/>
  <c r="AN1380" i="3"/>
  <c r="AP1380" i="3"/>
  <c r="AR1380" i="3"/>
  <c r="AT1380" i="3"/>
  <c r="AH1381" i="3"/>
  <c r="AJ1381" i="3"/>
  <c r="AL1381" i="3"/>
  <c r="AN1381" i="3"/>
  <c r="AP1381" i="3"/>
  <c r="AR1381" i="3"/>
  <c r="AT1381" i="3"/>
  <c r="AH1382" i="3"/>
  <c r="AJ1382" i="3"/>
  <c r="AL1382" i="3"/>
  <c r="AN1382" i="3"/>
  <c r="AP1382" i="3"/>
  <c r="AR1382" i="3"/>
  <c r="AT1382" i="3"/>
  <c r="AH1383" i="3"/>
  <c r="AJ1383" i="3"/>
  <c r="AL1383" i="3"/>
  <c r="AN1383" i="3"/>
  <c r="AP1383" i="3"/>
  <c r="AR1383" i="3"/>
  <c r="AT1383" i="3"/>
  <c r="AJ1384" i="3"/>
  <c r="AL1384" i="3"/>
  <c r="AN1384" i="3"/>
  <c r="AP1384" i="3"/>
  <c r="AR1384" i="3"/>
  <c r="AT1384" i="3"/>
  <c r="AH1385" i="3"/>
  <c r="AJ1385" i="3"/>
  <c r="AL1385" i="3"/>
  <c r="AN1385" i="3"/>
  <c r="AP1385" i="3"/>
  <c r="AR1385" i="3"/>
  <c r="AT1385" i="3"/>
  <c r="AH1386" i="3"/>
  <c r="AJ1386" i="3"/>
  <c r="AL1386" i="3"/>
  <c r="AN1386" i="3"/>
  <c r="AP1386" i="3"/>
  <c r="AR1386" i="3"/>
  <c r="AT1386" i="3"/>
  <c r="AJ1387" i="3"/>
  <c r="AL1387" i="3"/>
  <c r="AN1387" i="3"/>
  <c r="AP1387" i="3"/>
  <c r="AR1387" i="3"/>
  <c r="AT1387" i="3"/>
  <c r="AJ1388" i="3"/>
  <c r="AL1388" i="3"/>
  <c r="AN1388" i="3"/>
  <c r="AP1388" i="3"/>
  <c r="AR1388" i="3"/>
  <c r="AT1388" i="3"/>
  <c r="AH1389" i="3"/>
  <c r="AJ1389" i="3"/>
  <c r="AL1389" i="3"/>
  <c r="AN1389" i="3"/>
  <c r="AP1389" i="3"/>
  <c r="AR1389" i="3"/>
  <c r="AT1389" i="3"/>
  <c r="AH1390" i="3"/>
  <c r="AJ1390" i="3"/>
  <c r="AL1390" i="3"/>
  <c r="AN1390" i="3"/>
  <c r="AP1390" i="3"/>
  <c r="AR1390" i="3"/>
  <c r="AT1390" i="3"/>
  <c r="AH1391" i="3"/>
  <c r="AJ1391" i="3"/>
  <c r="AL1391" i="3"/>
  <c r="AN1391" i="3"/>
  <c r="AP1391" i="3"/>
  <c r="AR1391" i="3"/>
  <c r="AT1391" i="3"/>
  <c r="AH1392" i="3"/>
  <c r="AJ1392" i="3"/>
  <c r="AL1392" i="3"/>
  <c r="AN1392" i="3"/>
  <c r="AP1392" i="3"/>
  <c r="AR1392" i="3"/>
  <c r="AT1392" i="3"/>
  <c r="AH1393" i="3"/>
  <c r="AJ1393" i="3"/>
  <c r="AL1393" i="3"/>
  <c r="AN1393" i="3"/>
  <c r="AP1393" i="3"/>
  <c r="AR1393" i="3"/>
  <c r="AT1393" i="3"/>
  <c r="AH1394" i="3"/>
  <c r="AJ1394" i="3"/>
  <c r="AL1394" i="3"/>
  <c r="AN1394" i="3"/>
  <c r="AP1394" i="3"/>
  <c r="AR1394" i="3"/>
  <c r="AT1394" i="3"/>
  <c r="AH1395" i="3"/>
  <c r="AJ1395" i="3"/>
  <c r="AL1395" i="3"/>
  <c r="AN1395" i="3"/>
  <c r="AP1395" i="3"/>
  <c r="AR1395" i="3"/>
  <c r="AT1395" i="3"/>
  <c r="AJ1396" i="3"/>
  <c r="AL1396" i="3"/>
  <c r="AN1396" i="3"/>
  <c r="AP1396" i="3"/>
  <c r="AR1396" i="3"/>
  <c r="AT1396" i="3"/>
  <c r="AH1397" i="3"/>
  <c r="AJ1397" i="3"/>
  <c r="AL1397" i="3"/>
  <c r="AN1397" i="3"/>
  <c r="AP1397" i="3"/>
  <c r="AR1397" i="3"/>
  <c r="AT1397" i="3"/>
  <c r="AH1398" i="3"/>
  <c r="AJ1398" i="3"/>
  <c r="AL1398" i="3"/>
  <c r="AN1398" i="3"/>
  <c r="AP1398" i="3"/>
  <c r="AR1398" i="3"/>
  <c r="AT1398" i="3"/>
  <c r="AH1399" i="3"/>
  <c r="AJ1399" i="3"/>
  <c r="AL1399" i="3"/>
  <c r="AN1399" i="3"/>
  <c r="AP1399" i="3"/>
  <c r="AR1399" i="3"/>
  <c r="AT1399" i="3"/>
  <c r="AH1400" i="3"/>
  <c r="AJ1400" i="3"/>
  <c r="AL1400" i="3"/>
  <c r="AN1400" i="3"/>
  <c r="AP1400" i="3"/>
  <c r="AR1400" i="3"/>
  <c r="AT1400" i="3"/>
  <c r="AH1401" i="3"/>
  <c r="AJ1401" i="3"/>
  <c r="AL1401" i="3"/>
  <c r="AN1401" i="3"/>
  <c r="AP1401" i="3"/>
  <c r="AR1401" i="3"/>
  <c r="AT1401" i="3"/>
  <c r="AJ1402" i="3"/>
  <c r="AL1402" i="3"/>
  <c r="AN1402" i="3"/>
  <c r="AP1402" i="3"/>
  <c r="AR1402" i="3"/>
  <c r="AT1402" i="3"/>
  <c r="AJ1403" i="3"/>
  <c r="AL1403" i="3"/>
  <c r="AN1403" i="3"/>
  <c r="AP1403" i="3"/>
  <c r="AR1403" i="3"/>
  <c r="AT1403" i="3"/>
  <c r="AJ1404" i="3"/>
  <c r="AL1404" i="3"/>
  <c r="AN1404" i="3"/>
  <c r="AP1404" i="3"/>
  <c r="AR1404" i="3"/>
  <c r="AT1404" i="3"/>
  <c r="AH1405" i="3"/>
  <c r="AJ1405" i="3"/>
  <c r="AL1405" i="3"/>
  <c r="AN1405" i="3"/>
  <c r="AP1405" i="3"/>
  <c r="AR1405" i="3"/>
  <c r="AT1405" i="3"/>
  <c r="AH1406" i="3"/>
  <c r="AJ1406" i="3"/>
  <c r="AL1406" i="3"/>
  <c r="AN1406" i="3"/>
  <c r="AP1406" i="3"/>
  <c r="AR1406" i="3"/>
  <c r="AT1406" i="3"/>
  <c r="AH1407" i="3"/>
  <c r="AJ1407" i="3"/>
  <c r="AL1407" i="3"/>
  <c r="AN1407" i="3"/>
  <c r="AP1407" i="3"/>
  <c r="AR1407" i="3"/>
  <c r="AT1407" i="3"/>
  <c r="AJ1408" i="3"/>
  <c r="AL1408" i="3"/>
  <c r="AN1408" i="3"/>
  <c r="AP1408" i="3"/>
  <c r="AR1408" i="3"/>
  <c r="AT1408" i="3"/>
  <c r="AH1409" i="3"/>
  <c r="AJ1409" i="3"/>
  <c r="AL1409" i="3"/>
  <c r="AN1409" i="3"/>
  <c r="AP1409" i="3"/>
  <c r="AR1409" i="3"/>
  <c r="AT1409" i="3"/>
  <c r="AH1410" i="3"/>
  <c r="AJ1410" i="3"/>
  <c r="AL1410" i="3"/>
  <c r="AN1410" i="3"/>
  <c r="AP1410" i="3"/>
  <c r="AR1410" i="3"/>
  <c r="AT1410" i="3"/>
  <c r="AH1411" i="3"/>
  <c r="AJ1411" i="3"/>
  <c r="AL1411" i="3"/>
  <c r="AN1411" i="3"/>
  <c r="AP1411" i="3"/>
  <c r="AR1411" i="3"/>
  <c r="AT1411" i="3"/>
  <c r="AJ1412" i="3"/>
  <c r="AL1412" i="3"/>
  <c r="AN1412" i="3"/>
  <c r="AP1412" i="3"/>
  <c r="AR1412" i="3"/>
  <c r="AT1412" i="3"/>
  <c r="AH1413" i="3"/>
  <c r="AJ1413" i="3"/>
  <c r="AL1413" i="3"/>
  <c r="AN1413" i="3"/>
  <c r="AP1413" i="3"/>
  <c r="AR1413" i="3"/>
  <c r="AT1413" i="3"/>
  <c r="AH1414" i="3"/>
  <c r="AJ1414" i="3"/>
  <c r="AL1414" i="3"/>
  <c r="AN1414" i="3"/>
  <c r="AP1414" i="3"/>
  <c r="AR1414" i="3"/>
  <c r="AT1414" i="3"/>
  <c r="AH1415" i="3"/>
  <c r="AJ1415" i="3"/>
  <c r="AL1415" i="3"/>
  <c r="AN1415" i="3"/>
  <c r="AP1415" i="3"/>
  <c r="AR1415" i="3"/>
  <c r="AT1415" i="3"/>
  <c r="AH1416" i="3"/>
  <c r="AJ1416" i="3"/>
  <c r="AL1416" i="3"/>
  <c r="AN1416" i="3"/>
  <c r="AP1416" i="3"/>
  <c r="AR1416" i="3"/>
  <c r="AT1416" i="3"/>
  <c r="AH1417" i="3"/>
  <c r="AJ1417" i="3"/>
  <c r="AL1417" i="3"/>
  <c r="AN1417" i="3"/>
  <c r="AP1417" i="3"/>
  <c r="AR1417" i="3"/>
  <c r="AT1417" i="3"/>
  <c r="AH1418" i="3"/>
  <c r="AJ1418" i="3"/>
  <c r="AL1418" i="3"/>
  <c r="AN1418" i="3"/>
  <c r="AP1418" i="3"/>
  <c r="AR1418" i="3"/>
  <c r="AT1418" i="3"/>
  <c r="AJ1419" i="3"/>
  <c r="AL1419" i="3"/>
  <c r="AN1419" i="3"/>
  <c r="AP1419" i="3"/>
  <c r="AR1419" i="3"/>
  <c r="AT1419" i="3"/>
  <c r="AJ1420" i="3"/>
  <c r="AL1420" i="3"/>
  <c r="AN1420" i="3"/>
  <c r="AP1420" i="3"/>
  <c r="AR1420" i="3"/>
  <c r="AT1420" i="3"/>
  <c r="AH1421" i="3"/>
  <c r="AJ1421" i="3"/>
  <c r="AL1421" i="3"/>
  <c r="AN1421" i="3"/>
  <c r="AP1421" i="3"/>
  <c r="AR1421" i="3"/>
  <c r="AT1421" i="3"/>
  <c r="AH1422" i="3"/>
  <c r="AJ1422" i="3"/>
  <c r="AL1422" i="3"/>
  <c r="AN1422" i="3"/>
  <c r="AP1422" i="3"/>
  <c r="AR1422" i="3"/>
  <c r="AT1422" i="3"/>
  <c r="AH1423" i="3"/>
  <c r="AJ1423" i="3"/>
  <c r="AL1423" i="3"/>
  <c r="AN1423" i="3"/>
  <c r="AP1423" i="3"/>
  <c r="AR1423" i="3"/>
  <c r="AT1423" i="3"/>
  <c r="AH1424" i="3"/>
  <c r="AJ1424" i="3"/>
  <c r="AL1424" i="3"/>
  <c r="AN1424" i="3"/>
  <c r="AP1424" i="3"/>
  <c r="AR1424" i="3"/>
  <c r="AT1424" i="3"/>
  <c r="AH1425" i="3"/>
  <c r="AJ1425" i="3"/>
  <c r="AL1425" i="3"/>
  <c r="AN1425" i="3"/>
  <c r="AP1425" i="3"/>
  <c r="AR1425" i="3"/>
  <c r="AT1425" i="3"/>
  <c r="AH1426" i="3"/>
  <c r="AJ1426" i="3"/>
  <c r="AL1426" i="3"/>
  <c r="AN1426" i="3"/>
  <c r="AP1426" i="3"/>
  <c r="AR1426" i="3"/>
  <c r="AT1426" i="3"/>
  <c r="AH1427" i="3"/>
  <c r="AJ1427" i="3"/>
  <c r="AL1427" i="3"/>
  <c r="AN1427" i="3"/>
  <c r="AP1427" i="3"/>
  <c r="AR1427" i="3"/>
  <c r="AT1427" i="3"/>
  <c r="AJ1428" i="3"/>
  <c r="AL1428" i="3"/>
  <c r="AN1428" i="3"/>
  <c r="AP1428" i="3"/>
  <c r="AR1428" i="3"/>
  <c r="AT1428" i="3"/>
  <c r="AH1429" i="3"/>
  <c r="AJ1429" i="3"/>
  <c r="AL1429" i="3"/>
  <c r="AN1429" i="3"/>
  <c r="AP1429" i="3"/>
  <c r="AR1429" i="3"/>
  <c r="AT1429" i="3"/>
  <c r="AH1430" i="3"/>
  <c r="AJ1430" i="3"/>
  <c r="AL1430" i="3"/>
  <c r="AN1430" i="3"/>
  <c r="AP1430" i="3"/>
  <c r="AR1430" i="3"/>
  <c r="AT1430" i="3"/>
  <c r="AH1431" i="3"/>
  <c r="AJ1431" i="3"/>
  <c r="AL1431" i="3"/>
  <c r="AN1431" i="3"/>
  <c r="AP1431" i="3"/>
  <c r="AR1431" i="3"/>
  <c r="AT1431" i="3"/>
  <c r="AJ1432" i="3"/>
  <c r="AL1432" i="3"/>
  <c r="AN1432" i="3"/>
  <c r="AP1432" i="3"/>
  <c r="AR1432" i="3"/>
  <c r="AT1432" i="3"/>
  <c r="AJ1433" i="3"/>
  <c r="AL1433" i="3"/>
  <c r="AN1433" i="3"/>
  <c r="AP1433" i="3"/>
  <c r="AR1433" i="3"/>
  <c r="AT1433" i="3"/>
  <c r="AH1434" i="3"/>
  <c r="AJ1434" i="3"/>
  <c r="AL1434" i="3"/>
  <c r="AN1434" i="3"/>
  <c r="AP1434" i="3"/>
  <c r="AR1434" i="3"/>
  <c r="AT1434" i="3"/>
  <c r="AJ1435" i="3"/>
  <c r="AL1435" i="3"/>
  <c r="AN1435" i="3"/>
  <c r="AP1435" i="3"/>
  <c r="AR1435" i="3"/>
  <c r="AT1435" i="3"/>
  <c r="AJ1436" i="3"/>
  <c r="AL1436" i="3"/>
  <c r="AN1436" i="3"/>
  <c r="AP1436" i="3"/>
  <c r="AR1436" i="3"/>
  <c r="AT1436" i="3"/>
  <c r="AH1437" i="3"/>
  <c r="AJ1437" i="3"/>
  <c r="AL1437" i="3"/>
  <c r="AN1437" i="3"/>
  <c r="AP1437" i="3"/>
  <c r="AR1437" i="3"/>
  <c r="AT1437" i="3"/>
  <c r="AH1438" i="3"/>
  <c r="AJ1438" i="3"/>
  <c r="AL1438" i="3"/>
  <c r="AN1438" i="3"/>
  <c r="AP1438" i="3"/>
  <c r="AR1438" i="3"/>
  <c r="AT1438" i="3"/>
  <c r="AH1439" i="3"/>
  <c r="AJ1439" i="3"/>
  <c r="AL1439" i="3"/>
  <c r="AN1439" i="3"/>
  <c r="AP1439" i="3"/>
  <c r="AR1439" i="3"/>
  <c r="AT1439" i="3"/>
  <c r="AH1440" i="3"/>
  <c r="AJ1440" i="3"/>
  <c r="AL1440" i="3"/>
  <c r="AN1440" i="3"/>
  <c r="AP1440" i="3"/>
  <c r="AR1440" i="3"/>
  <c r="AT1440" i="3"/>
  <c r="AH1441" i="3"/>
  <c r="AJ1441" i="3"/>
  <c r="AL1441" i="3"/>
  <c r="AN1441" i="3"/>
  <c r="AP1441" i="3"/>
  <c r="AR1441" i="3"/>
  <c r="AT1441" i="3"/>
  <c r="AH1442" i="3"/>
  <c r="AJ1442" i="3"/>
  <c r="AL1442" i="3"/>
  <c r="AN1442" i="3"/>
  <c r="AP1442" i="3"/>
  <c r="AR1442" i="3"/>
  <c r="AT1442" i="3"/>
  <c r="AT3" i="3"/>
  <c r="AR3" i="3"/>
  <c r="AP3" i="3"/>
  <c r="AN3" i="3"/>
  <c r="AL3" i="3"/>
  <c r="AJ3" i="3"/>
  <c r="AH3" i="3"/>
  <c r="AB1442" i="3" l="1"/>
  <c r="P1442" i="3"/>
  <c r="AB1441" i="3"/>
  <c r="P1441" i="3"/>
  <c r="AB1440" i="3"/>
  <c r="P1440" i="3"/>
  <c r="AD1440" i="3" s="1"/>
  <c r="AB1439" i="3"/>
  <c r="P1439" i="3"/>
  <c r="AB1438" i="3"/>
  <c r="P1438" i="3"/>
  <c r="AB1437" i="3"/>
  <c r="P1437" i="3"/>
  <c r="AB1436" i="3"/>
  <c r="P1436" i="3"/>
  <c r="T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T1423" i="3" s="1"/>
  <c r="AB1422" i="3"/>
  <c r="P1422" i="3"/>
  <c r="AB1421" i="3"/>
  <c r="P1421" i="3"/>
  <c r="AD1421" i="3" s="1"/>
  <c r="AB1420" i="3"/>
  <c r="P1420" i="3"/>
  <c r="AB1419" i="3"/>
  <c r="P1419" i="3"/>
  <c r="AB1418" i="3"/>
  <c r="P1418" i="3"/>
  <c r="AB1417" i="3"/>
  <c r="P1417" i="3"/>
  <c r="AB1416" i="3"/>
  <c r="P1416" i="3"/>
  <c r="Q1416" i="3" s="1"/>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Q1373" i="3" s="1"/>
  <c r="AB1372" i="3"/>
  <c r="P1372" i="3"/>
  <c r="AB1371" i="3"/>
  <c r="P1371" i="3"/>
  <c r="AB1370" i="3"/>
  <c r="P1370" i="3"/>
  <c r="AD1370" i="3" s="1"/>
  <c r="AB1369" i="3"/>
  <c r="P1369" i="3"/>
  <c r="T1369" i="3" s="1"/>
  <c r="AB1368" i="3"/>
  <c r="P1368" i="3"/>
  <c r="AB1367" i="3"/>
  <c r="T1367" i="3"/>
  <c r="P1367" i="3"/>
  <c r="Q1367" i="3" s="1"/>
  <c r="AB1366" i="3"/>
  <c r="P1366" i="3"/>
  <c r="AB1365" i="3"/>
  <c r="P1365" i="3"/>
  <c r="AB1364" i="3"/>
  <c r="P1364" i="3"/>
  <c r="AB1363" i="3"/>
  <c r="P1363" i="3"/>
  <c r="AB1362" i="3"/>
  <c r="P1362" i="3"/>
  <c r="AD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D1349" i="3" s="1"/>
  <c r="AB1348" i="3"/>
  <c r="P1348" i="3"/>
  <c r="AB1347" i="3"/>
  <c r="P1347" i="3"/>
  <c r="AB1346" i="3"/>
  <c r="P1346" i="3"/>
  <c r="AD1346" i="3" s="1"/>
  <c r="AB1345" i="3"/>
  <c r="P1345" i="3"/>
  <c r="AB1344" i="3"/>
  <c r="P1344" i="3"/>
  <c r="AB1343" i="3"/>
  <c r="P1343" i="3"/>
  <c r="AB1342" i="3"/>
  <c r="P1342" i="3"/>
  <c r="AD1342" i="3" s="1"/>
  <c r="AB1341" i="3"/>
  <c r="P1341" i="3"/>
  <c r="AD1341" i="3" s="1"/>
  <c r="AB1340" i="3"/>
  <c r="P1340" i="3"/>
  <c r="Q1340" i="3" s="1"/>
  <c r="AB1339" i="3"/>
  <c r="P1339" i="3"/>
  <c r="AD1339" i="3" s="1"/>
  <c r="AB1338" i="3"/>
  <c r="P1338" i="3"/>
  <c r="Q1338" i="3" s="1"/>
  <c r="AB1337" i="3"/>
  <c r="P1337" i="3"/>
  <c r="AB1336" i="3"/>
  <c r="P1336" i="3"/>
  <c r="AB1335" i="3"/>
  <c r="P1335" i="3"/>
  <c r="Q1335" i="3" s="1"/>
  <c r="AB1334" i="3"/>
  <c r="P1334" i="3"/>
  <c r="Q1334" i="3" s="1"/>
  <c r="AB1333" i="3"/>
  <c r="P1333" i="3"/>
  <c r="AB1332" i="3"/>
  <c r="P1332" i="3"/>
  <c r="AB1331" i="3"/>
  <c r="P1331" i="3"/>
  <c r="Q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D1299" i="3" s="1"/>
  <c r="AB1298" i="3"/>
  <c r="P1298" i="3"/>
  <c r="T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D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AD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AD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Q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T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AD1109" i="3" s="1"/>
  <c r="AB1108" i="3"/>
  <c r="P1108" i="3"/>
  <c r="AB1107" i="3"/>
  <c r="P1107" i="3"/>
  <c r="AB1106" i="3"/>
  <c r="P1106" i="3"/>
  <c r="AB1105" i="3"/>
  <c r="P1105" i="3"/>
  <c r="AB1104" i="3"/>
  <c r="P1104" i="3"/>
  <c r="AD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Q1093" i="3" s="1"/>
  <c r="AB1092" i="3"/>
  <c r="P1092" i="3"/>
  <c r="AB1091" i="3"/>
  <c r="P1091" i="3"/>
  <c r="AB1090" i="3"/>
  <c r="P1090" i="3"/>
  <c r="AD1090" i="3" s="1"/>
  <c r="AB1089" i="3"/>
  <c r="P1089" i="3"/>
  <c r="AB1088" i="3"/>
  <c r="Q1088" i="3"/>
  <c r="P1088" i="3"/>
  <c r="AD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T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Q1045" i="3" s="1"/>
  <c r="AB1044" i="3"/>
  <c r="P1044" i="3"/>
  <c r="AB1043" i="3"/>
  <c r="P1043" i="3"/>
  <c r="AB1042" i="3"/>
  <c r="P1042" i="3"/>
  <c r="AB1041" i="3"/>
  <c r="P1041" i="3"/>
  <c r="AB1040" i="3"/>
  <c r="P1040" i="3"/>
  <c r="AD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Q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AD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Q981" i="3" s="1"/>
  <c r="AB980" i="3"/>
  <c r="P980" i="3"/>
  <c r="AB979" i="3"/>
  <c r="P979" i="3"/>
  <c r="AD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Q949" i="3" s="1"/>
  <c r="AB948" i="3"/>
  <c r="P948" i="3"/>
  <c r="T948" i="3" s="1"/>
  <c r="AB947" i="3"/>
  <c r="P947" i="3"/>
  <c r="AB946" i="3"/>
  <c r="P946" i="3"/>
  <c r="AD946" i="3" s="1"/>
  <c r="AB945" i="3"/>
  <c r="P945" i="3"/>
  <c r="AB944" i="3"/>
  <c r="P944" i="3"/>
  <c r="T944" i="3" s="1"/>
  <c r="AB943" i="3"/>
  <c r="P943" i="3"/>
  <c r="AB942" i="3"/>
  <c r="P942" i="3"/>
  <c r="Q942" i="3" s="1"/>
  <c r="AB941" i="3"/>
  <c r="P941" i="3"/>
  <c r="AD941" i="3" s="1"/>
  <c r="AB940" i="3"/>
  <c r="P940" i="3"/>
  <c r="AB939" i="3"/>
  <c r="P939" i="3"/>
  <c r="AD939" i="3" s="1"/>
  <c r="AB938" i="3"/>
  <c r="P938" i="3"/>
  <c r="AB937" i="3"/>
  <c r="P937" i="3"/>
  <c r="AD937" i="3" s="1"/>
  <c r="AB936" i="3"/>
  <c r="P936" i="3"/>
  <c r="T936" i="3" s="1"/>
  <c r="AB935" i="3"/>
  <c r="P935" i="3"/>
  <c r="AB934" i="3"/>
  <c r="P934" i="3"/>
  <c r="AB933" i="3"/>
  <c r="P933" i="3"/>
  <c r="AB932" i="3"/>
  <c r="P932" i="3"/>
  <c r="AB931" i="3"/>
  <c r="P931" i="3"/>
  <c r="AB930" i="3"/>
  <c r="P930" i="3"/>
  <c r="AD930" i="3" s="1"/>
  <c r="AB929" i="3"/>
  <c r="P929" i="3"/>
  <c r="AD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T915" i="3" s="1"/>
  <c r="AB914" i="3"/>
  <c r="P914" i="3"/>
  <c r="T914" i="3" s="1"/>
  <c r="AB913" i="3"/>
  <c r="P913" i="3"/>
  <c r="AB912" i="3"/>
  <c r="P912" i="3"/>
  <c r="AD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T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Q888" i="3" s="1"/>
  <c r="AB887" i="3"/>
  <c r="P887" i="3"/>
  <c r="T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T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AD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AD601" i="3" s="1"/>
  <c r="AB600" i="3"/>
  <c r="P600" i="3"/>
  <c r="AD600" i="3" s="1"/>
  <c r="AB599" i="3"/>
  <c r="P599" i="3"/>
  <c r="T599" i="3" s="1"/>
  <c r="AB598" i="3"/>
  <c r="P598" i="3"/>
  <c r="T598" i="3" s="1"/>
  <c r="AB597" i="3"/>
  <c r="P597" i="3"/>
  <c r="AB596" i="3"/>
  <c r="P596" i="3"/>
  <c r="AB595" i="3"/>
  <c r="P595" i="3"/>
  <c r="AB594" i="3"/>
  <c r="P594" i="3"/>
  <c r="AD594" i="3" s="1"/>
  <c r="AB593" i="3"/>
  <c r="P593" i="3"/>
  <c r="T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Q566" i="3" s="1"/>
  <c r="AB565" i="3"/>
  <c r="P565" i="3"/>
  <c r="Q565" i="3" s="1"/>
  <c r="AB564" i="3"/>
  <c r="P564" i="3"/>
  <c r="AB563" i="3"/>
  <c r="P563" i="3"/>
  <c r="Q563" i="3" s="1"/>
  <c r="AB562" i="3"/>
  <c r="P562" i="3"/>
  <c r="AB561" i="3"/>
  <c r="P561" i="3"/>
  <c r="T561" i="3" s="1"/>
  <c r="AB560" i="3"/>
  <c r="P560" i="3"/>
  <c r="AD560" i="3" s="1"/>
  <c r="AB559" i="3"/>
  <c r="P559" i="3"/>
  <c r="AB558" i="3"/>
  <c r="P558" i="3"/>
  <c r="AB557" i="3"/>
  <c r="P557" i="3"/>
  <c r="AB556" i="3"/>
  <c r="P556" i="3"/>
  <c r="Q556" i="3" s="1"/>
  <c r="AB555" i="3"/>
  <c r="P555" i="3"/>
  <c r="AB554" i="3"/>
  <c r="P554" i="3"/>
  <c r="AB553" i="3"/>
  <c r="P553" i="3"/>
  <c r="AD553" i="3" s="1"/>
  <c r="AB552" i="3"/>
  <c r="P552" i="3"/>
  <c r="AD552" i="3" s="1"/>
  <c r="AB551" i="3"/>
  <c r="P551" i="3"/>
  <c r="Q551" i="3" s="1"/>
  <c r="AB550" i="3"/>
  <c r="P550" i="3"/>
  <c r="AB549" i="3"/>
  <c r="P549" i="3"/>
  <c r="T549" i="3" s="1"/>
  <c r="AB548" i="3"/>
  <c r="P548" i="3"/>
  <c r="AD548" i="3" s="1"/>
  <c r="AB547" i="3"/>
  <c r="P547" i="3"/>
  <c r="AB546" i="3"/>
  <c r="P546" i="3"/>
  <c r="AB545" i="3"/>
  <c r="P545" i="3"/>
  <c r="AB544" i="3"/>
  <c r="P544" i="3"/>
  <c r="Q544" i="3" s="1"/>
  <c r="AB543" i="3"/>
  <c r="P543" i="3"/>
  <c r="AB542" i="3"/>
  <c r="P542" i="3"/>
  <c r="AB541" i="3"/>
  <c r="P541" i="3"/>
  <c r="T541" i="3" s="1"/>
  <c r="AB540" i="3"/>
  <c r="P540" i="3"/>
  <c r="Q540" i="3" s="1"/>
  <c r="AB539" i="3"/>
  <c r="P539" i="3"/>
  <c r="AB538" i="3"/>
  <c r="P538" i="3"/>
  <c r="AB537" i="3"/>
  <c r="P537" i="3"/>
  <c r="T537" i="3" s="1"/>
  <c r="AB536" i="3"/>
  <c r="P536" i="3"/>
  <c r="T536" i="3" s="1"/>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AD499" i="3" s="1"/>
  <c r="AB498" i="3"/>
  <c r="P498" i="3"/>
  <c r="Q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T433" i="3" s="1"/>
  <c r="AB432" i="3"/>
  <c r="P432" i="3"/>
  <c r="AB431" i="3"/>
  <c r="P431" i="3"/>
  <c r="AB430" i="3"/>
  <c r="P430" i="3"/>
  <c r="AB429" i="3"/>
  <c r="P429" i="3"/>
  <c r="AB428" i="3"/>
  <c r="P428" i="3"/>
  <c r="T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Q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T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AB71" i="3"/>
  <c r="P71" i="3"/>
  <c r="AB70" i="3"/>
  <c r="P70" i="3"/>
  <c r="AB69" i="3"/>
  <c r="P69" i="3"/>
  <c r="Q69" i="3" s="1"/>
  <c r="AB68" i="3"/>
  <c r="P68" i="3"/>
  <c r="AB67" i="3"/>
  <c r="P67" i="3"/>
  <c r="Q67" i="3" s="1"/>
  <c r="AB66" i="3"/>
  <c r="P66" i="3"/>
  <c r="Q66" i="3" s="1"/>
  <c r="AB65" i="3"/>
  <c r="P65" i="3"/>
  <c r="AB64" i="3"/>
  <c r="P64" i="3"/>
  <c r="AD64" i="3" s="1"/>
  <c r="AB63" i="3"/>
  <c r="P63" i="3"/>
  <c r="Q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Q51" i="3" s="1"/>
  <c r="AB50" i="3"/>
  <c r="P50" i="3"/>
  <c r="AB49" i="3"/>
  <c r="P49" i="3"/>
  <c r="T49" i="3" s="1"/>
  <c r="AB48" i="3"/>
  <c r="P48" i="3"/>
  <c r="AB47" i="3"/>
  <c r="P47" i="3"/>
  <c r="AD47" i="3" s="1"/>
  <c r="AB46" i="3"/>
  <c r="P46" i="3"/>
  <c r="Q46" i="3" s="1"/>
  <c r="AB45" i="3"/>
  <c r="P45" i="3"/>
  <c r="AB44" i="3"/>
  <c r="P44" i="3"/>
  <c r="AB43" i="3"/>
  <c r="P43" i="3"/>
  <c r="T43" i="3" s="1"/>
  <c r="AB42" i="3"/>
  <c r="P42" i="3"/>
  <c r="AB41" i="3"/>
  <c r="P41" i="3"/>
  <c r="AD41" i="3" s="1"/>
  <c r="AB40" i="3"/>
  <c r="P40" i="3"/>
  <c r="AD40" i="3" s="1"/>
  <c r="AB39" i="3"/>
  <c r="P39" i="3"/>
  <c r="Q39" i="3" s="1"/>
  <c r="AB38" i="3"/>
  <c r="P38" i="3"/>
  <c r="AB37" i="3"/>
  <c r="P37" i="3"/>
  <c r="AD37" i="3" s="1"/>
  <c r="AB36" i="3"/>
  <c r="P36" i="3"/>
  <c r="AB35" i="3"/>
  <c r="P35" i="3"/>
  <c r="T35" i="3" s="1"/>
  <c r="AB34" i="3"/>
  <c r="P34" i="3"/>
  <c r="AB33" i="3"/>
  <c r="P33" i="3"/>
  <c r="T33" i="3" s="1"/>
  <c r="AB32" i="3"/>
  <c r="P32" i="3"/>
  <c r="AD32" i="3" s="1"/>
  <c r="AB31" i="3"/>
  <c r="P31" i="3"/>
  <c r="T31" i="3" s="1"/>
  <c r="AB30" i="3"/>
  <c r="P30" i="3"/>
  <c r="AB29" i="3"/>
  <c r="P29" i="3"/>
  <c r="AD29" i="3" s="1"/>
  <c r="AB28" i="3"/>
  <c r="P28" i="3"/>
  <c r="AD28" i="3" s="1"/>
  <c r="AB27" i="3"/>
  <c r="P27" i="3"/>
  <c r="T27" i="3" s="1"/>
  <c r="AB26" i="3"/>
  <c r="P26" i="3"/>
  <c r="AB25" i="3"/>
  <c r="P25" i="3"/>
  <c r="Q25" i="3" s="1"/>
  <c r="AB24" i="3"/>
  <c r="P24" i="3"/>
  <c r="Q24" i="3" s="1"/>
  <c r="AB23" i="3"/>
  <c r="P23" i="3"/>
  <c r="Q23" i="3" s="1"/>
  <c r="AB22" i="3"/>
  <c r="P22" i="3"/>
  <c r="AB21" i="3"/>
  <c r="P21" i="3"/>
  <c r="AD21" i="3" s="1"/>
  <c r="AB20" i="3"/>
  <c r="P20" i="3"/>
  <c r="Q20" i="3" s="1"/>
  <c r="AB19" i="3"/>
  <c r="P19" i="3"/>
  <c r="AB18" i="3"/>
  <c r="P18" i="3"/>
  <c r="AB17" i="3"/>
  <c r="P17" i="3"/>
  <c r="T17" i="3" s="1"/>
  <c r="AB16" i="3"/>
  <c r="P16" i="3"/>
  <c r="Q16" i="3" s="1"/>
  <c r="AB15" i="3"/>
  <c r="P15" i="3"/>
  <c r="Q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6" i="3" s="1"/>
  <c r="M337" i="3" s="1"/>
  <c r="M338" i="3" s="1"/>
  <c r="M339" i="3" s="1"/>
  <c r="M340" i="3" s="1"/>
  <c r="M341" i="3" s="1"/>
  <c r="M342" i="3" s="1"/>
  <c r="M343" i="3" s="1"/>
  <c r="M344"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565" i="3" l="1"/>
  <c r="Q1173" i="3"/>
  <c r="T592" i="3"/>
  <c r="T991" i="3"/>
  <c r="T1232" i="3"/>
  <c r="T293" i="3"/>
  <c r="AD915" i="3"/>
  <c r="AD428" i="3"/>
  <c r="Q778" i="3"/>
  <c r="T501" i="3"/>
  <c r="AD758" i="3"/>
  <c r="AD766" i="3"/>
  <c r="Q1077" i="3"/>
  <c r="AD556" i="3"/>
  <c r="T1088" i="3"/>
  <c r="AD17" i="3"/>
  <c r="AD599" i="3"/>
  <c r="Q37" i="3"/>
  <c r="T15" i="3"/>
  <c r="T425" i="3"/>
  <c r="Q1040" i="3"/>
  <c r="AD1029" i="3"/>
  <c r="Q576" i="3"/>
  <c r="AD900" i="3"/>
  <c r="T51" i="3"/>
  <c r="AD504" i="3"/>
  <c r="AD1024" i="3"/>
  <c r="T1045" i="3"/>
  <c r="AD1134" i="3"/>
  <c r="T566" i="3"/>
  <c r="T609" i="3"/>
  <c r="AD51" i="3"/>
  <c r="AD544" i="3"/>
  <c r="AD924" i="3"/>
  <c r="Q936" i="3"/>
  <c r="Q941" i="3"/>
  <c r="AD1338" i="3"/>
  <c r="T1421" i="3"/>
  <c r="AD63" i="3"/>
  <c r="T320" i="3"/>
  <c r="T774" i="3"/>
  <c r="Q1165" i="3"/>
  <c r="T1228" i="3"/>
  <c r="T409" i="3"/>
  <c r="T573" i="3"/>
  <c r="T752" i="3"/>
  <c r="AD506" i="3"/>
  <c r="T512" i="3"/>
  <c r="Q535" i="3"/>
  <c r="T37" i="3"/>
  <c r="Q742" i="3"/>
  <c r="Q1027" i="3"/>
  <c r="AD20" i="3"/>
  <c r="Q798" i="3"/>
  <c r="T1027" i="3"/>
  <c r="AD904" i="3"/>
  <c r="Q1241" i="3"/>
  <c r="T406" i="3"/>
  <c r="Q17" i="3"/>
  <c r="AD1018" i="3"/>
  <c r="T1024" i="3"/>
  <c r="T1093" i="3"/>
  <c r="Q35" i="3"/>
  <c r="Q49" i="3"/>
  <c r="AD25" i="3"/>
  <c r="AD433" i="3"/>
  <c r="AD540" i="3"/>
  <c r="AD549" i="3"/>
  <c r="T762" i="3"/>
  <c r="T772" i="3"/>
  <c r="T888" i="3"/>
  <c r="T981" i="3"/>
  <c r="T1096" i="3"/>
  <c r="Q1237" i="3"/>
  <c r="T1237" i="3"/>
  <c r="AD1331" i="3"/>
  <c r="C4" i="3"/>
  <c r="Q40" i="3"/>
  <c r="Q479" i="3"/>
  <c r="Q601" i="3"/>
  <c r="Q998" i="3"/>
  <c r="T1168" i="3"/>
  <c r="Q1275" i="3"/>
  <c r="T479" i="3"/>
  <c r="AD541" i="3"/>
  <c r="Q32" i="3"/>
  <c r="T46" i="3"/>
  <c r="Q458" i="3"/>
  <c r="T533" i="3"/>
  <c r="T551" i="3"/>
  <c r="Q746" i="3"/>
  <c r="Q750" i="3"/>
  <c r="T778" i="3"/>
  <c r="Q794" i="3"/>
  <c r="T798" i="3"/>
  <c r="Q979" i="3"/>
  <c r="Q1075" i="3"/>
  <c r="Q1109" i="3"/>
  <c r="T1173" i="3"/>
  <c r="Q1440" i="3"/>
  <c r="AD425" i="3"/>
  <c r="T746" i="3"/>
  <c r="T750" i="3"/>
  <c r="T794" i="3"/>
  <c r="AD927" i="3"/>
  <c r="T979" i="3"/>
  <c r="T1075" i="3"/>
  <c r="AD1093" i="3"/>
  <c r="T1109" i="3"/>
  <c r="AD1298" i="3"/>
  <c r="AD1423" i="3"/>
  <c r="T1440" i="3"/>
  <c r="AD458" i="3"/>
  <c r="AD533" i="3"/>
  <c r="AD411" i="3"/>
  <c r="T498" i="3"/>
  <c r="Q552" i="3"/>
  <c r="AD593" i="3"/>
  <c r="T742" i="3"/>
  <c r="Q908" i="3"/>
  <c r="Q1035" i="3"/>
  <c r="T1165" i="3"/>
  <c r="T1174" i="3"/>
  <c r="T1299" i="3"/>
  <c r="T552" i="3"/>
  <c r="AD770" i="3"/>
  <c r="AD790" i="3"/>
  <c r="T908" i="3"/>
  <c r="AD995" i="3"/>
  <c r="T1035" i="3"/>
  <c r="AD1436" i="3"/>
  <c r="T29" i="3"/>
  <c r="T63" i="3"/>
  <c r="Q417" i="3"/>
  <c r="AD498" i="3"/>
  <c r="T525" i="3"/>
  <c r="Q549" i="3"/>
  <c r="T594" i="3"/>
  <c r="T800" i="3"/>
  <c r="AD887" i="3"/>
  <c r="T929" i="3"/>
  <c r="AD949" i="3"/>
  <c r="Q991" i="3"/>
  <c r="T1040" i="3"/>
  <c r="AD1373" i="3"/>
  <c r="Q504" i="3"/>
  <c r="Q762" i="3"/>
  <c r="Q1096" i="3"/>
  <c r="T55" i="3"/>
  <c r="Q64" i="3"/>
  <c r="Q301" i="3"/>
  <c r="T470" i="3"/>
  <c r="T490" i="3"/>
  <c r="T499" i="3"/>
  <c r="Q520" i="3"/>
  <c r="Q536" i="3"/>
  <c r="Q548" i="3"/>
  <c r="T600" i="3"/>
  <c r="T602" i="3"/>
  <c r="Q768" i="3"/>
  <c r="Q914" i="3"/>
  <c r="Q916" i="3"/>
  <c r="T930" i="3"/>
  <c r="Q954" i="3"/>
  <c r="Q1166" i="3"/>
  <c r="Q1171" i="3"/>
  <c r="Q1385" i="3"/>
  <c r="AD24" i="3"/>
  <c r="T47" i="3"/>
  <c r="Q295" i="3"/>
  <c r="T322" i="3"/>
  <c r="AD417" i="3"/>
  <c r="Q454" i="3"/>
  <c r="Q514" i="3"/>
  <c r="T520" i="3"/>
  <c r="Q523" i="3"/>
  <c r="Q532" i="3"/>
  <c r="T548" i="3"/>
  <c r="Q568" i="3"/>
  <c r="Q574" i="3"/>
  <c r="T608" i="3"/>
  <c r="Q771" i="3"/>
  <c r="AD892" i="3"/>
  <c r="Q912" i="3"/>
  <c r="T916" i="3"/>
  <c r="Q946" i="3"/>
  <c r="T954" i="3"/>
  <c r="Q1006" i="3"/>
  <c r="Q1104" i="3"/>
  <c r="Q1144" i="3"/>
  <c r="T1166" i="3"/>
  <c r="Q1179" i="3"/>
  <c r="T1192" i="3"/>
  <c r="Q1255" i="3"/>
  <c r="Q1362" i="3"/>
  <c r="T1385" i="3"/>
  <c r="T41" i="3"/>
  <c r="Q289" i="3"/>
  <c r="Q433" i="3"/>
  <c r="T574" i="3"/>
  <c r="Q622" i="3"/>
  <c r="Q900" i="3"/>
  <c r="T912" i="3"/>
  <c r="Q937" i="3"/>
  <c r="T946" i="3"/>
  <c r="Q1063" i="3"/>
  <c r="T1104" i="3"/>
  <c r="Q1134" i="3"/>
  <c r="AD1176" i="3"/>
  <c r="T1255" i="3"/>
  <c r="Q1298" i="3"/>
  <c r="T1342" i="3"/>
  <c r="T39" i="3"/>
  <c r="T350" i="3"/>
  <c r="AD350" i="3"/>
  <c r="AD529" i="3"/>
  <c r="T553" i="3"/>
  <c r="AD884" i="3"/>
  <c r="T937" i="3"/>
  <c r="T1063" i="3"/>
  <c r="Q1349" i="3"/>
  <c r="Q1436" i="3"/>
  <c r="T54" i="3"/>
  <c r="Q411" i="3"/>
  <c r="Q609"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B113" i="3"/>
  <c r="AZ113" i="3"/>
  <c r="BA123" i="3"/>
  <c r="BB123" i="3" s="1"/>
  <c r="AY123" i="3"/>
  <c r="AZ123" i="3" s="1"/>
  <c r="BA133" i="3"/>
  <c r="BB133" i="3" s="1"/>
  <c r="AY133" i="3"/>
  <c r="AZ133" i="3" s="1"/>
  <c r="BB144" i="3"/>
  <c r="AZ144" i="3"/>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AY163" i="3"/>
  <c r="AZ163" i="3" s="1"/>
  <c r="BA163" i="3"/>
  <c r="BB163" i="3" s="1"/>
  <c r="BA174" i="3"/>
  <c r="BB174" i="3" s="1"/>
  <c r="AY174" i="3"/>
  <c r="AZ174"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B237" i="3"/>
  <c r="AZ237" i="3"/>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BA138" i="3"/>
  <c r="BB138" i="3" s="1"/>
  <c r="AY138" i="3"/>
  <c r="AZ138" i="3" s="1"/>
  <c r="T145" i="3"/>
  <c r="T149" i="3"/>
  <c r="BA149" i="3"/>
  <c r="BB149" i="3" s="1"/>
  <c r="AY149" i="3"/>
  <c r="AZ149" i="3" s="1"/>
  <c r="T153" i="3"/>
  <c r="BA153" i="3"/>
  <c r="BB153" i="3" s="1"/>
  <c r="AY153" i="3"/>
  <c r="AZ153" i="3" s="1"/>
  <c r="BB157" i="3"/>
  <c r="AZ157" i="3"/>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BB212" i="3"/>
  <c r="AZ212" i="3"/>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BB72" i="3"/>
  <c r="AZ72" i="3"/>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8" i="3"/>
  <c r="BB178" i="3" s="1"/>
  <c r="AY178" i="3"/>
  <c r="AZ178" i="3" s="1"/>
  <c r="BA181" i="3"/>
  <c r="BB181" i="3" s="1"/>
  <c r="AY181" i="3"/>
  <c r="AZ181" i="3" s="1"/>
  <c r="BB195" i="3"/>
  <c r="AZ195" i="3"/>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B132" i="3"/>
  <c r="AZ132" i="3"/>
  <c r="T135" i="3"/>
  <c r="BA139" i="3"/>
  <c r="BB139" i="3" s="1"/>
  <c r="AY139" i="3"/>
  <c r="AZ139" i="3" s="1"/>
  <c r="BB146" i="3"/>
  <c r="AZ146" i="3"/>
  <c r="BA150" i="3"/>
  <c r="BB150" i="3" s="1"/>
  <c r="AY150" i="3"/>
  <c r="AZ150" i="3" s="1"/>
  <c r="AY154" i="3"/>
  <c r="AZ154" i="3" s="1"/>
  <c r="BA154" i="3"/>
  <c r="BB154" i="3" s="1"/>
  <c r="BA158" i="3"/>
  <c r="BB158" i="3" s="1"/>
  <c r="AY158" i="3"/>
  <c r="AZ158" i="3" s="1"/>
  <c r="T161" i="3"/>
  <c r="T178" i="3"/>
  <c r="T181" i="3"/>
  <c r="BA185" i="3"/>
  <c r="BB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BA122" i="3"/>
  <c r="BB122" i="3" s="1"/>
  <c r="T169" i="3"/>
  <c r="BA169" i="3"/>
  <c r="BB169" i="3" s="1"/>
  <c r="AY169" i="3"/>
  <c r="AZ169" i="3" s="1"/>
  <c r="BA176" i="3"/>
  <c r="BB176" i="3" s="1"/>
  <c r="AY176" i="3"/>
  <c r="AZ176" i="3" s="1"/>
  <c r="T4" i="3"/>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AZ80" i="3" s="1"/>
  <c r="BA80" i="3"/>
  <c r="BB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BB136" i="3"/>
  <c r="AZ136" i="3"/>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397" i="3"/>
  <c r="AZ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T1397" i="3"/>
  <c r="AY1416" i="3"/>
  <c r="AZ1416"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Y1365" i="3"/>
  <c r="AZ1365" i="3" s="1"/>
  <c r="AD1365" i="3"/>
  <c r="T1365" i="3"/>
  <c r="AY1381" i="3"/>
  <c r="AZ1381" i="3" s="1"/>
  <c r="BA1381" i="3"/>
  <c r="BB1381" i="3" s="1"/>
  <c r="AD1381" i="3"/>
  <c r="T1381" i="3"/>
  <c r="Q1381" i="3"/>
  <c r="AY1387" i="3"/>
  <c r="AZ1387" i="3" s="1"/>
  <c r="BA1387" i="3"/>
  <c r="BB1387" i="3" s="1"/>
  <c r="Q1391" i="3"/>
  <c r="BA1391" i="3"/>
  <c r="BB1391" i="3" s="1"/>
  <c r="AY1391" i="3"/>
  <c r="AZ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Q1365" i="3"/>
  <c r="AY1378" i="3"/>
  <c r="AZ1378" i="3" s="1"/>
  <c r="BA1378" i="3"/>
  <c r="BB1378" i="3" s="1"/>
  <c r="AD1378" i="3"/>
  <c r="T1391"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50" i="3"/>
  <c r="AZ1350" i="3" s="1"/>
  <c r="AY1361" i="3"/>
  <c r="AZ1361" i="3" s="1"/>
  <c r="BA1361" i="3"/>
  <c r="BB1361" i="3" s="1"/>
  <c r="BA1374" i="3"/>
  <c r="BB1374" i="3" s="1"/>
  <c r="AY1374" i="3"/>
  <c r="AZ1374" i="3" s="1"/>
  <c r="BA1388" i="3"/>
  <c r="BB1388" i="3" s="1"/>
  <c r="AY1388" i="3"/>
  <c r="AZ1388" i="3" s="1"/>
  <c r="BA1401" i="3"/>
  <c r="BB1401" i="3" s="1"/>
  <c r="AY1401" i="3"/>
  <c r="AZ1401" i="3" s="1"/>
  <c r="AY1404" i="3"/>
  <c r="AZ1404" i="3" s="1"/>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Y1339" i="3"/>
  <c r="AZ1339" i="3" s="1"/>
  <c r="Q1341" i="3"/>
  <c r="T1343" i="3"/>
  <c r="AY1343" i="3"/>
  <c r="AZ1343" i="3" s="1"/>
  <c r="BA1343" i="3"/>
  <c r="BB1343" i="3" s="1"/>
  <c r="BA1345" i="3"/>
  <c r="BB1345" i="3" s="1"/>
  <c r="AY1345" i="3"/>
  <c r="AZ1345" i="3" s="1"/>
  <c r="BA1348" i="3"/>
  <c r="BB1348" i="3" s="1"/>
  <c r="AY1348" i="3"/>
  <c r="AZ1348" i="3" s="1"/>
  <c r="T1350" i="3"/>
  <c r="AY1355" i="3"/>
  <c r="AZ1355" i="3" s="1"/>
  <c r="BA1355" i="3"/>
  <c r="BB1355" i="3" s="1"/>
  <c r="BA1359" i="3"/>
  <c r="BB1359" i="3" s="1"/>
  <c r="AY1359" i="3"/>
  <c r="AZ1359" i="3" s="1"/>
  <c r="Q1361" i="3"/>
  <c r="BA1363" i="3"/>
  <c r="BB1363" i="3" s="1"/>
  <c r="AY1363" i="3"/>
  <c r="AZ1363" i="3" s="1"/>
  <c r="BA1368" i="3"/>
  <c r="BB1368" i="3" s="1"/>
  <c r="AY1368" i="3"/>
  <c r="AZ1368" i="3" s="1"/>
  <c r="BA1370" i="3"/>
  <c r="BB1370" i="3" s="1"/>
  <c r="AY1370" i="3"/>
  <c r="AZ1370" i="3" s="1"/>
  <c r="BA1377" i="3"/>
  <c r="BB1377" i="3" s="1"/>
  <c r="AY1377" i="3"/>
  <c r="AZ1377" i="3" s="1"/>
  <c r="BA1392" i="3"/>
  <c r="BB1392" i="3" s="1"/>
  <c r="AY1392" i="3"/>
  <c r="AZ1392" i="3" s="1"/>
  <c r="BA1395" i="3"/>
  <c r="BB1395" i="3" s="1"/>
  <c r="AY1395" i="3"/>
  <c r="AZ1395" i="3" s="1"/>
  <c r="AY1398" i="3"/>
  <c r="AZ1398" i="3" s="1"/>
  <c r="BA1398" i="3"/>
  <c r="BB1398" i="3" s="1"/>
  <c r="T1401" i="3"/>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T1327" i="3"/>
  <c r="Q1333" i="3"/>
  <c r="BA1337" i="3"/>
  <c r="BB1337" i="3" s="1"/>
  <c r="AY1337" i="3"/>
  <c r="AZ1337" i="3" s="1"/>
  <c r="T1339" i="3"/>
  <c r="T1341" i="3"/>
  <c r="T1345" i="3"/>
  <c r="Q1359" i="3"/>
  <c r="T1361" i="3"/>
  <c r="Q1370" i="3"/>
  <c r="AY1375" i="3"/>
  <c r="AZ1375" i="3" s="1"/>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T1439" i="3"/>
  <c r="AY1439" i="3"/>
  <c r="AZ1439" i="3" s="1"/>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D1343" i="3"/>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T1377" i="3"/>
  <c r="Q1386" i="3"/>
  <c r="BA1399" i="3"/>
  <c r="BB1399" i="3" s="1"/>
  <c r="AY1399" i="3"/>
  <c r="AZ1399" i="3" s="1"/>
  <c r="BA1402" i="3"/>
  <c r="BB1402" i="3" s="1"/>
  <c r="AY1402" i="3"/>
  <c r="AZ1402" i="3" s="1"/>
  <c r="BA1405" i="3"/>
  <c r="BB1405" i="3" s="1"/>
  <c r="AY1405" i="3"/>
  <c r="AZ1405" i="3" s="1"/>
  <c r="Q1411" i="3"/>
  <c r="AD1417"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BA1390" i="3"/>
  <c r="BB1390" i="3" s="1"/>
  <c r="AY1390" i="3"/>
  <c r="AZ1390" i="3" s="1"/>
  <c r="BA1393" i="3"/>
  <c r="BB1393" i="3" s="1"/>
  <c r="AY1393" i="3"/>
  <c r="AZ1393" i="3" s="1"/>
  <c r="BA1396" i="3"/>
  <c r="BB1396" i="3" s="1"/>
  <c r="AY1396" i="3"/>
  <c r="AZ1396" i="3" s="1"/>
  <c r="T1399" i="3"/>
  <c r="BA1409" i="3"/>
  <c r="BB1409" i="3" s="1"/>
  <c r="AY1409" i="3"/>
  <c r="AZ1409" i="3" s="1"/>
  <c r="BA1415" i="3"/>
  <c r="BB1415" i="3" s="1"/>
  <c r="AY1415" i="3"/>
  <c r="AZ1415" i="3" s="1"/>
  <c r="BA1418" i="3"/>
  <c r="BB1418" i="3" s="1"/>
  <c r="AY1418" i="3"/>
  <c r="AZ1418" i="3" s="1"/>
  <c r="AD1420" i="3"/>
  <c r="BA1423" i="3"/>
  <c r="BB1423" i="3" s="1"/>
  <c r="AY1423" i="3"/>
  <c r="AZ1423" i="3" s="1"/>
  <c r="T1428" i="3"/>
  <c r="AD1439" i="3"/>
  <c r="BA1442" i="3"/>
  <c r="BB1442" i="3" s="1"/>
  <c r="AY1442" i="3"/>
  <c r="AZ1442"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Y1338" i="3"/>
  <c r="AZ1338" i="3" s="1"/>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Y1385" i="3"/>
  <c r="AZ1385" i="3" s="1"/>
  <c r="AD1386" i="3"/>
  <c r="T1393" i="3"/>
  <c r="BA1403" i="3"/>
  <c r="BB1403" i="3" s="1"/>
  <c r="AY1403" i="3"/>
  <c r="AZ1403" i="3" s="1"/>
  <c r="BA1406" i="3"/>
  <c r="BB1406" i="3" s="1"/>
  <c r="AY1406" i="3"/>
  <c r="AZ1406" i="3" s="1"/>
  <c r="Q1409" i="3"/>
  <c r="BA1412" i="3"/>
  <c r="BB1412" i="3" s="1"/>
  <c r="AY1412" i="3"/>
  <c r="AZ1412" i="3" s="1"/>
  <c r="Q1421" i="3"/>
  <c r="BA1421" i="3"/>
  <c r="BB1421" i="3" s="1"/>
  <c r="AY1421" i="3"/>
  <c r="AZ1421" i="3" s="1"/>
  <c r="Q1423"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B4" i="3"/>
  <c r="H4" i="3" s="1"/>
  <c r="S4" i="3"/>
  <c r="AC4" i="3" s="1"/>
  <c r="D5" i="3"/>
  <c r="S5" i="3" s="1"/>
  <c r="AC5" i="3" s="1"/>
  <c r="AD103" i="3"/>
  <c r="Q103" i="3"/>
  <c r="AD111" i="3"/>
  <c r="Q111" i="3"/>
  <c r="AD119" i="3"/>
  <c r="Q119" i="3"/>
  <c r="AD127" i="3"/>
  <c r="Q127" i="3"/>
  <c r="AD135" i="3"/>
  <c r="Q135" i="3"/>
  <c r="AD143" i="3"/>
  <c r="BB143" i="3" s="1"/>
  <c r="AD145" i="3"/>
  <c r="Q145" i="3"/>
  <c r="AD149" i="3"/>
  <c r="Q149" i="3"/>
  <c r="AD153" i="3"/>
  <c r="Q153" i="3"/>
  <c r="AD161" i="3"/>
  <c r="Q161" i="3"/>
  <c r="AD165" i="3"/>
  <c r="Q165" i="3"/>
  <c r="AD169" i="3"/>
  <c r="Q169" i="3"/>
  <c r="AD173" i="3"/>
  <c r="Q173" i="3"/>
  <c r="AD177" i="3"/>
  <c r="AZ177" i="3" s="1"/>
  <c r="AD181" i="3"/>
  <c r="Q181" i="3"/>
  <c r="AD185" i="3"/>
  <c r="AZ185" i="3" s="1"/>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21" i="3"/>
  <c r="Q121" i="3"/>
  <c r="AD129" i="3"/>
  <c r="Q129" i="3"/>
  <c r="AD137" i="3"/>
  <c r="Q137" i="3"/>
  <c r="AD148" i="3"/>
  <c r="Q148" i="3"/>
  <c r="AD152" i="3"/>
  <c r="Q152" i="3"/>
  <c r="AD156" i="3"/>
  <c r="BB156" i="3" s="1"/>
  <c r="AD160" i="3"/>
  <c r="Q160" i="3"/>
  <c r="AD164" i="3"/>
  <c r="Q164" i="3"/>
  <c r="AD168" i="3"/>
  <c r="Q168" i="3"/>
  <c r="AD172" i="3"/>
  <c r="Q172" i="3"/>
  <c r="AD176" i="3"/>
  <c r="Q176" i="3"/>
  <c r="AD180" i="3"/>
  <c r="Q180" i="3"/>
  <c r="AD183" i="3"/>
  <c r="Q183" i="3"/>
  <c r="T183" i="3"/>
  <c r="AD98" i="3"/>
  <c r="Q98" i="3"/>
  <c r="T105" i="3"/>
  <c r="AD106" i="3"/>
  <c r="Q106" i="3"/>
  <c r="AD114" i="3"/>
  <c r="Q114" i="3"/>
  <c r="T121" i="3"/>
  <c r="AD122" i="3"/>
  <c r="AZ122" i="3" s="1"/>
  <c r="T129" i="3"/>
  <c r="AD130" i="3"/>
  <c r="Q130" i="3"/>
  <c r="T137" i="3"/>
  <c r="AD138" i="3"/>
  <c r="T148" i="3"/>
  <c r="T152" i="3"/>
  <c r="AD186" i="3"/>
  <c r="Q186" i="3"/>
  <c r="T186" i="3"/>
  <c r="AD128" i="3"/>
  <c r="Q128" i="3"/>
  <c r="AD99" i="3"/>
  <c r="Q99" i="3"/>
  <c r="AD107" i="3"/>
  <c r="Q107" i="3"/>
  <c r="AD115" i="3"/>
  <c r="Q115" i="3"/>
  <c r="AD123" i="3"/>
  <c r="Q123" i="3"/>
  <c r="AD131" i="3"/>
  <c r="Q131" i="3"/>
  <c r="AD139" i="3"/>
  <c r="Q139" i="3"/>
  <c r="AD147" i="3"/>
  <c r="Q147" i="3"/>
  <c r="AD151" i="3"/>
  <c r="AD155" i="3"/>
  <c r="Q155" i="3"/>
  <c r="AD159" i="3"/>
  <c r="Q159" i="3"/>
  <c r="AD163" i="3"/>
  <c r="Q163" i="3"/>
  <c r="AD167" i="3"/>
  <c r="Q167" i="3"/>
  <c r="AD171" i="3"/>
  <c r="AD175" i="3"/>
  <c r="BB175" i="3" s="1"/>
  <c r="AD179" i="3"/>
  <c r="Q179" i="3"/>
  <c r="Q68" i="3"/>
  <c r="Q70" i="3"/>
  <c r="Q74" i="3"/>
  <c r="Q76" i="3"/>
  <c r="Q78" i="3"/>
  <c r="Q82" i="3"/>
  <c r="Q84" i="3"/>
  <c r="Q86" i="3"/>
  <c r="Q88" i="3"/>
  <c r="Q90" i="3"/>
  <c r="Q92" i="3"/>
  <c r="Q94" i="3"/>
  <c r="Q96" i="3"/>
  <c r="T99" i="3"/>
  <c r="AD100" i="3"/>
  <c r="Q100" i="3"/>
  <c r="T107" i="3"/>
  <c r="AD108" i="3"/>
  <c r="Q108" i="3"/>
  <c r="T115" i="3"/>
  <c r="AD116" i="3"/>
  <c r="Q116" i="3"/>
  <c r="T123" i="3"/>
  <c r="AD124" i="3"/>
  <c r="Q124" i="3"/>
  <c r="T131" i="3"/>
  <c r="T139" i="3"/>
  <c r="AD140" i="3"/>
  <c r="Q140" i="3"/>
  <c r="T147" i="3"/>
  <c r="T155" i="3"/>
  <c r="T159" i="3"/>
  <c r="T163" i="3"/>
  <c r="T167" i="3"/>
  <c r="T179" i="3"/>
  <c r="AD184" i="3"/>
  <c r="AD104" i="3"/>
  <c r="Q104" i="3"/>
  <c r="T66" i="3"/>
  <c r="AD67" i="3"/>
  <c r="T68" i="3"/>
  <c r="AD69" i="3"/>
  <c r="T70" i="3"/>
  <c r="AD71" i="3"/>
  <c r="AD73" i="3"/>
  <c r="T74" i="3"/>
  <c r="AD75" i="3"/>
  <c r="T76" i="3"/>
  <c r="AD77" i="3"/>
  <c r="T78" i="3"/>
  <c r="AD79"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BB142" i="3" s="1"/>
  <c r="T150" i="3"/>
  <c r="T154" i="3"/>
  <c r="Q189" i="3"/>
  <c r="Q191" i="3"/>
  <c r="Q193" i="3"/>
  <c r="Q197" i="3"/>
  <c r="Q199" i="3"/>
  <c r="Q201" i="3"/>
  <c r="Q203" i="3"/>
  <c r="Q205" i="3"/>
  <c r="Q207" i="3"/>
  <c r="Q209" i="3"/>
  <c r="Q211" i="3"/>
  <c r="Q213" i="3"/>
  <c r="Q215" i="3"/>
  <c r="Q217" i="3"/>
  <c r="Q219" i="3"/>
  <c r="Q221" i="3"/>
  <c r="Q223" i="3"/>
  <c r="Q225" i="3"/>
  <c r="Q227" i="3"/>
  <c r="Q229" i="3"/>
  <c r="Q233" i="3"/>
  <c r="AD240" i="3"/>
  <c r="Q240" i="3"/>
  <c r="AD248" i="3"/>
  <c r="Q248" i="3"/>
  <c r="T189" i="3"/>
  <c r="T191" i="3"/>
  <c r="T193" i="3"/>
  <c r="T197" i="3"/>
  <c r="T199" i="3"/>
  <c r="T201" i="3"/>
  <c r="T203" i="3"/>
  <c r="T205" i="3"/>
  <c r="T207" i="3"/>
  <c r="T209" i="3"/>
  <c r="T211" i="3"/>
  <c r="T213" i="3"/>
  <c r="T215" i="3"/>
  <c r="T217" i="3"/>
  <c r="T219" i="3"/>
  <c r="T221" i="3"/>
  <c r="T223" i="3"/>
  <c r="T225" i="3"/>
  <c r="T227" i="3"/>
  <c r="T229"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4" i="3"/>
  <c r="T216" i="3"/>
  <c r="T218" i="3"/>
  <c r="T220" i="3"/>
  <c r="T222" i="3"/>
  <c r="T224" i="3"/>
  <c r="T226" i="3"/>
  <c r="T228" i="3"/>
  <c r="T230" i="3"/>
  <c r="T232" i="3"/>
  <c r="T236" i="3"/>
  <c r="T244" i="3"/>
  <c r="AD245" i="3"/>
  <c r="Q245" i="3"/>
  <c r="T252" i="3"/>
  <c r="AD256" i="3"/>
  <c r="Q256" i="3"/>
  <c r="AD260" i="3"/>
  <c r="AD264" i="3"/>
  <c r="Q264" i="3"/>
  <c r="AD268" i="3"/>
  <c r="Q268" i="3"/>
  <c r="AD238" i="3"/>
  <c r="Q238" i="3"/>
  <c r="T245" i="3"/>
  <c r="AD246" i="3"/>
  <c r="Q246" i="3"/>
  <c r="T256"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T340" i="3"/>
  <c r="AD342" i="3"/>
  <c r="Q342" i="3"/>
  <c r="T348"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143" i="3" l="1"/>
  <c r="AZ156" i="3"/>
  <c r="AZ175" i="3"/>
  <c r="AZ142" i="3"/>
  <c r="C5" i="3"/>
  <c r="H5" i="3"/>
  <c r="R5" i="3" s="1"/>
  <c r="W5" i="3" s="1"/>
  <c r="R4" i="3"/>
  <c r="W4" i="3" s="1"/>
  <c r="E7" i="3"/>
  <c r="D6" i="3"/>
  <c r="C6" i="3" l="1"/>
  <c r="S6" i="3"/>
  <c r="AC6" i="3" s="1"/>
  <c r="B5" i="3"/>
  <c r="H6" i="3"/>
  <c r="D7" i="3"/>
  <c r="E8" i="3"/>
  <c r="C7" i="3" l="1"/>
  <c r="B6" i="3"/>
  <c r="B7" i="3" s="1"/>
  <c r="D8" i="3"/>
  <c r="S8" i="3" s="1"/>
  <c r="AC8" i="3" s="1"/>
  <c r="E9" i="3"/>
  <c r="S7" i="3"/>
  <c r="AC7" i="3" s="1"/>
  <c r="H7" i="3"/>
  <c r="R6" i="3"/>
  <c r="W6" i="3" s="1"/>
  <c r="D9" i="3" l="1"/>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B15" i="3" s="1"/>
  <c r="D17" i="3"/>
  <c r="E17" i="3"/>
  <c r="R14" i="3"/>
  <c r="W14" i="3" s="1"/>
  <c r="H15" i="3"/>
  <c r="S16" i="3"/>
  <c r="AC16" i="3" s="1"/>
  <c r="C16" i="3" l="1"/>
  <c r="C17" i="3" s="1"/>
  <c r="R15" i="3"/>
  <c r="W15" i="3" s="1"/>
  <c r="H16" i="3"/>
  <c r="D18" i="3"/>
  <c r="E18" i="3"/>
  <c r="S17" i="3"/>
  <c r="AC17" i="3" s="1"/>
  <c r="B16" i="3" l="1"/>
  <c r="C18" i="3"/>
  <c r="D19" i="3"/>
  <c r="E19" i="3"/>
  <c r="S18" i="3"/>
  <c r="AC18" i="3" s="1"/>
  <c r="R16" i="3"/>
  <c r="W16" i="3" s="1"/>
  <c r="H17" i="3"/>
  <c r="B17" i="3"/>
  <c r="B18" i="3" s="1"/>
  <c r="C19" i="3" l="1"/>
  <c r="R17" i="3"/>
  <c r="W17" i="3" s="1"/>
  <c r="H18" i="3"/>
  <c r="D20" i="3"/>
  <c r="E20" i="3"/>
  <c r="S19" i="3"/>
  <c r="AC19" i="3" s="1"/>
  <c r="C20" i="3" l="1"/>
  <c r="R18" i="3"/>
  <c r="W18" i="3" s="1"/>
  <c r="H19" i="3"/>
  <c r="E21" i="3"/>
  <c r="D21" i="3"/>
  <c r="C21" i="3" s="1"/>
  <c r="S20" i="3"/>
  <c r="AC20" i="3" s="1"/>
  <c r="B19" i="3"/>
  <c r="S21" i="3" l="1"/>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R66" i="3"/>
  <c r="W66" i="3" s="1"/>
  <c r="H67" i="3"/>
  <c r="B67" i="3"/>
  <c r="B68" i="3" s="1"/>
  <c r="C69" i="3" l="1"/>
  <c r="B69" i="3" s="1"/>
  <c r="S69" i="3"/>
  <c r="AC69" i="3" s="1"/>
  <c r="E70" i="3"/>
  <c r="D70" i="3"/>
  <c r="R67" i="3"/>
  <c r="W67" i="3" s="1"/>
  <c r="H68" i="3"/>
  <c r="C70" i="3" l="1"/>
  <c r="B70" i="3" s="1"/>
  <c r="R68" i="3"/>
  <c r="W68" i="3" s="1"/>
  <c r="H69" i="3"/>
  <c r="S70" i="3"/>
  <c r="AC70" i="3" s="1"/>
  <c r="E71" i="3"/>
  <c r="D71" i="3"/>
  <c r="C71" i="3" l="1"/>
  <c r="E72" i="3"/>
  <c r="D72" i="3"/>
  <c r="S71" i="3"/>
  <c r="AC71" i="3" s="1"/>
  <c r="R69" i="3"/>
  <c r="W69" i="3" s="1"/>
  <c r="H70" i="3"/>
  <c r="C72" i="3" l="1"/>
  <c r="Q72" i="3"/>
  <c r="T72" i="3"/>
  <c r="S72" i="3" s="1"/>
  <c r="AC72" i="3" s="1"/>
  <c r="R70" i="3"/>
  <c r="W70" i="3" s="1"/>
  <c r="H71" i="3"/>
  <c r="B71" i="3"/>
  <c r="E73" i="3"/>
  <c r="D73" i="3"/>
  <c r="C73" i="3" l="1"/>
  <c r="S73" i="3"/>
  <c r="AC73" i="3" s="1"/>
  <c r="E74" i="3"/>
  <c r="D74" i="3"/>
  <c r="C74" i="3" s="1"/>
  <c r="R71" i="3"/>
  <c r="W71" i="3" s="1"/>
  <c r="H72" i="3"/>
  <c r="B72" i="3"/>
  <c r="S74" i="3" l="1"/>
  <c r="AC74" i="3" s="1"/>
  <c r="E75" i="3"/>
  <c r="D75" i="3"/>
  <c r="C75" i="3" s="1"/>
  <c r="R72" i="3"/>
  <c r="W72" i="3" s="1"/>
  <c r="H73" i="3"/>
  <c r="B73" i="3"/>
  <c r="B74" i="3" s="1"/>
  <c r="S75" i="3" l="1"/>
  <c r="AC75" i="3" s="1"/>
  <c r="E76" i="3"/>
  <c r="D76" i="3"/>
  <c r="C76" i="3" s="1"/>
  <c r="R73" i="3"/>
  <c r="W73" i="3" s="1"/>
  <c r="H74" i="3"/>
  <c r="B75" i="3"/>
  <c r="S76" i="3" l="1"/>
  <c r="AC76" i="3" s="1"/>
  <c r="E77" i="3"/>
  <c r="D77" i="3"/>
  <c r="R74" i="3"/>
  <c r="W74" i="3" s="1"/>
  <c r="H75" i="3"/>
  <c r="B76" i="3"/>
  <c r="C77" i="3" l="1"/>
  <c r="S77" i="3"/>
  <c r="AC77" i="3" s="1"/>
  <c r="R75" i="3"/>
  <c r="W75" i="3" s="1"/>
  <c r="H76" i="3"/>
  <c r="E78" i="3"/>
  <c r="D78" i="3"/>
  <c r="C78" i="3" s="1"/>
  <c r="B77" i="3"/>
  <c r="R76" i="3" l="1"/>
  <c r="W76" i="3" s="1"/>
  <c r="H77" i="3"/>
  <c r="S78" i="3"/>
  <c r="AC78" i="3" s="1"/>
  <c r="E79" i="3"/>
  <c r="D79" i="3"/>
  <c r="C79" i="3" s="1"/>
  <c r="B78" i="3"/>
  <c r="E80" i="3" l="1"/>
  <c r="D80" i="3"/>
  <c r="S79" i="3"/>
  <c r="AC79" i="3" s="1"/>
  <c r="R77" i="3"/>
  <c r="W77" i="3" s="1"/>
  <c r="H78" i="3"/>
  <c r="C80" i="3" l="1"/>
  <c r="T80" i="3"/>
  <c r="S80" i="3" s="1"/>
  <c r="AC80" i="3" s="1"/>
  <c r="Q80" i="3"/>
  <c r="R78" i="3"/>
  <c r="W78" i="3" s="1"/>
  <c r="H79" i="3"/>
  <c r="B79" i="3"/>
  <c r="E81" i="3"/>
  <c r="D81" i="3"/>
  <c r="C81" i="3" l="1"/>
  <c r="E82" i="3"/>
  <c r="D82" i="3"/>
  <c r="C82" i="3" s="1"/>
  <c r="S81" i="3"/>
  <c r="AC81" i="3" s="1"/>
  <c r="R79" i="3"/>
  <c r="W79" i="3" s="1"/>
  <c r="H80" i="3"/>
  <c r="B80" i="3"/>
  <c r="R80" i="3" l="1"/>
  <c r="W80" i="3" s="1"/>
  <c r="H81" i="3"/>
  <c r="B81" i="3"/>
  <c r="S82" i="3"/>
  <c r="AC82" i="3" s="1"/>
  <c r="E83" i="3"/>
  <c r="D83" i="3"/>
  <c r="C83" i="3" s="1"/>
  <c r="S83" i="3" l="1"/>
  <c r="AC83" i="3" s="1"/>
  <c r="E84" i="3"/>
  <c r="D84" i="3"/>
  <c r="C84" i="3" s="1"/>
  <c r="R81" i="3"/>
  <c r="W81" i="3" s="1"/>
  <c r="H82" i="3"/>
  <c r="B82" i="3"/>
  <c r="S84" i="3" l="1"/>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C87" i="3" s="1"/>
  <c r="B86" i="3"/>
  <c r="E88" i="3" l="1"/>
  <c r="D88" i="3"/>
  <c r="C88" i="3" s="1"/>
  <c r="S87" i="3"/>
  <c r="AC87" i="3" s="1"/>
  <c r="R85" i="3"/>
  <c r="W85" i="3" s="1"/>
  <c r="H86" i="3"/>
  <c r="R86" i="3" l="1"/>
  <c r="W86" i="3" s="1"/>
  <c r="H87" i="3"/>
  <c r="B87" i="3"/>
  <c r="S88" i="3"/>
  <c r="AC88" i="3" s="1"/>
  <c r="E89" i="3"/>
  <c r="D89" i="3"/>
  <c r="C89" i="3" s="1"/>
  <c r="E90" i="3" l="1"/>
  <c r="D90" i="3"/>
  <c r="C90" i="3" s="1"/>
  <c r="S89" i="3"/>
  <c r="AC89" i="3" s="1"/>
  <c r="R87" i="3"/>
  <c r="W87" i="3" s="1"/>
  <c r="H88" i="3"/>
  <c r="B88" i="3"/>
  <c r="R88" i="3" l="1"/>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C94" i="3" s="1"/>
  <c r="R91" i="3"/>
  <c r="W91" i="3" s="1"/>
  <c r="H92" i="3"/>
  <c r="S93" i="3"/>
  <c r="AC93" i="3" s="1"/>
  <c r="B92" i="3"/>
  <c r="R92" i="3" l="1"/>
  <c r="W92" i="3" s="1"/>
  <c r="H93" i="3"/>
  <c r="B93" i="3"/>
  <c r="S94" i="3"/>
  <c r="AC94" i="3" s="1"/>
  <c r="E95" i="3"/>
  <c r="D95" i="3"/>
  <c r="C95" i="3" l="1"/>
  <c r="E96" i="3"/>
  <c r="D96" i="3"/>
  <c r="C96" i="3" s="1"/>
  <c r="S95" i="3"/>
  <c r="AC95" i="3" s="1"/>
  <c r="R93" i="3"/>
  <c r="W93" i="3" s="1"/>
  <c r="H94" i="3"/>
  <c r="B94" i="3"/>
  <c r="R94" i="3" l="1"/>
  <c r="W94" i="3" s="1"/>
  <c r="H95" i="3"/>
  <c r="B95" i="3"/>
  <c r="S96" i="3"/>
  <c r="AC96" i="3" s="1"/>
  <c r="E97" i="3"/>
  <c r="D97" i="3"/>
  <c r="C97" i="3" s="1"/>
  <c r="E98" i="3" l="1"/>
  <c r="D98" i="3"/>
  <c r="C98" i="3" s="1"/>
  <c r="S97" i="3"/>
  <c r="AC97" i="3" s="1"/>
  <c r="R95" i="3"/>
  <c r="W95" i="3" s="1"/>
  <c r="H96" i="3"/>
  <c r="B96" i="3"/>
  <c r="R96" i="3" l="1"/>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C104" i="3" s="1"/>
  <c r="R101" i="3"/>
  <c r="W101" i="3" s="1"/>
  <c r="H102" i="3"/>
  <c r="S103" i="3"/>
  <c r="AC103" i="3" s="1"/>
  <c r="B102" i="3"/>
  <c r="B103" i="3" s="1"/>
  <c r="R102" i="3" l="1"/>
  <c r="W102" i="3" s="1"/>
  <c r="H103" i="3"/>
  <c r="S104" i="3"/>
  <c r="AC104" i="3" s="1"/>
  <c r="E105" i="3"/>
  <c r="D105" i="3"/>
  <c r="C105" i="3" s="1"/>
  <c r="B104" i="3"/>
  <c r="E106" i="3" l="1"/>
  <c r="D106" i="3"/>
  <c r="C106" i="3" s="1"/>
  <c r="S105" i="3"/>
  <c r="AC105" i="3" s="1"/>
  <c r="R103" i="3"/>
  <c r="W103" i="3" s="1"/>
  <c r="H104" i="3"/>
  <c r="R104" i="3" l="1"/>
  <c r="W104" i="3" s="1"/>
  <c r="B105" i="3"/>
  <c r="H105" i="3" s="1"/>
  <c r="S106" i="3"/>
  <c r="AC106" i="3" s="1"/>
  <c r="D107" i="3"/>
  <c r="E107" i="3"/>
  <c r="C107" i="3" l="1"/>
  <c r="S107" i="3"/>
  <c r="AC107" i="3" s="1"/>
  <c r="E108" i="3"/>
  <c r="D108" i="3"/>
  <c r="C108" i="3" s="1"/>
  <c r="R105" i="3"/>
  <c r="W105" i="3" s="1"/>
  <c r="H106" i="3"/>
  <c r="B106" i="3"/>
  <c r="D109" i="3" l="1"/>
  <c r="E109" i="3"/>
  <c r="R106" i="3"/>
  <c r="W106" i="3" s="1"/>
  <c r="H107" i="3"/>
  <c r="S108" i="3"/>
  <c r="AC108" i="3" s="1"/>
  <c r="B107" i="3"/>
  <c r="C109" i="3" l="1"/>
  <c r="B108" i="3"/>
  <c r="R107" i="3"/>
  <c r="W107" i="3" s="1"/>
  <c r="H108" i="3"/>
  <c r="E110" i="3"/>
  <c r="D110" i="3"/>
  <c r="C110" i="3" s="1"/>
  <c r="S109" i="3"/>
  <c r="AC109" i="3" s="1"/>
  <c r="E111" i="3" l="1"/>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Q113" i="3"/>
  <c r="T113" i="3"/>
  <c r="S113" i="3" s="1"/>
  <c r="AC113" i="3" s="1"/>
  <c r="R111" i="3"/>
  <c r="W111" i="3" s="1"/>
  <c r="H112" i="3"/>
  <c r="E114" i="3"/>
  <c r="D114" i="3"/>
  <c r="C114" i="3" s="1"/>
  <c r="B113" i="3"/>
  <c r="R112" i="3" l="1"/>
  <c r="W112" i="3" s="1"/>
  <c r="H113" i="3"/>
  <c r="S114" i="3"/>
  <c r="AC114" i="3" s="1"/>
  <c r="D115" i="3"/>
  <c r="E115" i="3"/>
  <c r="B114" i="3"/>
  <c r="C115" i="3" l="1"/>
  <c r="B115" i="3" s="1"/>
  <c r="S115" i="3"/>
  <c r="AC115" i="3" s="1"/>
  <c r="E116" i="3"/>
  <c r="D116" i="3"/>
  <c r="C116" i="3" s="1"/>
  <c r="R113" i="3"/>
  <c r="W113" i="3" s="1"/>
  <c r="H114" i="3"/>
  <c r="E117" i="3" l="1"/>
  <c r="D117" i="3"/>
  <c r="C117" i="3" s="1"/>
  <c r="R114" i="3"/>
  <c r="W114" i="3" s="1"/>
  <c r="H115" i="3"/>
  <c r="S116" i="3"/>
  <c r="AC116" i="3" s="1"/>
  <c r="R115" i="3" l="1"/>
  <c r="W115" i="3" s="1"/>
  <c r="H116" i="3"/>
  <c r="S117" i="3"/>
  <c r="AC117" i="3" s="1"/>
  <c r="E118" i="3"/>
  <c r="D118" i="3"/>
  <c r="C118" i="3" s="1"/>
  <c r="B116" i="3"/>
  <c r="S118" i="3" l="1"/>
  <c r="AC118" i="3" s="1"/>
  <c r="R116" i="3"/>
  <c r="W116" i="3" s="1"/>
  <c r="H117" i="3"/>
  <c r="E119" i="3"/>
  <c r="D119" i="3"/>
  <c r="C119" i="3" s="1"/>
  <c r="B117" i="3"/>
  <c r="B118" i="3" s="1"/>
  <c r="S119" i="3" l="1"/>
  <c r="AC119" i="3" s="1"/>
  <c r="E120" i="3"/>
  <c r="D120" i="3"/>
  <c r="C120" i="3" s="1"/>
  <c r="R117" i="3"/>
  <c r="W117" i="3" s="1"/>
  <c r="H118" i="3"/>
  <c r="B119" i="3"/>
  <c r="E121" i="3" l="1"/>
  <c r="D121" i="3"/>
  <c r="C121" i="3" s="1"/>
  <c r="S120" i="3"/>
  <c r="AC120" i="3" s="1"/>
  <c r="R118" i="3"/>
  <c r="W118" i="3" s="1"/>
  <c r="H119" i="3"/>
  <c r="B120" i="3"/>
  <c r="R119" i="3" l="1"/>
  <c r="W119" i="3" s="1"/>
  <c r="H120" i="3"/>
  <c r="S121" i="3"/>
  <c r="AC121" i="3" s="1"/>
  <c r="E122" i="3"/>
  <c r="D122" i="3"/>
  <c r="C122" i="3" l="1"/>
  <c r="T122" i="3"/>
  <c r="S122" i="3" s="1"/>
  <c r="Q122" i="3"/>
  <c r="D123" i="3"/>
  <c r="E123" i="3"/>
  <c r="R120" i="3"/>
  <c r="W120" i="3" s="1"/>
  <c r="H121" i="3"/>
  <c r="B121" i="3"/>
  <c r="AH122" i="3" l="1"/>
  <c r="AC122" i="3" s="1"/>
  <c r="C123" i="3"/>
  <c r="R121" i="3"/>
  <c r="W121" i="3" s="1"/>
  <c r="H122" i="3"/>
  <c r="B122" i="3"/>
  <c r="E124" i="3"/>
  <c r="D124" i="3"/>
  <c r="S123" i="3"/>
  <c r="AC123" i="3" s="1"/>
  <c r="C124" i="3" l="1"/>
  <c r="S124" i="3"/>
  <c r="AC124" i="3" s="1"/>
  <c r="D125" i="3"/>
  <c r="E125" i="3"/>
  <c r="R122" i="3"/>
  <c r="W122" i="3" s="1"/>
  <c r="H123" i="3"/>
  <c r="B123" i="3"/>
  <c r="B124" i="3" s="1"/>
  <c r="C125" i="3" l="1"/>
  <c r="S125" i="3"/>
  <c r="AC125" i="3" s="1"/>
  <c r="E126" i="3"/>
  <c r="D126" i="3"/>
  <c r="R123" i="3"/>
  <c r="W123" i="3" s="1"/>
  <c r="H124" i="3"/>
  <c r="B125" i="3"/>
  <c r="C126" i="3" l="1"/>
  <c r="S126" i="3"/>
  <c r="AC126" i="3" s="1"/>
  <c r="E127" i="3"/>
  <c r="D127" i="3"/>
  <c r="C127" i="3" s="1"/>
  <c r="R124" i="3"/>
  <c r="W124" i="3" s="1"/>
  <c r="H125" i="3"/>
  <c r="B126" i="3"/>
  <c r="S127" i="3" l="1"/>
  <c r="AC127" i="3" s="1"/>
  <c r="E128" i="3"/>
  <c r="D128" i="3"/>
  <c r="R125" i="3"/>
  <c r="W125" i="3" s="1"/>
  <c r="H126" i="3"/>
  <c r="B127" i="3"/>
  <c r="C128" i="3" l="1"/>
  <c r="S128" i="3"/>
  <c r="AC128" i="3" s="1"/>
  <c r="E129" i="3"/>
  <c r="D129" i="3"/>
  <c r="C129" i="3" s="1"/>
  <c r="R126" i="3"/>
  <c r="W126" i="3" s="1"/>
  <c r="H127" i="3"/>
  <c r="B128" i="3"/>
  <c r="S129" i="3" l="1"/>
  <c r="AC129" i="3" s="1"/>
  <c r="E130" i="3"/>
  <c r="D130" i="3"/>
  <c r="C130" i="3" s="1"/>
  <c r="R127" i="3"/>
  <c r="W127" i="3" s="1"/>
  <c r="H128" i="3"/>
  <c r="B129" i="3"/>
  <c r="S130" i="3" l="1"/>
  <c r="AC130" i="3" s="1"/>
  <c r="D131" i="3"/>
  <c r="E131" i="3"/>
  <c r="R128" i="3"/>
  <c r="W128" i="3" s="1"/>
  <c r="H129" i="3"/>
  <c r="B130" i="3"/>
  <c r="C131" i="3" l="1"/>
  <c r="S131" i="3"/>
  <c r="AC131" i="3" s="1"/>
  <c r="E132" i="3"/>
  <c r="D132" i="3"/>
  <c r="R129" i="3"/>
  <c r="W129" i="3" s="1"/>
  <c r="H130" i="3"/>
  <c r="B131" i="3"/>
  <c r="Q132" i="3" l="1"/>
  <c r="T132" i="3"/>
  <c r="S132" i="3" s="1"/>
  <c r="AC132" i="3" s="1"/>
  <c r="C132" i="3"/>
  <c r="R130" i="3"/>
  <c r="W130" i="3" s="1"/>
  <c r="H131" i="3"/>
  <c r="D133" i="3"/>
  <c r="E133" i="3"/>
  <c r="C133" i="3" l="1"/>
  <c r="E134" i="3"/>
  <c r="D134" i="3"/>
  <c r="C134" i="3" s="1"/>
  <c r="S133" i="3"/>
  <c r="AC133" i="3" s="1"/>
  <c r="B132" i="3"/>
  <c r="R131" i="3"/>
  <c r="W131" i="3" s="1"/>
  <c r="H132" i="3"/>
  <c r="S134" i="3" l="1"/>
  <c r="AC134" i="3" s="1"/>
  <c r="R132" i="3"/>
  <c r="W132" i="3" s="1"/>
  <c r="H133" i="3"/>
  <c r="E135" i="3"/>
  <c r="D135" i="3"/>
  <c r="C135" i="3" s="1"/>
  <c r="B133" i="3"/>
  <c r="S135" i="3" l="1"/>
  <c r="AC135" i="3" s="1"/>
  <c r="E136" i="3"/>
  <c r="D136" i="3"/>
  <c r="R133" i="3"/>
  <c r="W133" i="3" s="1"/>
  <c r="H134" i="3"/>
  <c r="B134" i="3"/>
  <c r="B135" i="3" s="1"/>
  <c r="C136" i="3" l="1"/>
  <c r="Q136" i="3"/>
  <c r="T136" i="3"/>
  <c r="S136" i="3" s="1"/>
  <c r="AC136" i="3" s="1"/>
  <c r="E137" i="3"/>
  <c r="D137" i="3"/>
  <c r="C137" i="3" s="1"/>
  <c r="R134" i="3"/>
  <c r="W134" i="3" s="1"/>
  <c r="H135" i="3"/>
  <c r="B136" i="3"/>
  <c r="R135" i="3" l="1"/>
  <c r="W135" i="3" s="1"/>
  <c r="H136" i="3"/>
  <c r="S137" i="3"/>
  <c r="AC137" i="3" s="1"/>
  <c r="E138" i="3"/>
  <c r="D138" i="3"/>
  <c r="C138" i="3" l="1"/>
  <c r="T138" i="3"/>
  <c r="S138" i="3" s="1"/>
  <c r="Q138" i="3"/>
  <c r="D139" i="3"/>
  <c r="E139" i="3"/>
  <c r="R136" i="3"/>
  <c r="W136" i="3" s="1"/>
  <c r="H137" i="3"/>
  <c r="B137" i="3"/>
  <c r="AH138" i="3" l="1"/>
  <c r="AC138" i="3" s="1"/>
  <c r="C139" i="3"/>
  <c r="R137" i="3"/>
  <c r="W137" i="3" s="1"/>
  <c r="H138" i="3"/>
  <c r="B138" i="3"/>
  <c r="E140" i="3"/>
  <c r="D140" i="3"/>
  <c r="C140" i="3" s="1"/>
  <c r="S139" i="3"/>
  <c r="AC139" i="3" s="1"/>
  <c r="S140" i="3" l="1"/>
  <c r="AC140" i="3" s="1"/>
  <c r="D141" i="3"/>
  <c r="E141" i="3"/>
  <c r="R138" i="3"/>
  <c r="W138" i="3" s="1"/>
  <c r="H139" i="3"/>
  <c r="B139" i="3"/>
  <c r="B140" i="3" s="1"/>
  <c r="C141" i="3" l="1"/>
  <c r="S141" i="3"/>
  <c r="AC141" i="3" s="1"/>
  <c r="E142" i="3"/>
  <c r="D142" i="3"/>
  <c r="R139" i="3"/>
  <c r="W139" i="3" s="1"/>
  <c r="H140" i="3"/>
  <c r="B141" i="3"/>
  <c r="C142" i="3" l="1"/>
  <c r="T142" i="3"/>
  <c r="S142" i="3" s="1"/>
  <c r="AC142" i="3" s="1"/>
  <c r="Q142" i="3"/>
  <c r="E143" i="3"/>
  <c r="D143" i="3"/>
  <c r="R140" i="3"/>
  <c r="W140" i="3" s="1"/>
  <c r="H141" i="3"/>
  <c r="B142" i="3"/>
  <c r="C143" i="3" l="1"/>
  <c r="Q143" i="3"/>
  <c r="T143" i="3"/>
  <c r="S143" i="3" s="1"/>
  <c r="AC143" i="3" s="1"/>
  <c r="R141" i="3"/>
  <c r="W141" i="3" s="1"/>
  <c r="H142" i="3"/>
  <c r="E144" i="3"/>
  <c r="D144" i="3"/>
  <c r="Q144" i="3" l="1"/>
  <c r="T144" i="3"/>
  <c r="S144" i="3" s="1"/>
  <c r="AC144" i="3" s="1"/>
  <c r="C144" i="3"/>
  <c r="D145" i="3"/>
  <c r="E145" i="3"/>
  <c r="R142" i="3"/>
  <c r="W142" i="3" s="1"/>
  <c r="H143" i="3"/>
  <c r="B143" i="3"/>
  <c r="B144" i="3" s="1"/>
  <c r="C145" i="3" l="1"/>
  <c r="R143" i="3"/>
  <c r="W143" i="3" s="1"/>
  <c r="H144" i="3"/>
  <c r="D146" i="3"/>
  <c r="E146" i="3"/>
  <c r="S145" i="3"/>
  <c r="AC145" i="3" s="1"/>
  <c r="Q146" i="3" l="1"/>
  <c r="T146" i="3"/>
  <c r="S146" i="3" s="1"/>
  <c r="AC146" i="3" s="1"/>
  <c r="C146" i="3"/>
  <c r="B145" i="3"/>
  <c r="D147" i="3"/>
  <c r="E147" i="3"/>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Q151" i="3" l="1"/>
  <c r="T151" i="3"/>
  <c r="S151" i="3" s="1"/>
  <c r="C151" i="3"/>
  <c r="D152" i="3"/>
  <c r="E152" i="3"/>
  <c r="R149" i="3"/>
  <c r="W149" i="3" s="1"/>
  <c r="H150" i="3"/>
  <c r="B151" i="3"/>
  <c r="AH151" i="3" l="1"/>
  <c r="AC151" i="3" s="1"/>
  <c r="C152" i="3"/>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T156" i="3" l="1"/>
  <c r="S156" i="3" s="1"/>
  <c r="AC156" i="3" s="1"/>
  <c r="Q156" i="3"/>
  <c r="C156" i="3"/>
  <c r="D157" i="3"/>
  <c r="E157" i="3"/>
  <c r="R154" i="3"/>
  <c r="W154" i="3" s="1"/>
  <c r="H155" i="3"/>
  <c r="B155" i="3"/>
  <c r="Q157" i="3" l="1"/>
  <c r="T157" i="3"/>
  <c r="S157" i="3" s="1"/>
  <c r="AC157" i="3" s="1"/>
  <c r="C157" i="3"/>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Q171" i="3" l="1"/>
  <c r="T171" i="3"/>
  <c r="S171" i="3" s="1"/>
  <c r="C171" i="3"/>
  <c r="D172" i="3"/>
  <c r="E172" i="3"/>
  <c r="R169" i="3"/>
  <c r="W169" i="3" s="1"/>
  <c r="H170" i="3"/>
  <c r="B170" i="3"/>
  <c r="AH171" i="3" l="1"/>
  <c r="AC171" i="3" s="1"/>
  <c r="C172" i="3"/>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Q175" i="3" l="1"/>
  <c r="T175" i="3"/>
  <c r="S175" i="3" s="1"/>
  <c r="AC175" i="3" s="1"/>
  <c r="C175" i="3"/>
  <c r="D176" i="3"/>
  <c r="E176" i="3"/>
  <c r="R173" i="3"/>
  <c r="W173" i="3" s="1"/>
  <c r="H174" i="3"/>
  <c r="B174" i="3"/>
  <c r="B175" i="3" s="1"/>
  <c r="C176" i="3" l="1"/>
  <c r="R174" i="3"/>
  <c r="W174" i="3" s="1"/>
  <c r="H175" i="3"/>
  <c r="D177" i="3"/>
  <c r="E177" i="3"/>
  <c r="S176" i="3"/>
  <c r="AC176" i="3" s="1"/>
  <c r="T177" i="3" l="1"/>
  <c r="S177" i="3" s="1"/>
  <c r="AC177" i="3" s="1"/>
  <c r="Q177" i="3"/>
  <c r="C177" i="3"/>
  <c r="D178" i="3"/>
  <c r="E178" i="3"/>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Q184" i="3" l="1"/>
  <c r="T184" i="3"/>
  <c r="S184" i="3" s="1"/>
  <c r="C184" i="3"/>
  <c r="D185" i="3"/>
  <c r="R182" i="3"/>
  <c r="W182" i="3" s="1"/>
  <c r="H183" i="3"/>
  <c r="B183" i="3"/>
  <c r="B184" i="3" s="1"/>
  <c r="AH184" i="3" l="1"/>
  <c r="AC184" i="3" s="1"/>
  <c r="T185" i="3"/>
  <c r="S185" i="3" s="1"/>
  <c r="Q185" i="3"/>
  <c r="C185" i="3"/>
  <c r="R183" i="3"/>
  <c r="W183" i="3" s="1"/>
  <c r="H184" i="3"/>
  <c r="D186" i="3"/>
  <c r="E186" i="3"/>
  <c r="AH185" i="3" l="1"/>
  <c r="AC185" i="3" s="1"/>
  <c r="C186" i="3"/>
  <c r="D187" i="3"/>
  <c r="E187" i="3"/>
  <c r="S186" i="3"/>
  <c r="AC186" i="3" s="1"/>
  <c r="R184" i="3"/>
  <c r="W184" i="3" s="1"/>
  <c r="H185" i="3"/>
  <c r="B185" i="3"/>
  <c r="B186" i="3" s="1"/>
  <c r="C187" i="3" l="1"/>
  <c r="R185" i="3"/>
  <c r="W185" i="3" s="1"/>
  <c r="H186" i="3"/>
  <c r="D188" i="3"/>
  <c r="E188" i="3"/>
  <c r="S187" i="3"/>
  <c r="AC187" i="3" s="1"/>
  <c r="C188" i="3" l="1"/>
  <c r="E189" i="3"/>
  <c r="D189" i="3"/>
  <c r="C189" i="3" s="1"/>
  <c r="S188" i="3"/>
  <c r="AC188" i="3" s="1"/>
  <c r="R186" i="3"/>
  <c r="W186" i="3" s="1"/>
  <c r="H187" i="3"/>
  <c r="B187" i="3"/>
  <c r="B188" i="3" s="1"/>
  <c r="R187" i="3" l="1"/>
  <c r="W187" i="3" s="1"/>
  <c r="H188" i="3"/>
  <c r="S189" i="3"/>
  <c r="AC189" i="3" s="1"/>
  <c r="E190" i="3"/>
  <c r="D190" i="3"/>
  <c r="C190" i="3" s="1"/>
  <c r="R188" i="3" l="1"/>
  <c r="W188" i="3" s="1"/>
  <c r="H189" i="3"/>
  <c r="S190" i="3"/>
  <c r="AC190" i="3" s="1"/>
  <c r="E191" i="3"/>
  <c r="D191" i="3"/>
  <c r="C191" i="3" s="1"/>
  <c r="B189" i="3"/>
  <c r="S191" i="3" l="1"/>
  <c r="AC191" i="3" s="1"/>
  <c r="B190" i="3"/>
  <c r="E192" i="3"/>
  <c r="D192" i="3"/>
  <c r="C192" i="3" s="1"/>
  <c r="R189" i="3"/>
  <c r="W189" i="3" s="1"/>
  <c r="H190" i="3"/>
  <c r="R190" i="3" l="1"/>
  <c r="W190" i="3" s="1"/>
  <c r="H191" i="3"/>
  <c r="S192" i="3"/>
  <c r="AC192" i="3" s="1"/>
  <c r="E193" i="3"/>
  <c r="D193" i="3"/>
  <c r="C193" i="3" s="1"/>
  <c r="B191" i="3"/>
  <c r="R191" i="3" l="1"/>
  <c r="W191" i="3" s="1"/>
  <c r="H192" i="3"/>
  <c r="S193" i="3"/>
  <c r="AC193" i="3" s="1"/>
  <c r="E194" i="3"/>
  <c r="D194" i="3"/>
  <c r="B192" i="3"/>
  <c r="C194" i="3" l="1"/>
  <c r="R192" i="3"/>
  <c r="W192" i="3" s="1"/>
  <c r="H193" i="3"/>
  <c r="S194" i="3"/>
  <c r="AC194" i="3" s="1"/>
  <c r="E195" i="3"/>
  <c r="D195" i="3"/>
  <c r="B193" i="3"/>
  <c r="C195" i="3" l="1"/>
  <c r="Q195" i="3"/>
  <c r="T195" i="3"/>
  <c r="S195" i="3" s="1"/>
  <c r="AC195" i="3" s="1"/>
  <c r="R193" i="3"/>
  <c r="W193" i="3" s="1"/>
  <c r="H194" i="3"/>
  <c r="E196" i="3"/>
  <c r="D196" i="3"/>
  <c r="C196" i="3" s="1"/>
  <c r="B194" i="3"/>
  <c r="S196" i="3" l="1"/>
  <c r="AC196" i="3" s="1"/>
  <c r="E197" i="3"/>
  <c r="D197" i="3"/>
  <c r="C197" i="3" s="1"/>
  <c r="R194" i="3"/>
  <c r="W194" i="3" s="1"/>
  <c r="H195" i="3"/>
  <c r="B195" i="3"/>
  <c r="B196" i="3" s="1"/>
  <c r="E198" i="3" l="1"/>
  <c r="D198" i="3"/>
  <c r="C198" i="3" s="1"/>
  <c r="R195" i="3"/>
  <c r="W195" i="3" s="1"/>
  <c r="H196" i="3"/>
  <c r="S197" i="3"/>
  <c r="AC197" i="3" s="1"/>
  <c r="B197" i="3"/>
  <c r="S198" i="3" l="1"/>
  <c r="AC198" i="3" s="1"/>
  <c r="E199" i="3"/>
  <c r="D199" i="3"/>
  <c r="C199" i="3" s="1"/>
  <c r="R196" i="3"/>
  <c r="W196" i="3" s="1"/>
  <c r="H197" i="3"/>
  <c r="B198" i="3"/>
  <c r="S199" i="3" l="1"/>
  <c r="AC199" i="3" s="1"/>
  <c r="E200" i="3"/>
  <c r="D200" i="3"/>
  <c r="C200" i="3" s="1"/>
  <c r="R197" i="3"/>
  <c r="W197" i="3" s="1"/>
  <c r="H198" i="3"/>
  <c r="B199" i="3"/>
  <c r="S200" i="3" l="1"/>
  <c r="AC200" i="3" s="1"/>
  <c r="E201" i="3"/>
  <c r="D201" i="3"/>
  <c r="C201" i="3" s="1"/>
  <c r="R198" i="3"/>
  <c r="W198" i="3" s="1"/>
  <c r="H199" i="3"/>
  <c r="B200" i="3"/>
  <c r="S201" i="3" l="1"/>
  <c r="AC201" i="3" s="1"/>
  <c r="R199" i="3"/>
  <c r="W199" i="3" s="1"/>
  <c r="H200" i="3"/>
  <c r="E202" i="3"/>
  <c r="D202" i="3"/>
  <c r="C202" i="3" s="1"/>
  <c r="B201" i="3"/>
  <c r="R200" i="3" l="1"/>
  <c r="W200" i="3" s="1"/>
  <c r="H201" i="3"/>
  <c r="S202" i="3"/>
  <c r="AC202" i="3" s="1"/>
  <c r="B202" i="3"/>
  <c r="E203" i="3"/>
  <c r="D203" i="3"/>
  <c r="C203" i="3" s="1"/>
  <c r="S203" i="3" l="1"/>
  <c r="AC203" i="3" s="1"/>
  <c r="B203" i="3"/>
  <c r="E204" i="3"/>
  <c r="D204" i="3"/>
  <c r="C204" i="3" s="1"/>
  <c r="R201" i="3"/>
  <c r="W201" i="3" s="1"/>
  <c r="H202" i="3"/>
  <c r="E205" i="3" l="1"/>
  <c r="D205" i="3"/>
  <c r="C205" i="3" s="1"/>
  <c r="R202" i="3"/>
  <c r="W202" i="3" s="1"/>
  <c r="H203" i="3"/>
  <c r="S204" i="3"/>
  <c r="AC204" i="3" s="1"/>
  <c r="B204" i="3" l="1"/>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s="1"/>
  <c r="S211" i="3" l="1"/>
  <c r="AC211" i="3" s="1"/>
  <c r="B211" i="3"/>
  <c r="E212" i="3"/>
  <c r="D212" i="3"/>
  <c r="R209" i="3"/>
  <c r="W209" i="3" s="1"/>
  <c r="H210" i="3"/>
  <c r="C212" i="3" l="1"/>
  <c r="T212" i="3"/>
  <c r="S212" i="3" s="1"/>
  <c r="AC212" i="3" s="1"/>
  <c r="Q212" i="3"/>
  <c r="E213" i="3"/>
  <c r="D213" i="3"/>
  <c r="C213" i="3" s="1"/>
  <c r="R210" i="3"/>
  <c r="W210" i="3" s="1"/>
  <c r="H211" i="3"/>
  <c r="B212" i="3" l="1"/>
  <c r="R211" i="3"/>
  <c r="W211" i="3" s="1"/>
  <c r="H212" i="3"/>
  <c r="S213" i="3"/>
  <c r="AC213" i="3" s="1"/>
  <c r="E214" i="3"/>
  <c r="D214" i="3"/>
  <c r="C214" i="3" s="1"/>
  <c r="R212" i="3" l="1"/>
  <c r="W212" i="3" s="1"/>
  <c r="H213" i="3"/>
  <c r="S214" i="3"/>
  <c r="AC214" i="3" s="1"/>
  <c r="E215" i="3"/>
  <c r="D215" i="3"/>
  <c r="C215" i="3" s="1"/>
  <c r="B213" i="3"/>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s="1"/>
  <c r="S223" i="3" l="1"/>
  <c r="AC223" i="3" s="1"/>
  <c r="B223" i="3"/>
  <c r="E224" i="3"/>
  <c r="D224" i="3"/>
  <c r="C224" i="3" s="1"/>
  <c r="R221" i="3"/>
  <c r="W221" i="3" s="1"/>
  <c r="H222" i="3"/>
  <c r="E225" i="3" l="1"/>
  <c r="D225" i="3"/>
  <c r="C225" i="3" s="1"/>
  <c r="R222" i="3"/>
  <c r="W222" i="3" s="1"/>
  <c r="H223" i="3"/>
  <c r="S224" i="3"/>
  <c r="AC224" i="3" s="1"/>
  <c r="B224" i="3" l="1"/>
  <c r="R223" i="3"/>
  <c r="W223" i="3" s="1"/>
  <c r="H224" i="3"/>
  <c r="S225" i="3"/>
  <c r="AC225" i="3" s="1"/>
  <c r="E226" i="3"/>
  <c r="D226" i="3"/>
  <c r="C226" i="3" l="1"/>
  <c r="R224" i="3"/>
  <c r="W224" i="3" s="1"/>
  <c r="S226" i="3"/>
  <c r="AC226" i="3" s="1"/>
  <c r="E227" i="3"/>
  <c r="D227" i="3"/>
  <c r="C227" i="3" s="1"/>
  <c r="B225" i="3"/>
  <c r="H225" i="3" s="1"/>
  <c r="R225" i="3" l="1"/>
  <c r="W225" i="3" s="1"/>
  <c r="S227" i="3"/>
  <c r="AC227" i="3" s="1"/>
  <c r="E228" i="3"/>
  <c r="D228" i="3"/>
  <c r="C228" i="3" s="1"/>
  <c r="B226" i="3"/>
  <c r="H226" i="3" s="1"/>
  <c r="S228" i="3" l="1"/>
  <c r="AC228" i="3" s="1"/>
  <c r="R226" i="3"/>
  <c r="W226" i="3" s="1"/>
  <c r="H227" i="3"/>
  <c r="E229" i="3"/>
  <c r="D229" i="3"/>
  <c r="C229" i="3" s="1"/>
  <c r="B227" i="3"/>
  <c r="S229" i="3" l="1"/>
  <c r="AC229" i="3" s="1"/>
  <c r="E230" i="3"/>
  <c r="D230" i="3"/>
  <c r="R227" i="3"/>
  <c r="W227" i="3" s="1"/>
  <c r="H228" i="3"/>
  <c r="B228" i="3"/>
  <c r="B229" i="3" s="1"/>
  <c r="C230" i="3" l="1"/>
  <c r="B230" i="3" s="1"/>
  <c r="S230" i="3"/>
  <c r="AC230" i="3" s="1"/>
  <c r="E231" i="3"/>
  <c r="D231" i="3"/>
  <c r="R228" i="3"/>
  <c r="W228" i="3" s="1"/>
  <c r="H229" i="3"/>
  <c r="C231" i="3" l="1"/>
  <c r="Q231" i="3"/>
  <c r="T231" i="3"/>
  <c r="S231" i="3" s="1"/>
  <c r="R229" i="3"/>
  <c r="W229" i="3" s="1"/>
  <c r="H230" i="3"/>
  <c r="E232" i="3"/>
  <c r="D232" i="3"/>
  <c r="C232" i="3" s="1"/>
  <c r="AH231" i="3" l="1"/>
  <c r="AC231" i="3" s="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Q237" i="3"/>
  <c r="T237" i="3"/>
  <c r="S237" i="3" s="1"/>
  <c r="AC237" i="3" s="1"/>
  <c r="R235" i="3"/>
  <c r="W235" i="3" s="1"/>
  <c r="H236" i="3"/>
  <c r="E238" i="3"/>
  <c r="D238" i="3"/>
  <c r="C238" i="3" s="1"/>
  <c r="B237" i="3"/>
  <c r="E239" i="3" l="1"/>
  <c r="D239" i="3"/>
  <c r="C239" i="3" s="1"/>
  <c r="S238" i="3"/>
  <c r="AC238" i="3" s="1"/>
  <c r="R236" i="3"/>
  <c r="W236" i="3" s="1"/>
  <c r="H237" i="3"/>
  <c r="R237" i="3" l="1"/>
  <c r="W237" i="3" s="1"/>
  <c r="H238" i="3"/>
  <c r="B238" i="3"/>
  <c r="S239" i="3"/>
  <c r="AC239" i="3" s="1"/>
  <c r="E240" i="3"/>
  <c r="D240" i="3"/>
  <c r="C240" i="3" s="1"/>
  <c r="S240" i="3" l="1"/>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H243" i="3"/>
  <c r="B243" i="3"/>
  <c r="E245" i="3"/>
  <c r="D245" i="3"/>
  <c r="S244" i="3"/>
  <c r="AC244" i="3" s="1"/>
  <c r="C245" i="3" l="1"/>
  <c r="S245" i="3"/>
  <c r="AC245" i="3" s="1"/>
  <c r="E246" i="3"/>
  <c r="D246" i="3"/>
  <c r="R243" i="3"/>
  <c r="W243" i="3" s="1"/>
  <c r="H244" i="3"/>
  <c r="B244" i="3"/>
  <c r="B245" i="3" s="1"/>
  <c r="C246" i="3" l="1"/>
  <c r="R244" i="3"/>
  <c r="W244" i="3" s="1"/>
  <c r="H245" i="3"/>
  <c r="E247" i="3"/>
  <c r="D247" i="3"/>
  <c r="C247" i="3" s="1"/>
  <c r="S246" i="3"/>
  <c r="AC246" i="3" s="1"/>
  <c r="S247" i="3" l="1"/>
  <c r="AC247" i="3" s="1"/>
  <c r="E248" i="3"/>
  <c r="D248" i="3"/>
  <c r="C248" i="3" s="1"/>
  <c r="B246" i="3"/>
  <c r="B247" i="3" s="1"/>
  <c r="R245" i="3"/>
  <c r="W245" i="3" s="1"/>
  <c r="H246" i="3"/>
  <c r="E249" i="3" l="1"/>
  <c r="D249" i="3"/>
  <c r="C249" i="3" s="1"/>
  <c r="R246" i="3"/>
  <c r="W246" i="3" s="1"/>
  <c r="H247" i="3"/>
  <c r="S248" i="3"/>
  <c r="AC248" i="3" s="1"/>
  <c r="B248" i="3" l="1"/>
  <c r="R247" i="3"/>
  <c r="W247" i="3" s="1"/>
  <c r="H248" i="3"/>
  <c r="S249" i="3"/>
  <c r="AC249" i="3" s="1"/>
  <c r="E250" i="3"/>
  <c r="D250" i="3"/>
  <c r="C250" i="3" l="1"/>
  <c r="R248" i="3"/>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T260" i="3" l="1"/>
  <c r="S260" i="3" s="1"/>
  <c r="Q260" i="3"/>
  <c r="C260" i="3"/>
  <c r="D261" i="3"/>
  <c r="E261" i="3"/>
  <c r="R258" i="3"/>
  <c r="W258" i="3" s="1"/>
  <c r="H259" i="3"/>
  <c r="B259" i="3"/>
  <c r="B260" i="3" s="1"/>
  <c r="AH260" i="3" l="1"/>
  <c r="AC260" i="3" s="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H273" i="3"/>
  <c r="B273" i="3"/>
  <c r="C275" i="3" l="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C282" i="3" s="1"/>
  <c r="B281" i="3"/>
  <c r="E283" i="3" l="1"/>
  <c r="D283" i="3"/>
  <c r="C283" i="3" s="1"/>
  <c r="S282" i="3"/>
  <c r="AC282" i="3" s="1"/>
  <c r="R280" i="3"/>
  <c r="W280" i="3" s="1"/>
  <c r="H281" i="3"/>
  <c r="R281" i="3" l="1"/>
  <c r="W281" i="3" s="1"/>
  <c r="H282" i="3"/>
  <c r="S283" i="3"/>
  <c r="AC283" i="3" s="1"/>
  <c r="E284" i="3"/>
  <c r="D284" i="3"/>
  <c r="C284" i="3" s="1"/>
  <c r="B282" i="3"/>
  <c r="R282" i="3" l="1"/>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C288" i="3" s="1"/>
  <c r="R285" i="3"/>
  <c r="W285" i="3" s="1"/>
  <c r="H286" i="3"/>
  <c r="B287" i="3"/>
  <c r="S288" i="3" l="1"/>
  <c r="AC288" i="3" s="1"/>
  <c r="E289" i="3"/>
  <c r="D289" i="3"/>
  <c r="C289" i="3" s="1"/>
  <c r="R286" i="3"/>
  <c r="W286" i="3" s="1"/>
  <c r="H287" i="3"/>
  <c r="B288" i="3"/>
  <c r="S289" i="3" l="1"/>
  <c r="AC289" i="3" s="1"/>
  <c r="R287" i="3"/>
  <c r="W287" i="3" s="1"/>
  <c r="H288" i="3"/>
  <c r="E290" i="3"/>
  <c r="D290" i="3"/>
  <c r="C290" i="3" s="1"/>
  <c r="B289" i="3"/>
  <c r="R288" i="3" l="1"/>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R302" i="3"/>
  <c r="W302" i="3" s="1"/>
  <c r="H303" i="3"/>
  <c r="B304" i="3" l="1"/>
  <c r="C305" i="3"/>
  <c r="E306" i="3"/>
  <c r="D306" i="3"/>
  <c r="C306" i="3" s="1"/>
  <c r="S305" i="3"/>
  <c r="AC305" i="3" s="1"/>
  <c r="R303" i="3"/>
  <c r="W303" i="3" s="1"/>
  <c r="H304" i="3"/>
  <c r="B305" i="3" l="1"/>
  <c r="R304" i="3"/>
  <c r="W304" i="3" s="1"/>
  <c r="H305" i="3"/>
  <c r="S306" i="3"/>
  <c r="AC306" i="3" s="1"/>
  <c r="E307" i="3"/>
  <c r="D307" i="3"/>
  <c r="C307" i="3" s="1"/>
  <c r="S307" i="3" l="1"/>
  <c r="AC307" i="3" s="1"/>
  <c r="R305" i="3"/>
  <c r="W305" i="3" s="1"/>
  <c r="H306" i="3"/>
  <c r="E308" i="3"/>
  <c r="D308" i="3"/>
  <c r="C308" i="3" s="1"/>
  <c r="B306" i="3"/>
  <c r="E309" i="3" l="1"/>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B312" i="3" s="1"/>
  <c r="S312" i="3"/>
  <c r="AC312" i="3" s="1"/>
  <c r="E313" i="3"/>
  <c r="D313" i="3"/>
  <c r="R310" i="3"/>
  <c r="W310" i="3" s="1"/>
  <c r="H311" i="3"/>
  <c r="C313" i="3" l="1"/>
  <c r="B313" i="3" s="1"/>
  <c r="S313" i="3"/>
  <c r="AC313" i="3" s="1"/>
  <c r="E314" i="3"/>
  <c r="D314" i="3"/>
  <c r="R311" i="3"/>
  <c r="W311" i="3" s="1"/>
  <c r="H312" i="3"/>
  <c r="C314" i="3" l="1"/>
  <c r="B314" i="3" s="1"/>
  <c r="S314" i="3"/>
  <c r="AC314" i="3" s="1"/>
  <c r="E315" i="3"/>
  <c r="D315" i="3"/>
  <c r="R312" i="3"/>
  <c r="W312" i="3" s="1"/>
  <c r="H313" i="3"/>
  <c r="C315" i="3" l="1"/>
  <c r="B315" i="3" s="1"/>
  <c r="S315" i="3"/>
  <c r="AC315" i="3" s="1"/>
  <c r="E316" i="3"/>
  <c r="D316" i="3"/>
  <c r="R313" i="3"/>
  <c r="W313" i="3" s="1"/>
  <c r="H314"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s="1"/>
  <c r="S321" i="3" l="1"/>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S333" i="3"/>
  <c r="AC333" i="3" s="1"/>
  <c r="R331" i="3"/>
  <c r="W331" i="3" s="1"/>
  <c r="H332" i="3"/>
  <c r="B333" i="3"/>
  <c r="C334" i="3" l="1"/>
  <c r="T334" i="3"/>
  <c r="S334" i="3" s="1"/>
  <c r="AC334" i="3" s="1"/>
  <c r="Q334" i="3"/>
  <c r="R332" i="3"/>
  <c r="W332" i="3" s="1"/>
  <c r="H333" i="3"/>
  <c r="E335" i="3"/>
  <c r="D335" i="3"/>
  <c r="C335" i="3" s="1"/>
  <c r="D336" i="3" l="1"/>
  <c r="E336" i="3"/>
  <c r="S335" i="3"/>
  <c r="AC335" i="3" s="1"/>
  <c r="R333" i="3"/>
  <c r="W333" i="3" s="1"/>
  <c r="H334" i="3"/>
  <c r="B334" i="3"/>
  <c r="C336" i="3" l="1"/>
  <c r="R334" i="3"/>
  <c r="W334" i="3" s="1"/>
  <c r="H335" i="3"/>
  <c r="E337" i="3"/>
  <c r="D337" i="3"/>
  <c r="C337" i="3" s="1"/>
  <c r="S336" i="3"/>
  <c r="AC336" i="3" s="1"/>
  <c r="B335" i="3"/>
  <c r="S337" i="3" l="1"/>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B348" i="3"/>
  <c r="C349" i="3" l="1"/>
  <c r="Q349" i="3"/>
  <c r="T349" i="3"/>
  <c r="S349" i="3" s="1"/>
  <c r="R347" i="3"/>
  <c r="W347" i="3" s="1"/>
  <c r="H348" i="3"/>
  <c r="E350" i="3"/>
  <c r="D350" i="3"/>
  <c r="C350" i="3" s="1"/>
  <c r="AH349" i="3" l="1"/>
  <c r="AC349" i="3" s="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R351" i="3" s="1"/>
  <c r="B352" i="3"/>
  <c r="C353" i="3" l="1"/>
  <c r="W351" i="3"/>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H393" i="3"/>
  <c r="B393" i="3"/>
  <c r="B394" i="3" l="1"/>
  <c r="C395" i="3"/>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l="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s="1"/>
  <c r="R402" i="3" l="1"/>
  <c r="W402" i="3" s="1"/>
  <c r="H403" i="3"/>
  <c r="S404" i="3"/>
  <c r="AC404" i="3" s="1"/>
  <c r="E405" i="3"/>
  <c r="D405" i="3"/>
  <c r="C405" i="3" s="1"/>
  <c r="B403" i="3"/>
  <c r="S405" i="3" l="1"/>
  <c r="AC405" i="3" s="1"/>
  <c r="R403" i="3"/>
  <c r="W403" i="3" s="1"/>
  <c r="E406" i="3"/>
  <c r="D406" i="3"/>
  <c r="C406" i="3" s="1"/>
  <c r="B404" i="3"/>
  <c r="B405" i="3" s="1"/>
  <c r="H404" i="3" l="1"/>
  <c r="R404" i="3" s="1"/>
  <c r="W404" i="3" s="1"/>
  <c r="S406" i="3"/>
  <c r="AC406" i="3" s="1"/>
  <c r="E407" i="3"/>
  <c r="D407" i="3"/>
  <c r="C407" i="3" s="1"/>
  <c r="B406" i="3"/>
  <c r="H405" i="3" l="1"/>
  <c r="R405" i="3" s="1"/>
  <c r="W405" i="3" s="1"/>
  <c r="S407" i="3"/>
  <c r="AC407" i="3" s="1"/>
  <c r="E408" i="3"/>
  <c r="D408" i="3"/>
  <c r="C408" i="3" s="1"/>
  <c r="B407" i="3"/>
  <c r="H406" i="3" l="1"/>
  <c r="R406" i="3" s="1"/>
  <c r="W406" i="3" s="1"/>
  <c r="S408" i="3"/>
  <c r="AC408" i="3" s="1"/>
  <c r="E409" i="3"/>
  <c r="D409" i="3"/>
  <c r="C409" i="3" s="1"/>
  <c r="B408" i="3"/>
  <c r="H407" i="3" l="1"/>
  <c r="R407" i="3" s="1"/>
  <c r="W407" i="3" s="1"/>
  <c r="S409" i="3"/>
  <c r="AC409" i="3" s="1"/>
  <c r="E410" i="3"/>
  <c r="D410" i="3"/>
  <c r="C410" i="3" s="1"/>
  <c r="B409" i="3"/>
  <c r="H408" i="3" l="1"/>
  <c r="R408" i="3" s="1"/>
  <c r="W408" i="3" s="1"/>
  <c r="S410" i="3"/>
  <c r="AC410" i="3" s="1"/>
  <c r="E411" i="3"/>
  <c r="D411" i="3"/>
  <c r="C411" i="3" s="1"/>
  <c r="B410" i="3"/>
  <c r="H409" i="3" l="1"/>
  <c r="R409" i="3" s="1"/>
  <c r="W409" i="3" s="1"/>
  <c r="S411" i="3"/>
  <c r="AC411" i="3" s="1"/>
  <c r="E412" i="3"/>
  <c r="D412" i="3"/>
  <c r="C412" i="3" s="1"/>
  <c r="B411" i="3"/>
  <c r="H410" i="3" l="1"/>
  <c r="R410" i="3" s="1"/>
  <c r="W410" i="3" s="1"/>
  <c r="S412" i="3"/>
  <c r="AC412" i="3" s="1"/>
  <c r="E413" i="3"/>
  <c r="D413" i="3"/>
  <c r="C413" i="3" s="1"/>
  <c r="B412" i="3"/>
  <c r="H411" i="3" l="1"/>
  <c r="R411" i="3" s="1"/>
  <c r="W411" i="3" s="1"/>
  <c r="S413" i="3"/>
  <c r="AC413" i="3" s="1"/>
  <c r="E414" i="3"/>
  <c r="D414" i="3"/>
  <c r="C414" i="3" s="1"/>
  <c r="H412" i="3" l="1"/>
  <c r="R412" i="3" s="1"/>
  <c r="W412" i="3" s="1"/>
  <c r="S414" i="3"/>
  <c r="AC414" i="3" s="1"/>
  <c r="E415" i="3"/>
  <c r="D415" i="3"/>
  <c r="B413" i="3"/>
  <c r="H413" i="3" l="1"/>
  <c r="R413" i="3" s="1"/>
  <c r="W413" i="3" s="1"/>
  <c r="C415" i="3"/>
  <c r="S415" i="3"/>
  <c r="AC415" i="3" s="1"/>
  <c r="E416" i="3"/>
  <c r="D416" i="3"/>
  <c r="B414" i="3"/>
  <c r="C416" i="3" l="1"/>
  <c r="H414" i="3"/>
  <c r="R414" i="3" s="1"/>
  <c r="W414" i="3" s="1"/>
  <c r="S416" i="3"/>
  <c r="AC416" i="3" s="1"/>
  <c r="E417" i="3"/>
  <c r="D417" i="3"/>
  <c r="C417" i="3" s="1"/>
  <c r="B415" i="3"/>
  <c r="H415" i="3" l="1"/>
  <c r="R415" i="3" s="1"/>
  <c r="W415" i="3" s="1"/>
  <c r="S417" i="3"/>
  <c r="AC417" i="3" s="1"/>
  <c r="E418" i="3"/>
  <c r="D418" i="3"/>
  <c r="C418" i="3" s="1"/>
  <c r="B416" i="3"/>
  <c r="H416" i="3" l="1"/>
  <c r="R416" i="3" s="1"/>
  <c r="W416" i="3" s="1"/>
  <c r="S418" i="3"/>
  <c r="AC418" i="3" s="1"/>
  <c r="E419" i="3"/>
  <c r="D419" i="3"/>
  <c r="C419" i="3" s="1"/>
  <c r="B417" i="3"/>
  <c r="B418" i="3" s="1"/>
  <c r="H417" i="3" l="1"/>
  <c r="R417" i="3" s="1"/>
  <c r="W417" i="3" s="1"/>
  <c r="S419" i="3"/>
  <c r="AC419" i="3" s="1"/>
  <c r="D420" i="3"/>
  <c r="E420" i="3"/>
  <c r="B419" i="3"/>
  <c r="H418" i="3" l="1"/>
  <c r="R418" i="3" s="1"/>
  <c r="W418" i="3" s="1"/>
  <c r="C420" i="3"/>
  <c r="D421" i="3"/>
  <c r="E421" i="3"/>
  <c r="S420" i="3"/>
  <c r="AC420" i="3" s="1"/>
  <c r="H419" i="3" l="1"/>
  <c r="R419" i="3" s="1"/>
  <c r="W419" i="3" s="1"/>
  <c r="C421" i="3"/>
  <c r="B420" i="3"/>
  <c r="D422" i="3"/>
  <c r="E422" i="3"/>
  <c r="S421" i="3"/>
  <c r="AC421" i="3" s="1"/>
  <c r="H420" i="3" l="1"/>
  <c r="R420" i="3" s="1"/>
  <c r="W420" i="3" s="1"/>
  <c r="C422" i="3"/>
  <c r="S422" i="3"/>
  <c r="AC422" i="3" s="1"/>
  <c r="D423" i="3"/>
  <c r="E423" i="3"/>
  <c r="B421" i="3"/>
  <c r="B422" i="3" l="1"/>
  <c r="H421" i="3"/>
  <c r="R421" i="3" s="1"/>
  <c r="W421" i="3" s="1"/>
  <c r="C423" i="3"/>
  <c r="D424" i="3"/>
  <c r="E424" i="3"/>
  <c r="S423" i="3"/>
  <c r="AC423" i="3" s="1"/>
  <c r="B423" i="3"/>
  <c r="H422" i="3" l="1"/>
  <c r="R422" i="3" s="1"/>
  <c r="W422" i="3" s="1"/>
  <c r="C424" i="3"/>
  <c r="D425" i="3"/>
  <c r="E425" i="3"/>
  <c r="S424" i="3"/>
  <c r="AC424" i="3" s="1"/>
  <c r="H423" i="3" l="1"/>
  <c r="R423" i="3" s="1"/>
  <c r="W423" i="3" s="1"/>
  <c r="C425" i="3"/>
  <c r="D426" i="3"/>
  <c r="E426" i="3"/>
  <c r="S425" i="3"/>
  <c r="AC425" i="3" s="1"/>
  <c r="B424" i="3"/>
  <c r="C426" i="3" l="1"/>
  <c r="H424" i="3"/>
  <c r="R424" i="3" s="1"/>
  <c r="W424" i="3" s="1"/>
  <c r="D427" i="3"/>
  <c r="E427" i="3"/>
  <c r="S426" i="3"/>
  <c r="AC426" i="3" s="1"/>
  <c r="B425" i="3"/>
  <c r="H425" i="3" l="1"/>
  <c r="R425" i="3" s="1"/>
  <c r="W425" i="3" s="1"/>
  <c r="C427" i="3"/>
  <c r="S427" i="3"/>
  <c r="AC427" i="3" s="1"/>
  <c r="D428" i="3"/>
  <c r="E428" i="3"/>
  <c r="B426" i="3"/>
  <c r="H426" i="3" l="1"/>
  <c r="R426" i="3" s="1"/>
  <c r="W426" i="3" s="1"/>
  <c r="C428" i="3"/>
  <c r="S428" i="3"/>
  <c r="AC428" i="3" s="1"/>
  <c r="D429" i="3"/>
  <c r="E429" i="3"/>
  <c r="B427" i="3"/>
  <c r="B428" i="3" s="1"/>
  <c r="H427" i="3" l="1"/>
  <c r="R427" i="3" s="1"/>
  <c r="W427" i="3" s="1"/>
  <c r="C429" i="3"/>
  <c r="S429" i="3"/>
  <c r="AC429" i="3" s="1"/>
  <c r="D430" i="3"/>
  <c r="E430" i="3"/>
  <c r="B429" i="3"/>
  <c r="H428" i="3" l="1"/>
  <c r="R428" i="3" s="1"/>
  <c r="W428" i="3" s="1"/>
  <c r="C430" i="3"/>
  <c r="D431" i="3"/>
  <c r="E431" i="3"/>
  <c r="S430" i="3"/>
  <c r="AC430" i="3" s="1"/>
  <c r="B430" i="3"/>
  <c r="H429" i="3" l="1"/>
  <c r="R429" i="3" s="1"/>
  <c r="W429" i="3" s="1"/>
  <c r="C431" i="3"/>
  <c r="D432" i="3"/>
  <c r="E432" i="3"/>
  <c r="S431" i="3"/>
  <c r="AC431" i="3" s="1"/>
  <c r="H430" i="3" l="1"/>
  <c r="R430" i="3" s="1"/>
  <c r="W430" i="3" s="1"/>
  <c r="C432" i="3"/>
  <c r="D433" i="3"/>
  <c r="E433" i="3"/>
  <c r="S432" i="3"/>
  <c r="AC432" i="3" s="1"/>
  <c r="B431" i="3"/>
  <c r="C433" i="3" l="1"/>
  <c r="H431" i="3"/>
  <c r="R431" i="3" s="1"/>
  <c r="W431" i="3" s="1"/>
  <c r="D434" i="3"/>
  <c r="E434" i="3"/>
  <c r="S433" i="3"/>
  <c r="AC433" i="3" s="1"/>
  <c r="B432" i="3"/>
  <c r="H432" i="3" l="1"/>
  <c r="R432" i="3" s="1"/>
  <c r="W432" i="3" s="1"/>
  <c r="C434" i="3"/>
  <c r="D435" i="3"/>
  <c r="E435" i="3"/>
  <c r="S434" i="3"/>
  <c r="AC434" i="3" s="1"/>
  <c r="B433" i="3"/>
  <c r="H433" i="3" l="1"/>
  <c r="R433" i="3" s="1"/>
  <c r="W433" i="3" s="1"/>
  <c r="C435" i="3"/>
  <c r="E436" i="3"/>
  <c r="D436" i="3"/>
  <c r="C436" i="3" s="1"/>
  <c r="S435" i="3"/>
  <c r="AC435" i="3" s="1"/>
  <c r="B434" i="3"/>
  <c r="H434" i="3" l="1"/>
  <c r="R434" i="3" s="1"/>
  <c r="W434" i="3" s="1"/>
  <c r="S436" i="3"/>
  <c r="AC436" i="3" s="1"/>
  <c r="E437" i="3"/>
  <c r="D437" i="3"/>
  <c r="C437" i="3" s="1"/>
  <c r="B435" i="3"/>
  <c r="H435" i="3" l="1"/>
  <c r="R435" i="3" s="1"/>
  <c r="W435" i="3" s="1"/>
  <c r="D438" i="3"/>
  <c r="E438" i="3"/>
  <c r="S437" i="3"/>
  <c r="AC437" i="3" s="1"/>
  <c r="B436" i="3"/>
  <c r="B437" i="3" s="1"/>
  <c r="H436" i="3" l="1"/>
  <c r="R436" i="3" s="1"/>
  <c r="W436" i="3" s="1"/>
  <c r="C438" i="3"/>
  <c r="E439" i="3"/>
  <c r="D439" i="3"/>
  <c r="C439" i="3" s="1"/>
  <c r="S438" i="3"/>
  <c r="AC438" i="3" s="1"/>
  <c r="H437" i="3" l="1"/>
  <c r="R437" i="3" s="1"/>
  <c r="W437" i="3" s="1"/>
  <c r="S439" i="3"/>
  <c r="AC439" i="3" s="1"/>
  <c r="E440" i="3"/>
  <c r="D440" i="3"/>
  <c r="C440" i="3" s="1"/>
  <c r="B438" i="3"/>
  <c r="B439" i="3" s="1"/>
  <c r="H438" i="3" l="1"/>
  <c r="R438" i="3" s="1"/>
  <c r="W438" i="3" s="1"/>
  <c r="D441" i="3"/>
  <c r="E441" i="3"/>
  <c r="S440" i="3"/>
  <c r="AC440" i="3" s="1"/>
  <c r="H439" i="3" l="1"/>
  <c r="R439" i="3" s="1"/>
  <c r="W439" i="3" s="1"/>
  <c r="C441" i="3"/>
  <c r="E442" i="3"/>
  <c r="D442" i="3"/>
  <c r="C442" i="3" s="1"/>
  <c r="B440" i="3"/>
  <c r="S441" i="3"/>
  <c r="AC441" i="3" s="1"/>
  <c r="H440" i="3" l="1"/>
  <c r="R440" i="3" s="1"/>
  <c r="W440" i="3" s="1"/>
  <c r="S442" i="3"/>
  <c r="AC442" i="3" s="1"/>
  <c r="E443" i="3"/>
  <c r="D443" i="3"/>
  <c r="C443" i="3" s="1"/>
  <c r="B441" i="3"/>
  <c r="H441" i="3" l="1"/>
  <c r="R441" i="3" s="1"/>
  <c r="W441" i="3" s="1"/>
  <c r="E444" i="3"/>
  <c r="D444" i="3"/>
  <c r="C444" i="3" s="1"/>
  <c r="S443" i="3"/>
  <c r="AC443" i="3" s="1"/>
  <c r="B442" i="3"/>
  <c r="H442" i="3" l="1"/>
  <c r="R442" i="3" s="1"/>
  <c r="W442" i="3" s="1"/>
  <c r="B443" i="3"/>
  <c r="S444" i="3"/>
  <c r="AC444" i="3" s="1"/>
  <c r="E445" i="3"/>
  <c r="D445" i="3"/>
  <c r="C445" i="3" l="1"/>
  <c r="H443" i="3"/>
  <c r="R443" i="3" s="1"/>
  <c r="W443" i="3" s="1"/>
  <c r="S445" i="3"/>
  <c r="AC445" i="3" s="1"/>
  <c r="D446" i="3"/>
  <c r="E446" i="3"/>
  <c r="B444" i="3"/>
  <c r="B445" i="3" s="1"/>
  <c r="H444" i="3" l="1"/>
  <c r="R444" i="3" s="1"/>
  <c r="W444" i="3" s="1"/>
  <c r="C446" i="3"/>
  <c r="E447" i="3"/>
  <c r="D447" i="3"/>
  <c r="S446" i="3"/>
  <c r="AC446" i="3" s="1"/>
  <c r="B446" i="3"/>
  <c r="H445" i="3" l="1"/>
  <c r="R445" i="3" s="1"/>
  <c r="W445" i="3" s="1"/>
  <c r="C447" i="3"/>
  <c r="S447" i="3"/>
  <c r="AC447" i="3" s="1"/>
  <c r="E448" i="3"/>
  <c r="D448" i="3"/>
  <c r="C448" i="3" s="1"/>
  <c r="H446" i="3" l="1"/>
  <c r="R446" i="3" s="1"/>
  <c r="W446" i="3" s="1"/>
  <c r="D449" i="3"/>
  <c r="E449" i="3"/>
  <c r="S448" i="3"/>
  <c r="AC448" i="3" s="1"/>
  <c r="B447" i="3"/>
  <c r="H447" i="3" l="1"/>
  <c r="R447" i="3" s="1"/>
  <c r="W447" i="3" s="1"/>
  <c r="C449" i="3"/>
  <c r="B448" i="3"/>
  <c r="E450" i="3"/>
  <c r="D450" i="3"/>
  <c r="S449" i="3"/>
  <c r="AC449" i="3" s="1"/>
  <c r="H448" i="3" l="1"/>
  <c r="R448" i="3" s="1"/>
  <c r="W448" i="3" s="1"/>
  <c r="C450" i="3"/>
  <c r="S450" i="3"/>
  <c r="AC450" i="3" s="1"/>
  <c r="E451" i="3"/>
  <c r="D451" i="3"/>
  <c r="B449" i="3"/>
  <c r="B450" i="3" s="1"/>
  <c r="C451" i="3" l="1"/>
  <c r="H449" i="3"/>
  <c r="R449" i="3" s="1"/>
  <c r="W449" i="3" s="1"/>
  <c r="S451" i="3"/>
  <c r="AC451" i="3" s="1"/>
  <c r="E452" i="3"/>
  <c r="D452" i="3"/>
  <c r="C452" i="3" s="1"/>
  <c r="B451" i="3"/>
  <c r="H450" i="3" l="1"/>
  <c r="R450" i="3" s="1"/>
  <c r="W450" i="3" s="1"/>
  <c r="S452" i="3"/>
  <c r="AC452" i="3" s="1"/>
  <c r="E453" i="3"/>
  <c r="D453" i="3"/>
  <c r="C453" i="3" s="1"/>
  <c r="B452" i="3"/>
  <c r="H451" i="3" l="1"/>
  <c r="R451" i="3" s="1"/>
  <c r="W451" i="3" s="1"/>
  <c r="D454" i="3"/>
  <c r="E454" i="3"/>
  <c r="S453" i="3"/>
  <c r="AC453" i="3" s="1"/>
  <c r="H452" i="3" l="1"/>
  <c r="R452" i="3" s="1"/>
  <c r="W452" i="3" s="1"/>
  <c r="C454" i="3"/>
  <c r="B453" i="3"/>
  <c r="E455" i="3"/>
  <c r="D455" i="3"/>
  <c r="S454" i="3"/>
  <c r="AC454" i="3" s="1"/>
  <c r="H453" i="3" l="1"/>
  <c r="R453" i="3" s="1"/>
  <c r="W453" i="3" s="1"/>
  <c r="C455" i="3"/>
  <c r="S455" i="3"/>
  <c r="AC455" i="3" s="1"/>
  <c r="D456" i="3"/>
  <c r="E456" i="3"/>
  <c r="B454" i="3"/>
  <c r="B455" i="3" s="1"/>
  <c r="H454" i="3" l="1"/>
  <c r="R454" i="3" s="1"/>
  <c r="W454" i="3" s="1"/>
  <c r="C456" i="3"/>
  <c r="B456" i="3" s="1"/>
  <c r="D457" i="3"/>
  <c r="E457" i="3"/>
  <c r="S456" i="3"/>
  <c r="AC456" i="3" s="1"/>
  <c r="H455" i="3" l="1"/>
  <c r="R455" i="3" s="1"/>
  <c r="W455" i="3" s="1"/>
  <c r="C457" i="3"/>
  <c r="E458" i="3"/>
  <c r="D458" i="3"/>
  <c r="C458" i="3" s="1"/>
  <c r="S457" i="3"/>
  <c r="AC457" i="3" s="1"/>
  <c r="H456" i="3" l="1"/>
  <c r="R456" i="3" s="1"/>
  <c r="W456" i="3" s="1"/>
  <c r="E459" i="3"/>
  <c r="D459" i="3"/>
  <c r="C459" i="3" s="1"/>
  <c r="S458" i="3"/>
  <c r="AC458" i="3" s="1"/>
  <c r="B457" i="3"/>
  <c r="H457" i="3" l="1"/>
  <c r="R457" i="3" s="1"/>
  <c r="W457" i="3" s="1"/>
  <c r="S459" i="3"/>
  <c r="AC459" i="3" s="1"/>
  <c r="E460" i="3"/>
  <c r="D460" i="3"/>
  <c r="B458" i="3"/>
  <c r="C460" i="3" l="1"/>
  <c r="H458" i="3"/>
  <c r="H459" i="3" s="1"/>
  <c r="E461" i="3"/>
  <c r="D461" i="3"/>
  <c r="S460" i="3"/>
  <c r="AC460" i="3" s="1"/>
  <c r="B459" i="3"/>
  <c r="C461" i="3" l="1"/>
  <c r="R458" i="3"/>
  <c r="W458" i="3" s="1"/>
  <c r="R459" i="3"/>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S467" i="3"/>
  <c r="AC467" i="3" s="1"/>
  <c r="E468" i="3"/>
  <c r="D468" i="3"/>
  <c r="C468" i="3" s="1"/>
  <c r="B466" i="3"/>
  <c r="H466" i="3" s="1"/>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C475" i="3" s="1"/>
  <c r="R472" i="3"/>
  <c r="W472" i="3" s="1"/>
  <c r="H473" i="3"/>
  <c r="B473" i="3"/>
  <c r="E476" i="3" l="1"/>
  <c r="D476" i="3"/>
  <c r="C476" i="3" s="1"/>
  <c r="R473" i="3"/>
  <c r="W473" i="3" s="1"/>
  <c r="H474" i="3"/>
  <c r="S475" i="3"/>
  <c r="AC475" i="3" s="1"/>
  <c r="B474" i="3"/>
  <c r="B475" i="3" l="1"/>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C482" i="3" s="1"/>
  <c r="S481" i="3"/>
  <c r="AC481" i="3" s="1"/>
  <c r="E483" i="3" l="1"/>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C496" i="3" s="1"/>
  <c r="B494" i="3"/>
  <c r="H494" i="3" s="1"/>
  <c r="S496" i="3" l="1"/>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B526" i="3"/>
  <c r="H526" i="3" s="1"/>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C545" i="3" s="1"/>
  <c r="S544" i="3"/>
  <c r="AC544" i="3" s="1"/>
  <c r="B543" i="3"/>
  <c r="S545" i="3" l="1"/>
  <c r="AC545" i="3" s="1"/>
  <c r="E546" i="3"/>
  <c r="D546" i="3"/>
  <c r="R543" i="3"/>
  <c r="W543" i="3" s="1"/>
  <c r="H544" i="3"/>
  <c r="B544" i="3"/>
  <c r="C546" i="3" l="1"/>
  <c r="R544" i="3"/>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s="1"/>
  <c r="E550" i="3" l="1"/>
  <c r="D550" i="3"/>
  <c r="C550" i="3" s="1"/>
  <c r="S549" i="3"/>
  <c r="AC549" i="3" s="1"/>
  <c r="R547" i="3"/>
  <c r="W547" i="3" s="1"/>
  <c r="H548" i="3"/>
  <c r="B548" i="3"/>
  <c r="R548" i="3" l="1"/>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C553" i="3" s="1"/>
  <c r="B552" i="3"/>
  <c r="S553" i="3" l="1"/>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C556" i="3" s="1"/>
  <c r="B555" i="3"/>
  <c r="R554" i="3" l="1"/>
  <c r="W554" i="3" s="1"/>
  <c r="H555" i="3"/>
  <c r="S556" i="3"/>
  <c r="AC556" i="3" s="1"/>
  <c r="E557" i="3"/>
  <c r="D557" i="3"/>
  <c r="C557" i="3" s="1"/>
  <c r="B556" i="3"/>
  <c r="E558" i="3" l="1"/>
  <c r="D558" i="3"/>
  <c r="C558" i="3" s="1"/>
  <c r="S557" i="3"/>
  <c r="AC557" i="3" s="1"/>
  <c r="R555" i="3"/>
  <c r="W555" i="3" s="1"/>
  <c r="H556" i="3"/>
  <c r="R556" i="3" l="1"/>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s="1"/>
  <c r="E562" i="3" l="1"/>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C575" i="3" s="1"/>
  <c r="R572" i="3"/>
  <c r="W572" i="3" s="1"/>
  <c r="H573" i="3"/>
  <c r="B574" i="3"/>
  <c r="S575" i="3" l="1"/>
  <c r="AC575" i="3" s="1"/>
  <c r="E576" i="3"/>
  <c r="D576" i="3"/>
  <c r="C576" i="3" s="1"/>
  <c r="R573" i="3"/>
  <c r="W573" i="3" s="1"/>
  <c r="H574" i="3"/>
  <c r="B575"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C579" i="3" s="1"/>
  <c r="B578" i="3"/>
  <c r="E580" i="3" l="1"/>
  <c r="D580" i="3"/>
  <c r="S579" i="3"/>
  <c r="AC579" i="3" s="1"/>
  <c r="R577" i="3"/>
  <c r="W577" i="3" s="1"/>
  <c r="H578" i="3"/>
  <c r="C580" i="3" l="1"/>
  <c r="R578" i="3"/>
  <c r="W578" i="3" s="1"/>
  <c r="H579" i="3"/>
  <c r="B579" i="3"/>
  <c r="S580" i="3"/>
  <c r="AC580" i="3" s="1"/>
  <c r="E581" i="3"/>
  <c r="D581" i="3"/>
  <c r="C581" i="3" s="1"/>
  <c r="E582" i="3" l="1"/>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C585" i="3" s="1"/>
  <c r="B583" i="3"/>
  <c r="S585" i="3" l="1"/>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S592" i="3"/>
  <c r="AC592" i="3" s="1"/>
  <c r="E593" i="3"/>
  <c r="D593" i="3"/>
  <c r="R590" i="3"/>
  <c r="W590" i="3" s="1"/>
  <c r="H591" i="3"/>
  <c r="B592" i="3"/>
  <c r="C593" i="3" l="1"/>
  <c r="S593" i="3"/>
  <c r="AC593" i="3" s="1"/>
  <c r="E594" i="3"/>
  <c r="D594" i="3"/>
  <c r="R591" i="3"/>
  <c r="W591" i="3" s="1"/>
  <c r="H592" i="3"/>
  <c r="B593" i="3"/>
  <c r="C594" i="3" l="1"/>
  <c r="B594" i="3" s="1"/>
  <c r="S594" i="3"/>
  <c r="AC594" i="3" s="1"/>
  <c r="E595" i="3"/>
  <c r="D595" i="3"/>
  <c r="C595" i="3" s="1"/>
  <c r="R592" i="3"/>
  <c r="W592" i="3" s="1"/>
  <c r="H593" i="3"/>
  <c r="S595" i="3" l="1"/>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C601" i="3" s="1"/>
  <c r="R598" i="3"/>
  <c r="W598" i="3" s="1"/>
  <c r="H599" i="3"/>
  <c r="B600" i="3"/>
  <c r="S601" i="3" l="1"/>
  <c r="AC601" i="3" s="1"/>
  <c r="E602" i="3"/>
  <c r="D602" i="3"/>
  <c r="C602" i="3" s="1"/>
  <c r="R599" i="3"/>
  <c r="W599" i="3" s="1"/>
  <c r="H600" i="3"/>
  <c r="B601" i="3"/>
  <c r="B602" i="3" l="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C609" i="3" s="1"/>
  <c r="B607" i="3"/>
  <c r="S609" i="3" l="1"/>
  <c r="AC609" i="3" s="1"/>
  <c r="E610" i="3"/>
  <c r="D610" i="3"/>
  <c r="C610" i="3" s="1"/>
  <c r="R607" i="3"/>
  <c r="W607" i="3" s="1"/>
  <c r="H608" i="3"/>
  <c r="B608" i="3"/>
  <c r="B609" i="3" s="1"/>
  <c r="S610" i="3" l="1"/>
  <c r="AC610" i="3" s="1"/>
  <c r="E611" i="3"/>
  <c r="D611" i="3"/>
  <c r="C611" i="3" s="1"/>
  <c r="B610" i="3"/>
  <c r="R608" i="3"/>
  <c r="W608" i="3" s="1"/>
  <c r="H609" i="3"/>
  <c r="S611" i="3" l="1"/>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C619" i="3" s="1"/>
  <c r="S618" i="3"/>
  <c r="AC618" i="3" s="1"/>
  <c r="S619" i="3" l="1"/>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C629" i="3" s="1"/>
  <c r="S628" i="3"/>
  <c r="AC628" i="3" s="1"/>
  <c r="D630" i="3" l="1"/>
  <c r="E630" i="3"/>
  <c r="S629" i="3"/>
  <c r="AC629" i="3" s="1"/>
  <c r="R627" i="3"/>
  <c r="W627" i="3" s="1"/>
  <c r="H628" i="3"/>
  <c r="B628" i="3"/>
  <c r="C630" i="3" l="1"/>
  <c r="R628" i="3"/>
  <c r="W628" i="3" s="1"/>
  <c r="H629" i="3"/>
  <c r="E631" i="3"/>
  <c r="D631" i="3"/>
  <c r="C631" i="3" s="1"/>
  <c r="S630" i="3"/>
  <c r="AC630" i="3" s="1"/>
  <c r="B629" i="3"/>
  <c r="S631" i="3" l="1"/>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C647" i="3" s="1"/>
  <c r="S646" i="3"/>
  <c r="AC646" i="3" s="1"/>
  <c r="R644" i="3"/>
  <c r="W644" i="3" s="1"/>
  <c r="H645" i="3"/>
  <c r="B645" i="3"/>
  <c r="R645" i="3" l="1"/>
  <c r="W645" i="3" s="1"/>
  <c r="S647" i="3"/>
  <c r="AC647" i="3" s="1"/>
  <c r="E648" i="3"/>
  <c r="D648" i="3"/>
  <c r="C648" i="3" s="1"/>
  <c r="B646" i="3"/>
  <c r="H646" i="3" s="1"/>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C675" i="3" s="1"/>
  <c r="R672" i="3"/>
  <c r="W672" i="3" s="1"/>
  <c r="H673" i="3"/>
  <c r="B673" i="3"/>
  <c r="B674" i="3" s="1"/>
  <c r="S675" i="3" l="1"/>
  <c r="AC675" i="3" s="1"/>
  <c r="E676" i="3"/>
  <c r="D676" i="3"/>
  <c r="C676" i="3" s="1"/>
  <c r="R673" i="3"/>
  <c r="W673" i="3" s="1"/>
  <c r="H674" i="3"/>
  <c r="B675" i="3"/>
  <c r="S676" i="3" l="1"/>
  <c r="AC676" i="3" s="1"/>
  <c r="E677" i="3"/>
  <c r="D677" i="3"/>
  <c r="C677" i="3" s="1"/>
  <c r="R674" i="3"/>
  <c r="W674" i="3" s="1"/>
  <c r="H675" i="3"/>
  <c r="B676" i="3"/>
  <c r="S677" i="3" l="1"/>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R684" i="3"/>
  <c r="W684" i="3" s="1"/>
  <c r="H685" i="3"/>
  <c r="B686" i="3"/>
  <c r="C687" i="3" l="1"/>
  <c r="E688" i="3"/>
  <c r="D688" i="3"/>
  <c r="C688" i="3" s="1"/>
  <c r="S687" i="3"/>
  <c r="AC687" i="3" s="1"/>
  <c r="R685" i="3"/>
  <c r="W685" i="3" s="1"/>
  <c r="H686" i="3"/>
  <c r="B687" i="3"/>
  <c r="R686" i="3" l="1"/>
  <c r="W686" i="3" s="1"/>
  <c r="H687" i="3"/>
  <c r="S688" i="3"/>
  <c r="AC688" i="3" s="1"/>
  <c r="E689" i="3"/>
  <c r="D689" i="3"/>
  <c r="C689" i="3" s="1"/>
  <c r="S689" i="3" l="1"/>
  <c r="AC689" i="3" s="1"/>
  <c r="R687" i="3"/>
  <c r="W687" i="3" s="1"/>
  <c r="H688" i="3"/>
  <c r="E690" i="3"/>
  <c r="D690" i="3"/>
  <c r="C690" i="3" s="1"/>
  <c r="B688" i="3"/>
  <c r="S690" i="3" l="1"/>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s="1"/>
  <c r="S696" i="3" l="1"/>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s="1"/>
  <c r="S701" i="3" l="1"/>
  <c r="AC701" i="3" s="1"/>
  <c r="R699" i="3"/>
  <c r="W699" i="3" s="1"/>
  <c r="H700" i="3"/>
  <c r="E702" i="3"/>
  <c r="D702" i="3"/>
  <c r="C702" i="3" s="1"/>
  <c r="B700" i="3"/>
  <c r="B701" i="3" s="1"/>
  <c r="S702" i="3" l="1"/>
  <c r="AC702" i="3" s="1"/>
  <c r="E703" i="3"/>
  <c r="D703" i="3"/>
  <c r="C703" i="3" s="1"/>
  <c r="R700" i="3"/>
  <c r="W700" i="3" s="1"/>
  <c r="H701" i="3"/>
  <c r="B702" i="3"/>
  <c r="S703" i="3" l="1"/>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s="1"/>
  <c r="E707" i="3" l="1"/>
  <c r="D707" i="3"/>
  <c r="C707" i="3" s="1"/>
  <c r="R704" i="3"/>
  <c r="W704" i="3" s="1"/>
  <c r="S706" i="3"/>
  <c r="AC706" i="3" s="1"/>
  <c r="B705" i="3"/>
  <c r="H705" i="3" s="1"/>
  <c r="R705" i="3" l="1"/>
  <c r="W705" i="3" s="1"/>
  <c r="B706" i="3"/>
  <c r="H706" i="3" s="1"/>
  <c r="S707" i="3"/>
  <c r="AC707" i="3" s="1"/>
  <c r="E708" i="3"/>
  <c r="D708" i="3"/>
  <c r="C708" i="3" s="1"/>
  <c r="S708" i="3" l="1"/>
  <c r="AC708" i="3" s="1"/>
  <c r="E709" i="3"/>
  <c r="D709" i="3"/>
  <c r="C709" i="3" s="1"/>
  <c r="R706" i="3"/>
  <c r="W706" i="3" s="1"/>
  <c r="H707" i="3"/>
  <c r="B707" i="3"/>
  <c r="E710" i="3" l="1"/>
  <c r="D710" i="3"/>
  <c r="C710" i="3" s="1"/>
  <c r="R707" i="3"/>
  <c r="W707" i="3" s="1"/>
  <c r="H708" i="3"/>
  <c r="S709" i="3"/>
  <c r="AC709" i="3" s="1"/>
  <c r="B708" i="3"/>
  <c r="B709" i="3" s="1"/>
  <c r="R708" i="3" l="1"/>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s="1"/>
  <c r="E714" i="3" l="1"/>
  <c r="D714" i="3"/>
  <c r="C714" i="3" s="1"/>
  <c r="S713" i="3"/>
  <c r="AC713" i="3" s="1"/>
  <c r="R711" i="3"/>
  <c r="W711" i="3" s="1"/>
  <c r="H712" i="3"/>
  <c r="B712" i="3"/>
  <c r="R712" i="3" l="1"/>
  <c r="W712" i="3" s="1"/>
  <c r="H713" i="3"/>
  <c r="S714" i="3"/>
  <c r="AC714" i="3" s="1"/>
  <c r="E715" i="3"/>
  <c r="D715" i="3"/>
  <c r="B713" i="3"/>
  <c r="C715" i="3" l="1"/>
  <c r="E716" i="3"/>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C723" i="3" s="1"/>
  <c r="B721" i="3"/>
  <c r="B722" i="3" s="1"/>
  <c r="S723" i="3" l="1"/>
  <c r="AC723" i="3" s="1"/>
  <c r="E724" i="3"/>
  <c r="D724" i="3"/>
  <c r="C724" i="3" s="1"/>
  <c r="R721" i="3"/>
  <c r="W721" i="3" s="1"/>
  <c r="H722" i="3"/>
  <c r="B723" i="3"/>
  <c r="S724" i="3" l="1"/>
  <c r="AC724" i="3" s="1"/>
  <c r="E725" i="3"/>
  <c r="D725" i="3"/>
  <c r="C725" i="3" s="1"/>
  <c r="R722" i="3"/>
  <c r="W722" i="3" s="1"/>
  <c r="H723" i="3"/>
  <c r="B724" i="3"/>
  <c r="E726" i="3" l="1"/>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s="1"/>
  <c r="S729" i="3" l="1"/>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C732" i="3" s="1"/>
  <c r="B731" i="3"/>
  <c r="E733" i="3" l="1"/>
  <c r="D733" i="3"/>
  <c r="C733" i="3" s="1"/>
  <c r="S732" i="3"/>
  <c r="AC732" i="3" s="1"/>
  <c r="R730" i="3"/>
  <c r="W730" i="3" s="1"/>
  <c r="H731" i="3"/>
  <c r="R731" i="3" l="1"/>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C737" i="3" s="1"/>
  <c r="S736" i="3"/>
  <c r="AC736" i="3" s="1"/>
  <c r="B736" i="3" l="1"/>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s="1"/>
  <c r="E743" i="3" l="1"/>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C752" i="3" s="1"/>
  <c r="B750" i="3"/>
  <c r="E753" i="3" l="1"/>
  <c r="D753" i="3"/>
  <c r="C753" i="3" s="1"/>
  <c r="S752" i="3"/>
  <c r="AC752" i="3" s="1"/>
  <c r="R750" i="3"/>
  <c r="W750" i="3" s="1"/>
  <c r="H751" i="3"/>
  <c r="B751" i="3"/>
  <c r="R751" i="3" l="1"/>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s="1"/>
  <c r="E759" i="3" l="1"/>
  <c r="D759" i="3"/>
  <c r="S758" i="3"/>
  <c r="AC758" i="3" s="1"/>
  <c r="R756" i="3"/>
  <c r="W756" i="3" s="1"/>
  <c r="H757" i="3"/>
  <c r="B757" i="3"/>
  <c r="C759" i="3" l="1"/>
  <c r="R757" i="3"/>
  <c r="W757" i="3" s="1"/>
  <c r="H758" i="3"/>
  <c r="S759" i="3"/>
  <c r="AC759" i="3" s="1"/>
  <c r="E760" i="3"/>
  <c r="D760" i="3"/>
  <c r="C760" i="3" s="1"/>
  <c r="B758" i="3"/>
  <c r="R758" i="3" l="1"/>
  <c r="W758" i="3" s="1"/>
  <c r="H759" i="3"/>
  <c r="S760" i="3"/>
  <c r="AC760" i="3" s="1"/>
  <c r="E761" i="3"/>
  <c r="D761" i="3"/>
  <c r="C761" i="3" s="1"/>
  <c r="B759" i="3"/>
  <c r="S761" i="3" l="1"/>
  <c r="AC761" i="3" s="1"/>
  <c r="R759" i="3"/>
  <c r="W759" i="3" s="1"/>
  <c r="H760" i="3"/>
  <c r="E762" i="3"/>
  <c r="D762" i="3"/>
  <c r="C762" i="3" s="1"/>
  <c r="B760" i="3"/>
  <c r="B761" i="3" s="1"/>
  <c r="S762" i="3" l="1"/>
  <c r="AC762" i="3" s="1"/>
  <c r="E763" i="3"/>
  <c r="D763" i="3"/>
  <c r="R760" i="3"/>
  <c r="W760" i="3" s="1"/>
  <c r="H761" i="3"/>
  <c r="B762" i="3"/>
  <c r="C763" i="3" l="1"/>
  <c r="S763" i="3"/>
  <c r="AC763" i="3" s="1"/>
  <c r="E764" i="3"/>
  <c r="D764" i="3"/>
  <c r="R761" i="3"/>
  <c r="W761" i="3" s="1"/>
  <c r="H762" i="3"/>
  <c r="B763" i="3"/>
  <c r="C764" i="3" l="1"/>
  <c r="S764" i="3"/>
  <c r="AC764" i="3" s="1"/>
  <c r="E765" i="3"/>
  <c r="D765" i="3"/>
  <c r="C765" i="3" s="1"/>
  <c r="R762" i="3"/>
  <c r="W762" i="3" s="1"/>
  <c r="H763" i="3"/>
  <c r="B764" i="3"/>
  <c r="S765" i="3" l="1"/>
  <c r="AC765" i="3" s="1"/>
  <c r="R763" i="3"/>
  <c r="W763" i="3" s="1"/>
  <c r="H764" i="3"/>
  <c r="E766" i="3"/>
  <c r="D766" i="3"/>
  <c r="C766" i="3" s="1"/>
  <c r="B765" i="3"/>
  <c r="R764" i="3" l="1"/>
  <c r="W764" i="3" s="1"/>
  <c r="H765" i="3"/>
  <c r="S766" i="3"/>
  <c r="AC766" i="3" s="1"/>
  <c r="E767" i="3"/>
  <c r="D767" i="3"/>
  <c r="C767" i="3" s="1"/>
  <c r="B766" i="3"/>
  <c r="S767" i="3" l="1"/>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C771" i="3" s="1"/>
  <c r="B770" i="3"/>
  <c r="R769" i="3" l="1"/>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s="1"/>
  <c r="E775" i="3" l="1"/>
  <c r="D775" i="3"/>
  <c r="C775" i="3" s="1"/>
  <c r="S774" i="3"/>
  <c r="AC774" i="3" s="1"/>
  <c r="R772" i="3"/>
  <c r="W772" i="3" s="1"/>
  <c r="H773" i="3"/>
  <c r="B773" i="3"/>
  <c r="R773" i="3" l="1"/>
  <c r="W773" i="3" s="1"/>
  <c r="H774" i="3"/>
  <c r="S775" i="3"/>
  <c r="AC775" i="3" s="1"/>
  <c r="E776" i="3"/>
  <c r="D776" i="3"/>
  <c r="C776" i="3" s="1"/>
  <c r="B774" i="3"/>
  <c r="R774" i="3" l="1"/>
  <c r="W774" i="3" s="1"/>
  <c r="H775" i="3"/>
  <c r="S776" i="3"/>
  <c r="AC776" i="3" s="1"/>
  <c r="E777" i="3"/>
  <c r="D777" i="3"/>
  <c r="C777" i="3" s="1"/>
  <c r="B775" i="3"/>
  <c r="R775" i="3" l="1"/>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C780" i="3" s="1"/>
  <c r="B778" i="3"/>
  <c r="R778" i="3" l="1"/>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C783" i="3" s="1"/>
  <c r="B781" i="3"/>
  <c r="R781" i="3" l="1"/>
  <c r="W781" i="3" s="1"/>
  <c r="H782" i="3"/>
  <c r="S783" i="3"/>
  <c r="AC783" i="3" s="1"/>
  <c r="E784" i="3"/>
  <c r="D784" i="3"/>
  <c r="C784" i="3" s="1"/>
  <c r="B782" i="3"/>
  <c r="S784" i="3" l="1"/>
  <c r="AC784" i="3" s="1"/>
  <c r="R782" i="3"/>
  <c r="W782" i="3" s="1"/>
  <c r="E785" i="3"/>
  <c r="D785" i="3"/>
  <c r="C785" i="3" s="1"/>
  <c r="B783" i="3"/>
  <c r="H783" i="3" s="1"/>
  <c r="R783" i="3" l="1"/>
  <c r="W783" i="3" s="1"/>
  <c r="H784" i="3"/>
  <c r="B784" i="3"/>
  <c r="B785" i="3" s="1"/>
  <c r="S785" i="3"/>
  <c r="AC785" i="3" s="1"/>
  <c r="E786" i="3"/>
  <c r="D786" i="3"/>
  <c r="C786" i="3" l="1"/>
  <c r="S786" i="3"/>
  <c r="AC786" i="3" s="1"/>
  <c r="R784" i="3"/>
  <c r="W784" i="3" s="1"/>
  <c r="H785" i="3"/>
  <c r="E787" i="3"/>
  <c r="D787" i="3"/>
  <c r="C787" i="3" s="1"/>
  <c r="S787" i="3" l="1"/>
  <c r="AC787" i="3" s="1"/>
  <c r="E788" i="3"/>
  <c r="D788" i="3"/>
  <c r="C788" i="3" s="1"/>
  <c r="R785" i="3"/>
  <c r="W785" i="3" s="1"/>
  <c r="H786" i="3"/>
  <c r="B786" i="3"/>
  <c r="B787" i="3" s="1"/>
  <c r="R786" i="3" l="1"/>
  <c r="W786" i="3" s="1"/>
  <c r="H787" i="3"/>
  <c r="S788" i="3"/>
  <c r="AC788" i="3" s="1"/>
  <c r="E789" i="3"/>
  <c r="D789" i="3"/>
  <c r="B788" i="3"/>
  <c r="C789" i="3" l="1"/>
  <c r="S789" i="3"/>
  <c r="AC789" i="3" s="1"/>
  <c r="E790" i="3"/>
  <c r="D790" i="3"/>
  <c r="B789" i="3"/>
  <c r="R787" i="3"/>
  <c r="W787" i="3" s="1"/>
  <c r="H788" i="3"/>
  <c r="C790" i="3" l="1"/>
  <c r="S790" i="3"/>
  <c r="AC790" i="3" s="1"/>
  <c r="E791" i="3"/>
  <c r="D791" i="3"/>
  <c r="C791" i="3" s="1"/>
  <c r="R788" i="3"/>
  <c r="W788" i="3" s="1"/>
  <c r="H789" i="3"/>
  <c r="B790" i="3"/>
  <c r="S791" i="3" l="1"/>
  <c r="AC791" i="3" s="1"/>
  <c r="R789" i="3"/>
  <c r="W789" i="3" s="1"/>
  <c r="H790" i="3"/>
  <c r="E792" i="3"/>
  <c r="D792" i="3"/>
  <c r="C792" i="3" s="1"/>
  <c r="B791" i="3"/>
  <c r="R790" i="3" l="1"/>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C800" i="3" s="1"/>
  <c r="B798" i="3"/>
  <c r="S800" i="3" l="1"/>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C805" i="3" s="1"/>
  <c r="S804" i="3"/>
  <c r="AC804" i="3" s="1"/>
  <c r="R802" i="3"/>
  <c r="W802" i="3" s="1"/>
  <c r="H803" i="3"/>
  <c r="B804" i="3"/>
  <c r="R803" i="3" l="1"/>
  <c r="W803" i="3" s="1"/>
  <c r="H804" i="3"/>
  <c r="S805" i="3"/>
  <c r="AC805" i="3" s="1"/>
  <c r="E806" i="3"/>
  <c r="D806" i="3"/>
  <c r="C806" i="3" s="1"/>
  <c r="E807" i="3" l="1"/>
  <c r="D807" i="3"/>
  <c r="C807" i="3" s="1"/>
  <c r="R804" i="3"/>
  <c r="W804" i="3" s="1"/>
  <c r="H805" i="3"/>
  <c r="S806" i="3"/>
  <c r="AC806" i="3" s="1"/>
  <c r="B805" i="3"/>
  <c r="B806" i="3" s="1"/>
  <c r="R805" i="3" l="1"/>
  <c r="W805" i="3" s="1"/>
  <c r="H806" i="3"/>
  <c r="S807" i="3"/>
  <c r="AC807" i="3" s="1"/>
  <c r="E808" i="3"/>
  <c r="D808" i="3"/>
  <c r="C808" i="3" s="1"/>
  <c r="B807" i="3"/>
  <c r="S808" i="3" l="1"/>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C815" i="3" s="1"/>
  <c r="B814" i="3"/>
  <c r="E816" i="3" l="1"/>
  <c r="D816" i="3"/>
  <c r="C816" i="3" s="1"/>
  <c r="S815" i="3"/>
  <c r="AC815" i="3" s="1"/>
  <c r="R813" i="3"/>
  <c r="W813" i="3" s="1"/>
  <c r="H814" i="3"/>
  <c r="R814" i="3" l="1"/>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s="1"/>
  <c r="E822" i="3" l="1"/>
  <c r="D822" i="3"/>
  <c r="C822" i="3" s="1"/>
  <c r="R819" i="3"/>
  <c r="W819" i="3" s="1"/>
  <c r="H820" i="3"/>
  <c r="S821" i="3"/>
  <c r="AC821" i="3" s="1"/>
  <c r="B820" i="3"/>
  <c r="B821" i="3" s="1"/>
  <c r="R820" i="3" l="1"/>
  <c r="W820" i="3" s="1"/>
  <c r="H821" i="3"/>
  <c r="S822" i="3"/>
  <c r="AC822" i="3" s="1"/>
  <c r="B822" i="3"/>
  <c r="E823" i="3"/>
  <c r="D823" i="3"/>
  <c r="C823" i="3" s="1"/>
  <c r="S823" i="3" l="1"/>
  <c r="AC823" i="3" s="1"/>
  <c r="B823" i="3"/>
  <c r="E824" i="3"/>
  <c r="D824" i="3"/>
  <c r="C824" i="3" s="1"/>
  <c r="R821" i="3"/>
  <c r="W821" i="3" s="1"/>
  <c r="H822" i="3"/>
  <c r="E825" i="3" l="1"/>
  <c r="D825" i="3"/>
  <c r="C825" i="3" s="1"/>
  <c r="R822" i="3"/>
  <c r="W822" i="3" s="1"/>
  <c r="H823" i="3"/>
  <c r="S824" i="3"/>
  <c r="AC824" i="3" s="1"/>
  <c r="B824" i="3" l="1"/>
  <c r="R823" i="3"/>
  <c r="W823" i="3" s="1"/>
  <c r="H824" i="3"/>
  <c r="S825" i="3"/>
  <c r="AC825" i="3" s="1"/>
  <c r="E826" i="3"/>
  <c r="D826" i="3"/>
  <c r="C826" i="3" s="1"/>
  <c r="R824" i="3" l="1"/>
  <c r="W824" i="3" s="1"/>
  <c r="S826" i="3"/>
  <c r="AC826" i="3" s="1"/>
  <c r="D827" i="3"/>
  <c r="E827" i="3"/>
  <c r="B825" i="3"/>
  <c r="H825" i="3" s="1"/>
  <c r="C827" i="3" l="1"/>
  <c r="S827" i="3"/>
  <c r="AC827" i="3" s="1"/>
  <c r="R825" i="3"/>
  <c r="W825" i="3" s="1"/>
  <c r="E828" i="3"/>
  <c r="D828" i="3"/>
  <c r="C828" i="3" s="1"/>
  <c r="B826" i="3"/>
  <c r="B827" i="3" s="1"/>
  <c r="H826" i="3" l="1"/>
  <c r="R826" i="3" s="1"/>
  <c r="W826" i="3" s="1"/>
  <c r="S828" i="3"/>
  <c r="AC828" i="3" s="1"/>
  <c r="E829" i="3"/>
  <c r="D829" i="3"/>
  <c r="C829" i="3" s="1"/>
  <c r="B828" i="3"/>
  <c r="H827" i="3" l="1"/>
  <c r="R827" i="3" s="1"/>
  <c r="W827" i="3" s="1"/>
  <c r="S829" i="3"/>
  <c r="AC829" i="3" s="1"/>
  <c r="E830" i="3"/>
  <c r="D830" i="3"/>
  <c r="C830" i="3" s="1"/>
  <c r="B829" i="3"/>
  <c r="H828" i="3" l="1"/>
  <c r="H829" i="3" s="1"/>
  <c r="S830" i="3"/>
  <c r="AC830" i="3" s="1"/>
  <c r="E831" i="3"/>
  <c r="D831" i="3"/>
  <c r="B830" i="3"/>
  <c r="R828" i="3" l="1"/>
  <c r="W828" i="3" s="1"/>
  <c r="C831" i="3"/>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s="1"/>
  <c r="E836" i="3" l="1"/>
  <c r="D836" i="3"/>
  <c r="C836" i="3" s="1"/>
  <c r="S835" i="3"/>
  <c r="AC835" i="3" s="1"/>
  <c r="R833" i="3"/>
  <c r="W833" i="3" s="1"/>
  <c r="H834" i="3"/>
  <c r="B834" i="3"/>
  <c r="R834" i="3" l="1"/>
  <c r="W834" i="3" s="1"/>
  <c r="H835" i="3"/>
  <c r="B835" i="3"/>
  <c r="S836" i="3"/>
  <c r="AC836" i="3" s="1"/>
  <c r="E837" i="3"/>
  <c r="D837" i="3"/>
  <c r="C837" i="3" s="1"/>
  <c r="E838" i="3" l="1"/>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C862" i="3" s="1"/>
  <c r="E862" i="3"/>
  <c r="S861" i="3"/>
  <c r="AC861" i="3" s="1"/>
  <c r="R859" i="3"/>
  <c r="W859" i="3" s="1"/>
  <c r="H860" i="3"/>
  <c r="B860" i="3"/>
  <c r="B861" i="3" s="1"/>
  <c r="R860" i="3" l="1"/>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C874" i="3" s="1"/>
  <c r="B873" i="3"/>
  <c r="S874" i="3" l="1"/>
  <c r="AC874" i="3" s="1"/>
  <c r="R872" i="3"/>
  <c r="W872" i="3" s="1"/>
  <c r="H873" i="3"/>
  <c r="E875" i="3"/>
  <c r="D875" i="3"/>
  <c r="C875" i="3" s="1"/>
  <c r="S875" i="3" l="1"/>
  <c r="AC875" i="3" s="1"/>
  <c r="E876" i="3"/>
  <c r="D876" i="3"/>
  <c r="C876" i="3" s="1"/>
  <c r="R873" i="3"/>
  <c r="W873" i="3" s="1"/>
  <c r="H874" i="3"/>
  <c r="B874" i="3"/>
  <c r="B875" i="3" s="1"/>
  <c r="S876" i="3" l="1"/>
  <c r="AC876" i="3" s="1"/>
  <c r="E877" i="3"/>
  <c r="D877" i="3"/>
  <c r="C877" i="3" s="1"/>
  <c r="R874" i="3"/>
  <c r="W874" i="3" s="1"/>
  <c r="H875" i="3"/>
  <c r="B876" i="3"/>
  <c r="S877" i="3" l="1"/>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C881" i="3" s="1"/>
  <c r="R878" i="3"/>
  <c r="W878" i="3" s="1"/>
  <c r="H879" i="3"/>
  <c r="B880" i="3"/>
  <c r="S881" i="3" l="1"/>
  <c r="AC881" i="3" s="1"/>
  <c r="E882" i="3"/>
  <c r="D882" i="3"/>
  <c r="C882" i="3" s="1"/>
  <c r="R879" i="3"/>
  <c r="W879" i="3" s="1"/>
  <c r="H880" i="3"/>
  <c r="B881"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C892" i="3" s="1"/>
  <c r="B891" i="3"/>
  <c r="R890" i="3" l="1"/>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R902" i="3"/>
  <c r="W902" i="3" s="1"/>
  <c r="H903" i="3"/>
  <c r="B903" i="3"/>
  <c r="B904" i="3" s="1"/>
  <c r="C905" i="3" l="1"/>
  <c r="S905" i="3"/>
  <c r="AC905" i="3" s="1"/>
  <c r="E906" i="3"/>
  <c r="D906" i="3"/>
  <c r="R903" i="3"/>
  <c r="W903" i="3" s="1"/>
  <c r="H904" i="3"/>
  <c r="B905" i="3"/>
  <c r="C906" i="3" l="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R912" i="3"/>
  <c r="W912" i="3" s="1"/>
  <c r="H913" i="3"/>
  <c r="B914" i="3"/>
  <c r="C915" i="3" l="1"/>
  <c r="S915" i="3"/>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C933" i="3" s="1"/>
  <c r="B932" i="3"/>
  <c r="R931" i="3" l="1"/>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s="1"/>
  <c r="S940" i="3" l="1"/>
  <c r="AC940" i="3" s="1"/>
  <c r="B939" i="3"/>
  <c r="B940" i="3" s="1"/>
  <c r="E941" i="3"/>
  <c r="D941" i="3"/>
  <c r="C941" i="3" s="1"/>
  <c r="R938" i="3"/>
  <c r="W938" i="3" s="1"/>
  <c r="H939" i="3"/>
  <c r="E942" i="3" l="1"/>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S946" i="3"/>
  <c r="AC946" i="3" s="1"/>
  <c r="E947" i="3"/>
  <c r="D947" i="3"/>
  <c r="R944" i="3"/>
  <c r="W944" i="3" s="1"/>
  <c r="H945" i="3"/>
  <c r="B946"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s="1"/>
  <c r="S952" i="3" l="1"/>
  <c r="AC952" i="3" s="1"/>
  <c r="E953" i="3"/>
  <c r="D953" i="3"/>
  <c r="C953" i="3" s="1"/>
  <c r="R950" i="3"/>
  <c r="W950" i="3" s="1"/>
  <c r="H951" i="3"/>
  <c r="B951" i="3"/>
  <c r="B952" i="3" s="1"/>
  <c r="S953" i="3" l="1"/>
  <c r="AC953" i="3" s="1"/>
  <c r="E954" i="3"/>
  <c r="D954" i="3"/>
  <c r="C954" i="3" s="1"/>
  <c r="R951" i="3"/>
  <c r="W951" i="3" s="1"/>
  <c r="H952" i="3"/>
  <c r="B953" i="3"/>
  <c r="S954" i="3" l="1"/>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S965" i="3"/>
  <c r="AC965" i="3" s="1"/>
  <c r="R963" i="3"/>
  <c r="W963" i="3" s="1"/>
  <c r="H964" i="3"/>
  <c r="E966" i="3"/>
  <c r="D966" i="3"/>
  <c r="C966" i="3" s="1"/>
  <c r="B965" i="3"/>
  <c r="R964" i="3" l="1"/>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s="1"/>
  <c r="S969" i="3" l="1"/>
  <c r="AC969" i="3" s="1"/>
  <c r="B968" i="3"/>
  <c r="E970" i="3"/>
  <c r="D970" i="3"/>
  <c r="C970" i="3" s="1"/>
  <c r="R967" i="3"/>
  <c r="W967" i="3" s="1"/>
  <c r="H968" i="3"/>
  <c r="R968" i="3" l="1"/>
  <c r="W968" i="3" s="1"/>
  <c r="H969" i="3"/>
  <c r="S970" i="3"/>
  <c r="AC970" i="3" s="1"/>
  <c r="E971" i="3"/>
  <c r="D971" i="3"/>
  <c r="C971" i="3" s="1"/>
  <c r="B969" i="3"/>
  <c r="S971" i="3" l="1"/>
  <c r="AC971" i="3" s="1"/>
  <c r="B970" i="3"/>
  <c r="E972" i="3"/>
  <c r="D972" i="3"/>
  <c r="C972" i="3" s="1"/>
  <c r="R969" i="3"/>
  <c r="W969" i="3" s="1"/>
  <c r="H970" i="3"/>
  <c r="E973" i="3" l="1"/>
  <c r="D973" i="3"/>
  <c r="R970" i="3"/>
  <c r="W970" i="3" s="1"/>
  <c r="H971" i="3"/>
  <c r="S972" i="3"/>
  <c r="AC972" i="3" s="1"/>
  <c r="B971" i="3"/>
  <c r="B972" i="3" s="1"/>
  <c r="C973" i="3" l="1"/>
  <c r="R971" i="3"/>
  <c r="W971" i="3" s="1"/>
  <c r="H972" i="3"/>
  <c r="S973" i="3"/>
  <c r="AC973" i="3" s="1"/>
  <c r="B973" i="3"/>
  <c r="E974" i="3"/>
  <c r="D974" i="3"/>
  <c r="C974" i="3" s="1"/>
  <c r="E975" i="3" l="1"/>
  <c r="D975" i="3"/>
  <c r="C975" i="3" s="1"/>
  <c r="S974" i="3"/>
  <c r="AC974" i="3" s="1"/>
  <c r="R972" i="3"/>
  <c r="W972" i="3" s="1"/>
  <c r="H973" i="3"/>
  <c r="R973" i="3" l="1"/>
  <c r="W973" i="3" s="1"/>
  <c r="H974" i="3"/>
  <c r="B974" i="3"/>
  <c r="S975" i="3"/>
  <c r="AC975" i="3" s="1"/>
  <c r="E976" i="3"/>
  <c r="D976" i="3"/>
  <c r="C976" i="3" s="1"/>
  <c r="E977" i="3" l="1"/>
  <c r="D977" i="3"/>
  <c r="S976" i="3"/>
  <c r="AC976" i="3" s="1"/>
  <c r="R974" i="3"/>
  <c r="W974" i="3" s="1"/>
  <c r="H975" i="3"/>
  <c r="B975" i="3"/>
  <c r="C977" i="3" l="1"/>
  <c r="R975" i="3"/>
  <c r="W975" i="3" s="1"/>
  <c r="H976" i="3"/>
  <c r="B976" i="3"/>
  <c r="S977" i="3"/>
  <c r="AC977" i="3" s="1"/>
  <c r="E978" i="3"/>
  <c r="D978" i="3"/>
  <c r="C978" i="3" s="1"/>
  <c r="E979" i="3" l="1"/>
  <c r="D979" i="3"/>
  <c r="C979" i="3" s="1"/>
  <c r="S978" i="3"/>
  <c r="AC978" i="3" s="1"/>
  <c r="R976" i="3"/>
  <c r="W976" i="3" s="1"/>
  <c r="H977" i="3"/>
  <c r="B977" i="3"/>
  <c r="R977" i="3" l="1"/>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C985" i="3" s="1"/>
  <c r="S984" i="3"/>
  <c r="AC984" i="3" s="1"/>
  <c r="R982" i="3"/>
  <c r="W982" i="3" s="1"/>
  <c r="H983" i="3"/>
  <c r="B983" i="3"/>
  <c r="R983" i="3" l="1"/>
  <c r="W983" i="3" s="1"/>
  <c r="H984" i="3"/>
  <c r="B984" i="3"/>
  <c r="S985" i="3"/>
  <c r="AC985" i="3" s="1"/>
  <c r="E986" i="3"/>
  <c r="D986" i="3"/>
  <c r="C986" i="3" s="1"/>
  <c r="E987" i="3" l="1"/>
  <c r="D987" i="3"/>
  <c r="C987" i="3" s="1"/>
  <c r="S986" i="3"/>
  <c r="AC986" i="3" s="1"/>
  <c r="R984" i="3"/>
  <c r="W984" i="3" s="1"/>
  <c r="H985" i="3"/>
  <c r="B985" i="3"/>
  <c r="R985" i="3" l="1"/>
  <c r="W985" i="3" s="1"/>
  <c r="H986" i="3"/>
  <c r="B986" i="3"/>
  <c r="S987" i="3"/>
  <c r="AC987" i="3" s="1"/>
  <c r="E988" i="3"/>
  <c r="D988" i="3"/>
  <c r="C988" i="3" s="1"/>
  <c r="E989" i="3" l="1"/>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R992" i="3"/>
  <c r="W992" i="3" s="1"/>
  <c r="H993" i="3"/>
  <c r="B993" i="3"/>
  <c r="B994" i="3" s="1"/>
  <c r="C995" i="3" l="1"/>
  <c r="S995" i="3"/>
  <c r="AC995" i="3" s="1"/>
  <c r="E996" i="3"/>
  <c r="D996" i="3"/>
  <c r="C996" i="3" s="1"/>
  <c r="R993" i="3"/>
  <c r="W993" i="3" s="1"/>
  <c r="H994" i="3"/>
  <c r="B995" i="3"/>
  <c r="S996" i="3" l="1"/>
  <c r="AC996" i="3" s="1"/>
  <c r="E997" i="3"/>
  <c r="D997" i="3"/>
  <c r="R994" i="3"/>
  <c r="W994" i="3" s="1"/>
  <c r="H995" i="3"/>
  <c r="B996" i="3"/>
  <c r="C997" i="3" l="1"/>
  <c r="S997" i="3"/>
  <c r="AC997" i="3" s="1"/>
  <c r="E998" i="3"/>
  <c r="D998" i="3"/>
  <c r="C998" i="3" s="1"/>
  <c r="R995" i="3"/>
  <c r="W995" i="3" s="1"/>
  <c r="H996" i="3"/>
  <c r="B997" i="3"/>
  <c r="S998" i="3" l="1"/>
  <c r="AC998" i="3" s="1"/>
  <c r="E999" i="3"/>
  <c r="D999" i="3"/>
  <c r="R996" i="3"/>
  <c r="W996" i="3" s="1"/>
  <c r="H997" i="3"/>
  <c r="B998" i="3"/>
  <c r="C999" i="3" l="1"/>
  <c r="S999" i="3"/>
  <c r="AC999" i="3" s="1"/>
  <c r="E1000" i="3"/>
  <c r="D1000" i="3"/>
  <c r="C1000" i="3" s="1"/>
  <c r="R997" i="3"/>
  <c r="W997" i="3" s="1"/>
  <c r="H998" i="3"/>
  <c r="B999" i="3"/>
  <c r="S1000" i="3" l="1"/>
  <c r="AC1000" i="3" s="1"/>
  <c r="E1001" i="3"/>
  <c r="D1001" i="3"/>
  <c r="R998" i="3"/>
  <c r="W998" i="3" s="1"/>
  <c r="H999" i="3"/>
  <c r="B1000" i="3"/>
  <c r="C1001" i="3" l="1"/>
  <c r="S1001" i="3"/>
  <c r="AC1001" i="3" s="1"/>
  <c r="E1002" i="3"/>
  <c r="D1002" i="3"/>
  <c r="C1002" i="3" s="1"/>
  <c r="R999" i="3"/>
  <c r="W999" i="3" s="1"/>
  <c r="H1000" i="3"/>
  <c r="B1001"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C1006" i="3" s="1"/>
  <c r="B1005" i="3"/>
  <c r="R1004" i="3" l="1"/>
  <c r="W1004" i="3" s="1"/>
  <c r="H1005" i="3"/>
  <c r="S1006" i="3"/>
  <c r="AC1006" i="3" s="1"/>
  <c r="B1006" i="3"/>
  <c r="E1007" i="3"/>
  <c r="D1007" i="3"/>
  <c r="C1007" i="3" s="1"/>
  <c r="S1007" i="3" l="1"/>
  <c r="AC1007" i="3" s="1"/>
  <c r="E1008" i="3"/>
  <c r="D1008" i="3"/>
  <c r="C1008" i="3" s="1"/>
  <c r="R1005" i="3"/>
  <c r="W1005" i="3" s="1"/>
  <c r="H1006" i="3"/>
  <c r="E1009" i="3" l="1"/>
  <c r="D1009" i="3"/>
  <c r="R1006" i="3"/>
  <c r="W1006" i="3" s="1"/>
  <c r="H1007" i="3"/>
  <c r="S1008" i="3"/>
  <c r="AC1008" i="3" s="1"/>
  <c r="B1007" i="3"/>
  <c r="C1009" i="3" l="1"/>
  <c r="R1007" i="3"/>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s="1"/>
  <c r="E1013" i="3" l="1"/>
  <c r="D1013" i="3"/>
  <c r="C1013" i="3" s="1"/>
  <c r="S1012" i="3"/>
  <c r="AC1012" i="3" s="1"/>
  <c r="R1010" i="3"/>
  <c r="W1010" i="3" s="1"/>
  <c r="H1011" i="3"/>
  <c r="B1011" i="3"/>
  <c r="R1011" i="3" l="1"/>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C1018" i="3" s="1"/>
  <c r="B1016" i="3"/>
  <c r="B1017" i="3" s="1"/>
  <c r="E1019" i="3" l="1"/>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s="1"/>
  <c r="E1030" i="3" l="1"/>
  <c r="D1030" i="3"/>
  <c r="C1030" i="3" s="1"/>
  <c r="S1029" i="3"/>
  <c r="AC1029" i="3" s="1"/>
  <c r="R1027" i="3"/>
  <c r="W1027" i="3" s="1"/>
  <c r="H1028" i="3"/>
  <c r="R1028" i="3" l="1"/>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C1045" i="3" s="1"/>
  <c r="S1044" i="3"/>
  <c r="AC1044" i="3" s="1"/>
  <c r="B1043" i="3"/>
  <c r="S1045" i="3" l="1"/>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C1057" i="3" s="1"/>
  <c r="B1056" i="3"/>
  <c r="R1055" i="3" l="1"/>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C1064" i="3" s="1"/>
  <c r="B1062" i="3"/>
  <c r="S1064" i="3" l="1"/>
  <c r="AC1064" i="3" s="1"/>
  <c r="R1062" i="3"/>
  <c r="W1062" i="3" s="1"/>
  <c r="H1063" i="3"/>
  <c r="E1065" i="3"/>
  <c r="D1065" i="3"/>
  <c r="C1065" i="3" s="1"/>
  <c r="B1063" i="3"/>
  <c r="B1064" i="3" s="1"/>
  <c r="S1065" i="3" l="1"/>
  <c r="AC1065" i="3" s="1"/>
  <c r="E1066" i="3"/>
  <c r="D1066" i="3"/>
  <c r="C1066" i="3" s="1"/>
  <c r="R1063" i="3"/>
  <c r="W1063" i="3" s="1"/>
  <c r="H1064" i="3"/>
  <c r="B1065" i="3"/>
  <c r="S1066" i="3" l="1"/>
  <c r="AC1066" i="3" s="1"/>
  <c r="E1067" i="3"/>
  <c r="D1067" i="3"/>
  <c r="C1067" i="3" s="1"/>
  <c r="R1064" i="3"/>
  <c r="W1064" i="3" s="1"/>
  <c r="H1065" i="3"/>
  <c r="B1066" i="3"/>
  <c r="S1067" i="3" l="1"/>
  <c r="AC1067" i="3" s="1"/>
  <c r="R1065" i="3"/>
  <c r="W1065" i="3" s="1"/>
  <c r="H1066" i="3"/>
  <c r="E1068" i="3"/>
  <c r="D1068" i="3"/>
  <c r="C1068" i="3" s="1"/>
  <c r="B1067" i="3"/>
  <c r="R1066" i="3" l="1"/>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s="1"/>
  <c r="E1072" i="3" l="1"/>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s="1"/>
  <c r="E1076" i="3" l="1"/>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C1079" i="3" s="1"/>
  <c r="B1077" i="3"/>
  <c r="S1079" i="3" l="1"/>
  <c r="AC1079" i="3" s="1"/>
  <c r="E1080" i="3"/>
  <c r="D1080" i="3"/>
  <c r="C1080" i="3" s="1"/>
  <c r="R1077" i="3"/>
  <c r="W1077" i="3" s="1"/>
  <c r="H1078" i="3"/>
  <c r="B1078" i="3"/>
  <c r="B1079" i="3" s="1"/>
  <c r="S1080" i="3" l="1"/>
  <c r="AC1080" i="3" s="1"/>
  <c r="E1081" i="3"/>
  <c r="D1081" i="3"/>
  <c r="C1081" i="3" s="1"/>
  <c r="R1078" i="3"/>
  <c r="W1078" i="3" s="1"/>
  <c r="H1079" i="3"/>
  <c r="B1080" i="3"/>
  <c r="S1081" i="3" l="1"/>
  <c r="AC1081" i="3" s="1"/>
  <c r="E1082" i="3"/>
  <c r="D1082" i="3"/>
  <c r="C1082" i="3" s="1"/>
  <c r="R1079" i="3"/>
  <c r="W1079" i="3" s="1"/>
  <c r="H1080" i="3"/>
  <c r="B1081" i="3"/>
  <c r="B1082" i="3" l="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C1087" i="3" s="1"/>
  <c r="B1086" i="3"/>
  <c r="E1088" i="3" l="1"/>
  <c r="D1088" i="3"/>
  <c r="C1088" i="3" s="1"/>
  <c r="B1087" i="3"/>
  <c r="S1087" i="3"/>
  <c r="AC1087" i="3" s="1"/>
  <c r="R1085" i="3"/>
  <c r="W1085" i="3" s="1"/>
  <c r="H1086" i="3"/>
  <c r="R1086" i="3" l="1"/>
  <c r="W1086" i="3" s="1"/>
  <c r="H1087" i="3"/>
  <c r="S1088" i="3"/>
  <c r="AC1088" i="3" s="1"/>
  <c r="B1088" i="3"/>
  <c r="E1089" i="3"/>
  <c r="D1089" i="3"/>
  <c r="C1089" i="3" s="1"/>
  <c r="E1090" i="3" l="1"/>
  <c r="D1090" i="3"/>
  <c r="C1090" i="3" s="1"/>
  <c r="S1089" i="3"/>
  <c r="AC1089" i="3" s="1"/>
  <c r="R1087" i="3"/>
  <c r="W1087" i="3" s="1"/>
  <c r="H1088" i="3"/>
  <c r="R1088" i="3" l="1"/>
  <c r="W1088" i="3" s="1"/>
  <c r="H1089" i="3"/>
  <c r="S1090" i="3"/>
  <c r="AC1090" i="3" s="1"/>
  <c r="E1091" i="3"/>
  <c r="D1091" i="3"/>
  <c r="C1091" i="3" s="1"/>
  <c r="B1089" i="3"/>
  <c r="R1089" i="3" l="1"/>
  <c r="W1089" i="3" s="1"/>
  <c r="H1090" i="3"/>
  <c r="S1091" i="3"/>
  <c r="AC1091" i="3" s="1"/>
  <c r="E1092" i="3"/>
  <c r="D1092" i="3"/>
  <c r="C1092" i="3" s="1"/>
  <c r="B1090" i="3"/>
  <c r="S1092" i="3" l="1"/>
  <c r="AC1092" i="3" s="1"/>
  <c r="R1090" i="3"/>
  <c r="W1090" i="3" s="1"/>
  <c r="H1091" i="3"/>
  <c r="E1093" i="3"/>
  <c r="D1093" i="3"/>
  <c r="C1093" i="3" s="1"/>
  <c r="B1091" i="3"/>
  <c r="S1093" i="3" l="1"/>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C1110" i="3" s="1"/>
  <c r="B1108" i="3"/>
  <c r="S1110" i="3" l="1"/>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C1117" i="3" s="1"/>
  <c r="S1116" i="3"/>
  <c r="AC1116" i="3" s="1"/>
  <c r="B1115" i="3"/>
  <c r="S1117" i="3" l="1"/>
  <c r="AC1117" i="3" s="1"/>
  <c r="E1118" i="3"/>
  <c r="D1118" i="3"/>
  <c r="C1118" i="3" s="1"/>
  <c r="B1116" i="3"/>
  <c r="R1115" i="3"/>
  <c r="W1115" i="3" s="1"/>
  <c r="H1116" i="3"/>
  <c r="E1119" i="3" l="1"/>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C1121" i="3" s="1"/>
  <c r="B1119" i="3"/>
  <c r="S1121" i="3" l="1"/>
  <c r="AC1121" i="3" s="1"/>
  <c r="E1122" i="3"/>
  <c r="D1122" i="3"/>
  <c r="C1122" i="3" s="1"/>
  <c r="R1119" i="3"/>
  <c r="W1119" i="3" s="1"/>
  <c r="H1120" i="3"/>
  <c r="B1120" i="3"/>
  <c r="B1121" i="3" s="1"/>
  <c r="S1122" i="3" l="1"/>
  <c r="AC1122" i="3" s="1"/>
  <c r="E1123" i="3"/>
  <c r="D1123" i="3"/>
  <c r="C1123" i="3" s="1"/>
  <c r="R1120" i="3"/>
  <c r="W1120" i="3" s="1"/>
  <c r="H1121" i="3"/>
  <c r="B1122" i="3"/>
  <c r="S1123" i="3" l="1"/>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E1127" i="3"/>
  <c r="D1127" i="3"/>
  <c r="C1127" i="3" s="1"/>
  <c r="S1126" i="3"/>
  <c r="AC1126" i="3" s="1"/>
  <c r="B1125" i="3"/>
  <c r="H1125" i="3" s="1"/>
  <c r="S1127" i="3" l="1"/>
  <c r="AC1127" i="3" s="1"/>
  <c r="E1128" i="3"/>
  <c r="D1128" i="3"/>
  <c r="C1128" i="3" s="1"/>
  <c r="R1125" i="3"/>
  <c r="W1125" i="3" s="1"/>
  <c r="H1126" i="3"/>
  <c r="B1126" i="3"/>
  <c r="S1128" i="3" l="1"/>
  <c r="AC1128" i="3" s="1"/>
  <c r="E1129" i="3"/>
  <c r="D1129" i="3"/>
  <c r="C1129" i="3" s="1"/>
  <c r="R1126" i="3"/>
  <c r="W1126" i="3" s="1"/>
  <c r="H1127" i="3"/>
  <c r="B1127" i="3"/>
  <c r="B1128" i="3" s="1"/>
  <c r="S1129" i="3" l="1"/>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C1137" i="3" s="1"/>
  <c r="B1135" i="3"/>
  <c r="R1135" i="3" l="1"/>
  <c r="W1135" i="3" s="1"/>
  <c r="H1136" i="3"/>
  <c r="S1137" i="3"/>
  <c r="AC1137" i="3" s="1"/>
  <c r="E1138" i="3"/>
  <c r="D1138" i="3"/>
  <c r="C1138" i="3" s="1"/>
  <c r="B1136" i="3"/>
  <c r="S1138" i="3" l="1"/>
  <c r="AC1138" i="3" s="1"/>
  <c r="R1136" i="3"/>
  <c r="W1136" i="3" s="1"/>
  <c r="H1137" i="3"/>
  <c r="E1139" i="3"/>
  <c r="D1139" i="3"/>
  <c r="C1139" i="3" s="1"/>
  <c r="B1137" i="3"/>
  <c r="S1139" i="3" l="1"/>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C1148" i="3" s="1"/>
  <c r="B1146" i="3"/>
  <c r="B1147" i="3" s="1"/>
  <c r="S1148" i="3" l="1"/>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l="1"/>
  <c r="R1149" i="3"/>
  <c r="W1149" i="3" s="1"/>
  <c r="H1150" i="3"/>
  <c r="S1151" i="3"/>
  <c r="AC1151" i="3" s="1"/>
  <c r="E1152" i="3"/>
  <c r="D1152" i="3"/>
  <c r="C1152" i="3" s="1"/>
  <c r="B1150" i="3"/>
  <c r="R1150" i="3" l="1"/>
  <c r="W1150" i="3" s="1"/>
  <c r="H1151" i="3"/>
  <c r="S1152" i="3"/>
  <c r="AC1152" i="3" s="1"/>
  <c r="D1153" i="3"/>
  <c r="E1153" i="3"/>
  <c r="B1151" i="3"/>
  <c r="C1153" i="3" l="1"/>
  <c r="R1151" i="3"/>
  <c r="W1151" i="3" s="1"/>
  <c r="H1152" i="3"/>
  <c r="E1154" i="3"/>
  <c r="D1154" i="3"/>
  <c r="C1154" i="3" s="1"/>
  <c r="S1153" i="3"/>
  <c r="AC1153" i="3" s="1"/>
  <c r="B1152" i="3"/>
  <c r="S1154" i="3" l="1"/>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C1158" i="3" s="1"/>
  <c r="B1156" i="3"/>
  <c r="B1157" i="3" s="1"/>
  <c r="S1158" i="3" l="1"/>
  <c r="AC1158" i="3" s="1"/>
  <c r="E1159" i="3"/>
  <c r="D1159" i="3"/>
  <c r="R1156" i="3"/>
  <c r="W1156" i="3" s="1"/>
  <c r="H1157" i="3"/>
  <c r="B1158" i="3"/>
  <c r="C1159" i="3" l="1"/>
  <c r="S1159" i="3"/>
  <c r="AC1159" i="3" s="1"/>
  <c r="R1157" i="3"/>
  <c r="W1157" i="3" s="1"/>
  <c r="H1158" i="3"/>
  <c r="E1160" i="3"/>
  <c r="D1160" i="3"/>
  <c r="C1160" i="3" s="1"/>
  <c r="B1159" i="3"/>
  <c r="R1158" i="3" l="1"/>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s="1"/>
  <c r="E1164" i="3" l="1"/>
  <c r="D1164" i="3"/>
  <c r="C1164" i="3" s="1"/>
  <c r="S1163" i="3"/>
  <c r="AC1163" i="3" s="1"/>
  <c r="R1161" i="3"/>
  <c r="W1161" i="3" s="1"/>
  <c r="H1162" i="3"/>
  <c r="B1162" i="3"/>
  <c r="R1162" i="3" l="1"/>
  <c r="W1162" i="3" s="1"/>
  <c r="H1163" i="3"/>
  <c r="B1163" i="3"/>
  <c r="S1164" i="3"/>
  <c r="AC1164" i="3" s="1"/>
  <c r="E1165" i="3"/>
  <c r="D1165" i="3"/>
  <c r="C1165" i="3" s="1"/>
  <c r="E1166" i="3" l="1"/>
  <c r="D1166" i="3"/>
  <c r="S1165" i="3"/>
  <c r="AC1165" i="3" s="1"/>
  <c r="R1163" i="3"/>
  <c r="W1163" i="3" s="1"/>
  <c r="H1164" i="3"/>
  <c r="B1164" i="3"/>
  <c r="C1166" i="3" l="1"/>
  <c r="R1164" i="3"/>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C1172" i="3" s="1"/>
  <c r="S1171" i="3"/>
  <c r="AC1171" i="3" s="1"/>
  <c r="R1169" i="3"/>
  <c r="W1169" i="3" s="1"/>
  <c r="H1170" i="3"/>
  <c r="B1170" i="3"/>
  <c r="R1170" i="3" l="1"/>
  <c r="W1170" i="3" s="1"/>
  <c r="H1171" i="3"/>
  <c r="B1171" i="3"/>
  <c r="S1172" i="3"/>
  <c r="AC1172" i="3" s="1"/>
  <c r="E1173" i="3"/>
  <c r="D1173" i="3"/>
  <c r="C1173" i="3" l="1"/>
  <c r="E1174" i="3"/>
  <c r="D1174" i="3"/>
  <c r="S1173" i="3"/>
  <c r="AC1173" i="3" s="1"/>
  <c r="R1171" i="3"/>
  <c r="W1171" i="3" s="1"/>
  <c r="H1172" i="3"/>
  <c r="B1172" i="3"/>
  <c r="C1174" i="3" l="1"/>
  <c r="R1172" i="3"/>
  <c r="W1172" i="3" s="1"/>
  <c r="H1173" i="3"/>
  <c r="S1174" i="3"/>
  <c r="AC1174" i="3" s="1"/>
  <c r="E1175" i="3"/>
  <c r="D1175" i="3"/>
  <c r="C1175" i="3" s="1"/>
  <c r="B1173" i="3"/>
  <c r="S1175" i="3" l="1"/>
  <c r="AC1175" i="3" s="1"/>
  <c r="R1173" i="3"/>
  <c r="W1173" i="3" s="1"/>
  <c r="E1176" i="3"/>
  <c r="D1176" i="3"/>
  <c r="C1176" i="3" s="1"/>
  <c r="B1174" i="3"/>
  <c r="H1174" i="3" s="1"/>
  <c r="R1174" i="3" l="1"/>
  <c r="W1174" i="3" s="1"/>
  <c r="H1175" i="3"/>
  <c r="S1176" i="3"/>
  <c r="AC1176" i="3" s="1"/>
  <c r="B1175" i="3"/>
  <c r="B1176" i="3" s="1"/>
  <c r="E1177" i="3"/>
  <c r="D1177" i="3"/>
  <c r="C1177" i="3" s="1"/>
  <c r="E1178" i="3" l="1"/>
  <c r="D1178" i="3"/>
  <c r="C1178" i="3" s="1"/>
  <c r="S1177" i="3"/>
  <c r="AC1177" i="3" s="1"/>
  <c r="R1175" i="3"/>
  <c r="W1175" i="3" s="1"/>
  <c r="H1176" i="3"/>
  <c r="R1176" i="3" l="1"/>
  <c r="W1176" i="3" s="1"/>
  <c r="H1177" i="3"/>
  <c r="S1178" i="3"/>
  <c r="AC1178" i="3" s="1"/>
  <c r="B1177" i="3"/>
  <c r="E1179" i="3"/>
  <c r="D1179" i="3"/>
  <c r="C1179" i="3" s="1"/>
  <c r="S1179" i="3" l="1"/>
  <c r="AC1179" i="3" s="1"/>
  <c r="B1178" i="3"/>
  <c r="E1180" i="3"/>
  <c r="D1180" i="3"/>
  <c r="C1180" i="3" s="1"/>
  <c r="R1177" i="3"/>
  <c r="W1177" i="3" s="1"/>
  <c r="H1178" i="3"/>
  <c r="E1181" i="3" l="1"/>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C1183" i="3" s="1"/>
  <c r="B1181" i="3"/>
  <c r="R1181" i="3" l="1"/>
  <c r="W1181" i="3" s="1"/>
  <c r="H1182" i="3"/>
  <c r="S1183" i="3"/>
  <c r="AC1183" i="3" s="1"/>
  <c r="E1184" i="3"/>
  <c r="D1184" i="3"/>
  <c r="C1184" i="3" s="1"/>
  <c r="B1182" i="3"/>
  <c r="R1182" i="3" l="1"/>
  <c r="W1182" i="3" s="1"/>
  <c r="H1183" i="3"/>
  <c r="S1184" i="3"/>
  <c r="AC1184" i="3" s="1"/>
  <c r="E1185" i="3"/>
  <c r="D1185" i="3"/>
  <c r="C1185" i="3" s="1"/>
  <c r="B1183" i="3"/>
  <c r="R1183" i="3" l="1"/>
  <c r="W1183" i="3" s="1"/>
  <c r="H1184" i="3"/>
  <c r="S1185" i="3"/>
  <c r="AC1185" i="3" s="1"/>
  <c r="E1186" i="3"/>
  <c r="D1186" i="3"/>
  <c r="C1186" i="3" s="1"/>
  <c r="B1184" i="3"/>
  <c r="R1184" i="3" l="1"/>
  <c r="W1184" i="3" s="1"/>
  <c r="S1186" i="3"/>
  <c r="AC1186" i="3" s="1"/>
  <c r="E1187" i="3"/>
  <c r="D1187" i="3"/>
  <c r="C1187" i="3" s="1"/>
  <c r="B1185" i="3"/>
  <c r="H1185" i="3" s="1"/>
  <c r="R1185" i="3" l="1"/>
  <c r="W1185" i="3" s="1"/>
  <c r="S1187" i="3"/>
  <c r="AC1187" i="3" s="1"/>
  <c r="E1188" i="3"/>
  <c r="D1188" i="3"/>
  <c r="B1186" i="3"/>
  <c r="H1186" i="3" s="1"/>
  <c r="C1188" i="3" l="1"/>
  <c r="E1189" i="3"/>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C1196" i="3" s="1"/>
  <c r="S1195" i="3"/>
  <c r="AC1195" i="3" s="1"/>
  <c r="B1194" i="3"/>
  <c r="S1196" i="3" l="1"/>
  <c r="AC1196" i="3" s="1"/>
  <c r="E1197" i="3"/>
  <c r="D1197" i="3"/>
  <c r="C1197" i="3" s="1"/>
  <c r="R1194" i="3"/>
  <c r="W1194" i="3" s="1"/>
  <c r="H1195" i="3"/>
  <c r="B1195" i="3"/>
  <c r="B1196" i="3" s="1"/>
  <c r="S1197" i="3" l="1"/>
  <c r="AC1197" i="3" s="1"/>
  <c r="E1198" i="3"/>
  <c r="D1198" i="3"/>
  <c r="C1198" i="3" s="1"/>
  <c r="R1195" i="3"/>
  <c r="W1195" i="3" s="1"/>
  <c r="H1196" i="3"/>
  <c r="B1197" i="3"/>
  <c r="S1198" i="3" l="1"/>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C1210" i="3" s="1"/>
  <c r="E1210" i="3"/>
  <c r="S1209" i="3"/>
  <c r="AC1209" i="3" s="1"/>
  <c r="R1207" i="3"/>
  <c r="W1207" i="3" s="1"/>
  <c r="H1208" i="3"/>
  <c r="B1209" i="3"/>
  <c r="R1208" i="3" l="1"/>
  <c r="W1208" i="3" s="1"/>
  <c r="H1209" i="3"/>
  <c r="E1211" i="3"/>
  <c r="D1211" i="3"/>
  <c r="C1211" i="3" s="1"/>
  <c r="S1210" i="3"/>
  <c r="AC1210" i="3" s="1"/>
  <c r="E1212" i="3" l="1"/>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C1217" i="3" s="1"/>
  <c r="B1215" i="3"/>
  <c r="S1217" i="3" l="1"/>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C1225" i="3" s="1"/>
  <c r="S1224" i="3"/>
  <c r="AC1224" i="3" s="1"/>
  <c r="R1222" i="3"/>
  <c r="W1222" i="3" s="1"/>
  <c r="H1223" i="3"/>
  <c r="B1223" i="3"/>
  <c r="R1223" i="3" l="1"/>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s="1"/>
  <c r="E1230" i="3" l="1"/>
  <c r="D1230" i="3"/>
  <c r="C1230" i="3" s="1"/>
  <c r="S1229" i="3"/>
  <c r="AC1229" i="3" s="1"/>
  <c r="R1227" i="3"/>
  <c r="W1227" i="3" s="1"/>
  <c r="H1228" i="3"/>
  <c r="B1228" i="3"/>
  <c r="R1228" i="3" l="1"/>
  <c r="W1228" i="3" s="1"/>
  <c r="H1229" i="3"/>
  <c r="B1229" i="3"/>
  <c r="S1230" i="3"/>
  <c r="AC1230" i="3" s="1"/>
  <c r="E1231" i="3"/>
  <c r="D1231" i="3"/>
  <c r="C1231" i="3" s="1"/>
  <c r="E1232" i="3" l="1"/>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H1233" i="3"/>
  <c r="E1235" i="3"/>
  <c r="D1235" i="3"/>
  <c r="C1235" i="3" s="1"/>
  <c r="B1233" i="3"/>
  <c r="B1234" i="3" s="1"/>
  <c r="S1235" i="3" l="1"/>
  <c r="AC1235" i="3" s="1"/>
  <c r="E1236" i="3"/>
  <c r="D1236" i="3"/>
  <c r="C1236" i="3" s="1"/>
  <c r="B1235" i="3"/>
  <c r="R1233" i="3"/>
  <c r="W1233" i="3" s="1"/>
  <c r="H1234" i="3"/>
  <c r="S1236" i="3" l="1"/>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C1243" i="3" s="1"/>
  <c r="R1240" i="3"/>
  <c r="W1240" i="3" s="1"/>
  <c r="H1241" i="3"/>
  <c r="E1244" i="3" l="1"/>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C1246" i="3" s="1"/>
  <c r="B1244" i="3"/>
  <c r="H1244" i="3" s="1"/>
  <c r="R1244" i="3" l="1"/>
  <c r="W1244" i="3" s="1"/>
  <c r="S1246" i="3"/>
  <c r="AC1246" i="3" s="1"/>
  <c r="E1247" i="3"/>
  <c r="D1247" i="3"/>
  <c r="C1247" i="3" s="1"/>
  <c r="B1245" i="3"/>
  <c r="H1245" i="3" s="1"/>
  <c r="R1245" i="3" l="1"/>
  <c r="W1245" i="3" s="1"/>
  <c r="S1247" i="3"/>
  <c r="AC1247" i="3" s="1"/>
  <c r="E1248" i="3"/>
  <c r="D1248" i="3"/>
  <c r="C1248" i="3" s="1"/>
  <c r="B1246" i="3"/>
  <c r="H1246" i="3" s="1"/>
  <c r="S1248" i="3" l="1"/>
  <c r="AC1248" i="3" s="1"/>
  <c r="R1246" i="3"/>
  <c r="W1246" i="3" s="1"/>
  <c r="H1247" i="3"/>
  <c r="E1249" i="3"/>
  <c r="D1249" i="3"/>
  <c r="C1249" i="3" s="1"/>
  <c r="B1247" i="3"/>
  <c r="B1248" i="3" s="1"/>
  <c r="S1249" i="3" l="1"/>
  <c r="AC1249" i="3" s="1"/>
  <c r="E1250" i="3"/>
  <c r="D1250" i="3"/>
  <c r="C1250" i="3" s="1"/>
  <c r="R1247" i="3"/>
  <c r="W1247" i="3" s="1"/>
  <c r="H1248" i="3"/>
  <c r="B1249"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C1257" i="3" s="1"/>
  <c r="S1256" i="3"/>
  <c r="AC1256" i="3" s="1"/>
  <c r="R1254" i="3"/>
  <c r="W1254" i="3" s="1"/>
  <c r="H1255" i="3"/>
  <c r="B1255" i="3"/>
  <c r="R1255" i="3" l="1"/>
  <c r="W1255" i="3" s="1"/>
  <c r="H1256" i="3"/>
  <c r="B1256" i="3"/>
  <c r="S1257" i="3"/>
  <c r="AC1257" i="3" s="1"/>
  <c r="E1258" i="3"/>
  <c r="D1258" i="3"/>
  <c r="C1258" i="3" s="1"/>
  <c r="E1259" i="3" l="1"/>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s="1"/>
  <c r="S1262" i="3" l="1"/>
  <c r="AC1262" i="3" s="1"/>
  <c r="E1263" i="3"/>
  <c r="D1263" i="3"/>
  <c r="C1263" i="3" s="1"/>
  <c r="R1260" i="3"/>
  <c r="W1260" i="3" s="1"/>
  <c r="H1261" i="3"/>
  <c r="B1261" i="3"/>
  <c r="B1262" i="3" s="1"/>
  <c r="E1264" i="3" l="1"/>
  <c r="D1264" i="3"/>
  <c r="C1264" i="3" s="1"/>
  <c r="R1261" i="3"/>
  <c r="W1261" i="3" s="1"/>
  <c r="H1262" i="3"/>
  <c r="S1263" i="3"/>
  <c r="AC1263" i="3" s="1"/>
  <c r="R1262" i="3" l="1"/>
  <c r="W1262" i="3" s="1"/>
  <c r="H1263" i="3"/>
  <c r="S1264" i="3"/>
  <c r="AC1264" i="3" s="1"/>
  <c r="B1263" i="3"/>
  <c r="B1264" i="3" s="1"/>
  <c r="E1265" i="3"/>
  <c r="D1265" i="3"/>
  <c r="C1265" i="3" l="1"/>
  <c r="E1266" i="3"/>
  <c r="D1266" i="3"/>
  <c r="S1265" i="3"/>
  <c r="AC1265" i="3" s="1"/>
  <c r="R1263" i="3"/>
  <c r="W1263" i="3" s="1"/>
  <c r="H1264" i="3"/>
  <c r="C1266" i="3" l="1"/>
  <c r="R1264" i="3"/>
  <c r="W1264" i="3" s="1"/>
  <c r="H1265" i="3"/>
  <c r="S1266" i="3"/>
  <c r="AC1266" i="3" s="1"/>
  <c r="B1265" i="3"/>
  <c r="E1267" i="3"/>
  <c r="D1267" i="3"/>
  <c r="C1267" i="3" s="1"/>
  <c r="E1268" i="3" l="1"/>
  <c r="D1268" i="3"/>
  <c r="C1268" i="3" s="1"/>
  <c r="S1267" i="3"/>
  <c r="AC1267" i="3" s="1"/>
  <c r="R1265" i="3"/>
  <c r="W1265" i="3" s="1"/>
  <c r="H1266" i="3"/>
  <c r="B1266" i="3"/>
  <c r="S1268" i="3" l="1"/>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C1274" i="3" s="1"/>
  <c r="S1273" i="3"/>
  <c r="AC1273" i="3" s="1"/>
  <c r="D1275" i="3" l="1"/>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C1288" i="3" s="1"/>
  <c r="B1287" i="3"/>
  <c r="R1286" i="3" l="1"/>
  <c r="W1286" i="3" s="1"/>
  <c r="H1287" i="3"/>
  <c r="S1288" i="3"/>
  <c r="AC1288" i="3" s="1"/>
  <c r="E1289" i="3"/>
  <c r="D1289" i="3"/>
  <c r="B1288" i="3"/>
  <c r="C1289" i="3" l="1"/>
  <c r="E1290" i="3"/>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S1293" i="3"/>
  <c r="AC1293" i="3" s="1"/>
  <c r="R1291" i="3"/>
  <c r="W1291" i="3" s="1"/>
  <c r="H1292" i="3"/>
  <c r="B1292" i="3"/>
  <c r="C1294" i="3" l="1"/>
  <c r="R1292" i="3"/>
  <c r="W1292" i="3" s="1"/>
  <c r="H1293" i="3"/>
  <c r="S1294" i="3"/>
  <c r="AC1294" i="3" s="1"/>
  <c r="E1295" i="3"/>
  <c r="D1295" i="3"/>
  <c r="C1295" i="3" s="1"/>
  <c r="B1293" i="3"/>
  <c r="E1296" i="3" l="1"/>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s="1"/>
  <c r="E1306" i="3" l="1"/>
  <c r="D1306" i="3"/>
  <c r="C1306" i="3" s="1"/>
  <c r="S1305" i="3"/>
  <c r="AC1305" i="3" s="1"/>
  <c r="R1303" i="3"/>
  <c r="W1303" i="3" s="1"/>
  <c r="H1304" i="3"/>
  <c r="B1304" i="3"/>
  <c r="R1304" i="3" l="1"/>
  <c r="W1304" i="3" s="1"/>
  <c r="S1306" i="3"/>
  <c r="AC1306" i="3" s="1"/>
  <c r="D1307" i="3"/>
  <c r="E1307" i="3"/>
  <c r="B1305" i="3"/>
  <c r="H1305" i="3" s="1"/>
  <c r="C1307" i="3" l="1"/>
  <c r="R1305" i="3"/>
  <c r="W1305" i="3" s="1"/>
  <c r="E1308" i="3"/>
  <c r="D1308" i="3"/>
  <c r="S1307" i="3"/>
  <c r="AC1307" i="3" s="1"/>
  <c r="B1306" i="3"/>
  <c r="H1306" i="3" s="1"/>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C1312" i="3" s="1"/>
  <c r="S1311" i="3"/>
  <c r="AC1311" i="3" s="1"/>
  <c r="B1310" i="3"/>
  <c r="S1312" i="3" l="1"/>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C1322" i="3" s="1"/>
  <c r="S1321" i="3"/>
  <c r="AC1321" i="3" s="1"/>
  <c r="R1319" i="3"/>
  <c r="W1319" i="3" s="1"/>
  <c r="H1320" i="3"/>
  <c r="B1320" i="3"/>
  <c r="R1320" i="3" l="1"/>
  <c r="W1320" i="3" s="1"/>
  <c r="H1321" i="3"/>
  <c r="B1321" i="3"/>
  <c r="S1322" i="3"/>
  <c r="AC1322" i="3" s="1"/>
  <c r="E1323" i="3"/>
  <c r="D1323" i="3"/>
  <c r="C1323" i="3" l="1"/>
  <c r="E1324" i="3"/>
  <c r="D1324" i="3"/>
  <c r="C1324" i="3" s="1"/>
  <c r="S1323" i="3"/>
  <c r="AC1323" i="3" s="1"/>
  <c r="R1321" i="3"/>
  <c r="W1321" i="3" s="1"/>
  <c r="H1322" i="3"/>
  <c r="B1322" i="3"/>
  <c r="R1322" i="3" l="1"/>
  <c r="W1322" i="3" s="1"/>
  <c r="H1323" i="3"/>
  <c r="S1324" i="3"/>
  <c r="AC1324" i="3" s="1"/>
  <c r="E1325" i="3"/>
  <c r="D1325" i="3"/>
  <c r="C1325" i="3" s="1"/>
  <c r="B1323" i="3"/>
  <c r="R1323" i="3" l="1"/>
  <c r="W1323" i="3" s="1"/>
  <c r="S1325" i="3"/>
  <c r="AC1325" i="3" s="1"/>
  <c r="E1326" i="3"/>
  <c r="D1326" i="3"/>
  <c r="C1326" i="3" s="1"/>
  <c r="B1324" i="3"/>
  <c r="H1324" i="3" s="1"/>
  <c r="R1324" i="3" l="1"/>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B1327" i="3"/>
  <c r="C1329" i="3" l="1"/>
  <c r="R1327" i="3"/>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S1332" i="3"/>
  <c r="AC1332" i="3" s="1"/>
  <c r="E1333" i="3"/>
  <c r="D1333" i="3"/>
  <c r="C1333" i="3" s="1"/>
  <c r="R1330" i="3"/>
  <c r="W1330" i="3" s="1"/>
  <c r="H1331" i="3"/>
  <c r="B1332"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s="1"/>
  <c r="E1338" i="3" l="1"/>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C1356" i="3" s="1"/>
  <c r="R1353" i="3"/>
  <c r="W1353" i="3" s="1"/>
  <c r="H1354" i="3"/>
  <c r="B1355" i="3"/>
  <c r="S1356" i="3" l="1"/>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s="1"/>
  <c r="R1359" i="3" l="1"/>
  <c r="W1359" i="3" s="1"/>
  <c r="H1360" i="3"/>
  <c r="S1361" i="3"/>
  <c r="AC1361" i="3" s="1"/>
  <c r="E1362" i="3"/>
  <c r="D1362" i="3"/>
  <c r="B1360" i="3"/>
  <c r="C1362" i="3" l="1"/>
  <c r="S1362" i="3"/>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s="1"/>
  <c r="E1369" i="3" l="1"/>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C1374" i="3" s="1"/>
  <c r="B1373" i="3"/>
  <c r="R1371" i="3"/>
  <c r="W1371" i="3" s="1"/>
  <c r="H1372" i="3"/>
  <c r="S1374" i="3" l="1"/>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B1380" i="3"/>
  <c r="R1378" i="3"/>
  <c r="W1378" i="3" s="1"/>
  <c r="H1379" i="3"/>
  <c r="C1381" i="3" l="1"/>
  <c r="S1381" i="3"/>
  <c r="AC1381" i="3" s="1"/>
  <c r="E1382" i="3"/>
  <c r="D1382" i="3"/>
  <c r="R1379" i="3"/>
  <c r="W1379" i="3" s="1"/>
  <c r="H1380" i="3"/>
  <c r="B1381" i="3"/>
  <c r="C1382" i="3" l="1"/>
  <c r="S1382" i="3"/>
  <c r="AC1382" i="3" s="1"/>
  <c r="E1383" i="3"/>
  <c r="D1383" i="3"/>
  <c r="R1380" i="3"/>
  <c r="W1380" i="3" s="1"/>
  <c r="H1381" i="3"/>
  <c r="B1382" i="3"/>
  <c r="C1383" i="3" l="1"/>
  <c r="S1383" i="3"/>
  <c r="AC1383" i="3" s="1"/>
  <c r="E1384" i="3"/>
  <c r="D1384" i="3"/>
  <c r="R1381" i="3"/>
  <c r="W1381" i="3" s="1"/>
  <c r="H1382" i="3"/>
  <c r="B1383" i="3"/>
  <c r="C1384" i="3" l="1"/>
  <c r="S1384" i="3"/>
  <c r="AC1384" i="3" s="1"/>
  <c r="E1385" i="3"/>
  <c r="D1385" i="3"/>
  <c r="C1385" i="3" s="1"/>
  <c r="R1382" i="3"/>
  <c r="W1382" i="3" s="1"/>
  <c r="H1383" i="3"/>
  <c r="B1384" i="3"/>
  <c r="S1385" i="3" l="1"/>
  <c r="AC1385" i="3" s="1"/>
  <c r="R1383" i="3"/>
  <c r="W1383" i="3" s="1"/>
  <c r="H1384" i="3"/>
  <c r="E1386" i="3"/>
  <c r="D1386" i="3"/>
  <c r="C1386" i="3" s="1"/>
  <c r="B1385" i="3"/>
  <c r="R1384" i="3" l="1"/>
  <c r="W1384" i="3" s="1"/>
  <c r="H1385" i="3"/>
  <c r="E1387" i="3"/>
  <c r="D1387" i="3"/>
  <c r="C1387" i="3" s="1"/>
  <c r="S1386" i="3"/>
  <c r="AC1386" i="3" s="1"/>
  <c r="S1387" i="3" l="1"/>
  <c r="AC1387" i="3" s="1"/>
  <c r="E1388" i="3"/>
  <c r="D1388" i="3"/>
  <c r="C1388" i="3" s="1"/>
  <c r="B1386" i="3"/>
  <c r="B1387" i="3" s="1"/>
  <c r="R1385" i="3"/>
  <c r="W1385" i="3" s="1"/>
  <c r="H1386" i="3"/>
  <c r="S1388" i="3" l="1"/>
  <c r="AC1388" i="3" s="1"/>
  <c r="E1389" i="3"/>
  <c r="D1389" i="3"/>
  <c r="C1389" i="3" s="1"/>
  <c r="R1386" i="3"/>
  <c r="W1386" i="3" s="1"/>
  <c r="H1387" i="3"/>
  <c r="B1388" i="3"/>
  <c r="S1389" i="3" l="1"/>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s="1"/>
  <c r="R1390" i="3" l="1"/>
  <c r="W1390" i="3" s="1"/>
  <c r="H1391" i="3"/>
  <c r="S1392" i="3"/>
  <c r="AC1392" i="3" s="1"/>
  <c r="E1393" i="3"/>
  <c r="D1393" i="3"/>
  <c r="C1393" i="3" s="1"/>
  <c r="B1391" i="3"/>
  <c r="R1391" i="3" l="1"/>
  <c r="W1391" i="3" s="1"/>
  <c r="H1392" i="3"/>
  <c r="S1393" i="3"/>
  <c r="AC1393" i="3" s="1"/>
  <c r="E1394" i="3"/>
  <c r="D1394" i="3"/>
  <c r="C1394" i="3" s="1"/>
  <c r="B1392" i="3"/>
  <c r="S1394" i="3" l="1"/>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s="1"/>
  <c r="R1396" i="3" l="1"/>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C1405" i="3" s="1"/>
  <c r="B1403" i="3"/>
  <c r="S1405" i="3" l="1"/>
  <c r="AC1405" i="3" s="1"/>
  <c r="E1406" i="3"/>
  <c r="D1406" i="3"/>
  <c r="C1406" i="3" s="1"/>
  <c r="R1403" i="3"/>
  <c r="W1403" i="3" s="1"/>
  <c r="H1404" i="3"/>
  <c r="B1404" i="3"/>
  <c r="B1405" i="3" s="1"/>
  <c r="S1406" i="3" l="1"/>
  <c r="AC1406" i="3" s="1"/>
  <c r="E1407" i="3"/>
  <c r="D1407" i="3"/>
  <c r="C1407" i="3" s="1"/>
  <c r="R1404" i="3"/>
  <c r="W1404" i="3" s="1"/>
  <c r="H1405" i="3"/>
  <c r="B1406" i="3"/>
  <c r="S1407" i="3" l="1"/>
  <c r="AC1407" i="3" s="1"/>
  <c r="R1405" i="3"/>
  <c r="W1405" i="3" s="1"/>
  <c r="H1406" i="3"/>
  <c r="E1408" i="3"/>
  <c r="D1408" i="3"/>
  <c r="C1408" i="3" s="1"/>
  <c r="B1407" i="3"/>
  <c r="R1406" i="3" l="1"/>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C1413" i="3" s="1"/>
  <c r="B1411" i="3"/>
  <c r="E1414" i="3" l="1"/>
  <c r="D1414" i="3"/>
  <c r="C1414" i="3" s="1"/>
  <c r="S1413" i="3"/>
  <c r="AC1413" i="3" s="1"/>
  <c r="R1411" i="3"/>
  <c r="W1411" i="3" s="1"/>
  <c r="H1412" i="3"/>
  <c r="B1412" i="3"/>
  <c r="R1412" i="3" l="1"/>
  <c r="W1412" i="3" s="1"/>
  <c r="H1413" i="3"/>
  <c r="B1413" i="3"/>
  <c r="S1414" i="3"/>
  <c r="AC1414" i="3" s="1"/>
  <c r="E1415" i="3"/>
  <c r="D1415" i="3"/>
  <c r="C1415" i="3" l="1"/>
  <c r="E1416" i="3"/>
  <c r="D1416" i="3"/>
  <c r="C1416" i="3" s="1"/>
  <c r="S1415" i="3"/>
  <c r="AC1415" i="3" s="1"/>
  <c r="R1413" i="3"/>
  <c r="W1413" i="3" s="1"/>
  <c r="H1414" i="3"/>
  <c r="B1414" i="3"/>
  <c r="R1414" i="3" l="1"/>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s="1"/>
  <c r="E1421" i="3" l="1"/>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E1427" i="3"/>
  <c r="D1427" i="3"/>
  <c r="B1425" i="3"/>
  <c r="H1425" i="3" s="1"/>
  <c r="C1427" i="3" l="1"/>
  <c r="S1427" i="3"/>
  <c r="AC1427" i="3" s="1"/>
  <c r="E1428" i="3"/>
  <c r="D1428" i="3"/>
  <c r="R1425" i="3"/>
  <c r="W1425" i="3" s="1"/>
  <c r="B1426" i="3"/>
  <c r="B1427" i="3" s="1"/>
  <c r="C1428" i="3" l="1"/>
  <c r="B1428" i="3" s="1"/>
  <c r="H1426" i="3"/>
  <c r="R1426" i="3" s="1"/>
  <c r="W1426" i="3" s="1"/>
  <c r="S1428" i="3"/>
  <c r="AC1428" i="3" s="1"/>
  <c r="E1429" i="3"/>
  <c r="D1429" i="3"/>
  <c r="C1429" i="3" l="1"/>
  <c r="H1427" i="3"/>
  <c r="R1427" i="3" s="1"/>
  <c r="W1427" i="3" s="1"/>
  <c r="E1430" i="3"/>
  <c r="D1430" i="3"/>
  <c r="S1429" i="3"/>
  <c r="AC1429" i="3" s="1"/>
  <c r="C1430" i="3" l="1"/>
  <c r="H1428" i="3"/>
  <c r="R1428" i="3" s="1"/>
  <c r="W1428" i="3" s="1"/>
  <c r="B1429" i="3"/>
  <c r="S1430" i="3"/>
  <c r="AC1430" i="3" s="1"/>
  <c r="E1431" i="3"/>
  <c r="D1431" i="3"/>
  <c r="C1431" i="3" s="1"/>
  <c r="H1429" i="3" l="1"/>
  <c r="R1429" i="3" s="1"/>
  <c r="W1429" i="3" s="1"/>
  <c r="E1432" i="3"/>
  <c r="D1432" i="3"/>
  <c r="S1431" i="3"/>
  <c r="AC1431" i="3" s="1"/>
  <c r="B1430" i="3"/>
  <c r="C1432" i="3" l="1"/>
  <c r="H1430" i="3"/>
  <c r="R1430" i="3" s="1"/>
  <c r="W1430" i="3" s="1"/>
  <c r="S1432" i="3"/>
  <c r="AC1432" i="3" s="1"/>
  <c r="E1433" i="3"/>
  <c r="D1433" i="3"/>
  <c r="B1431" i="3"/>
  <c r="C1433" i="3" l="1"/>
  <c r="H1431" i="3"/>
  <c r="R1431" i="3" s="1"/>
  <c r="W1431" i="3" s="1"/>
  <c r="S1433" i="3"/>
  <c r="AC1433" i="3" s="1"/>
  <c r="E1434" i="3"/>
  <c r="D1434" i="3"/>
  <c r="B1432" i="3"/>
  <c r="C1434" i="3" l="1"/>
  <c r="H1432" i="3"/>
  <c r="R1432" i="3" s="1"/>
  <c r="W1432" i="3" s="1"/>
  <c r="S1434" i="3"/>
  <c r="AC1434" i="3" s="1"/>
  <c r="E1435" i="3"/>
  <c r="D1435" i="3"/>
  <c r="B1433" i="3"/>
  <c r="C1435" i="3" l="1"/>
  <c r="H1433" i="3"/>
  <c r="R1433" i="3" s="1"/>
  <c r="W1433" i="3" s="1"/>
  <c r="S1435" i="3"/>
  <c r="AC1435" i="3" s="1"/>
  <c r="E1436" i="3"/>
  <c r="D1436" i="3"/>
  <c r="B1434" i="3"/>
  <c r="C1436" i="3" l="1"/>
  <c r="H1434" i="3"/>
  <c r="R1434" i="3" s="1"/>
  <c r="W1434" i="3" s="1"/>
  <c r="S1436" i="3"/>
  <c r="AC1436" i="3" s="1"/>
  <c r="E1437" i="3"/>
  <c r="D1437" i="3"/>
  <c r="B1435" i="3"/>
  <c r="C1437" i="3" l="1"/>
  <c r="H1435" i="3"/>
  <c r="R1435" i="3" s="1"/>
  <c r="W1435" i="3" s="1"/>
  <c r="E1438" i="3"/>
  <c r="D1438" i="3"/>
  <c r="S1437" i="3"/>
  <c r="AC1437" i="3" s="1"/>
  <c r="B1436" i="3"/>
  <c r="C1438" i="3" l="1"/>
  <c r="H1436" i="3"/>
  <c r="H1437" i="3" s="1"/>
  <c r="S1438" i="3"/>
  <c r="AC1438" i="3" s="1"/>
  <c r="B1437" i="3"/>
  <c r="E1439" i="3"/>
  <c r="D1439" i="3"/>
  <c r="C1439" i="3" s="1"/>
  <c r="R1436" i="3" l="1"/>
  <c r="W1436" i="3" s="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l="1"/>
  <c r="R1441" i="3"/>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<sst xmlns="http://schemas.openxmlformats.org/spreadsheetml/2006/main" count="146" uniqueCount="73">
  <si>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</si>
  <si>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</si>
  <si>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</si>
  <si>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</si>
  <si>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</si>
  <si>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</si>
  <si>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</si>
  <si>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</si>
  <si>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</si>
  <si>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</si>
  <si>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</si>
  <si>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</si>
  <si>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</si>
  <si>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</si>
  <si>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</si>
  <si>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</si>
  <si>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</si>
  <si>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</si>
  <si>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</si>
  <si>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</si>
  <si>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</si>
  <si>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</si>
  <si>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</si>
  <si>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</si>
  <si>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</si>
  <si>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</si>
  <si>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</si>
  <si>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</si>
  <si>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</si>
  <si>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</si>
  <si>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</si>
  <si>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</si>
  <si>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</si>
  <si>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</si>
  <si>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</si>
  <si>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</si>
  <si>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</si>
  <si>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</si>
  <si>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</si>
  <si>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</si>
  <si>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</si>
  <si>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</si>
  <si>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</si>
  <si>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</si>
  <si>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</si>
  <si>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</si>
  <si>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</si>
  <si>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</si>
  <si>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</si>
  <si>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</si>
  <si>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</si>
  <si>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</si>
  <si>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</si>
  <si>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</si>
  <si>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</si>
  <si>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</si>
  <si>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Lactuca</t>
  </si>
  <si>
    <t>inermis</t>
  </si>
  <si>
    <t>Nov</t>
  </si>
  <si>
    <t>black bee</t>
  </si>
  <si>
    <t>Hymenoptera</t>
  </si>
  <si>
    <t>unknown fly</t>
  </si>
  <si>
    <t>fly</t>
  </si>
  <si>
    <t>Diptera</t>
  </si>
  <si>
    <t>small balck fly-slow</t>
  </si>
  <si>
    <t>fat black fly</t>
  </si>
  <si>
    <t>Morphospecies</t>
  </si>
  <si>
    <t>Small Apoidea</t>
  </si>
  <si>
    <t>Brachycera</t>
  </si>
  <si>
    <t>Acalyptratae</t>
  </si>
  <si>
    <t>yes</t>
  </si>
  <si>
    <t>JH/SD IDs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</si>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</sst>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6"/>
  <sheetViews>
    <sheetView tabSelected="1" zoomScale="85" zoomScaleNormal="85" workbookViewId="0">
      <pane xSplit="6" ySplit="2" topLeftCell="L72" activePane="bottomRight" state="frozen"/>
      <selection pane="topRight" activeCell="G1" sqref="G1"/>
      <selection pane="bottomLeft" activeCell="A3" sqref="A3"/>
      <selection pane="bottomRight" activeCell="Y231" sqref="Y231"/>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8.81640625" customWidth="1"/>
    <col min="25" max="26" width="18.81640625" style="127" customWidth="1"/>
    <col min="27" max="27" width="13.26953125" customWidth="1"/>
    <col min="28" max="28" width="5" customWidth="1"/>
    <col min="29" max="29" width="3" style="113" customWidth="1"/>
    <col min="47" max="47" width="58" customWidth="1"/>
  </cols>
  <sheetData>
    <row r="1" spans="1:54"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5"/>
      <c r="AV1" s="145"/>
      <c r="AW1" s="147"/>
      <c r="AX1" s="8"/>
      <c r="AY1" s="134" t="s">
        <v>15</v>
      </c>
      <c r="AZ1" s="135"/>
      <c r="BA1" s="135"/>
      <c r="BB1" s="135"/>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8" t="s">
        <v>28</v>
      </c>
      <c r="N2" s="128"/>
      <c r="O2" s="17" t="s">
        <v>29</v>
      </c>
      <c r="P2" s="18" t="s">
        <v>30</v>
      </c>
      <c r="Q2" s="19" t="s">
        <v>31</v>
      </c>
      <c r="R2" s="20" t="s">
        <v>32</v>
      </c>
      <c r="S2" s="20" t="s">
        <v>33</v>
      </c>
      <c r="T2" s="129" t="s">
        <v>34</v>
      </c>
      <c r="U2" s="130"/>
      <c r="V2" s="131"/>
      <c r="W2" s="21" t="s">
        <v>35</v>
      </c>
      <c r="X2" s="20" t="s">
        <v>36</v>
      </c>
      <c r="Y2" s="125" t="s">
        <v>71</v>
      </c>
      <c r="Z2" s="125" t="s">
        <v>66</v>
      </c>
      <c r="AA2" s="20" t="s">
        <v>37</v>
      </c>
      <c r="AB2" s="20" t="s">
        <v>38</v>
      </c>
      <c r="AC2" s="22"/>
      <c r="AD2" s="132" t="s">
        <v>39</v>
      </c>
      <c r="AE2" s="133"/>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2017</v>
      </c>
      <c r="B3" s="33" t="s">
        <v>58</v>
      </c>
      <c r="C3" s="34">
        <v>16</v>
      </c>
      <c r="D3" s="35">
        <v>8</v>
      </c>
      <c r="E3" s="36">
        <v>19</v>
      </c>
      <c r="F3" s="37"/>
      <c r="G3" s="38"/>
      <c r="H3" s="39" t="str">
        <f>CONCATENATE(LEFT(J3,3),LEFT(K3,3),L3,"_",A3,TEXT(MONTH(DATEVALUE(B3&amp;" 1")),"00"),TEXT(IF(AND(E3&lt;G3, D3=0), C3-1, C3),"00"),"_",TEXT(IF(E3&lt;G3, IF(D3-1=-1, 23, D3-1), D3), "00"),"_",TEXT(G3,"00"))</f>
        <v>Lacine7_20171116_08_00</v>
      </c>
      <c r="I3" s="40">
        <v>1</v>
      </c>
      <c r="J3" s="41" t="s">
        <v>56</v>
      </c>
      <c r="K3" s="42" t="s">
        <v>57</v>
      </c>
      <c r="L3" s="43">
        <v>7</v>
      </c>
      <c r="M3" s="43">
        <v>3</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2017</v>
      </c>
      <c r="B4" s="63" t="str">
        <f t="shared" ref="B4:B67" si="2">IF(C3-C4&gt;0, TEXT(DATE(2016,(MONTH(DATEVALUE(B3&amp;"1"))+1),1),"mmm"), B3)</f>
        <v>Nov</v>
      </c>
      <c r="C4" s="64">
        <f>IF(AND(D4=0, E4=0), IF(TEXT(C3,"dd")=TEXT(EOMONTH(DATE(A3,MONTH(DATEVALUE(B3&amp;"1")),C3),0), "dd"), 1, C3+1), C3)</f>
        <v>16</v>
      </c>
      <c r="D4" s="65">
        <f t="shared" ref="D4:D67" si="3">IF(IF(E3=59,D3+1,D3)=24,0,IF(E3=59,D3+1,D3))</f>
        <v>8</v>
      </c>
      <c r="E4" s="66">
        <f t="shared" ref="E4:E67" si="4">IF(E3&lt;59,E3+1,0)</f>
        <v>20</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Lacine7_20171116_08_00</v>
      </c>
      <c r="I4" s="70">
        <f>I3</f>
        <v>1</v>
      </c>
      <c r="J4" s="71" t="str">
        <f t="shared" ref="J4:N19" si="5">J3</f>
        <v>Lactuca</v>
      </c>
      <c r="K4" s="71" t="str">
        <f t="shared" si="5"/>
        <v>inermis</v>
      </c>
      <c r="L4" s="72">
        <f t="shared" si="5"/>
        <v>7</v>
      </c>
      <c r="M4" s="72">
        <f t="shared" si="5"/>
        <v>3</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2017</v>
      </c>
      <c r="B5" s="73" t="str">
        <f t="shared" si="2"/>
        <v>Nov</v>
      </c>
      <c r="C5" s="74">
        <f t="shared" ref="C5:C68" si="26">IF(AND(D5=0, E5=0), IF(TEXT(C4,"dd")=TEXT(EOMONTH(DATE(A4,MONTH(DATEVALUE(B4&amp;"1")),C4),0), "dd"), 1, C4+1), C4)</f>
        <v>16</v>
      </c>
      <c r="D5" s="75">
        <f t="shared" si="3"/>
        <v>8</v>
      </c>
      <c r="E5" s="76">
        <f t="shared" si="4"/>
        <v>21</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Lacine7_20171116_08_00</v>
      </c>
      <c r="I5" s="70">
        <f t="shared" ref="I5:N20" si="28">I4</f>
        <v>1</v>
      </c>
      <c r="J5" s="77" t="str">
        <f t="shared" si="5"/>
        <v>Lactuca</v>
      </c>
      <c r="K5" s="77" t="str">
        <f t="shared" si="5"/>
        <v>inermis</v>
      </c>
      <c r="L5" s="78">
        <f t="shared" si="5"/>
        <v>7</v>
      </c>
      <c r="M5" s="78">
        <f t="shared" si="5"/>
        <v>3</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2017</v>
      </c>
      <c r="B6" s="73" t="str">
        <f t="shared" si="2"/>
        <v>Nov</v>
      </c>
      <c r="C6" s="74">
        <f t="shared" si="26"/>
        <v>16</v>
      </c>
      <c r="D6" s="75">
        <f t="shared" si="3"/>
        <v>8</v>
      </c>
      <c r="E6" s="76">
        <f t="shared" si="4"/>
        <v>22</v>
      </c>
      <c r="F6" s="67"/>
      <c r="G6" s="68"/>
      <c r="H6" s="69" t="str">
        <f t="shared" si="27"/>
        <v>Lacine7_20171116_08_00</v>
      </c>
      <c r="I6" s="70">
        <f t="shared" si="28"/>
        <v>1</v>
      </c>
      <c r="J6" s="77" t="str">
        <f t="shared" si="5"/>
        <v>Lactuca</v>
      </c>
      <c r="K6" s="77" t="str">
        <f t="shared" si="5"/>
        <v>inermis</v>
      </c>
      <c r="L6" s="78">
        <f t="shared" si="5"/>
        <v>7</v>
      </c>
      <c r="M6" s="78">
        <f t="shared" si="5"/>
        <v>3</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2017</v>
      </c>
      <c r="B7" s="73" t="str">
        <f t="shared" si="2"/>
        <v>Nov</v>
      </c>
      <c r="C7" s="74">
        <f t="shared" si="26"/>
        <v>16</v>
      </c>
      <c r="D7" s="75">
        <f t="shared" si="3"/>
        <v>8</v>
      </c>
      <c r="E7" s="76">
        <f t="shared" si="4"/>
        <v>23</v>
      </c>
      <c r="F7" s="67"/>
      <c r="G7" s="68"/>
      <c r="H7" s="69" t="str">
        <f t="shared" si="27"/>
        <v>Lacine7_20171116_08_00</v>
      </c>
      <c r="I7" s="70">
        <f t="shared" si="28"/>
        <v>1</v>
      </c>
      <c r="J7" s="77" t="str">
        <f t="shared" si="5"/>
        <v>Lactuca</v>
      </c>
      <c r="K7" s="77" t="str">
        <f t="shared" si="5"/>
        <v>inermis</v>
      </c>
      <c r="L7" s="78">
        <f t="shared" si="5"/>
        <v>7</v>
      </c>
      <c r="M7" s="78">
        <f t="shared" si="5"/>
        <v>3</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2017</v>
      </c>
      <c r="B8" s="73" t="str">
        <f t="shared" si="2"/>
        <v>Nov</v>
      </c>
      <c r="C8" s="74">
        <f t="shared" si="26"/>
        <v>16</v>
      </c>
      <c r="D8" s="75">
        <f t="shared" si="3"/>
        <v>8</v>
      </c>
      <c r="E8" s="76">
        <f t="shared" si="4"/>
        <v>24</v>
      </c>
      <c r="F8" s="67"/>
      <c r="G8" s="79"/>
      <c r="H8" s="69" t="str">
        <f t="shared" si="27"/>
        <v>Lacine7_20171116_08_00</v>
      </c>
      <c r="I8" s="70">
        <f t="shared" si="28"/>
        <v>1</v>
      </c>
      <c r="J8" s="77" t="str">
        <f t="shared" si="5"/>
        <v>Lactuca</v>
      </c>
      <c r="K8" s="77" t="str">
        <f t="shared" si="5"/>
        <v>inermis</v>
      </c>
      <c r="L8" s="78">
        <f t="shared" si="5"/>
        <v>7</v>
      </c>
      <c r="M8" s="78">
        <f t="shared" si="5"/>
        <v>3</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2017</v>
      </c>
      <c r="B9" s="73" t="str">
        <f t="shared" si="2"/>
        <v>Nov</v>
      </c>
      <c r="C9" s="74">
        <f t="shared" si="26"/>
        <v>16</v>
      </c>
      <c r="D9" s="75">
        <f t="shared" si="3"/>
        <v>8</v>
      </c>
      <c r="E9" s="76">
        <f t="shared" si="4"/>
        <v>25</v>
      </c>
      <c r="F9" s="80"/>
      <c r="G9" s="81"/>
      <c r="H9" s="69" t="str">
        <f t="shared" si="27"/>
        <v>Lacine7_20171116_08_00</v>
      </c>
      <c r="I9" s="70">
        <f t="shared" si="28"/>
        <v>1</v>
      </c>
      <c r="J9" s="77" t="str">
        <f t="shared" si="5"/>
        <v>Lactuca</v>
      </c>
      <c r="K9" s="77" t="str">
        <f t="shared" si="5"/>
        <v>inermis</v>
      </c>
      <c r="L9" s="78">
        <f t="shared" si="5"/>
        <v>7</v>
      </c>
      <c r="M9" s="78">
        <f t="shared" si="5"/>
        <v>3</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2017</v>
      </c>
      <c r="B10" s="73" t="str">
        <f t="shared" si="2"/>
        <v>Nov</v>
      </c>
      <c r="C10" s="74">
        <f t="shared" si="26"/>
        <v>16</v>
      </c>
      <c r="D10" s="75">
        <f t="shared" si="3"/>
        <v>8</v>
      </c>
      <c r="E10" s="76">
        <f t="shared" si="4"/>
        <v>26</v>
      </c>
      <c r="F10" s="80"/>
      <c r="G10" s="82"/>
      <c r="H10" s="69" t="str">
        <f t="shared" si="27"/>
        <v>Lacine7_20171116_08_00</v>
      </c>
      <c r="I10" s="70">
        <f t="shared" si="28"/>
        <v>1</v>
      </c>
      <c r="J10" s="77" t="str">
        <f t="shared" si="5"/>
        <v>Lactuca</v>
      </c>
      <c r="K10" s="77" t="str">
        <f t="shared" si="5"/>
        <v>inermis</v>
      </c>
      <c r="L10" s="78">
        <f t="shared" si="5"/>
        <v>7</v>
      </c>
      <c r="M10" s="78">
        <f t="shared" si="5"/>
        <v>3</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2017</v>
      </c>
      <c r="B11" s="73" t="str">
        <f t="shared" si="2"/>
        <v>Nov</v>
      </c>
      <c r="C11" s="74">
        <f t="shared" si="26"/>
        <v>16</v>
      </c>
      <c r="D11" s="75">
        <f t="shared" si="3"/>
        <v>8</v>
      </c>
      <c r="E11" s="76">
        <f t="shared" si="4"/>
        <v>27</v>
      </c>
      <c r="F11" s="80"/>
      <c r="G11" s="83"/>
      <c r="H11" s="69" t="str">
        <f t="shared" si="27"/>
        <v>Lacine7_20171116_08_00</v>
      </c>
      <c r="I11" s="70">
        <f t="shared" si="28"/>
        <v>1</v>
      </c>
      <c r="J11" s="77" t="str">
        <f t="shared" si="5"/>
        <v>Lactuca</v>
      </c>
      <c r="K11" s="77" t="str">
        <f t="shared" si="5"/>
        <v>inermis</v>
      </c>
      <c r="L11" s="78">
        <f t="shared" si="5"/>
        <v>7</v>
      </c>
      <c r="M11" s="78">
        <f t="shared" si="5"/>
        <v>3</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2017</v>
      </c>
      <c r="B12" s="73" t="str">
        <f t="shared" si="2"/>
        <v>Nov</v>
      </c>
      <c r="C12" s="74">
        <f t="shared" si="26"/>
        <v>16</v>
      </c>
      <c r="D12" s="75">
        <f t="shared" si="3"/>
        <v>8</v>
      </c>
      <c r="E12" s="76">
        <f t="shared" si="4"/>
        <v>28</v>
      </c>
      <c r="F12" s="80"/>
      <c r="G12" s="83"/>
      <c r="H12" s="69" t="str">
        <f t="shared" si="27"/>
        <v>Lacine7_20171116_08_00</v>
      </c>
      <c r="I12" s="70">
        <f t="shared" si="28"/>
        <v>1</v>
      </c>
      <c r="J12" s="77" t="str">
        <f t="shared" si="5"/>
        <v>Lactuca</v>
      </c>
      <c r="K12" s="77" t="str">
        <f t="shared" si="5"/>
        <v>inermis</v>
      </c>
      <c r="L12" s="78">
        <f t="shared" si="5"/>
        <v>7</v>
      </c>
      <c r="M12" s="78">
        <f t="shared" si="5"/>
        <v>3</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2017</v>
      </c>
      <c r="B13" s="73" t="str">
        <f t="shared" si="2"/>
        <v>Nov</v>
      </c>
      <c r="C13" s="74">
        <f t="shared" si="26"/>
        <v>16</v>
      </c>
      <c r="D13" s="75">
        <f t="shared" si="3"/>
        <v>8</v>
      </c>
      <c r="E13" s="76">
        <f t="shared" si="4"/>
        <v>29</v>
      </c>
      <c r="F13" s="80"/>
      <c r="G13" s="83"/>
      <c r="H13" s="69" t="str">
        <f t="shared" si="27"/>
        <v>Lacine7_20171116_08_00</v>
      </c>
      <c r="I13" s="70">
        <f t="shared" si="28"/>
        <v>1</v>
      </c>
      <c r="J13" s="77" t="str">
        <f t="shared" si="5"/>
        <v>Lactuca</v>
      </c>
      <c r="K13" s="77" t="str">
        <f t="shared" si="5"/>
        <v>inermis</v>
      </c>
      <c r="L13" s="78">
        <f t="shared" si="5"/>
        <v>7</v>
      </c>
      <c r="M13" s="78">
        <f t="shared" si="5"/>
        <v>3</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2017</v>
      </c>
      <c r="B14" s="73" t="str">
        <f t="shared" si="2"/>
        <v>Nov</v>
      </c>
      <c r="C14" s="74">
        <f t="shared" si="26"/>
        <v>16</v>
      </c>
      <c r="D14" s="75">
        <f t="shared" si="3"/>
        <v>8</v>
      </c>
      <c r="E14" s="76">
        <f t="shared" si="4"/>
        <v>30</v>
      </c>
      <c r="F14" s="80"/>
      <c r="G14" s="83"/>
      <c r="H14" s="69" t="str">
        <f t="shared" si="27"/>
        <v>Lacine7_20171116_08_00</v>
      </c>
      <c r="I14" s="70">
        <f t="shared" si="28"/>
        <v>1</v>
      </c>
      <c r="J14" s="77" t="str">
        <f t="shared" si="5"/>
        <v>Lactuca</v>
      </c>
      <c r="K14" s="77" t="str">
        <f t="shared" si="5"/>
        <v>inermis</v>
      </c>
      <c r="L14" s="78">
        <f t="shared" si="5"/>
        <v>7</v>
      </c>
      <c r="M14" s="78">
        <f t="shared" si="5"/>
        <v>3</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2017</v>
      </c>
      <c r="B15" s="73" t="str">
        <f t="shared" si="2"/>
        <v>Nov</v>
      </c>
      <c r="C15" s="74">
        <f t="shared" si="26"/>
        <v>16</v>
      </c>
      <c r="D15" s="75">
        <f t="shared" si="3"/>
        <v>8</v>
      </c>
      <c r="E15" s="76">
        <f t="shared" si="4"/>
        <v>31</v>
      </c>
      <c r="F15" s="80"/>
      <c r="G15" s="83"/>
      <c r="H15" s="69" t="str">
        <f t="shared" si="27"/>
        <v>Lacine7_20171116_08_00</v>
      </c>
      <c r="I15" s="70">
        <f t="shared" si="28"/>
        <v>1</v>
      </c>
      <c r="J15" s="77" t="str">
        <f t="shared" si="5"/>
        <v>Lactuca</v>
      </c>
      <c r="K15" s="77" t="str">
        <f t="shared" si="5"/>
        <v>inermis</v>
      </c>
      <c r="L15" s="78">
        <f t="shared" si="5"/>
        <v>7</v>
      </c>
      <c r="M15" s="78">
        <f t="shared" si="5"/>
        <v>3</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2017</v>
      </c>
      <c r="B16" s="73" t="str">
        <f t="shared" si="2"/>
        <v>Nov</v>
      </c>
      <c r="C16" s="74">
        <f t="shared" si="26"/>
        <v>16</v>
      </c>
      <c r="D16" s="75">
        <f t="shared" si="3"/>
        <v>8</v>
      </c>
      <c r="E16" s="76">
        <f t="shared" si="4"/>
        <v>32</v>
      </c>
      <c r="F16" s="80"/>
      <c r="G16" s="83"/>
      <c r="H16" s="69" t="str">
        <f t="shared" si="27"/>
        <v>Lacine7_20171116_08_00</v>
      </c>
      <c r="I16" s="70">
        <f t="shared" si="28"/>
        <v>1</v>
      </c>
      <c r="J16" s="77" t="str">
        <f t="shared" si="5"/>
        <v>Lactuca</v>
      </c>
      <c r="K16" s="77" t="str">
        <f t="shared" si="5"/>
        <v>inermis</v>
      </c>
      <c r="L16" s="78">
        <f t="shared" si="5"/>
        <v>7</v>
      </c>
      <c r="M16" s="78">
        <f t="shared" si="5"/>
        <v>3</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2017</v>
      </c>
      <c r="B17" s="73" t="str">
        <f t="shared" si="2"/>
        <v>Nov</v>
      </c>
      <c r="C17" s="74">
        <f t="shared" si="26"/>
        <v>16</v>
      </c>
      <c r="D17" s="75">
        <f t="shared" si="3"/>
        <v>8</v>
      </c>
      <c r="E17" s="76">
        <f t="shared" si="4"/>
        <v>33</v>
      </c>
      <c r="F17" s="80"/>
      <c r="G17" s="83"/>
      <c r="H17" s="69" t="str">
        <f t="shared" si="27"/>
        <v>Lacine7_20171116_08_00</v>
      </c>
      <c r="I17" s="70">
        <f t="shared" si="28"/>
        <v>1</v>
      </c>
      <c r="J17" s="77" t="str">
        <f t="shared" si="5"/>
        <v>Lactuca</v>
      </c>
      <c r="K17" s="77" t="str">
        <f t="shared" si="5"/>
        <v>inermis</v>
      </c>
      <c r="L17" s="78">
        <f t="shared" si="5"/>
        <v>7</v>
      </c>
      <c r="M17" s="78">
        <f t="shared" si="5"/>
        <v>3</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2017</v>
      </c>
      <c r="B18" s="73" t="str">
        <f t="shared" si="2"/>
        <v>Nov</v>
      </c>
      <c r="C18" s="74">
        <f t="shared" si="26"/>
        <v>16</v>
      </c>
      <c r="D18" s="75">
        <f t="shared" si="3"/>
        <v>8</v>
      </c>
      <c r="E18" s="76">
        <f t="shared" si="4"/>
        <v>34</v>
      </c>
      <c r="F18" s="80"/>
      <c r="G18" s="83"/>
      <c r="H18" s="69" t="str">
        <f t="shared" si="27"/>
        <v>Lacine7_20171116_08_00</v>
      </c>
      <c r="I18" s="70">
        <f t="shared" si="28"/>
        <v>1</v>
      </c>
      <c r="J18" s="77" t="str">
        <f t="shared" si="5"/>
        <v>Lactuca</v>
      </c>
      <c r="K18" s="77" t="str">
        <f t="shared" si="5"/>
        <v>inermis</v>
      </c>
      <c r="L18" s="78">
        <f t="shared" si="5"/>
        <v>7</v>
      </c>
      <c r="M18" s="78">
        <f t="shared" si="5"/>
        <v>3</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2017</v>
      </c>
      <c r="B19" s="73" t="str">
        <f t="shared" si="2"/>
        <v>Nov</v>
      </c>
      <c r="C19" s="74">
        <f t="shared" si="26"/>
        <v>16</v>
      </c>
      <c r="D19" s="75">
        <f t="shared" si="3"/>
        <v>8</v>
      </c>
      <c r="E19" s="76">
        <f t="shared" si="4"/>
        <v>35</v>
      </c>
      <c r="F19" s="80"/>
      <c r="G19" s="83"/>
      <c r="H19" s="69" t="str">
        <f t="shared" si="27"/>
        <v>Lacine7_20171116_08_00</v>
      </c>
      <c r="I19" s="70">
        <f t="shared" si="28"/>
        <v>1</v>
      </c>
      <c r="J19" s="77" t="str">
        <f t="shared" si="5"/>
        <v>Lactuca</v>
      </c>
      <c r="K19" s="77" t="str">
        <f t="shared" si="5"/>
        <v>inermis</v>
      </c>
      <c r="L19" s="78">
        <f t="shared" si="5"/>
        <v>7</v>
      </c>
      <c r="M19" s="78">
        <f t="shared" si="5"/>
        <v>3</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2017</v>
      </c>
      <c r="B20" s="73" t="str">
        <f t="shared" si="2"/>
        <v>Nov</v>
      </c>
      <c r="C20" s="74">
        <f t="shared" si="26"/>
        <v>16</v>
      </c>
      <c r="D20" s="75">
        <f t="shared" si="3"/>
        <v>8</v>
      </c>
      <c r="E20" s="76">
        <f t="shared" si="4"/>
        <v>36</v>
      </c>
      <c r="F20" s="80"/>
      <c r="G20" s="83"/>
      <c r="H20" s="69" t="str">
        <f t="shared" si="27"/>
        <v>Lacine7_20171116_08_00</v>
      </c>
      <c r="I20" s="70">
        <f t="shared" si="28"/>
        <v>1</v>
      </c>
      <c r="J20" s="77" t="str">
        <f t="shared" si="28"/>
        <v>Lactuca</v>
      </c>
      <c r="K20" s="77" t="str">
        <f t="shared" si="28"/>
        <v>inermis</v>
      </c>
      <c r="L20" s="78">
        <f t="shared" si="28"/>
        <v>7</v>
      </c>
      <c r="M20" s="78">
        <f t="shared" si="28"/>
        <v>3</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2017</v>
      </c>
      <c r="B21" s="73" t="str">
        <f t="shared" si="2"/>
        <v>Nov</v>
      </c>
      <c r="C21" s="74">
        <f t="shared" si="26"/>
        <v>16</v>
      </c>
      <c r="D21" s="75">
        <f t="shared" si="3"/>
        <v>8</v>
      </c>
      <c r="E21" s="76">
        <f t="shared" si="4"/>
        <v>37</v>
      </c>
      <c r="F21" s="80"/>
      <c r="G21" s="83"/>
      <c r="H21" s="69" t="str">
        <f t="shared" si="27"/>
        <v>Lacine7_20171116_08_00</v>
      </c>
      <c r="I21" s="70">
        <f t="shared" ref="I21:N36" si="29">I20</f>
        <v>1</v>
      </c>
      <c r="J21" s="77" t="str">
        <f t="shared" si="29"/>
        <v>Lactuca</v>
      </c>
      <c r="K21" s="77" t="str">
        <f t="shared" si="29"/>
        <v>inermis</v>
      </c>
      <c r="L21" s="78">
        <f t="shared" si="29"/>
        <v>7</v>
      </c>
      <c r="M21" s="78">
        <f t="shared" si="29"/>
        <v>3</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2017</v>
      </c>
      <c r="B22" s="73" t="str">
        <f t="shared" si="2"/>
        <v>Nov</v>
      </c>
      <c r="C22" s="74">
        <f t="shared" si="26"/>
        <v>16</v>
      </c>
      <c r="D22" s="75">
        <f t="shared" si="3"/>
        <v>8</v>
      </c>
      <c r="E22" s="76">
        <f t="shared" si="4"/>
        <v>38</v>
      </c>
      <c r="F22" s="80"/>
      <c r="G22" s="83"/>
      <c r="H22" s="69" t="str">
        <f t="shared" si="27"/>
        <v>Lacine7_20171116_08_00</v>
      </c>
      <c r="I22" s="70">
        <f t="shared" si="29"/>
        <v>1</v>
      </c>
      <c r="J22" s="77" t="str">
        <f t="shared" si="29"/>
        <v>Lactuca</v>
      </c>
      <c r="K22" s="77" t="str">
        <f t="shared" si="29"/>
        <v>inermis</v>
      </c>
      <c r="L22" s="78">
        <f t="shared" si="29"/>
        <v>7</v>
      </c>
      <c r="M22" s="78">
        <f t="shared" si="29"/>
        <v>3</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2017</v>
      </c>
      <c r="B23" s="73" t="str">
        <f t="shared" si="2"/>
        <v>Nov</v>
      </c>
      <c r="C23" s="74">
        <f t="shared" si="26"/>
        <v>16</v>
      </c>
      <c r="D23" s="75">
        <f t="shared" si="3"/>
        <v>8</v>
      </c>
      <c r="E23" s="76">
        <f t="shared" si="4"/>
        <v>39</v>
      </c>
      <c r="F23" s="80"/>
      <c r="G23" s="83"/>
      <c r="H23" s="69" t="str">
        <f t="shared" si="27"/>
        <v>Lacine7_20171116_08_00</v>
      </c>
      <c r="I23" s="70">
        <f t="shared" si="29"/>
        <v>1</v>
      </c>
      <c r="J23" s="77" t="str">
        <f t="shared" si="29"/>
        <v>Lactuca</v>
      </c>
      <c r="K23" s="77" t="str">
        <f t="shared" si="29"/>
        <v>inermis</v>
      </c>
      <c r="L23" s="78">
        <f t="shared" si="29"/>
        <v>7</v>
      </c>
      <c r="M23" s="78">
        <f t="shared" si="29"/>
        <v>3</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2017</v>
      </c>
      <c r="B24" s="73" t="str">
        <f t="shared" si="2"/>
        <v>Nov</v>
      </c>
      <c r="C24" s="74">
        <f t="shared" si="26"/>
        <v>16</v>
      </c>
      <c r="D24" s="75">
        <f t="shared" si="3"/>
        <v>8</v>
      </c>
      <c r="E24" s="76">
        <f t="shared" si="4"/>
        <v>40</v>
      </c>
      <c r="F24" s="80"/>
      <c r="G24" s="83"/>
      <c r="H24" s="69" t="str">
        <f t="shared" si="27"/>
        <v>Lacine7_20171116_08_00</v>
      </c>
      <c r="I24" s="70">
        <f t="shared" si="29"/>
        <v>1</v>
      </c>
      <c r="J24" s="77" t="str">
        <f t="shared" si="29"/>
        <v>Lactuca</v>
      </c>
      <c r="K24" s="77" t="str">
        <f t="shared" si="29"/>
        <v>inermis</v>
      </c>
      <c r="L24" s="78">
        <f t="shared" si="29"/>
        <v>7</v>
      </c>
      <c r="M24" s="78">
        <f t="shared" si="29"/>
        <v>3</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2017</v>
      </c>
      <c r="B25" s="73" t="str">
        <f t="shared" si="2"/>
        <v>Nov</v>
      </c>
      <c r="C25" s="74">
        <f t="shared" si="26"/>
        <v>16</v>
      </c>
      <c r="D25" s="75">
        <f t="shared" si="3"/>
        <v>8</v>
      </c>
      <c r="E25" s="76">
        <f t="shared" si="4"/>
        <v>41</v>
      </c>
      <c r="F25" s="80"/>
      <c r="G25" s="83"/>
      <c r="H25" s="69" t="str">
        <f t="shared" si="27"/>
        <v>Lacine7_20171116_08_00</v>
      </c>
      <c r="I25" s="70">
        <f t="shared" si="29"/>
        <v>1</v>
      </c>
      <c r="J25" s="77" t="str">
        <f t="shared" si="29"/>
        <v>Lactuca</v>
      </c>
      <c r="K25" s="77" t="str">
        <f t="shared" si="29"/>
        <v>inermis</v>
      </c>
      <c r="L25" s="78">
        <f t="shared" si="29"/>
        <v>7</v>
      </c>
      <c r="M25" s="78">
        <f t="shared" si="29"/>
        <v>3</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2017</v>
      </c>
      <c r="B26" s="73" t="str">
        <f t="shared" si="2"/>
        <v>Nov</v>
      </c>
      <c r="C26" s="74">
        <f t="shared" si="26"/>
        <v>16</v>
      </c>
      <c r="D26" s="75">
        <f t="shared" si="3"/>
        <v>8</v>
      </c>
      <c r="E26" s="76">
        <f t="shared" si="4"/>
        <v>42</v>
      </c>
      <c r="F26" s="80"/>
      <c r="G26" s="83"/>
      <c r="H26" s="69" t="str">
        <f t="shared" si="27"/>
        <v>Lacine7_20171116_08_00</v>
      </c>
      <c r="I26" s="70">
        <f t="shared" si="29"/>
        <v>1</v>
      </c>
      <c r="J26" s="77" t="str">
        <f t="shared" si="29"/>
        <v>Lactuca</v>
      </c>
      <c r="K26" s="77" t="str">
        <f t="shared" si="29"/>
        <v>inermis</v>
      </c>
      <c r="L26" s="78">
        <f t="shared" si="29"/>
        <v>7</v>
      </c>
      <c r="M26" s="78">
        <f t="shared" si="29"/>
        <v>3</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2017</v>
      </c>
      <c r="B27" s="73" t="str">
        <f t="shared" si="2"/>
        <v>Nov</v>
      </c>
      <c r="C27" s="74">
        <f t="shared" si="26"/>
        <v>16</v>
      </c>
      <c r="D27" s="75">
        <f t="shared" si="3"/>
        <v>8</v>
      </c>
      <c r="E27" s="76">
        <f t="shared" si="4"/>
        <v>43</v>
      </c>
      <c r="F27" s="80"/>
      <c r="G27" s="83"/>
      <c r="H27" s="69" t="str">
        <f t="shared" si="27"/>
        <v>Lacine7_20171116_08_00</v>
      </c>
      <c r="I27" s="70">
        <f t="shared" si="29"/>
        <v>1</v>
      </c>
      <c r="J27" s="77" t="str">
        <f t="shared" si="29"/>
        <v>Lactuca</v>
      </c>
      <c r="K27" s="77" t="str">
        <f t="shared" si="29"/>
        <v>inermis</v>
      </c>
      <c r="L27" s="78">
        <f t="shared" si="29"/>
        <v>7</v>
      </c>
      <c r="M27" s="78">
        <f t="shared" si="29"/>
        <v>3</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2017</v>
      </c>
      <c r="B28" s="73" t="str">
        <f t="shared" si="2"/>
        <v>Nov</v>
      </c>
      <c r="C28" s="74">
        <f t="shared" si="26"/>
        <v>16</v>
      </c>
      <c r="D28" s="75">
        <f t="shared" si="3"/>
        <v>8</v>
      </c>
      <c r="E28" s="76">
        <f t="shared" si="4"/>
        <v>44</v>
      </c>
      <c r="F28" s="80"/>
      <c r="G28" s="83"/>
      <c r="H28" s="69" t="str">
        <f t="shared" si="27"/>
        <v>Lacine7_20171116_08_00</v>
      </c>
      <c r="I28" s="70">
        <f t="shared" si="29"/>
        <v>1</v>
      </c>
      <c r="J28" s="77" t="str">
        <f t="shared" si="29"/>
        <v>Lactuca</v>
      </c>
      <c r="K28" s="77" t="str">
        <f t="shared" si="29"/>
        <v>inermis</v>
      </c>
      <c r="L28" s="78">
        <f t="shared" si="29"/>
        <v>7</v>
      </c>
      <c r="M28" s="78">
        <f t="shared" si="29"/>
        <v>3</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2017</v>
      </c>
      <c r="B29" s="73" t="str">
        <f t="shared" si="2"/>
        <v>Nov</v>
      </c>
      <c r="C29" s="74">
        <f t="shared" si="26"/>
        <v>16</v>
      </c>
      <c r="D29" s="75">
        <f t="shared" si="3"/>
        <v>8</v>
      </c>
      <c r="E29" s="76">
        <f t="shared" si="4"/>
        <v>45</v>
      </c>
      <c r="F29" s="80"/>
      <c r="G29" s="83"/>
      <c r="H29" s="69" t="str">
        <f t="shared" si="27"/>
        <v>Lacine7_20171116_08_00</v>
      </c>
      <c r="I29" s="70">
        <f t="shared" si="29"/>
        <v>1</v>
      </c>
      <c r="J29" s="77" t="str">
        <f t="shared" si="29"/>
        <v>Lactuca</v>
      </c>
      <c r="K29" s="77" t="str">
        <f t="shared" si="29"/>
        <v>inermis</v>
      </c>
      <c r="L29" s="78">
        <f t="shared" si="29"/>
        <v>7</v>
      </c>
      <c r="M29" s="78">
        <f t="shared" si="29"/>
        <v>3</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2017</v>
      </c>
      <c r="B30" s="73" t="str">
        <f t="shared" si="2"/>
        <v>Nov</v>
      </c>
      <c r="C30" s="74">
        <f t="shared" si="26"/>
        <v>16</v>
      </c>
      <c r="D30" s="75">
        <f t="shared" si="3"/>
        <v>8</v>
      </c>
      <c r="E30" s="76">
        <f t="shared" si="4"/>
        <v>46</v>
      </c>
      <c r="F30" s="80"/>
      <c r="G30" s="83"/>
      <c r="H30" s="69" t="str">
        <f t="shared" si="27"/>
        <v>Lacine7_20171116_08_00</v>
      </c>
      <c r="I30" s="70">
        <f t="shared" si="29"/>
        <v>1</v>
      </c>
      <c r="J30" s="77" t="str">
        <f t="shared" si="29"/>
        <v>Lactuca</v>
      </c>
      <c r="K30" s="77" t="str">
        <f t="shared" si="29"/>
        <v>inermis</v>
      </c>
      <c r="L30" s="78">
        <f t="shared" si="29"/>
        <v>7</v>
      </c>
      <c r="M30" s="78">
        <f t="shared" si="29"/>
        <v>3</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2017</v>
      </c>
      <c r="B31" s="73" t="str">
        <f t="shared" si="2"/>
        <v>Nov</v>
      </c>
      <c r="C31" s="74">
        <f t="shared" si="26"/>
        <v>16</v>
      </c>
      <c r="D31" s="75">
        <f t="shared" si="3"/>
        <v>8</v>
      </c>
      <c r="E31" s="76">
        <f t="shared" si="4"/>
        <v>47</v>
      </c>
      <c r="F31" s="80"/>
      <c r="G31" s="83"/>
      <c r="H31" s="69" t="str">
        <f t="shared" si="27"/>
        <v>Lacine7_20171116_08_00</v>
      </c>
      <c r="I31" s="70">
        <f t="shared" si="29"/>
        <v>1</v>
      </c>
      <c r="J31" s="77" t="str">
        <f t="shared" si="29"/>
        <v>Lactuca</v>
      </c>
      <c r="K31" s="77" t="str">
        <f t="shared" si="29"/>
        <v>inermis</v>
      </c>
      <c r="L31" s="78">
        <f t="shared" si="29"/>
        <v>7</v>
      </c>
      <c r="M31" s="78">
        <f t="shared" si="29"/>
        <v>3</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2017</v>
      </c>
      <c r="B32" s="73" t="str">
        <f t="shared" si="2"/>
        <v>Nov</v>
      </c>
      <c r="C32" s="74">
        <f t="shared" si="26"/>
        <v>16</v>
      </c>
      <c r="D32" s="75">
        <f t="shared" si="3"/>
        <v>8</v>
      </c>
      <c r="E32" s="76">
        <f t="shared" si="4"/>
        <v>48</v>
      </c>
      <c r="F32" s="80"/>
      <c r="G32" s="83"/>
      <c r="H32" s="69" t="str">
        <f t="shared" si="27"/>
        <v>Lacine7_20171116_08_00</v>
      </c>
      <c r="I32" s="70">
        <f t="shared" si="29"/>
        <v>1</v>
      </c>
      <c r="J32" s="77" t="str">
        <f t="shared" si="29"/>
        <v>Lactuca</v>
      </c>
      <c r="K32" s="77" t="str">
        <f t="shared" si="29"/>
        <v>inermis</v>
      </c>
      <c r="L32" s="78">
        <f t="shared" si="29"/>
        <v>7</v>
      </c>
      <c r="M32" s="78">
        <f t="shared" si="29"/>
        <v>3</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2017</v>
      </c>
      <c r="B33" s="73" t="str">
        <f t="shared" si="2"/>
        <v>Nov</v>
      </c>
      <c r="C33" s="74">
        <f t="shared" si="26"/>
        <v>16</v>
      </c>
      <c r="D33" s="75">
        <f t="shared" si="3"/>
        <v>8</v>
      </c>
      <c r="E33" s="76">
        <f t="shared" si="4"/>
        <v>49</v>
      </c>
      <c r="F33" s="80"/>
      <c r="G33" s="83"/>
      <c r="H33" s="69" t="str">
        <f t="shared" si="27"/>
        <v>Lacine7_20171116_08_00</v>
      </c>
      <c r="I33" s="70">
        <f t="shared" si="29"/>
        <v>1</v>
      </c>
      <c r="J33" s="77" t="str">
        <f t="shared" si="29"/>
        <v>Lactuca</v>
      </c>
      <c r="K33" s="77" t="str">
        <f t="shared" si="29"/>
        <v>inermis</v>
      </c>
      <c r="L33" s="78">
        <f t="shared" si="29"/>
        <v>7</v>
      </c>
      <c r="M33" s="78">
        <f t="shared" si="29"/>
        <v>3</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2017</v>
      </c>
      <c r="B34" s="73" t="str">
        <f t="shared" si="2"/>
        <v>Nov</v>
      </c>
      <c r="C34" s="74">
        <f t="shared" si="26"/>
        <v>16</v>
      </c>
      <c r="D34" s="75">
        <f t="shared" si="3"/>
        <v>8</v>
      </c>
      <c r="E34" s="76">
        <f t="shared" si="4"/>
        <v>50</v>
      </c>
      <c r="F34" s="80"/>
      <c r="G34" s="83"/>
      <c r="H34" s="69" t="str">
        <f t="shared" si="27"/>
        <v>Lacine7_20171116_08_00</v>
      </c>
      <c r="I34" s="70">
        <f t="shared" si="29"/>
        <v>1</v>
      </c>
      <c r="J34" s="77" t="str">
        <f t="shared" si="29"/>
        <v>Lactuca</v>
      </c>
      <c r="K34" s="77" t="str">
        <f t="shared" si="29"/>
        <v>inermis</v>
      </c>
      <c r="L34" s="78">
        <f t="shared" si="29"/>
        <v>7</v>
      </c>
      <c r="M34" s="78">
        <f t="shared" si="29"/>
        <v>3</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2017</v>
      </c>
      <c r="B35" s="73" t="str">
        <f t="shared" si="2"/>
        <v>Nov</v>
      </c>
      <c r="C35" s="74">
        <f t="shared" si="26"/>
        <v>16</v>
      </c>
      <c r="D35" s="75">
        <f t="shared" si="3"/>
        <v>8</v>
      </c>
      <c r="E35" s="76">
        <f t="shared" si="4"/>
        <v>51</v>
      </c>
      <c r="F35" s="80"/>
      <c r="G35" s="83"/>
      <c r="H35" s="69" t="str">
        <f t="shared" si="27"/>
        <v>Lacine7_20171116_08_00</v>
      </c>
      <c r="I35" s="70">
        <f t="shared" si="29"/>
        <v>1</v>
      </c>
      <c r="J35" s="77" t="str">
        <f t="shared" si="29"/>
        <v>Lactuca</v>
      </c>
      <c r="K35" s="77" t="str">
        <f t="shared" si="29"/>
        <v>inermis</v>
      </c>
      <c r="L35" s="78">
        <f t="shared" si="29"/>
        <v>7</v>
      </c>
      <c r="M35" s="78">
        <f t="shared" si="29"/>
        <v>3</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2017</v>
      </c>
      <c r="B36" s="73" t="str">
        <f t="shared" si="2"/>
        <v>Nov</v>
      </c>
      <c r="C36" s="74">
        <f t="shared" si="26"/>
        <v>16</v>
      </c>
      <c r="D36" s="75">
        <f t="shared" si="3"/>
        <v>8</v>
      </c>
      <c r="E36" s="76">
        <f t="shared" si="4"/>
        <v>52</v>
      </c>
      <c r="F36" s="80"/>
      <c r="G36" s="83"/>
      <c r="H36" s="69" t="str">
        <f t="shared" si="27"/>
        <v>Lacine7_20171116_08_00</v>
      </c>
      <c r="I36" s="70">
        <f t="shared" si="29"/>
        <v>1</v>
      </c>
      <c r="J36" s="77" t="str">
        <f t="shared" si="29"/>
        <v>Lactuca</v>
      </c>
      <c r="K36" s="77" t="str">
        <f t="shared" si="29"/>
        <v>inermis</v>
      </c>
      <c r="L36" s="78">
        <f t="shared" si="29"/>
        <v>7</v>
      </c>
      <c r="M36" s="78">
        <f t="shared" si="29"/>
        <v>3</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2017</v>
      </c>
      <c r="B37" s="73" t="str">
        <f t="shared" si="2"/>
        <v>Nov</v>
      </c>
      <c r="C37" s="74">
        <f t="shared" si="26"/>
        <v>16</v>
      </c>
      <c r="D37" s="75">
        <f t="shared" si="3"/>
        <v>8</v>
      </c>
      <c r="E37" s="76">
        <f t="shared" si="4"/>
        <v>53</v>
      </c>
      <c r="F37" s="80"/>
      <c r="G37" s="83"/>
      <c r="H37" s="69" t="str">
        <f t="shared" si="27"/>
        <v>Lacine7_20171116_08_00</v>
      </c>
      <c r="I37" s="70">
        <f t="shared" ref="I37:N52" si="30">I36</f>
        <v>1</v>
      </c>
      <c r="J37" s="77" t="str">
        <f t="shared" si="30"/>
        <v>Lactuca</v>
      </c>
      <c r="K37" s="77" t="str">
        <f t="shared" si="30"/>
        <v>inermis</v>
      </c>
      <c r="L37" s="78">
        <f t="shared" si="30"/>
        <v>7</v>
      </c>
      <c r="M37" s="78">
        <f t="shared" si="30"/>
        <v>3</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2017</v>
      </c>
      <c r="B38" s="73" t="str">
        <f t="shared" si="2"/>
        <v>Nov</v>
      </c>
      <c r="C38" s="74">
        <f t="shared" si="26"/>
        <v>16</v>
      </c>
      <c r="D38" s="75">
        <f t="shared" si="3"/>
        <v>8</v>
      </c>
      <c r="E38" s="76">
        <f t="shared" si="4"/>
        <v>54</v>
      </c>
      <c r="F38" s="80"/>
      <c r="G38" s="83"/>
      <c r="H38" s="69" t="str">
        <f t="shared" si="27"/>
        <v>Lacine7_20171116_08_00</v>
      </c>
      <c r="I38" s="70">
        <f t="shared" si="30"/>
        <v>1</v>
      </c>
      <c r="J38" s="77" t="str">
        <f t="shared" si="30"/>
        <v>Lactuca</v>
      </c>
      <c r="K38" s="77" t="str">
        <f t="shared" si="30"/>
        <v>inermis</v>
      </c>
      <c r="L38" s="78">
        <f t="shared" si="30"/>
        <v>7</v>
      </c>
      <c r="M38" s="78">
        <f t="shared" si="30"/>
        <v>3</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2017</v>
      </c>
      <c r="B39" s="73" t="str">
        <f t="shared" si="2"/>
        <v>Nov</v>
      </c>
      <c r="C39" s="74">
        <f t="shared" si="26"/>
        <v>16</v>
      </c>
      <c r="D39" s="75">
        <f t="shared" si="3"/>
        <v>8</v>
      </c>
      <c r="E39" s="76">
        <f t="shared" si="4"/>
        <v>55</v>
      </c>
      <c r="F39" s="80"/>
      <c r="G39" s="83"/>
      <c r="H39" s="69" t="str">
        <f t="shared" si="27"/>
        <v>Lacine7_20171116_08_00</v>
      </c>
      <c r="I39" s="70">
        <f t="shared" si="30"/>
        <v>1</v>
      </c>
      <c r="J39" s="77" t="str">
        <f t="shared" si="30"/>
        <v>Lactuca</v>
      </c>
      <c r="K39" s="77" t="str">
        <f t="shared" si="30"/>
        <v>inermis</v>
      </c>
      <c r="L39" s="78">
        <f t="shared" si="30"/>
        <v>7</v>
      </c>
      <c r="M39" s="78">
        <f t="shared" si="30"/>
        <v>3</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2017</v>
      </c>
      <c r="B40" s="73" t="str">
        <f t="shared" si="2"/>
        <v>Nov</v>
      </c>
      <c r="C40" s="74">
        <f t="shared" si="26"/>
        <v>16</v>
      </c>
      <c r="D40" s="75">
        <f t="shared" si="3"/>
        <v>8</v>
      </c>
      <c r="E40" s="76">
        <f t="shared" si="4"/>
        <v>56</v>
      </c>
      <c r="F40" s="80"/>
      <c r="G40" s="83"/>
      <c r="H40" s="69" t="str">
        <f t="shared" si="27"/>
        <v>Lacine7_20171116_08_00</v>
      </c>
      <c r="I40" s="70">
        <f t="shared" si="30"/>
        <v>1</v>
      </c>
      <c r="J40" s="77" t="str">
        <f t="shared" si="30"/>
        <v>Lactuca</v>
      </c>
      <c r="K40" s="77" t="str">
        <f t="shared" si="30"/>
        <v>inermis</v>
      </c>
      <c r="L40" s="78">
        <f t="shared" si="30"/>
        <v>7</v>
      </c>
      <c r="M40" s="78">
        <f t="shared" si="30"/>
        <v>3</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2017</v>
      </c>
      <c r="B41" s="73" t="str">
        <f t="shared" si="2"/>
        <v>Nov</v>
      </c>
      <c r="C41" s="74">
        <f t="shared" si="26"/>
        <v>16</v>
      </c>
      <c r="D41" s="75">
        <f t="shared" si="3"/>
        <v>8</v>
      </c>
      <c r="E41" s="76">
        <f t="shared" si="4"/>
        <v>57</v>
      </c>
      <c r="F41" s="80"/>
      <c r="G41" s="83"/>
      <c r="H41" s="69" t="str">
        <f t="shared" si="27"/>
        <v>Lacine7_20171116_08_00</v>
      </c>
      <c r="I41" s="70">
        <f t="shared" si="30"/>
        <v>1</v>
      </c>
      <c r="J41" s="77" t="str">
        <f t="shared" si="30"/>
        <v>Lactuca</v>
      </c>
      <c r="K41" s="77" t="str">
        <f t="shared" si="30"/>
        <v>inermis</v>
      </c>
      <c r="L41" s="78">
        <f t="shared" si="30"/>
        <v>7</v>
      </c>
      <c r="M41" s="78">
        <f t="shared" si="30"/>
        <v>3</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2017</v>
      </c>
      <c r="B42" s="73" t="str">
        <f t="shared" si="2"/>
        <v>Nov</v>
      </c>
      <c r="C42" s="74">
        <f t="shared" si="26"/>
        <v>16</v>
      </c>
      <c r="D42" s="75">
        <f t="shared" si="3"/>
        <v>8</v>
      </c>
      <c r="E42" s="76">
        <f t="shared" si="4"/>
        <v>58</v>
      </c>
      <c r="F42" s="80"/>
      <c r="G42" s="83"/>
      <c r="H42" s="69" t="str">
        <f t="shared" si="27"/>
        <v>Lacine7_20171116_08_00</v>
      </c>
      <c r="I42" s="70">
        <f t="shared" si="30"/>
        <v>1</v>
      </c>
      <c r="J42" s="77" t="str">
        <f t="shared" si="30"/>
        <v>Lactuca</v>
      </c>
      <c r="K42" s="77" t="str">
        <f t="shared" si="30"/>
        <v>inermis</v>
      </c>
      <c r="L42" s="78">
        <f t="shared" si="30"/>
        <v>7</v>
      </c>
      <c r="M42" s="78">
        <f t="shared" si="30"/>
        <v>3</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2017</v>
      </c>
      <c r="B43" s="73" t="str">
        <f t="shared" si="2"/>
        <v>Nov</v>
      </c>
      <c r="C43" s="74">
        <f t="shared" si="26"/>
        <v>16</v>
      </c>
      <c r="D43" s="75">
        <f t="shared" si="3"/>
        <v>8</v>
      </c>
      <c r="E43" s="76">
        <f t="shared" si="4"/>
        <v>59</v>
      </c>
      <c r="F43" s="80"/>
      <c r="G43" s="83"/>
      <c r="H43" s="69" t="str">
        <f t="shared" si="27"/>
        <v>Lacine7_20171116_08_00</v>
      </c>
      <c r="I43" s="70">
        <f t="shared" si="30"/>
        <v>1</v>
      </c>
      <c r="J43" s="77" t="str">
        <f t="shared" si="30"/>
        <v>Lactuca</v>
      </c>
      <c r="K43" s="77" t="str">
        <f t="shared" si="30"/>
        <v>inermis</v>
      </c>
      <c r="L43" s="78">
        <f t="shared" si="30"/>
        <v>7</v>
      </c>
      <c r="M43" s="78">
        <f t="shared" si="30"/>
        <v>3</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2017</v>
      </c>
      <c r="B44" s="73" t="str">
        <f t="shared" si="2"/>
        <v>Nov</v>
      </c>
      <c r="C44" s="74">
        <f t="shared" si="26"/>
        <v>16</v>
      </c>
      <c r="D44" s="75">
        <f t="shared" si="3"/>
        <v>9</v>
      </c>
      <c r="E44" s="76">
        <f t="shared" si="4"/>
        <v>0</v>
      </c>
      <c r="F44" s="80"/>
      <c r="G44" s="83"/>
      <c r="H44" s="69" t="str">
        <f t="shared" si="27"/>
        <v>Lacine7_20171116_09_00</v>
      </c>
      <c r="I44" s="70">
        <f t="shared" si="30"/>
        <v>1</v>
      </c>
      <c r="J44" s="77" t="str">
        <f t="shared" si="30"/>
        <v>Lactuca</v>
      </c>
      <c r="K44" s="77" t="str">
        <f t="shared" si="30"/>
        <v>inermis</v>
      </c>
      <c r="L44" s="78">
        <f t="shared" si="30"/>
        <v>7</v>
      </c>
      <c r="M44" s="78">
        <f t="shared" si="30"/>
        <v>3</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2017</v>
      </c>
      <c r="B45" s="73" t="str">
        <f t="shared" si="2"/>
        <v>Nov</v>
      </c>
      <c r="C45" s="74">
        <f t="shared" si="26"/>
        <v>16</v>
      </c>
      <c r="D45" s="75">
        <f t="shared" si="3"/>
        <v>9</v>
      </c>
      <c r="E45" s="76">
        <f t="shared" si="4"/>
        <v>1</v>
      </c>
      <c r="F45" s="80"/>
      <c r="G45" s="83"/>
      <c r="H45" s="69" t="str">
        <f t="shared" si="27"/>
        <v>Lacine7_20171116_09_00</v>
      </c>
      <c r="I45" s="70">
        <f t="shared" si="30"/>
        <v>1</v>
      </c>
      <c r="J45" s="77" t="str">
        <f t="shared" si="30"/>
        <v>Lactuca</v>
      </c>
      <c r="K45" s="77" t="str">
        <f t="shared" si="30"/>
        <v>inermis</v>
      </c>
      <c r="L45" s="78">
        <f t="shared" si="30"/>
        <v>7</v>
      </c>
      <c r="M45" s="78">
        <f t="shared" si="30"/>
        <v>3</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2017</v>
      </c>
      <c r="B46" s="73" t="str">
        <f t="shared" si="2"/>
        <v>Nov</v>
      </c>
      <c r="C46" s="74">
        <f t="shared" si="26"/>
        <v>16</v>
      </c>
      <c r="D46" s="75">
        <f t="shared" si="3"/>
        <v>9</v>
      </c>
      <c r="E46" s="76">
        <f t="shared" si="4"/>
        <v>2</v>
      </c>
      <c r="F46" s="80"/>
      <c r="G46" s="83"/>
      <c r="H46" s="69" t="str">
        <f t="shared" si="27"/>
        <v>Lacine7_20171116_09_00</v>
      </c>
      <c r="I46" s="70">
        <f t="shared" si="30"/>
        <v>1</v>
      </c>
      <c r="J46" s="77" t="str">
        <f t="shared" si="30"/>
        <v>Lactuca</v>
      </c>
      <c r="K46" s="77" t="str">
        <f t="shared" si="30"/>
        <v>inermis</v>
      </c>
      <c r="L46" s="78">
        <f t="shared" si="30"/>
        <v>7</v>
      </c>
      <c r="M46" s="78">
        <f t="shared" si="30"/>
        <v>3</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2017</v>
      </c>
      <c r="B47" s="73" t="str">
        <f t="shared" si="2"/>
        <v>Nov</v>
      </c>
      <c r="C47" s="74">
        <f t="shared" si="26"/>
        <v>16</v>
      </c>
      <c r="D47" s="75">
        <f t="shared" si="3"/>
        <v>9</v>
      </c>
      <c r="E47" s="76">
        <f t="shared" si="4"/>
        <v>3</v>
      </c>
      <c r="F47" s="80"/>
      <c r="G47" s="83"/>
      <c r="H47" s="69" t="str">
        <f t="shared" si="27"/>
        <v>Lacine7_20171116_09_00</v>
      </c>
      <c r="I47" s="70">
        <f t="shared" si="30"/>
        <v>1</v>
      </c>
      <c r="J47" s="77" t="str">
        <f t="shared" si="30"/>
        <v>Lactuca</v>
      </c>
      <c r="K47" s="77" t="str">
        <f t="shared" si="30"/>
        <v>inermis</v>
      </c>
      <c r="L47" s="78">
        <f t="shared" si="30"/>
        <v>7</v>
      </c>
      <c r="M47" s="78">
        <f t="shared" si="30"/>
        <v>3</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2017</v>
      </c>
      <c r="B48" s="73" t="str">
        <f t="shared" si="2"/>
        <v>Nov</v>
      </c>
      <c r="C48" s="74">
        <f t="shared" si="26"/>
        <v>16</v>
      </c>
      <c r="D48" s="75">
        <f t="shared" si="3"/>
        <v>9</v>
      </c>
      <c r="E48" s="76">
        <f t="shared" si="4"/>
        <v>4</v>
      </c>
      <c r="F48" s="80"/>
      <c r="G48" s="83"/>
      <c r="H48" s="69" t="str">
        <f t="shared" si="27"/>
        <v>Lacine7_20171116_09_00</v>
      </c>
      <c r="I48" s="70">
        <f t="shared" si="30"/>
        <v>1</v>
      </c>
      <c r="J48" s="77" t="str">
        <f t="shared" si="30"/>
        <v>Lactuca</v>
      </c>
      <c r="K48" s="77" t="str">
        <f t="shared" si="30"/>
        <v>inermis</v>
      </c>
      <c r="L48" s="78">
        <f t="shared" si="30"/>
        <v>7</v>
      </c>
      <c r="M48" s="78">
        <f t="shared" si="30"/>
        <v>3</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2017</v>
      </c>
      <c r="B49" s="73" t="str">
        <f t="shared" si="2"/>
        <v>Nov</v>
      </c>
      <c r="C49" s="74">
        <f t="shared" si="26"/>
        <v>16</v>
      </c>
      <c r="D49" s="75">
        <f t="shared" si="3"/>
        <v>9</v>
      </c>
      <c r="E49" s="76">
        <f t="shared" si="4"/>
        <v>5</v>
      </c>
      <c r="F49" s="80"/>
      <c r="G49" s="83"/>
      <c r="H49" s="69" t="str">
        <f t="shared" si="27"/>
        <v>Lacine7_20171116_09_00</v>
      </c>
      <c r="I49" s="70">
        <f t="shared" si="30"/>
        <v>1</v>
      </c>
      <c r="J49" s="77" t="str">
        <f t="shared" si="30"/>
        <v>Lactuca</v>
      </c>
      <c r="K49" s="77" t="str">
        <f t="shared" si="30"/>
        <v>inermis</v>
      </c>
      <c r="L49" s="78">
        <f t="shared" si="30"/>
        <v>7</v>
      </c>
      <c r="M49" s="78">
        <f t="shared" si="30"/>
        <v>3</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2017</v>
      </c>
      <c r="B50" s="73" t="str">
        <f t="shared" si="2"/>
        <v>Nov</v>
      </c>
      <c r="C50" s="74">
        <f t="shared" si="26"/>
        <v>16</v>
      </c>
      <c r="D50" s="75">
        <f t="shared" si="3"/>
        <v>9</v>
      </c>
      <c r="E50" s="76">
        <f t="shared" si="4"/>
        <v>6</v>
      </c>
      <c r="F50" s="80"/>
      <c r="G50" s="83"/>
      <c r="H50" s="69" t="str">
        <f t="shared" si="27"/>
        <v>Lacine7_20171116_09_00</v>
      </c>
      <c r="I50" s="70">
        <f t="shared" si="30"/>
        <v>1</v>
      </c>
      <c r="J50" s="77" t="str">
        <f t="shared" si="30"/>
        <v>Lactuca</v>
      </c>
      <c r="K50" s="77" t="str">
        <f t="shared" si="30"/>
        <v>inermis</v>
      </c>
      <c r="L50" s="78">
        <f t="shared" si="30"/>
        <v>7</v>
      </c>
      <c r="M50" s="78">
        <f t="shared" si="30"/>
        <v>3</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2017</v>
      </c>
      <c r="B51" s="73" t="str">
        <f t="shared" si="2"/>
        <v>Nov</v>
      </c>
      <c r="C51" s="74">
        <f t="shared" si="26"/>
        <v>16</v>
      </c>
      <c r="D51" s="75">
        <f t="shared" si="3"/>
        <v>9</v>
      </c>
      <c r="E51" s="76">
        <f t="shared" si="4"/>
        <v>7</v>
      </c>
      <c r="F51" s="80"/>
      <c r="G51" s="83"/>
      <c r="H51" s="69" t="str">
        <f t="shared" si="27"/>
        <v>Lacine7_20171116_09_00</v>
      </c>
      <c r="I51" s="70">
        <f t="shared" si="30"/>
        <v>1</v>
      </c>
      <c r="J51" s="77" t="str">
        <f t="shared" si="30"/>
        <v>Lactuca</v>
      </c>
      <c r="K51" s="77" t="str">
        <f t="shared" si="30"/>
        <v>inermis</v>
      </c>
      <c r="L51" s="78">
        <f t="shared" si="30"/>
        <v>7</v>
      </c>
      <c r="M51" s="78">
        <f t="shared" si="30"/>
        <v>3</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2017</v>
      </c>
      <c r="B52" s="73" t="str">
        <f t="shared" si="2"/>
        <v>Nov</v>
      </c>
      <c r="C52" s="74">
        <f t="shared" si="26"/>
        <v>16</v>
      </c>
      <c r="D52" s="75">
        <f t="shared" si="3"/>
        <v>9</v>
      </c>
      <c r="E52" s="76">
        <f t="shared" si="4"/>
        <v>8</v>
      </c>
      <c r="F52" s="80"/>
      <c r="G52" s="83"/>
      <c r="H52" s="69" t="str">
        <f t="shared" si="27"/>
        <v>Lacine7_20171116_09_00</v>
      </c>
      <c r="I52" s="70">
        <f t="shared" si="30"/>
        <v>1</v>
      </c>
      <c r="J52" s="77" t="str">
        <f t="shared" si="30"/>
        <v>Lactuca</v>
      </c>
      <c r="K52" s="77" t="str">
        <f t="shared" si="30"/>
        <v>inermis</v>
      </c>
      <c r="L52" s="78">
        <f t="shared" si="30"/>
        <v>7</v>
      </c>
      <c r="M52" s="78">
        <f t="shared" si="30"/>
        <v>3</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2017</v>
      </c>
      <c r="B53" s="73" t="str">
        <f t="shared" si="2"/>
        <v>Nov</v>
      </c>
      <c r="C53" s="74">
        <f t="shared" si="26"/>
        <v>16</v>
      </c>
      <c r="D53" s="75">
        <f t="shared" si="3"/>
        <v>9</v>
      </c>
      <c r="E53" s="76">
        <f t="shared" si="4"/>
        <v>9</v>
      </c>
      <c r="F53" s="80"/>
      <c r="G53" s="83"/>
      <c r="H53" s="69" t="str">
        <f t="shared" si="27"/>
        <v>Lacine7_20171116_09_00</v>
      </c>
      <c r="I53" s="70">
        <f t="shared" ref="I53:N68" si="31">I52</f>
        <v>1</v>
      </c>
      <c r="J53" s="77" t="str">
        <f t="shared" si="31"/>
        <v>Lactuca</v>
      </c>
      <c r="K53" s="77" t="str">
        <f t="shared" si="31"/>
        <v>inermis</v>
      </c>
      <c r="L53" s="78">
        <f t="shared" si="31"/>
        <v>7</v>
      </c>
      <c r="M53" s="78">
        <f t="shared" si="31"/>
        <v>3</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2017</v>
      </c>
      <c r="B54" s="73" t="str">
        <f t="shared" si="2"/>
        <v>Nov</v>
      </c>
      <c r="C54" s="74">
        <f t="shared" si="26"/>
        <v>16</v>
      </c>
      <c r="D54" s="75">
        <f t="shared" si="3"/>
        <v>9</v>
      </c>
      <c r="E54" s="76">
        <f t="shared" si="4"/>
        <v>10</v>
      </c>
      <c r="F54" s="80"/>
      <c r="G54" s="83"/>
      <c r="H54" s="69" t="str">
        <f t="shared" si="27"/>
        <v>Lacine7_20171116_09_00</v>
      </c>
      <c r="I54" s="70">
        <f t="shared" si="31"/>
        <v>1</v>
      </c>
      <c r="J54" s="77" t="str">
        <f t="shared" si="31"/>
        <v>Lactuca</v>
      </c>
      <c r="K54" s="77" t="str">
        <f t="shared" si="31"/>
        <v>inermis</v>
      </c>
      <c r="L54" s="78">
        <f t="shared" si="31"/>
        <v>7</v>
      </c>
      <c r="M54" s="78">
        <f t="shared" si="31"/>
        <v>3</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2017</v>
      </c>
      <c r="B55" s="73" t="str">
        <f t="shared" si="2"/>
        <v>Nov</v>
      </c>
      <c r="C55" s="74">
        <f t="shared" si="26"/>
        <v>16</v>
      </c>
      <c r="D55" s="75">
        <f t="shared" si="3"/>
        <v>9</v>
      </c>
      <c r="E55" s="76">
        <f t="shared" si="4"/>
        <v>11</v>
      </c>
      <c r="F55" s="80"/>
      <c r="G55" s="83"/>
      <c r="H55" s="69" t="str">
        <f t="shared" si="27"/>
        <v>Lacine7_20171116_09_00</v>
      </c>
      <c r="I55" s="70">
        <f t="shared" si="31"/>
        <v>1</v>
      </c>
      <c r="J55" s="77" t="str">
        <f t="shared" si="31"/>
        <v>Lactuca</v>
      </c>
      <c r="K55" s="77" t="str">
        <f t="shared" si="31"/>
        <v>inermis</v>
      </c>
      <c r="L55" s="78">
        <f t="shared" si="31"/>
        <v>7</v>
      </c>
      <c r="M55" s="78">
        <f t="shared" si="31"/>
        <v>3</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2017</v>
      </c>
      <c r="B56" s="73" t="str">
        <f t="shared" si="2"/>
        <v>Nov</v>
      </c>
      <c r="C56" s="74">
        <f t="shared" si="26"/>
        <v>16</v>
      </c>
      <c r="D56" s="75">
        <f t="shared" si="3"/>
        <v>9</v>
      </c>
      <c r="E56" s="76">
        <f t="shared" si="4"/>
        <v>12</v>
      </c>
      <c r="F56" s="80"/>
      <c r="G56" s="83"/>
      <c r="H56" s="69" t="str">
        <f t="shared" si="27"/>
        <v>Lacine7_20171116_09_00</v>
      </c>
      <c r="I56" s="70">
        <f t="shared" si="31"/>
        <v>1</v>
      </c>
      <c r="J56" s="77" t="str">
        <f t="shared" si="31"/>
        <v>Lactuca</v>
      </c>
      <c r="K56" s="77" t="str">
        <f t="shared" si="31"/>
        <v>inermis</v>
      </c>
      <c r="L56" s="78">
        <f t="shared" si="31"/>
        <v>7</v>
      </c>
      <c r="M56" s="78">
        <f t="shared" si="31"/>
        <v>3</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2017</v>
      </c>
      <c r="B57" s="73" t="str">
        <f t="shared" si="2"/>
        <v>Nov</v>
      </c>
      <c r="C57" s="74">
        <f t="shared" si="26"/>
        <v>16</v>
      </c>
      <c r="D57" s="75">
        <f t="shared" si="3"/>
        <v>9</v>
      </c>
      <c r="E57" s="76">
        <f t="shared" si="4"/>
        <v>13</v>
      </c>
      <c r="F57" s="80"/>
      <c r="G57" s="83"/>
      <c r="H57" s="69" t="str">
        <f t="shared" si="27"/>
        <v>Lacine7_20171116_09_00</v>
      </c>
      <c r="I57" s="70">
        <f t="shared" si="31"/>
        <v>1</v>
      </c>
      <c r="J57" s="77" t="str">
        <f t="shared" si="31"/>
        <v>Lactuca</v>
      </c>
      <c r="K57" s="77" t="str">
        <f t="shared" si="31"/>
        <v>inermis</v>
      </c>
      <c r="L57" s="78">
        <f t="shared" si="31"/>
        <v>7</v>
      </c>
      <c r="M57" s="78">
        <f t="shared" si="31"/>
        <v>3</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2017</v>
      </c>
      <c r="B58" s="73" t="str">
        <f t="shared" si="2"/>
        <v>Nov</v>
      </c>
      <c r="C58" s="74">
        <f t="shared" si="26"/>
        <v>16</v>
      </c>
      <c r="D58" s="75">
        <f t="shared" si="3"/>
        <v>9</v>
      </c>
      <c r="E58" s="76">
        <f t="shared" si="4"/>
        <v>14</v>
      </c>
      <c r="F58" s="80"/>
      <c r="G58" s="83"/>
      <c r="H58" s="69" t="str">
        <f t="shared" si="27"/>
        <v>Lacine7_20171116_09_00</v>
      </c>
      <c r="I58" s="70">
        <f t="shared" si="31"/>
        <v>1</v>
      </c>
      <c r="J58" s="77" t="str">
        <f t="shared" si="31"/>
        <v>Lactuca</v>
      </c>
      <c r="K58" s="77" t="str">
        <f t="shared" si="31"/>
        <v>inermis</v>
      </c>
      <c r="L58" s="78">
        <f t="shared" si="31"/>
        <v>7</v>
      </c>
      <c r="M58" s="78">
        <f t="shared" si="31"/>
        <v>3</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2017</v>
      </c>
      <c r="B59" s="73" t="str">
        <f t="shared" si="2"/>
        <v>Nov</v>
      </c>
      <c r="C59" s="74">
        <f t="shared" si="26"/>
        <v>16</v>
      </c>
      <c r="D59" s="75">
        <f t="shared" si="3"/>
        <v>9</v>
      </c>
      <c r="E59" s="76">
        <f t="shared" si="4"/>
        <v>15</v>
      </c>
      <c r="F59" s="80"/>
      <c r="G59" s="83"/>
      <c r="H59" s="69" t="str">
        <f t="shared" si="27"/>
        <v>Lacine7_20171116_09_00</v>
      </c>
      <c r="I59" s="70">
        <f t="shared" si="31"/>
        <v>1</v>
      </c>
      <c r="J59" s="77" t="str">
        <f t="shared" si="31"/>
        <v>Lactuca</v>
      </c>
      <c r="K59" s="77" t="str">
        <f t="shared" si="31"/>
        <v>inermis</v>
      </c>
      <c r="L59" s="78">
        <f t="shared" si="31"/>
        <v>7</v>
      </c>
      <c r="M59" s="78">
        <f t="shared" si="31"/>
        <v>3</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2017</v>
      </c>
      <c r="B60" s="73" t="str">
        <f t="shared" si="2"/>
        <v>Nov</v>
      </c>
      <c r="C60" s="74">
        <f t="shared" si="26"/>
        <v>16</v>
      </c>
      <c r="D60" s="75">
        <f t="shared" si="3"/>
        <v>9</v>
      </c>
      <c r="E60" s="76">
        <f t="shared" si="4"/>
        <v>16</v>
      </c>
      <c r="F60" s="80"/>
      <c r="G60" s="83"/>
      <c r="H60" s="69" t="str">
        <f t="shared" si="27"/>
        <v>Lacine7_20171116_09_00</v>
      </c>
      <c r="I60" s="70">
        <f t="shared" si="31"/>
        <v>1</v>
      </c>
      <c r="J60" s="77" t="str">
        <f t="shared" si="31"/>
        <v>Lactuca</v>
      </c>
      <c r="K60" s="77" t="str">
        <f t="shared" si="31"/>
        <v>inermis</v>
      </c>
      <c r="L60" s="78">
        <f t="shared" si="31"/>
        <v>7</v>
      </c>
      <c r="M60" s="78">
        <f t="shared" si="31"/>
        <v>3</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2017</v>
      </c>
      <c r="B61" s="73" t="str">
        <f t="shared" si="2"/>
        <v>Nov</v>
      </c>
      <c r="C61" s="74">
        <f t="shared" si="26"/>
        <v>16</v>
      </c>
      <c r="D61" s="75">
        <f t="shared" si="3"/>
        <v>9</v>
      </c>
      <c r="E61" s="76">
        <f t="shared" si="4"/>
        <v>17</v>
      </c>
      <c r="F61" s="80"/>
      <c r="G61" s="83"/>
      <c r="H61" s="69" t="str">
        <f t="shared" si="27"/>
        <v>Lacine7_20171116_09_00</v>
      </c>
      <c r="I61" s="70">
        <f t="shared" si="31"/>
        <v>1</v>
      </c>
      <c r="J61" s="77" t="str">
        <f t="shared" si="31"/>
        <v>Lactuca</v>
      </c>
      <c r="K61" s="77" t="str">
        <f t="shared" si="31"/>
        <v>inermis</v>
      </c>
      <c r="L61" s="78">
        <f t="shared" si="31"/>
        <v>7</v>
      </c>
      <c r="M61" s="78">
        <f t="shared" si="31"/>
        <v>3</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2017</v>
      </c>
      <c r="B62" s="73" t="str">
        <f t="shared" si="2"/>
        <v>Nov</v>
      </c>
      <c r="C62" s="74">
        <f t="shared" si="26"/>
        <v>16</v>
      </c>
      <c r="D62" s="75">
        <f t="shared" si="3"/>
        <v>9</v>
      </c>
      <c r="E62" s="76">
        <f t="shared" si="4"/>
        <v>18</v>
      </c>
      <c r="F62" s="80"/>
      <c r="G62" s="83"/>
      <c r="H62" s="69" t="str">
        <f t="shared" si="27"/>
        <v>Lacine7_20171116_09_00</v>
      </c>
      <c r="I62" s="70">
        <f t="shared" si="31"/>
        <v>1</v>
      </c>
      <c r="J62" s="77" t="str">
        <f t="shared" si="31"/>
        <v>Lactuca</v>
      </c>
      <c r="K62" s="77" t="str">
        <f t="shared" si="31"/>
        <v>inermis</v>
      </c>
      <c r="L62" s="78">
        <f t="shared" si="31"/>
        <v>7</v>
      </c>
      <c r="M62" s="78">
        <f t="shared" si="31"/>
        <v>3</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2017</v>
      </c>
      <c r="B63" s="73" t="str">
        <f t="shared" si="2"/>
        <v>Nov</v>
      </c>
      <c r="C63" s="74">
        <f t="shared" si="26"/>
        <v>16</v>
      </c>
      <c r="D63" s="75">
        <f t="shared" si="3"/>
        <v>9</v>
      </c>
      <c r="E63" s="76">
        <f t="shared" si="4"/>
        <v>19</v>
      </c>
      <c r="F63" s="80"/>
      <c r="G63" s="83"/>
      <c r="H63" s="69" t="str">
        <f t="shared" si="27"/>
        <v>Lacine7_20171116_09_00</v>
      </c>
      <c r="I63" s="70">
        <f t="shared" si="31"/>
        <v>1</v>
      </c>
      <c r="J63" s="77" t="str">
        <f t="shared" si="31"/>
        <v>Lactuca</v>
      </c>
      <c r="K63" s="77" t="str">
        <f t="shared" si="31"/>
        <v>inermis</v>
      </c>
      <c r="L63" s="78">
        <f t="shared" si="31"/>
        <v>7</v>
      </c>
      <c r="M63" s="78">
        <f t="shared" si="31"/>
        <v>3</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2017</v>
      </c>
      <c r="B64" s="73" t="str">
        <f t="shared" si="2"/>
        <v>Nov</v>
      </c>
      <c r="C64" s="74">
        <f t="shared" si="26"/>
        <v>16</v>
      </c>
      <c r="D64" s="75">
        <f t="shared" si="3"/>
        <v>9</v>
      </c>
      <c r="E64" s="76">
        <f t="shared" si="4"/>
        <v>20</v>
      </c>
      <c r="F64" s="80"/>
      <c r="G64" s="83"/>
      <c r="H64" s="69" t="str">
        <f t="shared" si="27"/>
        <v>Lacine7_20171116_09_00</v>
      </c>
      <c r="I64" s="70">
        <f t="shared" si="31"/>
        <v>1</v>
      </c>
      <c r="J64" s="77" t="str">
        <f t="shared" si="31"/>
        <v>Lactuca</v>
      </c>
      <c r="K64" s="77" t="str">
        <f t="shared" si="31"/>
        <v>inermis</v>
      </c>
      <c r="L64" s="78">
        <f t="shared" si="31"/>
        <v>7</v>
      </c>
      <c r="M64" s="78">
        <f t="shared" si="31"/>
        <v>3</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2017</v>
      </c>
      <c r="B65" s="73" t="str">
        <f t="shared" si="2"/>
        <v>Nov</v>
      </c>
      <c r="C65" s="74">
        <f t="shared" si="26"/>
        <v>16</v>
      </c>
      <c r="D65" s="75">
        <f t="shared" si="3"/>
        <v>9</v>
      </c>
      <c r="E65" s="76">
        <f t="shared" si="4"/>
        <v>21</v>
      </c>
      <c r="F65" s="80"/>
      <c r="G65" s="83"/>
      <c r="H65" s="69" t="str">
        <f t="shared" si="27"/>
        <v>Lacine7_20171116_09_00</v>
      </c>
      <c r="I65" s="70">
        <f t="shared" si="31"/>
        <v>1</v>
      </c>
      <c r="J65" s="77" t="str">
        <f t="shared" si="31"/>
        <v>Lactuca</v>
      </c>
      <c r="K65" s="77" t="str">
        <f t="shared" si="31"/>
        <v>inermis</v>
      </c>
      <c r="L65" s="78">
        <f t="shared" si="31"/>
        <v>7</v>
      </c>
      <c r="M65" s="78">
        <f t="shared" si="31"/>
        <v>3</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2017</v>
      </c>
      <c r="B66" s="73" t="str">
        <f t="shared" si="2"/>
        <v>Nov</v>
      </c>
      <c r="C66" s="74">
        <f t="shared" si="26"/>
        <v>16</v>
      </c>
      <c r="D66" s="75">
        <f t="shared" si="3"/>
        <v>9</v>
      </c>
      <c r="E66" s="76">
        <f t="shared" si="4"/>
        <v>22</v>
      </c>
      <c r="F66" s="80"/>
      <c r="G66" s="83"/>
      <c r="H66" s="69" t="str">
        <f t="shared" si="27"/>
        <v>Lacine7_20171116_09_00</v>
      </c>
      <c r="I66" s="70">
        <f t="shared" si="31"/>
        <v>1</v>
      </c>
      <c r="J66" s="77" t="str">
        <f t="shared" si="31"/>
        <v>Lactuca</v>
      </c>
      <c r="K66" s="77" t="str">
        <f t="shared" si="31"/>
        <v>inermis</v>
      </c>
      <c r="L66" s="78">
        <f t="shared" si="31"/>
        <v>7</v>
      </c>
      <c r="M66" s="78">
        <f t="shared" si="31"/>
        <v>3</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2017</v>
      </c>
      <c r="B67" s="73" t="str">
        <f t="shared" si="2"/>
        <v>Nov</v>
      </c>
      <c r="C67" s="74">
        <f t="shared" si="26"/>
        <v>16</v>
      </c>
      <c r="D67" s="75">
        <f t="shared" si="3"/>
        <v>9</v>
      </c>
      <c r="E67" s="76">
        <f t="shared" si="4"/>
        <v>23</v>
      </c>
      <c r="F67" s="80"/>
      <c r="G67" s="83"/>
      <c r="H67" s="69" t="str">
        <f t="shared" si="27"/>
        <v>Lacine7_20171116_09_00</v>
      </c>
      <c r="I67" s="70">
        <f t="shared" si="31"/>
        <v>1</v>
      </c>
      <c r="J67" s="77" t="str">
        <f t="shared" si="31"/>
        <v>Lactuca</v>
      </c>
      <c r="K67" s="77" t="str">
        <f t="shared" si="31"/>
        <v>inermis</v>
      </c>
      <c r="L67" s="78">
        <f t="shared" si="31"/>
        <v>7</v>
      </c>
      <c r="M67" s="78">
        <f t="shared" si="31"/>
        <v>3</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2017</v>
      </c>
      <c r="B68" s="73" t="str">
        <f t="shared" ref="B68:B131" si="34">IF(C67-C68&gt;0, TEXT(DATE(2016,(MONTH(DATEVALUE(B67&amp;"1"))+1),1),"mmm"), B67)</f>
        <v>Nov</v>
      </c>
      <c r="C68" s="74">
        <f t="shared" si="26"/>
        <v>16</v>
      </c>
      <c r="D68" s="75">
        <f t="shared" ref="D68:D131" si="35">IF(IF(E67=59,D67+1,D67)=24,0,IF(E67=59,D67+1,D67))</f>
        <v>9</v>
      </c>
      <c r="E68" s="76">
        <f t="shared" ref="E68:E131" si="36">IF(E67&lt;59,E67+1,0)</f>
        <v>24</v>
      </c>
      <c r="F68" s="80"/>
      <c r="G68" s="83"/>
      <c r="H68" s="69" t="str">
        <f t="shared" si="27"/>
        <v>Lacine7_20171116_09_00</v>
      </c>
      <c r="I68" s="70">
        <f t="shared" si="31"/>
        <v>1</v>
      </c>
      <c r="J68" s="77" t="str">
        <f t="shared" si="31"/>
        <v>Lactuca</v>
      </c>
      <c r="K68" s="77" t="str">
        <f t="shared" si="31"/>
        <v>inermis</v>
      </c>
      <c r="L68" s="78">
        <f t="shared" si="31"/>
        <v>7</v>
      </c>
      <c r="M68" s="78">
        <f t="shared" si="31"/>
        <v>3</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2017</v>
      </c>
      <c r="B69" s="73" t="str">
        <f t="shared" si="34"/>
        <v>Nov</v>
      </c>
      <c r="C69" s="74">
        <f t="shared" ref="C69:C132" si="57">IF(AND(D69=0, E69=0), IF(TEXT(C68,"dd")=TEXT(EOMONTH(DATE(A68,MONTH(DATEVALUE(B68&amp;"1")),C68),0), "dd"), 1, C68+1), C68)</f>
        <v>16</v>
      </c>
      <c r="D69" s="75">
        <f t="shared" si="35"/>
        <v>9</v>
      </c>
      <c r="E69" s="76">
        <f t="shared" si="36"/>
        <v>25</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Lacine7_20171116_09_00</v>
      </c>
      <c r="I69" s="70">
        <f t="shared" ref="I69:N84" si="59">I68</f>
        <v>1</v>
      </c>
      <c r="J69" s="77" t="str">
        <f t="shared" si="59"/>
        <v>Lactuca</v>
      </c>
      <c r="K69" s="77" t="str">
        <f t="shared" si="59"/>
        <v>inermis</v>
      </c>
      <c r="L69" s="78">
        <f t="shared" si="59"/>
        <v>7</v>
      </c>
      <c r="M69" s="78">
        <f t="shared" si="59"/>
        <v>3</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2017</v>
      </c>
      <c r="B70" s="73" t="str">
        <f t="shared" si="34"/>
        <v>Nov</v>
      </c>
      <c r="C70" s="74">
        <f t="shared" si="57"/>
        <v>16</v>
      </c>
      <c r="D70" s="75">
        <f t="shared" si="35"/>
        <v>9</v>
      </c>
      <c r="E70" s="76">
        <f t="shared" si="36"/>
        <v>26</v>
      </c>
      <c r="F70" s="80"/>
      <c r="G70" s="83"/>
      <c r="H70" s="69" t="str">
        <f t="shared" si="58"/>
        <v>Lacine7_20171116_09_00</v>
      </c>
      <c r="I70" s="70">
        <f t="shared" si="59"/>
        <v>1</v>
      </c>
      <c r="J70" s="77" t="str">
        <f t="shared" si="59"/>
        <v>Lactuca</v>
      </c>
      <c r="K70" s="77" t="str">
        <f t="shared" si="59"/>
        <v>inermis</v>
      </c>
      <c r="L70" s="78">
        <f t="shared" si="59"/>
        <v>7</v>
      </c>
      <c r="M70" s="78">
        <f t="shared" si="59"/>
        <v>3</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2017</v>
      </c>
      <c r="B71" s="73" t="str">
        <f t="shared" si="34"/>
        <v>Nov</v>
      </c>
      <c r="C71" s="74">
        <f t="shared" si="57"/>
        <v>16</v>
      </c>
      <c r="D71" s="75">
        <f t="shared" si="35"/>
        <v>9</v>
      </c>
      <c r="E71" s="76">
        <f t="shared" si="36"/>
        <v>27</v>
      </c>
      <c r="F71" s="80"/>
      <c r="G71" s="83"/>
      <c r="H71" s="69" t="str">
        <f t="shared" si="58"/>
        <v>Lacine7_20171116_09_00</v>
      </c>
      <c r="I71" s="70">
        <f t="shared" si="59"/>
        <v>1</v>
      </c>
      <c r="J71" s="77" t="str">
        <f t="shared" si="59"/>
        <v>Lactuca</v>
      </c>
      <c r="K71" s="77" t="str">
        <f t="shared" si="59"/>
        <v>inermis</v>
      </c>
      <c r="L71" s="78">
        <f t="shared" si="59"/>
        <v>7</v>
      </c>
      <c r="M71" s="78">
        <f t="shared" si="59"/>
        <v>3</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x14ac:dyDescent="0.35">
      <c r="A72" s="73">
        <f t="shared" si="33"/>
        <v>2017</v>
      </c>
      <c r="B72" s="73" t="str">
        <f t="shared" si="34"/>
        <v>Nov</v>
      </c>
      <c r="C72" s="74">
        <f t="shared" si="57"/>
        <v>16</v>
      </c>
      <c r="D72" s="75">
        <f t="shared" si="35"/>
        <v>9</v>
      </c>
      <c r="E72" s="76">
        <f t="shared" si="36"/>
        <v>28</v>
      </c>
      <c r="F72" s="80">
        <v>0</v>
      </c>
      <c r="G72" s="83"/>
      <c r="H72" s="69" t="str">
        <f t="shared" si="58"/>
        <v>Lacine7_20171116_09_00</v>
      </c>
      <c r="I72" s="70">
        <f t="shared" si="59"/>
        <v>1</v>
      </c>
      <c r="J72" s="77" t="str">
        <f t="shared" si="59"/>
        <v>Lactuca</v>
      </c>
      <c r="K72" s="77" t="str">
        <f t="shared" si="59"/>
        <v>inermis</v>
      </c>
      <c r="L72" s="78">
        <f t="shared" si="59"/>
        <v>7</v>
      </c>
      <c r="M72" s="78">
        <f t="shared" si="59"/>
        <v>3</v>
      </c>
      <c r="N72" s="72">
        <f t="shared" si="59"/>
        <v>0</v>
      </c>
      <c r="O72" s="45"/>
      <c r="P72" s="46">
        <f t="shared" si="37"/>
        <v>1</v>
      </c>
      <c r="Q72" s="47" t="str">
        <f t="shared" si="38"/>
        <v>09:28:00</v>
      </c>
      <c r="R72" s="48" t="str">
        <f t="shared" si="39"/>
        <v>28:00</v>
      </c>
      <c r="S72" s="49">
        <f t="shared" si="32"/>
        <v>160</v>
      </c>
      <c r="T72" s="48" t="str">
        <f t="shared" si="40"/>
        <v>09</v>
      </c>
      <c r="U72" s="50">
        <v>30</v>
      </c>
      <c r="V72" s="51">
        <v>40</v>
      </c>
      <c r="W72" s="52" t="str">
        <f t="shared" si="41"/>
        <v>30:40</v>
      </c>
      <c r="X72" s="53" t="s">
        <v>59</v>
      </c>
      <c r="Y72" s="126" t="s">
        <v>67</v>
      </c>
      <c r="Z72" s="126"/>
      <c r="AA72" s="48" t="s">
        <v>60</v>
      </c>
      <c r="AB72" s="48" t="str">
        <f t="shared" si="42"/>
        <v>NA</v>
      </c>
      <c r="AC72" s="54">
        <f t="shared" si="43"/>
        <v>0</v>
      </c>
      <c r="AD72" s="55">
        <v>3</v>
      </c>
      <c r="AE72" s="55"/>
      <c r="AF72" s="55"/>
      <c r="AG72" s="56">
        <v>1</v>
      </c>
      <c r="AH72" s="57">
        <v>100</v>
      </c>
      <c r="AI72" s="56"/>
      <c r="AJ72" s="57" t="str">
        <f t="shared" si="47"/>
        <v/>
      </c>
      <c r="AK72" s="56">
        <v>1</v>
      </c>
      <c r="AL72" s="57">
        <v>30</v>
      </c>
      <c r="AM72" s="56">
        <v>1</v>
      </c>
      <c r="AN72" s="57">
        <v>30</v>
      </c>
      <c r="AO72" s="56"/>
      <c r="AP72" s="57" t="str">
        <f t="shared" si="50"/>
        <v/>
      </c>
      <c r="AQ72" s="56"/>
      <c r="AR72" s="57" t="str">
        <f t="shared" si="51"/>
        <v/>
      </c>
      <c r="AS72" s="56"/>
      <c r="AT72" s="57" t="str">
        <f t="shared" si="52"/>
        <v/>
      </c>
      <c r="AU72" s="58"/>
      <c r="AV72" s="59"/>
      <c r="AW72" s="59"/>
      <c r="AX72" s="60"/>
      <c r="AY72" s="61">
        <v>1</v>
      </c>
      <c r="AZ72" s="62">
        <f t="shared" si="54"/>
        <v>3</v>
      </c>
      <c r="BA72" s="61">
        <v>1</v>
      </c>
      <c r="BB72" s="62">
        <f t="shared" si="56"/>
        <v>3</v>
      </c>
    </row>
    <row r="73" spans="1:54" s="3" customFormat="1" hidden="1" x14ac:dyDescent="0.35">
      <c r="A73" s="73">
        <f t="shared" si="33"/>
        <v>2017</v>
      </c>
      <c r="B73" s="73" t="str">
        <f t="shared" si="34"/>
        <v>Nov</v>
      </c>
      <c r="C73" s="74">
        <f t="shared" si="57"/>
        <v>16</v>
      </c>
      <c r="D73" s="75">
        <f t="shared" si="35"/>
        <v>9</v>
      </c>
      <c r="E73" s="76">
        <f t="shared" si="36"/>
        <v>29</v>
      </c>
      <c r="F73" s="80"/>
      <c r="G73" s="83"/>
      <c r="H73" s="69" t="str">
        <f t="shared" si="58"/>
        <v>Lacine7_20171116_09_00</v>
      </c>
      <c r="I73" s="70">
        <f t="shared" si="59"/>
        <v>1</v>
      </c>
      <c r="J73" s="77" t="str">
        <f t="shared" si="59"/>
        <v>Lactuca</v>
      </c>
      <c r="K73" s="77" t="str">
        <f t="shared" si="59"/>
        <v>inermis</v>
      </c>
      <c r="L73" s="78">
        <f t="shared" si="59"/>
        <v>7</v>
      </c>
      <c r="M73" s="78">
        <f t="shared" si="59"/>
        <v>3</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2017</v>
      </c>
      <c r="B74" s="73" t="str">
        <f t="shared" si="34"/>
        <v>Nov</v>
      </c>
      <c r="C74" s="74">
        <f t="shared" si="57"/>
        <v>16</v>
      </c>
      <c r="D74" s="75">
        <f t="shared" si="35"/>
        <v>9</v>
      </c>
      <c r="E74" s="76">
        <f t="shared" si="36"/>
        <v>30</v>
      </c>
      <c r="F74" s="80"/>
      <c r="G74" s="83"/>
      <c r="H74" s="69" t="str">
        <f t="shared" si="58"/>
        <v>Lacine7_20171116_09_00</v>
      </c>
      <c r="I74" s="70">
        <f t="shared" si="59"/>
        <v>1</v>
      </c>
      <c r="J74" s="77" t="str">
        <f t="shared" si="59"/>
        <v>Lactuca</v>
      </c>
      <c r="K74" s="77" t="str">
        <f t="shared" si="59"/>
        <v>inermis</v>
      </c>
      <c r="L74" s="78">
        <f t="shared" si="59"/>
        <v>7</v>
      </c>
      <c r="M74" s="78">
        <f t="shared" si="59"/>
        <v>3</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2017</v>
      </c>
      <c r="B75" s="73" t="str">
        <f t="shared" si="34"/>
        <v>Nov</v>
      </c>
      <c r="C75" s="74">
        <f t="shared" si="57"/>
        <v>16</v>
      </c>
      <c r="D75" s="75">
        <f t="shared" si="35"/>
        <v>9</v>
      </c>
      <c r="E75" s="76">
        <f t="shared" si="36"/>
        <v>31</v>
      </c>
      <c r="F75" s="80"/>
      <c r="G75" s="83"/>
      <c r="H75" s="69" t="str">
        <f t="shared" si="58"/>
        <v>Lacine7_20171116_09_00</v>
      </c>
      <c r="I75" s="70">
        <f t="shared" si="59"/>
        <v>1</v>
      </c>
      <c r="J75" s="77" t="str">
        <f t="shared" si="59"/>
        <v>Lactuca</v>
      </c>
      <c r="K75" s="77" t="str">
        <f t="shared" si="59"/>
        <v>inermis</v>
      </c>
      <c r="L75" s="78">
        <f t="shared" si="59"/>
        <v>7</v>
      </c>
      <c r="M75" s="78">
        <f t="shared" si="59"/>
        <v>3</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2017</v>
      </c>
      <c r="B76" s="73" t="str">
        <f t="shared" si="34"/>
        <v>Nov</v>
      </c>
      <c r="C76" s="74">
        <f t="shared" si="57"/>
        <v>16</v>
      </c>
      <c r="D76" s="75">
        <f t="shared" si="35"/>
        <v>9</v>
      </c>
      <c r="E76" s="76">
        <f t="shared" si="36"/>
        <v>32</v>
      </c>
      <c r="F76" s="80"/>
      <c r="G76" s="83"/>
      <c r="H76" s="69" t="str">
        <f t="shared" si="58"/>
        <v>Lacine7_20171116_09_00</v>
      </c>
      <c r="I76" s="70">
        <f t="shared" si="59"/>
        <v>1</v>
      </c>
      <c r="J76" s="77" t="str">
        <f t="shared" si="59"/>
        <v>Lactuca</v>
      </c>
      <c r="K76" s="77" t="str">
        <f t="shared" si="59"/>
        <v>inermis</v>
      </c>
      <c r="L76" s="78">
        <f t="shared" si="59"/>
        <v>7</v>
      </c>
      <c r="M76" s="78">
        <f t="shared" si="59"/>
        <v>3</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2017</v>
      </c>
      <c r="B77" s="73" t="str">
        <f t="shared" si="34"/>
        <v>Nov</v>
      </c>
      <c r="C77" s="74">
        <f t="shared" si="57"/>
        <v>16</v>
      </c>
      <c r="D77" s="75">
        <f t="shared" si="35"/>
        <v>9</v>
      </c>
      <c r="E77" s="76">
        <f t="shared" si="36"/>
        <v>33</v>
      </c>
      <c r="F77" s="80"/>
      <c r="G77" s="83"/>
      <c r="H77" s="69" t="str">
        <f t="shared" si="58"/>
        <v>Lacine7_20171116_09_00</v>
      </c>
      <c r="I77" s="70">
        <f t="shared" si="59"/>
        <v>1</v>
      </c>
      <c r="J77" s="77" t="str">
        <f t="shared" si="59"/>
        <v>Lactuca</v>
      </c>
      <c r="K77" s="77" t="str">
        <f t="shared" si="59"/>
        <v>inermis</v>
      </c>
      <c r="L77" s="78">
        <f t="shared" si="59"/>
        <v>7</v>
      </c>
      <c r="M77" s="78">
        <f t="shared" si="59"/>
        <v>3</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2017</v>
      </c>
      <c r="B78" s="73" t="str">
        <f t="shared" si="34"/>
        <v>Nov</v>
      </c>
      <c r="C78" s="74">
        <f t="shared" si="57"/>
        <v>16</v>
      </c>
      <c r="D78" s="75">
        <f t="shared" si="35"/>
        <v>9</v>
      </c>
      <c r="E78" s="76">
        <f t="shared" si="36"/>
        <v>34</v>
      </c>
      <c r="F78" s="80"/>
      <c r="G78" s="83"/>
      <c r="H78" s="69" t="str">
        <f t="shared" si="58"/>
        <v>Lacine7_20171116_09_00</v>
      </c>
      <c r="I78" s="70">
        <f t="shared" si="59"/>
        <v>1</v>
      </c>
      <c r="J78" s="77" t="str">
        <f t="shared" si="59"/>
        <v>Lactuca</v>
      </c>
      <c r="K78" s="77" t="str">
        <f t="shared" si="59"/>
        <v>inermis</v>
      </c>
      <c r="L78" s="78">
        <f t="shared" si="59"/>
        <v>7</v>
      </c>
      <c r="M78" s="78">
        <f t="shared" si="59"/>
        <v>3</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2017</v>
      </c>
      <c r="B79" s="73" t="str">
        <f t="shared" si="34"/>
        <v>Nov</v>
      </c>
      <c r="C79" s="74">
        <f t="shared" si="57"/>
        <v>16</v>
      </c>
      <c r="D79" s="75">
        <f t="shared" si="35"/>
        <v>9</v>
      </c>
      <c r="E79" s="76">
        <f t="shared" si="36"/>
        <v>35</v>
      </c>
      <c r="F79" s="80"/>
      <c r="G79" s="83"/>
      <c r="H79" s="69" t="str">
        <f t="shared" si="58"/>
        <v>Lacine7_20171116_09_00</v>
      </c>
      <c r="I79" s="70">
        <f t="shared" si="59"/>
        <v>1</v>
      </c>
      <c r="J79" s="77" t="str">
        <f t="shared" si="59"/>
        <v>Lactuca</v>
      </c>
      <c r="K79" s="77" t="str">
        <f t="shared" si="59"/>
        <v>inermis</v>
      </c>
      <c r="L79" s="78">
        <f t="shared" si="59"/>
        <v>7</v>
      </c>
      <c r="M79" s="78">
        <f t="shared" si="59"/>
        <v>3</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x14ac:dyDescent="0.35">
      <c r="A80" s="73">
        <f t="shared" si="33"/>
        <v>2017</v>
      </c>
      <c r="B80" s="73" t="str">
        <f t="shared" si="34"/>
        <v>Nov</v>
      </c>
      <c r="C80" s="74">
        <f t="shared" si="57"/>
        <v>16</v>
      </c>
      <c r="D80" s="75">
        <f t="shared" si="35"/>
        <v>9</v>
      </c>
      <c r="E80" s="76">
        <f t="shared" si="36"/>
        <v>36</v>
      </c>
      <c r="F80" s="80">
        <v>13</v>
      </c>
      <c r="G80" s="83"/>
      <c r="H80" s="69" t="str">
        <f t="shared" si="58"/>
        <v>Lacine7_20171116_09_00</v>
      </c>
      <c r="I80" s="70">
        <f t="shared" si="59"/>
        <v>1</v>
      </c>
      <c r="J80" s="77" t="str">
        <f t="shared" si="59"/>
        <v>Lactuca</v>
      </c>
      <c r="K80" s="77" t="str">
        <f t="shared" si="59"/>
        <v>inermis</v>
      </c>
      <c r="L80" s="78">
        <f t="shared" si="59"/>
        <v>7</v>
      </c>
      <c r="M80" s="78">
        <f t="shared" si="59"/>
        <v>3</v>
      </c>
      <c r="N80" s="72">
        <f t="shared" si="59"/>
        <v>0</v>
      </c>
      <c r="O80" s="45"/>
      <c r="P80" s="46">
        <f t="shared" si="37"/>
        <v>1</v>
      </c>
      <c r="Q80" s="47" t="str">
        <f t="shared" si="38"/>
        <v>09:36:13</v>
      </c>
      <c r="R80" s="48" t="str">
        <f t="shared" si="39"/>
        <v>36:13</v>
      </c>
      <c r="S80" s="49">
        <f t="shared" si="32"/>
        <v>76</v>
      </c>
      <c r="T80" s="48" t="str">
        <f t="shared" si="40"/>
        <v>09</v>
      </c>
      <c r="U80" s="50">
        <v>37</v>
      </c>
      <c r="V80" s="51">
        <v>29</v>
      </c>
      <c r="W80" s="52" t="str">
        <f t="shared" si="41"/>
        <v>37:29</v>
      </c>
      <c r="X80" s="53" t="s">
        <v>59</v>
      </c>
      <c r="Y80" s="126" t="s">
        <v>67</v>
      </c>
      <c r="Z80" s="126"/>
      <c r="AA80" s="48" t="s">
        <v>60</v>
      </c>
      <c r="AB80" s="48" t="str">
        <f t="shared" si="42"/>
        <v>NA</v>
      </c>
      <c r="AC80" s="54">
        <f t="shared" si="43"/>
        <v>0</v>
      </c>
      <c r="AD80" s="55">
        <f t="shared" si="44"/>
        <v>1</v>
      </c>
      <c r="AE80" s="55"/>
      <c r="AF80" s="55"/>
      <c r="AG80" s="56">
        <v>1</v>
      </c>
      <c r="AH80" s="57">
        <v>50</v>
      </c>
      <c r="AI80" s="56"/>
      <c r="AJ80" s="57" t="str">
        <f t="shared" si="47"/>
        <v/>
      </c>
      <c r="AK80" s="56"/>
      <c r="AL80" s="57" t="str">
        <f t="shared" si="48"/>
        <v/>
      </c>
      <c r="AM80" s="56">
        <v>1</v>
      </c>
      <c r="AN80" s="57">
        <v>26</v>
      </c>
      <c r="AO80" s="56"/>
      <c r="AP80" s="57" t="str">
        <f t="shared" si="50"/>
        <v/>
      </c>
      <c r="AQ80" s="56"/>
      <c r="AR80" s="57" t="str">
        <f t="shared" si="51"/>
        <v/>
      </c>
      <c r="AS80" s="56"/>
      <c r="AT80" s="57" t="str">
        <f t="shared" si="52"/>
        <v/>
      </c>
      <c r="AU80" s="58"/>
      <c r="AV80" s="59"/>
      <c r="AW80" s="59"/>
      <c r="AX80" s="60"/>
      <c r="AY80" s="61">
        <v>1</v>
      </c>
      <c r="AZ80" s="62">
        <f t="shared" si="54"/>
        <v>1</v>
      </c>
      <c r="BA80" s="61">
        <f t="shared" si="55"/>
        <v>0</v>
      </c>
      <c r="BB80" s="62" t="str">
        <f t="shared" si="56"/>
        <v/>
      </c>
    </row>
    <row r="81" spans="1:54" s="3" customFormat="1" hidden="1" x14ac:dyDescent="0.35">
      <c r="A81" s="73">
        <f t="shared" si="33"/>
        <v>2017</v>
      </c>
      <c r="B81" s="73" t="str">
        <f t="shared" si="34"/>
        <v>Nov</v>
      </c>
      <c r="C81" s="74">
        <f t="shared" si="57"/>
        <v>16</v>
      </c>
      <c r="D81" s="75">
        <f t="shared" si="35"/>
        <v>9</v>
      </c>
      <c r="E81" s="76">
        <f t="shared" si="36"/>
        <v>37</v>
      </c>
      <c r="F81" s="80"/>
      <c r="G81" s="83"/>
      <c r="H81" s="69" t="str">
        <f t="shared" si="58"/>
        <v>Lacine7_20171116_09_00</v>
      </c>
      <c r="I81" s="70">
        <f t="shared" si="59"/>
        <v>1</v>
      </c>
      <c r="J81" s="77" t="str">
        <f t="shared" si="59"/>
        <v>Lactuca</v>
      </c>
      <c r="K81" s="77" t="str">
        <f t="shared" si="59"/>
        <v>inermis</v>
      </c>
      <c r="L81" s="78">
        <f t="shared" si="59"/>
        <v>7</v>
      </c>
      <c r="M81" s="78">
        <f t="shared" si="59"/>
        <v>3</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2017</v>
      </c>
      <c r="B82" s="73" t="str">
        <f t="shared" si="34"/>
        <v>Nov</v>
      </c>
      <c r="C82" s="74">
        <f t="shared" si="57"/>
        <v>16</v>
      </c>
      <c r="D82" s="75">
        <f t="shared" si="35"/>
        <v>9</v>
      </c>
      <c r="E82" s="76">
        <f t="shared" si="36"/>
        <v>38</v>
      </c>
      <c r="F82" s="80"/>
      <c r="G82" s="83"/>
      <c r="H82" s="69" t="str">
        <f t="shared" si="58"/>
        <v>Lacine7_20171116_09_00</v>
      </c>
      <c r="I82" s="70">
        <f t="shared" si="59"/>
        <v>1</v>
      </c>
      <c r="J82" s="77" t="str">
        <f t="shared" si="59"/>
        <v>Lactuca</v>
      </c>
      <c r="K82" s="77" t="str">
        <f t="shared" si="59"/>
        <v>inermis</v>
      </c>
      <c r="L82" s="78">
        <f t="shared" si="59"/>
        <v>7</v>
      </c>
      <c r="M82" s="78">
        <f t="shared" si="59"/>
        <v>3</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2017</v>
      </c>
      <c r="B83" s="73" t="str">
        <f t="shared" si="34"/>
        <v>Nov</v>
      </c>
      <c r="C83" s="74">
        <f t="shared" si="57"/>
        <v>16</v>
      </c>
      <c r="D83" s="75">
        <f t="shared" si="35"/>
        <v>9</v>
      </c>
      <c r="E83" s="76">
        <f t="shared" si="36"/>
        <v>39</v>
      </c>
      <c r="F83" s="80"/>
      <c r="G83" s="83"/>
      <c r="H83" s="69" t="str">
        <f t="shared" si="58"/>
        <v>Lacine7_20171116_09_00</v>
      </c>
      <c r="I83" s="70">
        <f t="shared" si="59"/>
        <v>1</v>
      </c>
      <c r="J83" s="77" t="str">
        <f t="shared" si="59"/>
        <v>Lactuca</v>
      </c>
      <c r="K83" s="77" t="str">
        <f t="shared" si="59"/>
        <v>inermis</v>
      </c>
      <c r="L83" s="78">
        <f t="shared" si="59"/>
        <v>7</v>
      </c>
      <c r="M83" s="78">
        <f t="shared" si="59"/>
        <v>3</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2017</v>
      </c>
      <c r="B84" s="73" t="str">
        <f t="shared" si="34"/>
        <v>Nov</v>
      </c>
      <c r="C84" s="74">
        <f t="shared" si="57"/>
        <v>16</v>
      </c>
      <c r="D84" s="75">
        <f t="shared" si="35"/>
        <v>9</v>
      </c>
      <c r="E84" s="76">
        <f t="shared" si="36"/>
        <v>40</v>
      </c>
      <c r="F84" s="80"/>
      <c r="G84" s="83"/>
      <c r="H84" s="69" t="str">
        <f t="shared" si="58"/>
        <v>Lacine7_20171116_09_00</v>
      </c>
      <c r="I84" s="70">
        <f t="shared" si="59"/>
        <v>1</v>
      </c>
      <c r="J84" s="77" t="str">
        <f t="shared" si="59"/>
        <v>Lactuca</v>
      </c>
      <c r="K84" s="77" t="str">
        <f t="shared" si="59"/>
        <v>inermis</v>
      </c>
      <c r="L84" s="78">
        <f t="shared" si="59"/>
        <v>7</v>
      </c>
      <c r="M84" s="78">
        <f t="shared" si="59"/>
        <v>3</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2017</v>
      </c>
      <c r="B85" s="73" t="str">
        <f t="shared" si="34"/>
        <v>Nov</v>
      </c>
      <c r="C85" s="74">
        <f t="shared" si="57"/>
        <v>16</v>
      </c>
      <c r="D85" s="75">
        <f t="shared" si="35"/>
        <v>9</v>
      </c>
      <c r="E85" s="76">
        <f t="shared" si="36"/>
        <v>41</v>
      </c>
      <c r="F85" s="80"/>
      <c r="G85" s="83"/>
      <c r="H85" s="69" t="str">
        <f t="shared" si="58"/>
        <v>Lacine7_20171116_09_00</v>
      </c>
      <c r="I85" s="70">
        <f t="shared" ref="I85:N100" si="60">I84</f>
        <v>1</v>
      </c>
      <c r="J85" s="77" t="str">
        <f t="shared" si="60"/>
        <v>Lactuca</v>
      </c>
      <c r="K85" s="77" t="str">
        <f t="shared" si="60"/>
        <v>inermis</v>
      </c>
      <c r="L85" s="78">
        <f t="shared" si="60"/>
        <v>7</v>
      </c>
      <c r="M85" s="78">
        <f t="shared" si="60"/>
        <v>3</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2017</v>
      </c>
      <c r="B86" s="73" t="str">
        <f t="shared" si="34"/>
        <v>Nov</v>
      </c>
      <c r="C86" s="74">
        <f t="shared" si="57"/>
        <v>16</v>
      </c>
      <c r="D86" s="75">
        <f t="shared" si="35"/>
        <v>9</v>
      </c>
      <c r="E86" s="76">
        <f t="shared" si="36"/>
        <v>42</v>
      </c>
      <c r="F86" s="80"/>
      <c r="G86" s="83"/>
      <c r="H86" s="69" t="str">
        <f t="shared" si="58"/>
        <v>Lacine7_20171116_09_00</v>
      </c>
      <c r="I86" s="70">
        <f t="shared" si="60"/>
        <v>1</v>
      </c>
      <c r="J86" s="77" t="str">
        <f t="shared" si="60"/>
        <v>Lactuca</v>
      </c>
      <c r="K86" s="77" t="str">
        <f t="shared" si="60"/>
        <v>inermis</v>
      </c>
      <c r="L86" s="78">
        <f t="shared" si="60"/>
        <v>7</v>
      </c>
      <c r="M86" s="78">
        <f t="shared" si="60"/>
        <v>3</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2017</v>
      </c>
      <c r="B87" s="73" t="str">
        <f t="shared" si="34"/>
        <v>Nov</v>
      </c>
      <c r="C87" s="74">
        <f t="shared" si="57"/>
        <v>16</v>
      </c>
      <c r="D87" s="75">
        <f t="shared" si="35"/>
        <v>9</v>
      </c>
      <c r="E87" s="76">
        <f t="shared" si="36"/>
        <v>43</v>
      </c>
      <c r="F87" s="80"/>
      <c r="G87" s="83"/>
      <c r="H87" s="69" t="str">
        <f t="shared" si="58"/>
        <v>Lacine7_20171116_09_00</v>
      </c>
      <c r="I87" s="70">
        <f t="shared" si="60"/>
        <v>1</v>
      </c>
      <c r="J87" s="77" t="str">
        <f t="shared" si="60"/>
        <v>Lactuca</v>
      </c>
      <c r="K87" s="77" t="str">
        <f t="shared" si="60"/>
        <v>inermis</v>
      </c>
      <c r="L87" s="78">
        <f t="shared" si="60"/>
        <v>7</v>
      </c>
      <c r="M87" s="78">
        <f t="shared" si="60"/>
        <v>3</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2017</v>
      </c>
      <c r="B88" s="73" t="str">
        <f t="shared" si="34"/>
        <v>Nov</v>
      </c>
      <c r="C88" s="74">
        <f t="shared" si="57"/>
        <v>16</v>
      </c>
      <c r="D88" s="75">
        <f t="shared" si="35"/>
        <v>9</v>
      </c>
      <c r="E88" s="76">
        <f t="shared" si="36"/>
        <v>44</v>
      </c>
      <c r="F88" s="80"/>
      <c r="G88" s="83"/>
      <c r="H88" s="69" t="str">
        <f t="shared" si="58"/>
        <v>Lacine7_20171116_09_00</v>
      </c>
      <c r="I88" s="70">
        <f t="shared" si="60"/>
        <v>1</v>
      </c>
      <c r="J88" s="77" t="str">
        <f t="shared" si="60"/>
        <v>Lactuca</v>
      </c>
      <c r="K88" s="77" t="str">
        <f t="shared" si="60"/>
        <v>inermis</v>
      </c>
      <c r="L88" s="78">
        <f t="shared" si="60"/>
        <v>7</v>
      </c>
      <c r="M88" s="78">
        <f t="shared" si="60"/>
        <v>3</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2017</v>
      </c>
      <c r="B89" s="73" t="str">
        <f t="shared" si="34"/>
        <v>Nov</v>
      </c>
      <c r="C89" s="74">
        <f t="shared" si="57"/>
        <v>16</v>
      </c>
      <c r="D89" s="75">
        <f t="shared" si="35"/>
        <v>9</v>
      </c>
      <c r="E89" s="76">
        <f t="shared" si="36"/>
        <v>45</v>
      </c>
      <c r="F89" s="80"/>
      <c r="G89" s="83"/>
      <c r="H89" s="69" t="str">
        <f t="shared" si="58"/>
        <v>Lacine7_20171116_09_00</v>
      </c>
      <c r="I89" s="70">
        <f t="shared" si="60"/>
        <v>1</v>
      </c>
      <c r="J89" s="77" t="str">
        <f t="shared" si="60"/>
        <v>Lactuca</v>
      </c>
      <c r="K89" s="77" t="str">
        <f t="shared" si="60"/>
        <v>inermis</v>
      </c>
      <c r="L89" s="78">
        <f t="shared" si="60"/>
        <v>7</v>
      </c>
      <c r="M89" s="78">
        <f t="shared" si="60"/>
        <v>3</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2017</v>
      </c>
      <c r="B90" s="73" t="str">
        <f t="shared" si="34"/>
        <v>Nov</v>
      </c>
      <c r="C90" s="74">
        <f t="shared" si="57"/>
        <v>16</v>
      </c>
      <c r="D90" s="75">
        <f t="shared" si="35"/>
        <v>9</v>
      </c>
      <c r="E90" s="76">
        <f t="shared" si="36"/>
        <v>46</v>
      </c>
      <c r="F90" s="80"/>
      <c r="G90" s="83"/>
      <c r="H90" s="69" t="str">
        <f t="shared" si="58"/>
        <v>Lacine7_20171116_09_00</v>
      </c>
      <c r="I90" s="70">
        <f t="shared" si="60"/>
        <v>1</v>
      </c>
      <c r="J90" s="77" t="str">
        <f t="shared" si="60"/>
        <v>Lactuca</v>
      </c>
      <c r="K90" s="77" t="str">
        <f t="shared" si="60"/>
        <v>inermis</v>
      </c>
      <c r="L90" s="78">
        <f t="shared" si="60"/>
        <v>7</v>
      </c>
      <c r="M90" s="78">
        <f t="shared" si="60"/>
        <v>3</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2017</v>
      </c>
      <c r="B91" s="73" t="str">
        <f t="shared" si="34"/>
        <v>Nov</v>
      </c>
      <c r="C91" s="74">
        <f t="shared" si="57"/>
        <v>16</v>
      </c>
      <c r="D91" s="75">
        <f t="shared" si="35"/>
        <v>9</v>
      </c>
      <c r="E91" s="76">
        <f t="shared" si="36"/>
        <v>47</v>
      </c>
      <c r="F91" s="80"/>
      <c r="G91" s="83"/>
      <c r="H91" s="69" t="str">
        <f t="shared" si="58"/>
        <v>Lacine7_20171116_09_00</v>
      </c>
      <c r="I91" s="70">
        <f t="shared" si="60"/>
        <v>1</v>
      </c>
      <c r="J91" s="77" t="str">
        <f t="shared" si="60"/>
        <v>Lactuca</v>
      </c>
      <c r="K91" s="77" t="str">
        <f t="shared" si="60"/>
        <v>inermis</v>
      </c>
      <c r="L91" s="78">
        <f t="shared" si="60"/>
        <v>7</v>
      </c>
      <c r="M91" s="78">
        <f t="shared" si="60"/>
        <v>3</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2017</v>
      </c>
      <c r="B92" s="73" t="str">
        <f t="shared" si="34"/>
        <v>Nov</v>
      </c>
      <c r="C92" s="74">
        <f t="shared" si="57"/>
        <v>16</v>
      </c>
      <c r="D92" s="75">
        <f t="shared" si="35"/>
        <v>9</v>
      </c>
      <c r="E92" s="76">
        <f t="shared" si="36"/>
        <v>48</v>
      </c>
      <c r="F92" s="80"/>
      <c r="G92" s="83"/>
      <c r="H92" s="69" t="str">
        <f t="shared" si="58"/>
        <v>Lacine7_20171116_09_00</v>
      </c>
      <c r="I92" s="70">
        <f t="shared" si="60"/>
        <v>1</v>
      </c>
      <c r="J92" s="77" t="str">
        <f t="shared" si="60"/>
        <v>Lactuca</v>
      </c>
      <c r="K92" s="77" t="str">
        <f t="shared" si="60"/>
        <v>inermis</v>
      </c>
      <c r="L92" s="78">
        <f t="shared" si="60"/>
        <v>7</v>
      </c>
      <c r="M92" s="78">
        <f t="shared" si="60"/>
        <v>3</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2017</v>
      </c>
      <c r="B93" s="73" t="str">
        <f t="shared" si="34"/>
        <v>Nov</v>
      </c>
      <c r="C93" s="74">
        <f t="shared" si="57"/>
        <v>16</v>
      </c>
      <c r="D93" s="75">
        <f t="shared" si="35"/>
        <v>9</v>
      </c>
      <c r="E93" s="76">
        <f t="shared" si="36"/>
        <v>49</v>
      </c>
      <c r="F93" s="80"/>
      <c r="G93" s="83"/>
      <c r="H93" s="69" t="str">
        <f t="shared" si="58"/>
        <v>Lacine7_20171116_09_00</v>
      </c>
      <c r="I93" s="70">
        <f t="shared" si="60"/>
        <v>1</v>
      </c>
      <c r="J93" s="77" t="str">
        <f t="shared" si="60"/>
        <v>Lactuca</v>
      </c>
      <c r="K93" s="77" t="str">
        <f t="shared" si="60"/>
        <v>inermis</v>
      </c>
      <c r="L93" s="78">
        <f t="shared" si="60"/>
        <v>7</v>
      </c>
      <c r="M93" s="78">
        <f t="shared" si="60"/>
        <v>3</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2017</v>
      </c>
      <c r="B94" s="73" t="str">
        <f t="shared" si="34"/>
        <v>Nov</v>
      </c>
      <c r="C94" s="74">
        <f t="shared" si="57"/>
        <v>16</v>
      </c>
      <c r="D94" s="75">
        <f t="shared" si="35"/>
        <v>9</v>
      </c>
      <c r="E94" s="76">
        <f t="shared" si="36"/>
        <v>50</v>
      </c>
      <c r="F94" s="80"/>
      <c r="G94" s="83"/>
      <c r="H94" s="69" t="str">
        <f t="shared" si="58"/>
        <v>Lacine7_20171116_09_00</v>
      </c>
      <c r="I94" s="70">
        <f t="shared" si="60"/>
        <v>1</v>
      </c>
      <c r="J94" s="77" t="str">
        <f t="shared" si="60"/>
        <v>Lactuca</v>
      </c>
      <c r="K94" s="77" t="str">
        <f t="shared" si="60"/>
        <v>inermis</v>
      </c>
      <c r="L94" s="78">
        <f t="shared" si="60"/>
        <v>7</v>
      </c>
      <c r="M94" s="78">
        <f t="shared" si="60"/>
        <v>3</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2017</v>
      </c>
      <c r="B95" s="73" t="str">
        <f t="shared" si="34"/>
        <v>Nov</v>
      </c>
      <c r="C95" s="74">
        <f t="shared" si="57"/>
        <v>16</v>
      </c>
      <c r="D95" s="75">
        <f t="shared" si="35"/>
        <v>9</v>
      </c>
      <c r="E95" s="76">
        <f t="shared" si="36"/>
        <v>51</v>
      </c>
      <c r="F95" s="80"/>
      <c r="G95" s="83"/>
      <c r="H95" s="69" t="str">
        <f t="shared" si="58"/>
        <v>Lacine7_20171116_09_00</v>
      </c>
      <c r="I95" s="70">
        <f t="shared" si="60"/>
        <v>1</v>
      </c>
      <c r="J95" s="77" t="str">
        <f t="shared" si="60"/>
        <v>Lactuca</v>
      </c>
      <c r="K95" s="77" t="str">
        <f t="shared" si="60"/>
        <v>inermis</v>
      </c>
      <c r="L95" s="78">
        <f t="shared" si="60"/>
        <v>7</v>
      </c>
      <c r="M95" s="78">
        <f t="shared" si="60"/>
        <v>3</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2017</v>
      </c>
      <c r="B96" s="73" t="str">
        <f t="shared" si="34"/>
        <v>Nov</v>
      </c>
      <c r="C96" s="74">
        <f t="shared" si="57"/>
        <v>16</v>
      </c>
      <c r="D96" s="75">
        <f t="shared" si="35"/>
        <v>9</v>
      </c>
      <c r="E96" s="76">
        <f t="shared" si="36"/>
        <v>52</v>
      </c>
      <c r="F96" s="80"/>
      <c r="G96" s="83"/>
      <c r="H96" s="69" t="str">
        <f t="shared" si="58"/>
        <v>Lacine7_20171116_09_00</v>
      </c>
      <c r="I96" s="70">
        <f t="shared" si="60"/>
        <v>1</v>
      </c>
      <c r="J96" s="77" t="str">
        <f t="shared" si="60"/>
        <v>Lactuca</v>
      </c>
      <c r="K96" s="77" t="str">
        <f t="shared" si="60"/>
        <v>inermis</v>
      </c>
      <c r="L96" s="78">
        <f t="shared" si="60"/>
        <v>7</v>
      </c>
      <c r="M96" s="78">
        <f t="shared" si="60"/>
        <v>3</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2017</v>
      </c>
      <c r="B97" s="73" t="str">
        <f t="shared" si="34"/>
        <v>Nov</v>
      </c>
      <c r="C97" s="74">
        <f t="shared" si="57"/>
        <v>16</v>
      </c>
      <c r="D97" s="75">
        <f t="shared" si="35"/>
        <v>9</v>
      </c>
      <c r="E97" s="76">
        <f t="shared" si="36"/>
        <v>53</v>
      </c>
      <c r="F97" s="80"/>
      <c r="G97" s="83"/>
      <c r="H97" s="69" t="str">
        <f t="shared" si="58"/>
        <v>Lacine7_20171116_09_00</v>
      </c>
      <c r="I97" s="70">
        <f t="shared" si="60"/>
        <v>1</v>
      </c>
      <c r="J97" s="77" t="str">
        <f t="shared" si="60"/>
        <v>Lactuca</v>
      </c>
      <c r="K97" s="77" t="str">
        <f t="shared" si="60"/>
        <v>inermis</v>
      </c>
      <c r="L97" s="78">
        <f t="shared" si="60"/>
        <v>7</v>
      </c>
      <c r="M97" s="78">
        <f t="shared" si="60"/>
        <v>3</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2017</v>
      </c>
      <c r="B98" s="73" t="str">
        <f t="shared" si="34"/>
        <v>Nov</v>
      </c>
      <c r="C98" s="74">
        <f t="shared" si="57"/>
        <v>16</v>
      </c>
      <c r="D98" s="75">
        <f t="shared" si="35"/>
        <v>9</v>
      </c>
      <c r="E98" s="76">
        <f t="shared" si="36"/>
        <v>54</v>
      </c>
      <c r="F98" s="80"/>
      <c r="G98" s="83"/>
      <c r="H98" s="69" t="str">
        <f t="shared" si="58"/>
        <v>Lacine7_20171116_09_00</v>
      </c>
      <c r="I98" s="70">
        <f t="shared" si="60"/>
        <v>1</v>
      </c>
      <c r="J98" s="77" t="str">
        <f t="shared" si="60"/>
        <v>Lactuca</v>
      </c>
      <c r="K98" s="77" t="str">
        <f t="shared" si="60"/>
        <v>inermis</v>
      </c>
      <c r="L98" s="78">
        <f t="shared" si="60"/>
        <v>7</v>
      </c>
      <c r="M98" s="78">
        <f t="shared" si="60"/>
        <v>3</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2017</v>
      </c>
      <c r="B99" s="73" t="str">
        <f t="shared" si="34"/>
        <v>Nov</v>
      </c>
      <c r="C99" s="74">
        <f t="shared" si="57"/>
        <v>16</v>
      </c>
      <c r="D99" s="75">
        <f t="shared" si="35"/>
        <v>9</v>
      </c>
      <c r="E99" s="76">
        <f t="shared" si="36"/>
        <v>55</v>
      </c>
      <c r="F99" s="80"/>
      <c r="G99" s="83"/>
      <c r="H99" s="69" t="str">
        <f t="shared" si="58"/>
        <v>Lacine7_20171116_09_00</v>
      </c>
      <c r="I99" s="70">
        <f t="shared" si="60"/>
        <v>1</v>
      </c>
      <c r="J99" s="77" t="str">
        <f t="shared" si="60"/>
        <v>Lactuca</v>
      </c>
      <c r="K99" s="77" t="str">
        <f t="shared" si="60"/>
        <v>inermis</v>
      </c>
      <c r="L99" s="78">
        <f t="shared" si="60"/>
        <v>7</v>
      </c>
      <c r="M99" s="78">
        <f t="shared" si="60"/>
        <v>3</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2017</v>
      </c>
      <c r="B100" s="73" t="str">
        <f t="shared" si="34"/>
        <v>Nov</v>
      </c>
      <c r="C100" s="74">
        <f t="shared" si="57"/>
        <v>16</v>
      </c>
      <c r="D100" s="75">
        <f t="shared" si="35"/>
        <v>9</v>
      </c>
      <c r="E100" s="76">
        <f t="shared" si="36"/>
        <v>56</v>
      </c>
      <c r="F100" s="80"/>
      <c r="G100" s="83"/>
      <c r="H100" s="69" t="str">
        <f t="shared" si="58"/>
        <v>Lacine7_20171116_09_00</v>
      </c>
      <c r="I100" s="70">
        <f t="shared" si="60"/>
        <v>1</v>
      </c>
      <c r="J100" s="77" t="str">
        <f t="shared" si="60"/>
        <v>Lactuca</v>
      </c>
      <c r="K100" s="77" t="str">
        <f t="shared" si="60"/>
        <v>inermis</v>
      </c>
      <c r="L100" s="78">
        <f t="shared" si="60"/>
        <v>7</v>
      </c>
      <c r="M100" s="78">
        <f t="shared" si="60"/>
        <v>3</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2017</v>
      </c>
      <c r="B101" s="73" t="str">
        <f t="shared" si="34"/>
        <v>Nov</v>
      </c>
      <c r="C101" s="74">
        <f t="shared" si="57"/>
        <v>16</v>
      </c>
      <c r="D101" s="75">
        <f t="shared" si="35"/>
        <v>9</v>
      </c>
      <c r="E101" s="76">
        <f t="shared" si="36"/>
        <v>57</v>
      </c>
      <c r="F101" s="80"/>
      <c r="G101" s="83"/>
      <c r="H101" s="69" t="str">
        <f t="shared" si="58"/>
        <v>Lacine7_20171116_09_00</v>
      </c>
      <c r="I101" s="70">
        <f t="shared" ref="I101:N116" si="61">I100</f>
        <v>1</v>
      </c>
      <c r="J101" s="77" t="str">
        <f t="shared" si="61"/>
        <v>Lactuca</v>
      </c>
      <c r="K101" s="77" t="str">
        <f t="shared" si="61"/>
        <v>inermis</v>
      </c>
      <c r="L101" s="78">
        <f t="shared" si="61"/>
        <v>7</v>
      </c>
      <c r="M101" s="78">
        <f t="shared" si="61"/>
        <v>3</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2017</v>
      </c>
      <c r="B102" s="73" t="str">
        <f t="shared" si="34"/>
        <v>Nov</v>
      </c>
      <c r="C102" s="74">
        <f t="shared" si="57"/>
        <v>16</v>
      </c>
      <c r="D102" s="75">
        <f t="shared" si="35"/>
        <v>9</v>
      </c>
      <c r="E102" s="76">
        <f t="shared" si="36"/>
        <v>58</v>
      </c>
      <c r="F102" s="80"/>
      <c r="G102" s="83"/>
      <c r="H102" s="69" t="str">
        <f t="shared" si="58"/>
        <v>Lacine7_20171116_09_00</v>
      </c>
      <c r="I102" s="70">
        <f t="shared" si="61"/>
        <v>1</v>
      </c>
      <c r="J102" s="77" t="str">
        <f t="shared" si="61"/>
        <v>Lactuca</v>
      </c>
      <c r="K102" s="77" t="str">
        <f t="shared" si="61"/>
        <v>inermis</v>
      </c>
      <c r="L102" s="78">
        <f t="shared" si="61"/>
        <v>7</v>
      </c>
      <c r="M102" s="78">
        <f t="shared" si="61"/>
        <v>3</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2017</v>
      </c>
      <c r="B103" s="73" t="str">
        <f t="shared" si="34"/>
        <v>Nov</v>
      </c>
      <c r="C103" s="74">
        <f t="shared" si="57"/>
        <v>16</v>
      </c>
      <c r="D103" s="75">
        <f t="shared" si="35"/>
        <v>9</v>
      </c>
      <c r="E103" s="76">
        <f t="shared" si="36"/>
        <v>59</v>
      </c>
      <c r="F103" s="80"/>
      <c r="G103" s="83"/>
      <c r="H103" s="69" t="str">
        <f t="shared" si="58"/>
        <v>Lacine7_20171116_09_00</v>
      </c>
      <c r="I103" s="70">
        <f t="shared" si="61"/>
        <v>1</v>
      </c>
      <c r="J103" s="77" t="str">
        <f t="shared" si="61"/>
        <v>Lactuca</v>
      </c>
      <c r="K103" s="77" t="str">
        <f t="shared" si="61"/>
        <v>inermis</v>
      </c>
      <c r="L103" s="78">
        <f t="shared" si="61"/>
        <v>7</v>
      </c>
      <c r="M103" s="78">
        <f t="shared" si="61"/>
        <v>3</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2017</v>
      </c>
      <c r="B104" s="73" t="str">
        <f t="shared" si="34"/>
        <v>Nov</v>
      </c>
      <c r="C104" s="74">
        <f t="shared" si="57"/>
        <v>16</v>
      </c>
      <c r="D104" s="75">
        <f t="shared" si="35"/>
        <v>10</v>
      </c>
      <c r="E104" s="76">
        <f t="shared" si="36"/>
        <v>0</v>
      </c>
      <c r="F104" s="80"/>
      <c r="G104" s="83"/>
      <c r="H104" s="69" t="str">
        <f t="shared" si="58"/>
        <v>Lacine7_20171116_10_00</v>
      </c>
      <c r="I104" s="70">
        <f t="shared" si="61"/>
        <v>1</v>
      </c>
      <c r="J104" s="77" t="str">
        <f t="shared" si="61"/>
        <v>Lactuca</v>
      </c>
      <c r="K104" s="77" t="str">
        <f t="shared" si="61"/>
        <v>inermis</v>
      </c>
      <c r="L104" s="78">
        <f t="shared" si="61"/>
        <v>7</v>
      </c>
      <c r="M104" s="78">
        <f t="shared" si="61"/>
        <v>3</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2017</v>
      </c>
      <c r="B105" s="73" t="str">
        <f t="shared" si="34"/>
        <v>Nov</v>
      </c>
      <c r="C105" s="74">
        <f t="shared" si="57"/>
        <v>16</v>
      </c>
      <c r="D105" s="75">
        <f t="shared" si="35"/>
        <v>10</v>
      </c>
      <c r="E105" s="76">
        <f t="shared" si="36"/>
        <v>1</v>
      </c>
      <c r="F105" s="80"/>
      <c r="G105" s="83"/>
      <c r="H105" s="69" t="str">
        <f t="shared" si="58"/>
        <v>Lacine7_20171116_10_00</v>
      </c>
      <c r="I105" s="70">
        <f t="shared" si="61"/>
        <v>1</v>
      </c>
      <c r="J105" s="77" t="str">
        <f t="shared" si="61"/>
        <v>Lactuca</v>
      </c>
      <c r="K105" s="77" t="str">
        <f t="shared" si="61"/>
        <v>inermis</v>
      </c>
      <c r="L105" s="78">
        <f t="shared" si="61"/>
        <v>7</v>
      </c>
      <c r="M105" s="78">
        <f t="shared" si="61"/>
        <v>3</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2017</v>
      </c>
      <c r="B106" s="73" t="str">
        <f t="shared" si="34"/>
        <v>Nov</v>
      </c>
      <c r="C106" s="74">
        <f t="shared" si="57"/>
        <v>16</v>
      </c>
      <c r="D106" s="75">
        <f t="shared" si="35"/>
        <v>10</v>
      </c>
      <c r="E106" s="76">
        <f t="shared" si="36"/>
        <v>2</v>
      </c>
      <c r="F106" s="80"/>
      <c r="G106" s="83"/>
      <c r="H106" s="69" t="str">
        <f t="shared" si="58"/>
        <v>Lacine7_20171116_10_00</v>
      </c>
      <c r="I106" s="70">
        <f t="shared" si="61"/>
        <v>1</v>
      </c>
      <c r="J106" s="77" t="str">
        <f t="shared" si="61"/>
        <v>Lactuca</v>
      </c>
      <c r="K106" s="77" t="str">
        <f t="shared" si="61"/>
        <v>inermis</v>
      </c>
      <c r="L106" s="78">
        <f t="shared" si="61"/>
        <v>7</v>
      </c>
      <c r="M106" s="78">
        <f t="shared" si="61"/>
        <v>3</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2017</v>
      </c>
      <c r="B107" s="73" t="str">
        <f t="shared" si="34"/>
        <v>Nov</v>
      </c>
      <c r="C107" s="74">
        <f t="shared" si="57"/>
        <v>16</v>
      </c>
      <c r="D107" s="75">
        <f t="shared" si="35"/>
        <v>10</v>
      </c>
      <c r="E107" s="76">
        <f t="shared" si="36"/>
        <v>3</v>
      </c>
      <c r="F107" s="80"/>
      <c r="G107" s="83"/>
      <c r="H107" s="69" t="str">
        <f t="shared" si="58"/>
        <v>Lacine7_20171116_10_00</v>
      </c>
      <c r="I107" s="70">
        <f t="shared" si="61"/>
        <v>1</v>
      </c>
      <c r="J107" s="77" t="str">
        <f t="shared" si="61"/>
        <v>Lactuca</v>
      </c>
      <c r="K107" s="77" t="str">
        <f t="shared" si="61"/>
        <v>inermis</v>
      </c>
      <c r="L107" s="78">
        <f t="shared" si="61"/>
        <v>7</v>
      </c>
      <c r="M107" s="78">
        <f t="shared" si="61"/>
        <v>3</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2017</v>
      </c>
      <c r="B108" s="73" t="str">
        <f t="shared" si="34"/>
        <v>Nov</v>
      </c>
      <c r="C108" s="74">
        <f t="shared" si="57"/>
        <v>16</v>
      </c>
      <c r="D108" s="75">
        <f t="shared" si="35"/>
        <v>10</v>
      </c>
      <c r="E108" s="76">
        <f t="shared" si="36"/>
        <v>4</v>
      </c>
      <c r="F108" s="80"/>
      <c r="G108" s="83"/>
      <c r="H108" s="69" t="str">
        <f t="shared" si="58"/>
        <v>Lacine7_20171116_10_00</v>
      </c>
      <c r="I108" s="70">
        <f t="shared" si="61"/>
        <v>1</v>
      </c>
      <c r="J108" s="77" t="str">
        <f t="shared" si="61"/>
        <v>Lactuca</v>
      </c>
      <c r="K108" s="77" t="str">
        <f t="shared" si="61"/>
        <v>inermis</v>
      </c>
      <c r="L108" s="78">
        <f t="shared" si="61"/>
        <v>7</v>
      </c>
      <c r="M108" s="78">
        <f t="shared" si="61"/>
        <v>3</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2017</v>
      </c>
      <c r="B109" s="73" t="str">
        <f t="shared" si="34"/>
        <v>Nov</v>
      </c>
      <c r="C109" s="74">
        <f t="shared" si="57"/>
        <v>16</v>
      </c>
      <c r="D109" s="75">
        <f t="shared" si="35"/>
        <v>10</v>
      </c>
      <c r="E109" s="76">
        <f t="shared" si="36"/>
        <v>5</v>
      </c>
      <c r="F109" s="80"/>
      <c r="G109" s="83"/>
      <c r="H109" s="69" t="str">
        <f t="shared" si="58"/>
        <v>Lacine7_20171116_10_00</v>
      </c>
      <c r="I109" s="70">
        <f t="shared" si="61"/>
        <v>1</v>
      </c>
      <c r="J109" s="77" t="str">
        <f t="shared" si="61"/>
        <v>Lactuca</v>
      </c>
      <c r="K109" s="77" t="str">
        <f t="shared" si="61"/>
        <v>inermis</v>
      </c>
      <c r="L109" s="78">
        <f t="shared" si="61"/>
        <v>7</v>
      </c>
      <c r="M109" s="78">
        <f t="shared" si="61"/>
        <v>3</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2017</v>
      </c>
      <c r="B110" s="73" t="str">
        <f t="shared" si="34"/>
        <v>Nov</v>
      </c>
      <c r="C110" s="74">
        <f t="shared" si="57"/>
        <v>16</v>
      </c>
      <c r="D110" s="75">
        <f t="shared" si="35"/>
        <v>10</v>
      </c>
      <c r="E110" s="76">
        <f t="shared" si="36"/>
        <v>6</v>
      </c>
      <c r="F110" s="80"/>
      <c r="G110" s="83"/>
      <c r="H110" s="69" t="str">
        <f t="shared" si="58"/>
        <v>Lacine7_20171116_10_00</v>
      </c>
      <c r="I110" s="70">
        <f t="shared" si="61"/>
        <v>1</v>
      </c>
      <c r="J110" s="77" t="str">
        <f t="shared" si="61"/>
        <v>Lactuca</v>
      </c>
      <c r="K110" s="77" t="str">
        <f t="shared" si="61"/>
        <v>inermis</v>
      </c>
      <c r="L110" s="78">
        <f t="shared" si="61"/>
        <v>7</v>
      </c>
      <c r="M110" s="78">
        <f t="shared" si="61"/>
        <v>3</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2017</v>
      </c>
      <c r="B111" s="73" t="str">
        <f t="shared" si="34"/>
        <v>Nov</v>
      </c>
      <c r="C111" s="74">
        <f t="shared" si="57"/>
        <v>16</v>
      </c>
      <c r="D111" s="75">
        <f t="shared" si="35"/>
        <v>10</v>
      </c>
      <c r="E111" s="76">
        <f t="shared" si="36"/>
        <v>7</v>
      </c>
      <c r="F111" s="80"/>
      <c r="G111" s="83"/>
      <c r="H111" s="69" t="str">
        <f t="shared" si="58"/>
        <v>Lacine7_20171116_10_00</v>
      </c>
      <c r="I111" s="70">
        <f t="shared" si="61"/>
        <v>1</v>
      </c>
      <c r="J111" s="77" t="str">
        <f t="shared" si="61"/>
        <v>Lactuca</v>
      </c>
      <c r="K111" s="77" t="str">
        <f t="shared" si="61"/>
        <v>inermis</v>
      </c>
      <c r="L111" s="78">
        <f t="shared" si="61"/>
        <v>7</v>
      </c>
      <c r="M111" s="78">
        <f t="shared" si="61"/>
        <v>3</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2017</v>
      </c>
      <c r="B112" s="73" t="str">
        <f t="shared" si="34"/>
        <v>Nov</v>
      </c>
      <c r="C112" s="74">
        <f t="shared" si="57"/>
        <v>16</v>
      </c>
      <c r="D112" s="75">
        <f t="shared" si="35"/>
        <v>10</v>
      </c>
      <c r="E112" s="76">
        <f t="shared" si="36"/>
        <v>8</v>
      </c>
      <c r="F112" s="80"/>
      <c r="G112" s="83"/>
      <c r="H112" s="69" t="str">
        <f t="shared" si="58"/>
        <v>Lacine7_20171116_10_00</v>
      </c>
      <c r="I112" s="70">
        <f t="shared" si="61"/>
        <v>1</v>
      </c>
      <c r="J112" s="77" t="str">
        <f t="shared" si="61"/>
        <v>Lactuca</v>
      </c>
      <c r="K112" s="77" t="str">
        <f t="shared" si="61"/>
        <v>inermis</v>
      </c>
      <c r="L112" s="78">
        <f t="shared" si="61"/>
        <v>7</v>
      </c>
      <c r="M112" s="78">
        <f t="shared" si="61"/>
        <v>3</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x14ac:dyDescent="0.35">
      <c r="A113" s="73">
        <f t="shared" si="33"/>
        <v>2017</v>
      </c>
      <c r="B113" s="73" t="str">
        <f t="shared" si="34"/>
        <v>Nov</v>
      </c>
      <c r="C113" s="74">
        <f t="shared" si="57"/>
        <v>16</v>
      </c>
      <c r="D113" s="75">
        <f t="shared" si="35"/>
        <v>10</v>
      </c>
      <c r="E113" s="76">
        <f t="shared" si="36"/>
        <v>9</v>
      </c>
      <c r="F113" s="80">
        <v>46</v>
      </c>
      <c r="G113" s="83"/>
      <c r="H113" s="69" t="str">
        <f t="shared" si="58"/>
        <v>Lacine7_20171116_10_00</v>
      </c>
      <c r="I113" s="70">
        <f t="shared" si="61"/>
        <v>1</v>
      </c>
      <c r="J113" s="77" t="str">
        <f t="shared" si="61"/>
        <v>Lactuca</v>
      </c>
      <c r="K113" s="77" t="str">
        <f t="shared" si="61"/>
        <v>inermis</v>
      </c>
      <c r="L113" s="78">
        <f t="shared" si="61"/>
        <v>7</v>
      </c>
      <c r="M113" s="78">
        <f t="shared" si="61"/>
        <v>3</v>
      </c>
      <c r="N113" s="72">
        <f t="shared" si="61"/>
        <v>0</v>
      </c>
      <c r="O113" s="45"/>
      <c r="P113" s="46">
        <f t="shared" si="37"/>
        <v>1</v>
      </c>
      <c r="Q113" s="47" t="str">
        <f t="shared" si="38"/>
        <v>10:09:46</v>
      </c>
      <c r="R113" s="48" t="str">
        <f t="shared" si="39"/>
        <v>09:46</v>
      </c>
      <c r="S113" s="49">
        <f t="shared" si="32"/>
        <v>69</v>
      </c>
      <c r="T113" s="48" t="str">
        <f t="shared" si="40"/>
        <v>10</v>
      </c>
      <c r="U113" s="50">
        <v>10</v>
      </c>
      <c r="V113" s="51">
        <v>55</v>
      </c>
      <c r="W113" s="52" t="str">
        <f t="shared" si="41"/>
        <v>10:55</v>
      </c>
      <c r="X113" s="53" t="s">
        <v>59</v>
      </c>
      <c r="Y113" s="126" t="s">
        <v>68</v>
      </c>
      <c r="Z113" s="126"/>
      <c r="AA113" s="48" t="s">
        <v>63</v>
      </c>
      <c r="AB113" s="48" t="str">
        <f t="shared" si="42"/>
        <v>NA</v>
      </c>
      <c r="AC113" s="54">
        <f t="shared" si="43"/>
        <v>0</v>
      </c>
      <c r="AD113" s="55">
        <v>2</v>
      </c>
      <c r="AE113" s="55"/>
      <c r="AF113" s="55"/>
      <c r="AG113" s="56">
        <v>1</v>
      </c>
      <c r="AH113" s="57">
        <v>50</v>
      </c>
      <c r="AI113" s="56"/>
      <c r="AJ113" s="57" t="str">
        <f t="shared" si="47"/>
        <v/>
      </c>
      <c r="AK113" s="56"/>
      <c r="AL113" s="57" t="str">
        <f t="shared" si="48"/>
        <v/>
      </c>
      <c r="AM113" s="56">
        <v>1</v>
      </c>
      <c r="AN113" s="57">
        <v>19</v>
      </c>
      <c r="AO113" s="56"/>
      <c r="AP113" s="57" t="str">
        <f t="shared" si="50"/>
        <v/>
      </c>
      <c r="AQ113" s="56"/>
      <c r="AR113" s="57" t="str">
        <f t="shared" si="51"/>
        <v/>
      </c>
      <c r="AS113" s="56"/>
      <c r="AT113" s="57" t="str">
        <f t="shared" si="52"/>
        <v/>
      </c>
      <c r="AU113" s="58"/>
      <c r="AV113" s="59"/>
      <c r="AW113" s="59"/>
      <c r="AX113" s="60"/>
      <c r="AY113" s="61">
        <v>1</v>
      </c>
      <c r="AZ113" s="62">
        <f t="shared" si="54"/>
        <v>2</v>
      </c>
      <c r="BA113" s="61">
        <v>1</v>
      </c>
      <c r="BB113" s="62">
        <f t="shared" si="56"/>
        <v>2</v>
      </c>
    </row>
    <row r="114" spans="1:54" s="3" customFormat="1" hidden="1" x14ac:dyDescent="0.35">
      <c r="A114" s="73">
        <f t="shared" si="33"/>
        <v>2017</v>
      </c>
      <c r="B114" s="73" t="str">
        <f t="shared" si="34"/>
        <v>Nov</v>
      </c>
      <c r="C114" s="74">
        <f t="shared" si="57"/>
        <v>16</v>
      </c>
      <c r="D114" s="75">
        <f t="shared" si="35"/>
        <v>10</v>
      </c>
      <c r="E114" s="76">
        <f t="shared" si="36"/>
        <v>10</v>
      </c>
      <c r="F114" s="80"/>
      <c r="G114" s="83"/>
      <c r="H114" s="69" t="str">
        <f t="shared" si="58"/>
        <v>Lacine7_20171116_10_00</v>
      </c>
      <c r="I114" s="70">
        <f t="shared" si="61"/>
        <v>1</v>
      </c>
      <c r="J114" s="77" t="str">
        <f t="shared" si="61"/>
        <v>Lactuca</v>
      </c>
      <c r="K114" s="77" t="str">
        <f t="shared" si="61"/>
        <v>inermis</v>
      </c>
      <c r="L114" s="78">
        <f t="shared" si="61"/>
        <v>7</v>
      </c>
      <c r="M114" s="78">
        <f t="shared" si="61"/>
        <v>3</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2017</v>
      </c>
      <c r="B115" s="73" t="str">
        <f t="shared" si="34"/>
        <v>Nov</v>
      </c>
      <c r="C115" s="74">
        <f t="shared" si="57"/>
        <v>16</v>
      </c>
      <c r="D115" s="75">
        <f t="shared" si="35"/>
        <v>10</v>
      </c>
      <c r="E115" s="76">
        <f t="shared" si="36"/>
        <v>11</v>
      </c>
      <c r="F115" s="80"/>
      <c r="G115" s="83"/>
      <c r="H115" s="69" t="str">
        <f t="shared" si="58"/>
        <v>Lacine7_20171116_10_00</v>
      </c>
      <c r="I115" s="70">
        <f t="shared" si="61"/>
        <v>1</v>
      </c>
      <c r="J115" s="77" t="str">
        <f t="shared" si="61"/>
        <v>Lactuca</v>
      </c>
      <c r="K115" s="77" t="str">
        <f t="shared" si="61"/>
        <v>inermis</v>
      </c>
      <c r="L115" s="78">
        <f t="shared" si="61"/>
        <v>7</v>
      </c>
      <c r="M115" s="78">
        <f t="shared" si="61"/>
        <v>3</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2017</v>
      </c>
      <c r="B116" s="73" t="str">
        <f t="shared" si="34"/>
        <v>Nov</v>
      </c>
      <c r="C116" s="74">
        <f t="shared" si="57"/>
        <v>16</v>
      </c>
      <c r="D116" s="75">
        <f t="shared" si="35"/>
        <v>10</v>
      </c>
      <c r="E116" s="76">
        <f t="shared" si="36"/>
        <v>12</v>
      </c>
      <c r="F116" s="80"/>
      <c r="G116" s="83"/>
      <c r="H116" s="69" t="str">
        <f t="shared" si="58"/>
        <v>Lacine7_20171116_10_00</v>
      </c>
      <c r="I116" s="70">
        <f t="shared" si="61"/>
        <v>1</v>
      </c>
      <c r="J116" s="77" t="str">
        <f t="shared" si="61"/>
        <v>Lactuca</v>
      </c>
      <c r="K116" s="77" t="str">
        <f t="shared" si="61"/>
        <v>inermis</v>
      </c>
      <c r="L116" s="78">
        <f t="shared" si="61"/>
        <v>7</v>
      </c>
      <c r="M116" s="78">
        <f t="shared" si="61"/>
        <v>3</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2017</v>
      </c>
      <c r="B117" s="73" t="str">
        <f t="shared" si="34"/>
        <v>Nov</v>
      </c>
      <c r="C117" s="74">
        <f t="shared" si="57"/>
        <v>16</v>
      </c>
      <c r="D117" s="75">
        <f t="shared" si="35"/>
        <v>10</v>
      </c>
      <c r="E117" s="76">
        <f t="shared" si="36"/>
        <v>13</v>
      </c>
      <c r="F117" s="80"/>
      <c r="G117" s="83"/>
      <c r="H117" s="69" t="str">
        <f t="shared" si="58"/>
        <v>Lacine7_20171116_10_00</v>
      </c>
      <c r="I117" s="70">
        <f t="shared" ref="I117:N132" si="62">I116</f>
        <v>1</v>
      </c>
      <c r="J117" s="77" t="str">
        <f t="shared" si="62"/>
        <v>Lactuca</v>
      </c>
      <c r="K117" s="77" t="str">
        <f t="shared" si="62"/>
        <v>inermis</v>
      </c>
      <c r="L117" s="78">
        <f t="shared" si="62"/>
        <v>7</v>
      </c>
      <c r="M117" s="78">
        <f t="shared" si="62"/>
        <v>3</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2017</v>
      </c>
      <c r="B118" s="73" t="str">
        <f t="shared" si="34"/>
        <v>Nov</v>
      </c>
      <c r="C118" s="74">
        <f t="shared" si="57"/>
        <v>16</v>
      </c>
      <c r="D118" s="75">
        <f t="shared" si="35"/>
        <v>10</v>
      </c>
      <c r="E118" s="76">
        <f t="shared" si="36"/>
        <v>14</v>
      </c>
      <c r="F118" s="80"/>
      <c r="G118" s="83"/>
      <c r="H118" s="69" t="str">
        <f t="shared" si="58"/>
        <v>Lacine7_20171116_10_00</v>
      </c>
      <c r="I118" s="70">
        <f t="shared" si="62"/>
        <v>1</v>
      </c>
      <c r="J118" s="77" t="str">
        <f t="shared" si="62"/>
        <v>Lactuca</v>
      </c>
      <c r="K118" s="77" t="str">
        <f t="shared" si="62"/>
        <v>inermis</v>
      </c>
      <c r="L118" s="78">
        <f t="shared" si="62"/>
        <v>7</v>
      </c>
      <c r="M118" s="78">
        <f t="shared" si="62"/>
        <v>3</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2017</v>
      </c>
      <c r="B119" s="73" t="str">
        <f t="shared" si="34"/>
        <v>Nov</v>
      </c>
      <c r="C119" s="74">
        <f t="shared" si="57"/>
        <v>16</v>
      </c>
      <c r="D119" s="75">
        <f t="shared" si="35"/>
        <v>10</v>
      </c>
      <c r="E119" s="76">
        <f t="shared" si="36"/>
        <v>15</v>
      </c>
      <c r="F119" s="80"/>
      <c r="G119" s="83"/>
      <c r="H119" s="69" t="str">
        <f t="shared" si="58"/>
        <v>Lacine7_20171116_10_00</v>
      </c>
      <c r="I119" s="70">
        <f t="shared" si="62"/>
        <v>1</v>
      </c>
      <c r="J119" s="77" t="str">
        <f t="shared" si="62"/>
        <v>Lactuca</v>
      </c>
      <c r="K119" s="77" t="str">
        <f t="shared" si="62"/>
        <v>inermis</v>
      </c>
      <c r="L119" s="78">
        <f t="shared" si="62"/>
        <v>7</v>
      </c>
      <c r="M119" s="78">
        <f t="shared" si="62"/>
        <v>3</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2017</v>
      </c>
      <c r="B120" s="73" t="str">
        <f t="shared" si="34"/>
        <v>Nov</v>
      </c>
      <c r="C120" s="74">
        <f t="shared" si="57"/>
        <v>16</v>
      </c>
      <c r="D120" s="75">
        <f t="shared" si="35"/>
        <v>10</v>
      </c>
      <c r="E120" s="76">
        <f t="shared" si="36"/>
        <v>16</v>
      </c>
      <c r="F120" s="80"/>
      <c r="G120" s="83"/>
      <c r="H120" s="69" t="str">
        <f t="shared" si="58"/>
        <v>Lacine7_20171116_10_00</v>
      </c>
      <c r="I120" s="70">
        <f t="shared" si="62"/>
        <v>1</v>
      </c>
      <c r="J120" s="77" t="str">
        <f t="shared" si="62"/>
        <v>Lactuca</v>
      </c>
      <c r="K120" s="77" t="str">
        <f t="shared" si="62"/>
        <v>inermis</v>
      </c>
      <c r="L120" s="78">
        <f t="shared" si="62"/>
        <v>7</v>
      </c>
      <c r="M120" s="78">
        <f t="shared" si="62"/>
        <v>3</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2017</v>
      </c>
      <c r="B121" s="73" t="str">
        <f t="shared" si="34"/>
        <v>Nov</v>
      </c>
      <c r="C121" s="74">
        <f t="shared" si="57"/>
        <v>16</v>
      </c>
      <c r="D121" s="75">
        <f t="shared" si="35"/>
        <v>10</v>
      </c>
      <c r="E121" s="76">
        <f t="shared" si="36"/>
        <v>17</v>
      </c>
      <c r="F121" s="80"/>
      <c r="G121" s="83"/>
      <c r="H121" s="69" t="str">
        <f t="shared" si="58"/>
        <v>Lacine7_20171116_10_00</v>
      </c>
      <c r="I121" s="70">
        <f t="shared" si="62"/>
        <v>1</v>
      </c>
      <c r="J121" s="77" t="str">
        <f t="shared" si="62"/>
        <v>Lactuca</v>
      </c>
      <c r="K121" s="77" t="str">
        <f t="shared" si="62"/>
        <v>inermis</v>
      </c>
      <c r="L121" s="78">
        <f t="shared" si="62"/>
        <v>7</v>
      </c>
      <c r="M121" s="78">
        <f t="shared" si="62"/>
        <v>3</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x14ac:dyDescent="0.35">
      <c r="A122" s="73">
        <f t="shared" si="33"/>
        <v>2017</v>
      </c>
      <c r="B122" s="73" t="str">
        <f t="shared" si="34"/>
        <v>Nov</v>
      </c>
      <c r="C122" s="74">
        <f t="shared" si="57"/>
        <v>16</v>
      </c>
      <c r="D122" s="75">
        <f t="shared" si="35"/>
        <v>10</v>
      </c>
      <c r="E122" s="76">
        <f t="shared" si="36"/>
        <v>18</v>
      </c>
      <c r="F122" s="80">
        <v>15</v>
      </c>
      <c r="G122" s="83"/>
      <c r="H122" s="69" t="str">
        <f t="shared" si="58"/>
        <v>Lacine7_20171116_10_00</v>
      </c>
      <c r="I122" s="70">
        <f t="shared" si="62"/>
        <v>1</v>
      </c>
      <c r="J122" s="77" t="str">
        <f t="shared" si="62"/>
        <v>Lactuca</v>
      </c>
      <c r="K122" s="77" t="str">
        <f t="shared" si="62"/>
        <v>inermis</v>
      </c>
      <c r="L122" s="78">
        <f t="shared" si="62"/>
        <v>7</v>
      </c>
      <c r="M122" s="78">
        <f t="shared" si="62"/>
        <v>3</v>
      </c>
      <c r="N122" s="72">
        <f t="shared" si="62"/>
        <v>0</v>
      </c>
      <c r="O122" s="45"/>
      <c r="P122" s="46">
        <f t="shared" si="37"/>
        <v>1</v>
      </c>
      <c r="Q122" s="47" t="str">
        <f t="shared" si="38"/>
        <v>10:18:15</v>
      </c>
      <c r="R122" s="48" t="str">
        <f t="shared" si="39"/>
        <v>18:15</v>
      </c>
      <c r="S122" s="49">
        <f t="shared" si="32"/>
        <v>612</v>
      </c>
      <c r="T122" s="48" t="str">
        <f t="shared" si="40"/>
        <v>10</v>
      </c>
      <c r="U122" s="50">
        <v>28</v>
      </c>
      <c r="V122" s="51">
        <v>27</v>
      </c>
      <c r="W122" s="52" t="str">
        <f t="shared" si="41"/>
        <v>28:27</v>
      </c>
      <c r="X122" s="53" t="s">
        <v>61</v>
      </c>
      <c r="Y122" s="126" t="s">
        <v>68</v>
      </c>
      <c r="Z122" s="126"/>
      <c r="AA122" s="48" t="s">
        <v>63</v>
      </c>
      <c r="AB122" s="48" t="str">
        <f t="shared" si="42"/>
        <v>NA</v>
      </c>
      <c r="AC122" s="54">
        <f t="shared" si="43"/>
        <v>0</v>
      </c>
      <c r="AD122" s="55">
        <f t="shared" si="44"/>
        <v>1</v>
      </c>
      <c r="AE122" s="55"/>
      <c r="AF122" s="55"/>
      <c r="AG122" s="56">
        <v>1</v>
      </c>
      <c r="AH122" s="57">
        <f t="shared" si="46"/>
        <v>612</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v>1</v>
      </c>
      <c r="AZ122" s="62">
        <f t="shared" si="54"/>
        <v>1</v>
      </c>
      <c r="BA122" s="61">
        <f t="shared" si="55"/>
        <v>0</v>
      </c>
      <c r="BB122" s="62" t="str">
        <f t="shared" si="56"/>
        <v/>
      </c>
    </row>
    <row r="123" spans="1:54" s="3" customFormat="1" hidden="1" x14ac:dyDescent="0.35">
      <c r="A123" s="73">
        <f t="shared" si="33"/>
        <v>2017</v>
      </c>
      <c r="B123" s="73" t="str">
        <f t="shared" si="34"/>
        <v>Nov</v>
      </c>
      <c r="C123" s="74">
        <f t="shared" si="57"/>
        <v>16</v>
      </c>
      <c r="D123" s="75">
        <f t="shared" si="35"/>
        <v>10</v>
      </c>
      <c r="E123" s="76">
        <f t="shared" si="36"/>
        <v>19</v>
      </c>
      <c r="F123" s="80"/>
      <c r="G123" s="83"/>
      <c r="H123" s="69" t="str">
        <f t="shared" si="58"/>
        <v>Lacine7_20171116_10_00</v>
      </c>
      <c r="I123" s="70">
        <f t="shared" si="62"/>
        <v>1</v>
      </c>
      <c r="J123" s="77" t="str">
        <f t="shared" si="62"/>
        <v>Lactuca</v>
      </c>
      <c r="K123" s="77" t="str">
        <f t="shared" si="62"/>
        <v>inermis</v>
      </c>
      <c r="L123" s="78">
        <f t="shared" si="62"/>
        <v>7</v>
      </c>
      <c r="M123" s="78">
        <f t="shared" si="62"/>
        <v>3</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2017</v>
      </c>
      <c r="B124" s="73" t="str">
        <f t="shared" si="34"/>
        <v>Nov</v>
      </c>
      <c r="C124" s="74">
        <f t="shared" si="57"/>
        <v>16</v>
      </c>
      <c r="D124" s="75">
        <f t="shared" si="35"/>
        <v>10</v>
      </c>
      <c r="E124" s="76">
        <f t="shared" si="36"/>
        <v>20</v>
      </c>
      <c r="F124" s="80"/>
      <c r="G124" s="83"/>
      <c r="H124" s="69" t="str">
        <f t="shared" si="58"/>
        <v>Lacine7_20171116_10_00</v>
      </c>
      <c r="I124" s="70">
        <f t="shared" si="62"/>
        <v>1</v>
      </c>
      <c r="J124" s="77" t="str">
        <f t="shared" si="62"/>
        <v>Lactuca</v>
      </c>
      <c r="K124" s="77" t="str">
        <f t="shared" si="62"/>
        <v>inermis</v>
      </c>
      <c r="L124" s="78">
        <f t="shared" si="62"/>
        <v>7</v>
      </c>
      <c r="M124" s="78">
        <f t="shared" si="62"/>
        <v>3</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2017</v>
      </c>
      <c r="B125" s="73" t="str">
        <f t="shared" si="34"/>
        <v>Nov</v>
      </c>
      <c r="C125" s="74">
        <f t="shared" si="57"/>
        <v>16</v>
      </c>
      <c r="D125" s="75">
        <f t="shared" si="35"/>
        <v>10</v>
      </c>
      <c r="E125" s="76">
        <f t="shared" si="36"/>
        <v>21</v>
      </c>
      <c r="F125" s="80"/>
      <c r="G125" s="83"/>
      <c r="H125" s="69" t="str">
        <f t="shared" si="58"/>
        <v>Lacine7_20171116_10_00</v>
      </c>
      <c r="I125" s="70">
        <f t="shared" si="62"/>
        <v>1</v>
      </c>
      <c r="J125" s="77" t="str">
        <f t="shared" si="62"/>
        <v>Lactuca</v>
      </c>
      <c r="K125" s="77" t="str">
        <f t="shared" si="62"/>
        <v>inermis</v>
      </c>
      <c r="L125" s="78">
        <f t="shared" si="62"/>
        <v>7</v>
      </c>
      <c r="M125" s="78">
        <f t="shared" si="62"/>
        <v>3</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2017</v>
      </c>
      <c r="B126" s="73" t="str">
        <f t="shared" si="34"/>
        <v>Nov</v>
      </c>
      <c r="C126" s="74">
        <f t="shared" si="57"/>
        <v>16</v>
      </c>
      <c r="D126" s="75">
        <f t="shared" si="35"/>
        <v>10</v>
      </c>
      <c r="E126" s="76">
        <f t="shared" si="36"/>
        <v>22</v>
      </c>
      <c r="F126" s="80"/>
      <c r="G126" s="83"/>
      <c r="H126" s="69" t="str">
        <f t="shared" si="58"/>
        <v>Lacine7_20171116_10_00</v>
      </c>
      <c r="I126" s="70">
        <f t="shared" si="62"/>
        <v>1</v>
      </c>
      <c r="J126" s="77" t="str">
        <f t="shared" si="62"/>
        <v>Lactuca</v>
      </c>
      <c r="K126" s="77" t="str">
        <f t="shared" si="62"/>
        <v>inermis</v>
      </c>
      <c r="L126" s="78">
        <f t="shared" si="62"/>
        <v>7</v>
      </c>
      <c r="M126" s="78">
        <f t="shared" si="62"/>
        <v>3</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2017</v>
      </c>
      <c r="B127" s="73" t="str">
        <f t="shared" si="34"/>
        <v>Nov</v>
      </c>
      <c r="C127" s="74">
        <f t="shared" si="57"/>
        <v>16</v>
      </c>
      <c r="D127" s="75">
        <f t="shared" si="35"/>
        <v>10</v>
      </c>
      <c r="E127" s="76">
        <f t="shared" si="36"/>
        <v>23</v>
      </c>
      <c r="F127" s="80"/>
      <c r="G127" s="83"/>
      <c r="H127" s="69" t="str">
        <f t="shared" si="58"/>
        <v>Lacine7_20171116_10_00</v>
      </c>
      <c r="I127" s="70">
        <f t="shared" si="62"/>
        <v>1</v>
      </c>
      <c r="J127" s="77" t="str">
        <f t="shared" si="62"/>
        <v>Lactuca</v>
      </c>
      <c r="K127" s="77" t="str">
        <f t="shared" si="62"/>
        <v>inermis</v>
      </c>
      <c r="L127" s="78">
        <f t="shared" si="62"/>
        <v>7</v>
      </c>
      <c r="M127" s="78">
        <f t="shared" si="62"/>
        <v>3</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2017</v>
      </c>
      <c r="B128" s="73" t="str">
        <f t="shared" si="34"/>
        <v>Nov</v>
      </c>
      <c r="C128" s="74">
        <f t="shared" si="57"/>
        <v>16</v>
      </c>
      <c r="D128" s="75">
        <f t="shared" si="35"/>
        <v>10</v>
      </c>
      <c r="E128" s="76">
        <f t="shared" si="36"/>
        <v>24</v>
      </c>
      <c r="F128" s="80"/>
      <c r="G128" s="83"/>
      <c r="H128" s="69" t="str">
        <f t="shared" si="58"/>
        <v>Lacine7_20171116_10_00</v>
      </c>
      <c r="I128" s="70">
        <f t="shared" si="62"/>
        <v>1</v>
      </c>
      <c r="J128" s="77" t="str">
        <f t="shared" si="62"/>
        <v>Lactuca</v>
      </c>
      <c r="K128" s="77" t="str">
        <f t="shared" si="62"/>
        <v>inermis</v>
      </c>
      <c r="L128" s="78">
        <f t="shared" si="62"/>
        <v>7</v>
      </c>
      <c r="M128" s="78">
        <f t="shared" si="62"/>
        <v>3</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2017</v>
      </c>
      <c r="B129" s="73" t="str">
        <f t="shared" si="34"/>
        <v>Nov</v>
      </c>
      <c r="C129" s="74">
        <f t="shared" si="57"/>
        <v>16</v>
      </c>
      <c r="D129" s="75">
        <f t="shared" si="35"/>
        <v>10</v>
      </c>
      <c r="E129" s="76">
        <f t="shared" si="36"/>
        <v>25</v>
      </c>
      <c r="F129" s="80"/>
      <c r="G129" s="83"/>
      <c r="H129" s="69" t="str">
        <f t="shared" si="58"/>
        <v>Lacine7_20171116_10_00</v>
      </c>
      <c r="I129" s="70">
        <f t="shared" si="62"/>
        <v>1</v>
      </c>
      <c r="J129" s="77" t="str">
        <f t="shared" si="62"/>
        <v>Lactuca</v>
      </c>
      <c r="K129" s="77" t="str">
        <f t="shared" si="62"/>
        <v>inermis</v>
      </c>
      <c r="L129" s="78">
        <f t="shared" si="62"/>
        <v>7</v>
      </c>
      <c r="M129" s="78">
        <f t="shared" si="62"/>
        <v>3</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2017</v>
      </c>
      <c r="B130" s="73" t="str">
        <f t="shared" si="34"/>
        <v>Nov</v>
      </c>
      <c r="C130" s="74">
        <f t="shared" si="57"/>
        <v>16</v>
      </c>
      <c r="D130" s="75">
        <f t="shared" si="35"/>
        <v>10</v>
      </c>
      <c r="E130" s="76">
        <f t="shared" si="36"/>
        <v>26</v>
      </c>
      <c r="F130" s="80"/>
      <c r="G130" s="83"/>
      <c r="H130" s="69" t="str">
        <f t="shared" si="58"/>
        <v>Lacine7_20171116_10_00</v>
      </c>
      <c r="I130" s="70">
        <f t="shared" si="62"/>
        <v>1</v>
      </c>
      <c r="J130" s="77" t="str">
        <f t="shared" si="62"/>
        <v>Lactuca</v>
      </c>
      <c r="K130" s="77" t="str">
        <f t="shared" si="62"/>
        <v>inermis</v>
      </c>
      <c r="L130" s="78">
        <f t="shared" si="62"/>
        <v>7</v>
      </c>
      <c r="M130" s="78">
        <f t="shared" si="62"/>
        <v>3</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2017</v>
      </c>
      <c r="B131" s="73" t="str">
        <f t="shared" si="34"/>
        <v>Nov</v>
      </c>
      <c r="C131" s="74">
        <f t="shared" si="57"/>
        <v>16</v>
      </c>
      <c r="D131" s="75">
        <f t="shared" si="35"/>
        <v>10</v>
      </c>
      <c r="E131" s="76">
        <f t="shared" si="36"/>
        <v>27</v>
      </c>
      <c r="F131" s="80"/>
      <c r="G131" s="83"/>
      <c r="H131" s="69" t="str">
        <f t="shared" si="58"/>
        <v>Lacine7_20171116_10_00</v>
      </c>
      <c r="I131" s="70">
        <f t="shared" si="62"/>
        <v>1</v>
      </c>
      <c r="J131" s="77" t="str">
        <f t="shared" si="62"/>
        <v>Lactuca</v>
      </c>
      <c r="K131" s="77" t="str">
        <f t="shared" si="62"/>
        <v>inermis</v>
      </c>
      <c r="L131" s="78">
        <f t="shared" si="62"/>
        <v>7</v>
      </c>
      <c r="M131" s="78">
        <f t="shared" si="62"/>
        <v>3</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x14ac:dyDescent="0.35">
      <c r="A132" s="73">
        <f t="shared" ref="A132:A195" si="64">A131</f>
        <v>2017</v>
      </c>
      <c r="B132" s="73" t="str">
        <f t="shared" ref="B132:B195" si="65">IF(C131-C132&gt;0, TEXT(DATE(2016,(MONTH(DATEVALUE(B131&amp;"1"))+1),1),"mmm"), B131)</f>
        <v>Nov</v>
      </c>
      <c r="C132" s="74">
        <f t="shared" si="57"/>
        <v>16</v>
      </c>
      <c r="D132" s="75">
        <f t="shared" ref="D132:D195" si="66">IF(IF(E131=59,D131+1,D131)=24,0,IF(E131=59,D131+1,D131))</f>
        <v>10</v>
      </c>
      <c r="E132" s="76">
        <f t="shared" ref="E132:E195" si="67">IF(E131&lt;59,E131+1,0)</f>
        <v>28</v>
      </c>
      <c r="F132" s="80">
        <v>49</v>
      </c>
      <c r="G132" s="83"/>
      <c r="H132" s="69" t="str">
        <f t="shared" si="58"/>
        <v>Lacine7_20171116_10_00</v>
      </c>
      <c r="I132" s="70">
        <f t="shared" si="62"/>
        <v>1</v>
      </c>
      <c r="J132" s="77" t="str">
        <f t="shared" si="62"/>
        <v>Lactuca</v>
      </c>
      <c r="K132" s="77" t="str">
        <f t="shared" si="62"/>
        <v>inermis</v>
      </c>
      <c r="L132" s="78">
        <f t="shared" si="62"/>
        <v>7</v>
      </c>
      <c r="M132" s="78">
        <f t="shared" si="62"/>
        <v>3</v>
      </c>
      <c r="N132" s="72">
        <f t="shared" si="62"/>
        <v>0</v>
      </c>
      <c r="O132" s="45"/>
      <c r="P132" s="46">
        <f t="shared" ref="P132:P195" si="68">IF(F132="","",1)</f>
        <v>1</v>
      </c>
      <c r="Q132" s="47" t="str">
        <f t="shared" ref="Q132:Q195" si="69">TEXT(IF(P132=1,CONCATENATE($D132,":",$E132,":",(LEFT($F132,2))),""),"hh:mm:ss")</f>
        <v>10:28:49</v>
      </c>
      <c r="R132" s="48" t="str">
        <f t="shared" ref="R132:R195" si="70">TEXT(Q132-TIME(0,RIGHT($H132,2),$G$9)+(Q132&gt;TIME(0,RIGHT($H132,2),$G$9)),"mm:ss")</f>
        <v>28:49</v>
      </c>
      <c r="S132" s="49">
        <f t="shared" si="63"/>
        <v>165</v>
      </c>
      <c r="T132" s="48" t="str">
        <f t="shared" ref="T132:T195" si="71">TEXT(IF(P132=1,D132,""),"00")</f>
        <v>10</v>
      </c>
      <c r="U132" s="50">
        <v>31</v>
      </c>
      <c r="V132" s="51">
        <v>34</v>
      </c>
      <c r="W132" s="52" t="str">
        <f t="shared" ref="W132:W195" si="72">IF(O132=0,TEXT(TIME(T132,U132,V132)-TIME(D132,E132,RIGHT(F132,2))+TIME(0,LEFT(R132,2),RIGHT(R132,2)),"mm:ss"),TEXT(TIME(T132,U132,V132)-TIME(D132,E132,RIGHT(F132,2))+TIME(0,LEFT(R132,2),RIGHT(R132,2))-TIME(0,($G$10*O132),0),"mm:ss"))</f>
        <v>31:34</v>
      </c>
      <c r="X132" s="53" t="s">
        <v>59</v>
      </c>
      <c r="Y132" s="126" t="s">
        <v>67</v>
      </c>
      <c r="Z132" s="126"/>
      <c r="AA132" s="48" t="s">
        <v>60</v>
      </c>
      <c r="AB132" s="48" t="str">
        <f t="shared" ref="AB132:AB195" si="73">IF(AA132&lt;&gt;0,"NA","")</f>
        <v>NA</v>
      </c>
      <c r="AC132" s="54">
        <f t="shared" ref="AC132:AC195" si="74">IF(SUM(AH132,AJ132,AL132,AN132,AP132,AR132,AT132)=S132,,"")</f>
        <v>0</v>
      </c>
      <c r="AD132" s="55">
        <v>2</v>
      </c>
      <c r="AE132" s="55"/>
      <c r="AF132" s="55"/>
      <c r="AG132" s="56">
        <v>1</v>
      </c>
      <c r="AH132" s="57">
        <v>100</v>
      </c>
      <c r="AI132" s="56">
        <v>1</v>
      </c>
      <c r="AJ132" s="57">
        <v>2</v>
      </c>
      <c r="AK132" s="56"/>
      <c r="AL132" s="57" t="str">
        <f t="shared" ref="AL132:AL195" si="75">IF(AK132=1,$S132,"")</f>
        <v/>
      </c>
      <c r="AM132" s="56">
        <v>1</v>
      </c>
      <c r="AN132" s="57">
        <v>63</v>
      </c>
      <c r="AO132" s="56"/>
      <c r="AP132" s="57" t="str">
        <f t="shared" ref="AP132:AP195" si="76">IF(AO132=1,$S132,"")</f>
        <v/>
      </c>
      <c r="AQ132" s="56"/>
      <c r="AR132" s="57" t="str">
        <f t="shared" ref="AR132:AR195" si="77">IF(AQ132=1,$S132,"")</f>
        <v/>
      </c>
      <c r="AS132" s="56"/>
      <c r="AT132" s="57" t="str">
        <f t="shared" ref="AT132:AT195" si="78">IF(AS132=1,$S132,"")</f>
        <v/>
      </c>
      <c r="AU132" s="58"/>
      <c r="AV132" s="59"/>
      <c r="AW132" s="59"/>
      <c r="AX132" s="60"/>
      <c r="AY132" s="61">
        <v>1</v>
      </c>
      <c r="AZ132" s="62">
        <f t="shared" ref="AZ132:AZ195" si="79">IF(AY132=1,AD132,"")</f>
        <v>2</v>
      </c>
      <c r="BA132" s="61">
        <v>1</v>
      </c>
      <c r="BB132" s="62">
        <f t="shared" ref="BB132:BB195" si="80">IF(BA132=1,AD132,"")</f>
        <v>2</v>
      </c>
    </row>
    <row r="133" spans="1:54" s="3" customFormat="1" hidden="1" x14ac:dyDescent="0.35">
      <c r="A133" s="73">
        <f t="shared" si="64"/>
        <v>2017</v>
      </c>
      <c r="B133" s="73" t="str">
        <f t="shared" si="65"/>
        <v>Nov</v>
      </c>
      <c r="C133" s="74">
        <f t="shared" ref="C133:C196" si="81">IF(AND(D133=0, E133=0), IF(TEXT(C132,"dd")=TEXT(EOMONTH(DATE(A132,MONTH(DATEVALUE(B132&amp;"1")),C132),0), "dd"), 1, C132+1), C132)</f>
        <v>16</v>
      </c>
      <c r="D133" s="75">
        <f t="shared" si="66"/>
        <v>10</v>
      </c>
      <c r="E133" s="76">
        <f t="shared" si="67"/>
        <v>29</v>
      </c>
      <c r="F133" s="80"/>
      <c r="G133" s="83"/>
      <c r="H133" s="69" t="str">
        <f t="shared" ref="H133:H196" si="82">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Lacine7_20171116_10_00</v>
      </c>
      <c r="I133" s="70">
        <f t="shared" ref="I133:N148" si="83">I132</f>
        <v>1</v>
      </c>
      <c r="J133" s="77" t="str">
        <f t="shared" si="83"/>
        <v>Lactuca</v>
      </c>
      <c r="K133" s="77" t="str">
        <f t="shared" si="83"/>
        <v>inermis</v>
      </c>
      <c r="L133" s="78">
        <f t="shared" si="83"/>
        <v>7</v>
      </c>
      <c r="M133" s="78">
        <f t="shared" si="83"/>
        <v>3</v>
      </c>
      <c r="N133" s="72">
        <f t="shared" si="83"/>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ref="AD133:AD194" si="84">IF(P133=1,1,"")</f>
        <v/>
      </c>
      <c r="AE133" s="55"/>
      <c r="AF133" s="55"/>
      <c r="AG133" s="56" t="str">
        <f t="shared" ref="AG133:AG194" si="85">IF(OR(X133="Something small"),1,"")</f>
        <v/>
      </c>
      <c r="AH133" s="57" t="str">
        <f t="shared" ref="AH133:AH194" si="86">IF(AG133=1,$S133,"")</f>
        <v/>
      </c>
      <c r="AI133" s="56"/>
      <c r="AJ133" s="57" t="str">
        <f t="shared" ref="AJ133:AJ195" si="87">IF(AI133=1,$S133,"")</f>
        <v/>
      </c>
      <c r="AK133" s="56"/>
      <c r="AL133" s="57" t="str">
        <f t="shared" si="75"/>
        <v/>
      </c>
      <c r="AM133" s="56"/>
      <c r="AN133" s="57" t="str">
        <f t="shared" ref="AN133:AN194" si="88">IF(AM133=1,$S133,"")</f>
        <v/>
      </c>
      <c r="AO133" s="56"/>
      <c r="AP133" s="57" t="str">
        <f t="shared" si="76"/>
        <v/>
      </c>
      <c r="AQ133" s="56"/>
      <c r="AR133" s="57" t="str">
        <f t="shared" si="77"/>
        <v/>
      </c>
      <c r="AS133" s="56"/>
      <c r="AT133" s="57" t="str">
        <f t="shared" si="78"/>
        <v/>
      </c>
      <c r="AU133" s="58"/>
      <c r="AV133" s="59"/>
      <c r="AW133" s="59"/>
      <c r="AX133" s="60"/>
      <c r="AY133" s="61" t="str">
        <f t="shared" ref="AY133:AY194" si="89">IF(P133=1,0,"")</f>
        <v/>
      </c>
      <c r="AZ133" s="62" t="str">
        <f t="shared" si="79"/>
        <v/>
      </c>
      <c r="BA133" s="61" t="str">
        <f t="shared" ref="BA133:BA194" si="90">IF(P133=1,0,"")</f>
        <v/>
      </c>
      <c r="BB133" s="62" t="str">
        <f t="shared" si="80"/>
        <v/>
      </c>
    </row>
    <row r="134" spans="1:54" s="3" customFormat="1" hidden="1" x14ac:dyDescent="0.35">
      <c r="A134" s="73">
        <f t="shared" si="64"/>
        <v>2017</v>
      </c>
      <c r="B134" s="73" t="str">
        <f t="shared" si="65"/>
        <v>Nov</v>
      </c>
      <c r="C134" s="74">
        <f t="shared" si="81"/>
        <v>16</v>
      </c>
      <c r="D134" s="75">
        <f t="shared" si="66"/>
        <v>10</v>
      </c>
      <c r="E134" s="76">
        <f t="shared" si="67"/>
        <v>30</v>
      </c>
      <c r="F134" s="80"/>
      <c r="G134" s="83"/>
      <c r="H134" s="69" t="str">
        <f t="shared" si="82"/>
        <v>Lacine7_20171116_10_00</v>
      </c>
      <c r="I134" s="70">
        <f t="shared" si="83"/>
        <v>1</v>
      </c>
      <c r="J134" s="77" t="str">
        <f t="shared" si="83"/>
        <v>Lactuca</v>
      </c>
      <c r="K134" s="77" t="str">
        <f t="shared" si="83"/>
        <v>inermis</v>
      </c>
      <c r="L134" s="78">
        <f t="shared" si="83"/>
        <v>7</v>
      </c>
      <c r="M134" s="78">
        <f t="shared" si="83"/>
        <v>3</v>
      </c>
      <c r="N134" s="72">
        <f t="shared" si="83"/>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84"/>
        <v/>
      </c>
      <c r="AE134" s="55"/>
      <c r="AF134" s="55"/>
      <c r="AG134" s="56" t="str">
        <f t="shared" si="85"/>
        <v/>
      </c>
      <c r="AH134" s="57" t="str">
        <f t="shared" si="86"/>
        <v/>
      </c>
      <c r="AI134" s="56"/>
      <c r="AJ134" s="57" t="str">
        <f t="shared" si="87"/>
        <v/>
      </c>
      <c r="AK134" s="56"/>
      <c r="AL134" s="57" t="str">
        <f t="shared" si="75"/>
        <v/>
      </c>
      <c r="AM134" s="56"/>
      <c r="AN134" s="57" t="str">
        <f t="shared" si="88"/>
        <v/>
      </c>
      <c r="AO134" s="56"/>
      <c r="AP134" s="57" t="str">
        <f t="shared" si="76"/>
        <v/>
      </c>
      <c r="AQ134" s="56"/>
      <c r="AR134" s="57" t="str">
        <f t="shared" si="77"/>
        <v/>
      </c>
      <c r="AS134" s="56"/>
      <c r="AT134" s="57" t="str">
        <f t="shared" si="78"/>
        <v/>
      </c>
      <c r="AU134" s="58"/>
      <c r="AV134" s="59"/>
      <c r="AW134" s="59"/>
      <c r="AX134" s="60"/>
      <c r="AY134" s="61" t="str">
        <f t="shared" si="89"/>
        <v/>
      </c>
      <c r="AZ134" s="62" t="str">
        <f t="shared" si="79"/>
        <v/>
      </c>
      <c r="BA134" s="61" t="str">
        <f t="shared" si="90"/>
        <v/>
      </c>
      <c r="BB134" s="62" t="str">
        <f t="shared" si="80"/>
        <v/>
      </c>
    </row>
    <row r="135" spans="1:54" s="3" customFormat="1" hidden="1" x14ac:dyDescent="0.35">
      <c r="A135" s="73">
        <f t="shared" si="64"/>
        <v>2017</v>
      </c>
      <c r="B135" s="73" t="str">
        <f t="shared" si="65"/>
        <v>Nov</v>
      </c>
      <c r="C135" s="74">
        <f t="shared" si="81"/>
        <v>16</v>
      </c>
      <c r="D135" s="75">
        <f t="shared" si="66"/>
        <v>10</v>
      </c>
      <c r="E135" s="76">
        <f t="shared" si="67"/>
        <v>31</v>
      </c>
      <c r="F135" s="80"/>
      <c r="G135" s="83"/>
      <c r="H135" s="69" t="str">
        <f t="shared" si="82"/>
        <v>Lacine7_20171116_10_00</v>
      </c>
      <c r="I135" s="70">
        <f t="shared" si="83"/>
        <v>1</v>
      </c>
      <c r="J135" s="77" t="str">
        <f t="shared" si="83"/>
        <v>Lactuca</v>
      </c>
      <c r="K135" s="77" t="str">
        <f t="shared" si="83"/>
        <v>inermis</v>
      </c>
      <c r="L135" s="78">
        <f t="shared" si="83"/>
        <v>7</v>
      </c>
      <c r="M135" s="78">
        <f t="shared" si="83"/>
        <v>3</v>
      </c>
      <c r="N135" s="72">
        <f t="shared" si="83"/>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84"/>
        <v/>
      </c>
      <c r="AE135" s="55"/>
      <c r="AF135" s="55"/>
      <c r="AG135" s="56" t="str">
        <f t="shared" si="85"/>
        <v/>
      </c>
      <c r="AH135" s="57" t="str">
        <f t="shared" si="86"/>
        <v/>
      </c>
      <c r="AI135" s="56"/>
      <c r="AJ135" s="57" t="str">
        <f t="shared" si="87"/>
        <v/>
      </c>
      <c r="AK135" s="56"/>
      <c r="AL135" s="57" t="str">
        <f t="shared" si="75"/>
        <v/>
      </c>
      <c r="AM135" s="56"/>
      <c r="AN135" s="57" t="str">
        <f t="shared" si="88"/>
        <v/>
      </c>
      <c r="AO135" s="56"/>
      <c r="AP135" s="57" t="str">
        <f t="shared" si="76"/>
        <v/>
      </c>
      <c r="AQ135" s="56"/>
      <c r="AR135" s="57" t="str">
        <f t="shared" si="77"/>
        <v/>
      </c>
      <c r="AS135" s="56"/>
      <c r="AT135" s="57" t="str">
        <f t="shared" si="78"/>
        <v/>
      </c>
      <c r="AU135" s="58"/>
      <c r="AV135" s="59"/>
      <c r="AW135" s="59"/>
      <c r="AX135" s="60"/>
      <c r="AY135" s="61" t="str">
        <f t="shared" si="89"/>
        <v/>
      </c>
      <c r="AZ135" s="62" t="str">
        <f t="shared" si="79"/>
        <v/>
      </c>
      <c r="BA135" s="61" t="str">
        <f t="shared" si="90"/>
        <v/>
      </c>
      <c r="BB135" s="62" t="str">
        <f t="shared" si="80"/>
        <v/>
      </c>
    </row>
    <row r="136" spans="1:54" s="3" customFormat="1" x14ac:dyDescent="0.35">
      <c r="A136" s="73">
        <f t="shared" si="64"/>
        <v>2017</v>
      </c>
      <c r="B136" s="73" t="str">
        <f t="shared" si="65"/>
        <v>Nov</v>
      </c>
      <c r="C136" s="74">
        <f t="shared" si="81"/>
        <v>16</v>
      </c>
      <c r="D136" s="75">
        <f t="shared" si="66"/>
        <v>10</v>
      </c>
      <c r="E136" s="76">
        <f t="shared" si="67"/>
        <v>32</v>
      </c>
      <c r="F136" s="80">
        <v>8</v>
      </c>
      <c r="G136" s="83"/>
      <c r="H136" s="69" t="str">
        <f t="shared" si="82"/>
        <v>Lacine7_20171116_10_00</v>
      </c>
      <c r="I136" s="70">
        <f t="shared" si="83"/>
        <v>1</v>
      </c>
      <c r="J136" s="77" t="str">
        <f t="shared" si="83"/>
        <v>Lactuca</v>
      </c>
      <c r="K136" s="77" t="str">
        <f t="shared" si="83"/>
        <v>inermis</v>
      </c>
      <c r="L136" s="78">
        <f t="shared" si="83"/>
        <v>7</v>
      </c>
      <c r="M136" s="78">
        <f t="shared" si="83"/>
        <v>3</v>
      </c>
      <c r="N136" s="72">
        <f t="shared" si="83"/>
        <v>0</v>
      </c>
      <c r="O136" s="45"/>
      <c r="P136" s="46">
        <f t="shared" si="68"/>
        <v>1</v>
      </c>
      <c r="Q136" s="47" t="str">
        <f t="shared" si="69"/>
        <v>10:32:08</v>
      </c>
      <c r="R136" s="48" t="str">
        <f t="shared" si="70"/>
        <v>32:08</v>
      </c>
      <c r="S136" s="49">
        <f t="shared" si="63"/>
        <v>330</v>
      </c>
      <c r="T136" s="48" t="str">
        <f t="shared" si="71"/>
        <v>10</v>
      </c>
      <c r="U136" s="50">
        <v>37</v>
      </c>
      <c r="V136" s="51">
        <v>38</v>
      </c>
      <c r="W136" s="52" t="str">
        <f t="shared" si="72"/>
        <v>37:38</v>
      </c>
      <c r="X136" s="53" t="s">
        <v>59</v>
      </c>
      <c r="Y136" s="126" t="s">
        <v>67</v>
      </c>
      <c r="Z136" s="126"/>
      <c r="AA136" s="48" t="s">
        <v>60</v>
      </c>
      <c r="AB136" s="48" t="str">
        <f t="shared" si="73"/>
        <v>NA</v>
      </c>
      <c r="AC136" s="54">
        <f t="shared" si="74"/>
        <v>0</v>
      </c>
      <c r="AD136" s="55">
        <v>3</v>
      </c>
      <c r="AE136" s="55"/>
      <c r="AF136" s="55"/>
      <c r="AG136" s="56">
        <v>1</v>
      </c>
      <c r="AH136" s="57">
        <v>200</v>
      </c>
      <c r="AI136" s="56">
        <v>1</v>
      </c>
      <c r="AJ136" s="57">
        <v>3</v>
      </c>
      <c r="AK136" s="56"/>
      <c r="AL136" s="57" t="str">
        <f t="shared" si="75"/>
        <v/>
      </c>
      <c r="AM136" s="56">
        <v>1</v>
      </c>
      <c r="AN136" s="57">
        <v>127</v>
      </c>
      <c r="AO136" s="56"/>
      <c r="AP136" s="57" t="str">
        <f t="shared" si="76"/>
        <v/>
      </c>
      <c r="AQ136" s="56"/>
      <c r="AR136" s="57" t="str">
        <f t="shared" si="77"/>
        <v/>
      </c>
      <c r="AS136" s="56"/>
      <c r="AT136" s="57" t="str">
        <f t="shared" si="78"/>
        <v/>
      </c>
      <c r="AU136" s="58"/>
      <c r="AV136" s="59"/>
      <c r="AW136" s="59"/>
      <c r="AX136" s="60"/>
      <c r="AY136" s="61">
        <v>1</v>
      </c>
      <c r="AZ136" s="62">
        <f t="shared" si="79"/>
        <v>3</v>
      </c>
      <c r="BA136" s="61">
        <v>1</v>
      </c>
      <c r="BB136" s="62">
        <f t="shared" si="80"/>
        <v>3</v>
      </c>
    </row>
    <row r="137" spans="1:54" s="3" customFormat="1" hidden="1" x14ac:dyDescent="0.35">
      <c r="A137" s="73">
        <f t="shared" si="64"/>
        <v>2017</v>
      </c>
      <c r="B137" s="73" t="str">
        <f t="shared" si="65"/>
        <v>Nov</v>
      </c>
      <c r="C137" s="74">
        <f t="shared" si="81"/>
        <v>16</v>
      </c>
      <c r="D137" s="75">
        <f t="shared" si="66"/>
        <v>10</v>
      </c>
      <c r="E137" s="76">
        <f t="shared" si="67"/>
        <v>33</v>
      </c>
      <c r="F137" s="80"/>
      <c r="G137" s="83"/>
      <c r="H137" s="69" t="str">
        <f t="shared" si="82"/>
        <v>Lacine7_20171116_10_00</v>
      </c>
      <c r="I137" s="70">
        <f t="shared" si="83"/>
        <v>1</v>
      </c>
      <c r="J137" s="77" t="str">
        <f t="shared" si="83"/>
        <v>Lactuca</v>
      </c>
      <c r="K137" s="77" t="str">
        <f t="shared" si="83"/>
        <v>inermis</v>
      </c>
      <c r="L137" s="78">
        <f t="shared" si="83"/>
        <v>7</v>
      </c>
      <c r="M137" s="78">
        <f t="shared" si="83"/>
        <v>3</v>
      </c>
      <c r="N137" s="72">
        <f t="shared" si="83"/>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84"/>
        <v/>
      </c>
      <c r="AE137" s="55"/>
      <c r="AF137" s="55"/>
      <c r="AG137" s="56" t="str">
        <f t="shared" si="85"/>
        <v/>
      </c>
      <c r="AH137" s="57" t="str">
        <f t="shared" si="86"/>
        <v/>
      </c>
      <c r="AI137" s="56"/>
      <c r="AJ137" s="57" t="str">
        <f t="shared" si="87"/>
        <v/>
      </c>
      <c r="AK137" s="56"/>
      <c r="AL137" s="57" t="str">
        <f t="shared" si="75"/>
        <v/>
      </c>
      <c r="AM137" s="56"/>
      <c r="AN137" s="57" t="str">
        <f t="shared" si="88"/>
        <v/>
      </c>
      <c r="AO137" s="56"/>
      <c r="AP137" s="57" t="str">
        <f t="shared" si="76"/>
        <v/>
      </c>
      <c r="AQ137" s="56"/>
      <c r="AR137" s="57" t="str">
        <f t="shared" si="77"/>
        <v/>
      </c>
      <c r="AS137" s="56"/>
      <c r="AT137" s="57" t="str">
        <f t="shared" si="78"/>
        <v/>
      </c>
      <c r="AU137" s="58"/>
      <c r="AV137" s="59"/>
      <c r="AW137" s="59"/>
      <c r="AX137" s="60"/>
      <c r="AY137" s="61" t="str">
        <f t="shared" si="89"/>
        <v/>
      </c>
      <c r="AZ137" s="62" t="str">
        <f t="shared" si="79"/>
        <v/>
      </c>
      <c r="BA137" s="61" t="str">
        <f t="shared" si="90"/>
        <v/>
      </c>
      <c r="BB137" s="62" t="str">
        <f t="shared" si="80"/>
        <v/>
      </c>
    </row>
    <row r="138" spans="1:54" s="3" customFormat="1" x14ac:dyDescent="0.35">
      <c r="A138" s="73">
        <f t="shared" si="64"/>
        <v>2017</v>
      </c>
      <c r="B138" s="73" t="str">
        <f t="shared" si="65"/>
        <v>Nov</v>
      </c>
      <c r="C138" s="74">
        <f t="shared" si="81"/>
        <v>16</v>
      </c>
      <c r="D138" s="75">
        <f t="shared" si="66"/>
        <v>10</v>
      </c>
      <c r="E138" s="76">
        <f t="shared" si="67"/>
        <v>34</v>
      </c>
      <c r="F138" s="80">
        <v>5</v>
      </c>
      <c r="G138" s="83"/>
      <c r="H138" s="69" t="str">
        <f t="shared" si="82"/>
        <v>Lacine7_20171116_10_00</v>
      </c>
      <c r="I138" s="70">
        <f t="shared" si="83"/>
        <v>1</v>
      </c>
      <c r="J138" s="77" t="str">
        <f t="shared" si="83"/>
        <v>Lactuca</v>
      </c>
      <c r="K138" s="77" t="str">
        <f t="shared" si="83"/>
        <v>inermis</v>
      </c>
      <c r="L138" s="78">
        <f t="shared" si="83"/>
        <v>7</v>
      </c>
      <c r="M138" s="78">
        <f t="shared" si="83"/>
        <v>3</v>
      </c>
      <c r="N138" s="72">
        <f t="shared" si="83"/>
        <v>0</v>
      </c>
      <c r="O138" s="45"/>
      <c r="P138" s="46">
        <f t="shared" si="68"/>
        <v>1</v>
      </c>
      <c r="Q138" s="47" t="str">
        <f t="shared" si="69"/>
        <v>10:34:05</v>
      </c>
      <c r="R138" s="48" t="str">
        <f t="shared" si="70"/>
        <v>34:05</v>
      </c>
      <c r="S138" s="49">
        <f t="shared" si="63"/>
        <v>96</v>
      </c>
      <c r="T138" s="48" t="str">
        <f t="shared" si="71"/>
        <v>10</v>
      </c>
      <c r="U138" s="50">
        <v>35</v>
      </c>
      <c r="V138" s="51">
        <v>41</v>
      </c>
      <c r="W138" s="52" t="str">
        <f t="shared" si="72"/>
        <v>35:41</v>
      </c>
      <c r="X138" s="53" t="s">
        <v>61</v>
      </c>
      <c r="Y138" s="126" t="s">
        <v>68</v>
      </c>
      <c r="Z138" s="126"/>
      <c r="AA138" s="48" t="s">
        <v>63</v>
      </c>
      <c r="AB138" s="48" t="str">
        <f t="shared" si="73"/>
        <v>NA</v>
      </c>
      <c r="AC138" s="54">
        <f t="shared" si="74"/>
        <v>0</v>
      </c>
      <c r="AD138" s="55">
        <f t="shared" si="84"/>
        <v>1</v>
      </c>
      <c r="AE138" s="55"/>
      <c r="AF138" s="55"/>
      <c r="AG138" s="56">
        <v>1</v>
      </c>
      <c r="AH138" s="57">
        <f t="shared" si="86"/>
        <v>96</v>
      </c>
      <c r="AI138" s="56"/>
      <c r="AJ138" s="57" t="str">
        <f t="shared" si="87"/>
        <v/>
      </c>
      <c r="AK138" s="56"/>
      <c r="AL138" s="57" t="str">
        <f t="shared" si="75"/>
        <v/>
      </c>
      <c r="AM138" s="56"/>
      <c r="AN138" s="57" t="str">
        <f t="shared" si="88"/>
        <v/>
      </c>
      <c r="AO138" s="56"/>
      <c r="AP138" s="57" t="str">
        <f t="shared" si="76"/>
        <v/>
      </c>
      <c r="AQ138" s="56"/>
      <c r="AR138" s="57" t="str">
        <f t="shared" si="77"/>
        <v/>
      </c>
      <c r="AS138" s="56"/>
      <c r="AT138" s="57" t="str">
        <f t="shared" si="78"/>
        <v/>
      </c>
      <c r="AU138" s="58"/>
      <c r="AV138" s="59"/>
      <c r="AW138" s="59"/>
      <c r="AX138" s="60"/>
      <c r="AY138" s="61">
        <f t="shared" si="89"/>
        <v>0</v>
      </c>
      <c r="AZ138" s="62" t="str">
        <f t="shared" si="79"/>
        <v/>
      </c>
      <c r="BA138" s="61">
        <f t="shared" si="90"/>
        <v>0</v>
      </c>
      <c r="BB138" s="62" t="str">
        <f t="shared" si="80"/>
        <v/>
      </c>
    </row>
    <row r="139" spans="1:54" s="3" customFormat="1" hidden="1" x14ac:dyDescent="0.35">
      <c r="A139" s="73">
        <f t="shared" si="64"/>
        <v>2017</v>
      </c>
      <c r="B139" s="73" t="str">
        <f t="shared" si="65"/>
        <v>Nov</v>
      </c>
      <c r="C139" s="74">
        <f t="shared" si="81"/>
        <v>16</v>
      </c>
      <c r="D139" s="75">
        <f t="shared" si="66"/>
        <v>10</v>
      </c>
      <c r="E139" s="76">
        <f t="shared" si="67"/>
        <v>35</v>
      </c>
      <c r="F139" s="80"/>
      <c r="G139" s="83"/>
      <c r="H139" s="69" t="str">
        <f t="shared" si="82"/>
        <v>Lacine7_20171116_10_00</v>
      </c>
      <c r="I139" s="70">
        <f t="shared" si="83"/>
        <v>1</v>
      </c>
      <c r="J139" s="77" t="str">
        <f t="shared" si="83"/>
        <v>Lactuca</v>
      </c>
      <c r="K139" s="77" t="str">
        <f t="shared" si="83"/>
        <v>inermis</v>
      </c>
      <c r="L139" s="78">
        <f t="shared" si="83"/>
        <v>7</v>
      </c>
      <c r="M139" s="78">
        <f t="shared" si="83"/>
        <v>3</v>
      </c>
      <c r="N139" s="72">
        <f t="shared" si="83"/>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84"/>
        <v/>
      </c>
      <c r="AE139" s="55"/>
      <c r="AF139" s="55"/>
      <c r="AG139" s="56" t="str">
        <f t="shared" si="85"/>
        <v/>
      </c>
      <c r="AH139" s="57" t="str">
        <f t="shared" si="86"/>
        <v/>
      </c>
      <c r="AI139" s="56"/>
      <c r="AJ139" s="57" t="str">
        <f t="shared" si="87"/>
        <v/>
      </c>
      <c r="AK139" s="56"/>
      <c r="AL139" s="57" t="str">
        <f t="shared" si="75"/>
        <v/>
      </c>
      <c r="AM139" s="56"/>
      <c r="AN139" s="57" t="str">
        <f t="shared" si="88"/>
        <v/>
      </c>
      <c r="AO139" s="56"/>
      <c r="AP139" s="57" t="str">
        <f t="shared" si="76"/>
        <v/>
      </c>
      <c r="AQ139" s="56"/>
      <c r="AR139" s="57" t="str">
        <f t="shared" si="77"/>
        <v/>
      </c>
      <c r="AS139" s="56"/>
      <c r="AT139" s="57" t="str">
        <f t="shared" si="78"/>
        <v/>
      </c>
      <c r="AU139" s="58"/>
      <c r="AV139" s="59"/>
      <c r="AW139" s="59"/>
      <c r="AX139" s="60"/>
      <c r="AY139" s="61" t="str">
        <f t="shared" si="89"/>
        <v/>
      </c>
      <c r="AZ139" s="62" t="str">
        <f t="shared" si="79"/>
        <v/>
      </c>
      <c r="BA139" s="61" t="str">
        <f t="shared" si="90"/>
        <v/>
      </c>
      <c r="BB139" s="62" t="str">
        <f t="shared" si="80"/>
        <v/>
      </c>
    </row>
    <row r="140" spans="1:54" s="3" customFormat="1" hidden="1" x14ac:dyDescent="0.35">
      <c r="A140" s="73">
        <f t="shared" si="64"/>
        <v>2017</v>
      </c>
      <c r="B140" s="73" t="str">
        <f t="shared" si="65"/>
        <v>Nov</v>
      </c>
      <c r="C140" s="74">
        <f t="shared" si="81"/>
        <v>16</v>
      </c>
      <c r="D140" s="75">
        <f t="shared" si="66"/>
        <v>10</v>
      </c>
      <c r="E140" s="76">
        <f t="shared" si="67"/>
        <v>36</v>
      </c>
      <c r="F140" s="80"/>
      <c r="G140" s="83"/>
      <c r="H140" s="69" t="str">
        <f t="shared" si="82"/>
        <v>Lacine7_20171116_10_00</v>
      </c>
      <c r="I140" s="70">
        <f t="shared" si="83"/>
        <v>1</v>
      </c>
      <c r="J140" s="77" t="str">
        <f t="shared" si="83"/>
        <v>Lactuca</v>
      </c>
      <c r="K140" s="77" t="str">
        <f t="shared" si="83"/>
        <v>inermis</v>
      </c>
      <c r="L140" s="78">
        <f t="shared" si="83"/>
        <v>7</v>
      </c>
      <c r="M140" s="78">
        <f t="shared" si="83"/>
        <v>3</v>
      </c>
      <c r="N140" s="72">
        <f t="shared" si="83"/>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84"/>
        <v/>
      </c>
      <c r="AE140" s="55"/>
      <c r="AF140" s="55"/>
      <c r="AG140" s="56" t="str">
        <f t="shared" si="85"/>
        <v/>
      </c>
      <c r="AH140" s="57" t="str">
        <f t="shared" si="86"/>
        <v/>
      </c>
      <c r="AI140" s="56"/>
      <c r="AJ140" s="57" t="str">
        <f t="shared" si="87"/>
        <v/>
      </c>
      <c r="AK140" s="56"/>
      <c r="AL140" s="57" t="str">
        <f t="shared" si="75"/>
        <v/>
      </c>
      <c r="AM140" s="56"/>
      <c r="AN140" s="57" t="str">
        <f t="shared" si="88"/>
        <v/>
      </c>
      <c r="AO140" s="56"/>
      <c r="AP140" s="57" t="str">
        <f t="shared" si="76"/>
        <v/>
      </c>
      <c r="AQ140" s="56"/>
      <c r="AR140" s="57" t="str">
        <f t="shared" si="77"/>
        <v/>
      </c>
      <c r="AS140" s="56"/>
      <c r="AT140" s="57" t="str">
        <f t="shared" si="78"/>
        <v/>
      </c>
      <c r="AU140" s="58"/>
      <c r="AV140" s="59"/>
      <c r="AW140" s="59"/>
      <c r="AX140" s="60"/>
      <c r="AY140" s="61" t="str">
        <f t="shared" si="89"/>
        <v/>
      </c>
      <c r="AZ140" s="62" t="str">
        <f t="shared" si="79"/>
        <v/>
      </c>
      <c r="BA140" s="61" t="str">
        <f t="shared" si="90"/>
        <v/>
      </c>
      <c r="BB140" s="62" t="str">
        <f t="shared" si="80"/>
        <v/>
      </c>
    </row>
    <row r="141" spans="1:54" s="3" customFormat="1" hidden="1" x14ac:dyDescent="0.35">
      <c r="A141" s="73">
        <f t="shared" si="64"/>
        <v>2017</v>
      </c>
      <c r="B141" s="73" t="str">
        <f t="shared" si="65"/>
        <v>Nov</v>
      </c>
      <c r="C141" s="74">
        <f t="shared" si="81"/>
        <v>16</v>
      </c>
      <c r="D141" s="75">
        <f t="shared" si="66"/>
        <v>10</v>
      </c>
      <c r="E141" s="76">
        <f t="shared" si="67"/>
        <v>37</v>
      </c>
      <c r="F141" s="80"/>
      <c r="G141" s="83"/>
      <c r="H141" s="69" t="str">
        <f t="shared" si="82"/>
        <v>Lacine7_20171116_10_00</v>
      </c>
      <c r="I141" s="70">
        <f t="shared" si="83"/>
        <v>1</v>
      </c>
      <c r="J141" s="77" t="str">
        <f t="shared" si="83"/>
        <v>Lactuca</v>
      </c>
      <c r="K141" s="77" t="str">
        <f t="shared" si="83"/>
        <v>inermis</v>
      </c>
      <c r="L141" s="78">
        <f t="shared" si="83"/>
        <v>7</v>
      </c>
      <c r="M141" s="78">
        <f t="shared" si="83"/>
        <v>3</v>
      </c>
      <c r="N141" s="72">
        <f t="shared" si="83"/>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84"/>
        <v/>
      </c>
      <c r="AE141" s="55"/>
      <c r="AF141" s="55"/>
      <c r="AG141" s="56" t="str">
        <f t="shared" si="85"/>
        <v/>
      </c>
      <c r="AH141" s="57" t="str">
        <f t="shared" si="86"/>
        <v/>
      </c>
      <c r="AI141" s="56"/>
      <c r="AJ141" s="57" t="str">
        <f t="shared" si="87"/>
        <v/>
      </c>
      <c r="AK141" s="56"/>
      <c r="AL141" s="57" t="str">
        <f t="shared" si="75"/>
        <v/>
      </c>
      <c r="AM141" s="56"/>
      <c r="AN141" s="57" t="str">
        <f t="shared" si="88"/>
        <v/>
      </c>
      <c r="AO141" s="56"/>
      <c r="AP141" s="57" t="str">
        <f t="shared" si="76"/>
        <v/>
      </c>
      <c r="AQ141" s="56"/>
      <c r="AR141" s="57" t="str">
        <f t="shared" si="77"/>
        <v/>
      </c>
      <c r="AS141" s="56"/>
      <c r="AT141" s="57" t="str">
        <f t="shared" si="78"/>
        <v/>
      </c>
      <c r="AU141" s="58"/>
      <c r="AV141" s="59"/>
      <c r="AW141" s="59"/>
      <c r="AX141" s="60"/>
      <c r="AY141" s="61" t="str">
        <f t="shared" si="89"/>
        <v/>
      </c>
      <c r="AZ141" s="62" t="str">
        <f t="shared" si="79"/>
        <v/>
      </c>
      <c r="BA141" s="61" t="str">
        <f t="shared" si="90"/>
        <v/>
      </c>
      <c r="BB141" s="62" t="str">
        <f t="shared" si="80"/>
        <v/>
      </c>
    </row>
    <row r="142" spans="1:54" s="3" customFormat="1" x14ac:dyDescent="0.35">
      <c r="A142" s="73">
        <f t="shared" si="64"/>
        <v>2017</v>
      </c>
      <c r="B142" s="73" t="str">
        <f t="shared" si="65"/>
        <v>Nov</v>
      </c>
      <c r="C142" s="74">
        <f t="shared" si="81"/>
        <v>16</v>
      </c>
      <c r="D142" s="75">
        <f t="shared" si="66"/>
        <v>10</v>
      </c>
      <c r="E142" s="76">
        <f t="shared" si="67"/>
        <v>38</v>
      </c>
      <c r="F142" s="80">
        <v>35</v>
      </c>
      <c r="G142" s="83"/>
      <c r="H142" s="69" t="str">
        <f t="shared" si="82"/>
        <v>Lacine7_20171116_10_00</v>
      </c>
      <c r="I142" s="70">
        <f t="shared" si="83"/>
        <v>1</v>
      </c>
      <c r="J142" s="77" t="str">
        <f t="shared" si="83"/>
        <v>Lactuca</v>
      </c>
      <c r="K142" s="77" t="str">
        <f t="shared" si="83"/>
        <v>inermis</v>
      </c>
      <c r="L142" s="78">
        <f t="shared" si="83"/>
        <v>7</v>
      </c>
      <c r="M142" s="78">
        <f t="shared" si="83"/>
        <v>3</v>
      </c>
      <c r="N142" s="72">
        <f t="shared" si="83"/>
        <v>0</v>
      </c>
      <c r="O142" s="45"/>
      <c r="P142" s="46">
        <f t="shared" si="68"/>
        <v>1</v>
      </c>
      <c r="Q142" s="47" t="str">
        <f t="shared" si="69"/>
        <v>10:38:35</v>
      </c>
      <c r="R142" s="48" t="str">
        <f t="shared" si="70"/>
        <v>38:35</v>
      </c>
      <c r="S142" s="49">
        <f t="shared" si="63"/>
        <v>129</v>
      </c>
      <c r="T142" s="48" t="str">
        <f t="shared" si="71"/>
        <v>10</v>
      </c>
      <c r="U142" s="50">
        <v>40</v>
      </c>
      <c r="V142" s="51">
        <v>44</v>
      </c>
      <c r="W142" s="52" t="str">
        <f t="shared" si="72"/>
        <v>40:44</v>
      </c>
      <c r="X142" s="53" t="s">
        <v>59</v>
      </c>
      <c r="Y142" s="126" t="s">
        <v>67</v>
      </c>
      <c r="Z142" s="126"/>
      <c r="AA142" s="48" t="s">
        <v>60</v>
      </c>
      <c r="AB142" s="48" t="str">
        <f t="shared" si="73"/>
        <v>NA</v>
      </c>
      <c r="AC142" s="54">
        <f t="shared" si="74"/>
        <v>0</v>
      </c>
      <c r="AD142" s="55">
        <f t="shared" si="84"/>
        <v>1</v>
      </c>
      <c r="AE142" s="55"/>
      <c r="AF142" s="55"/>
      <c r="AG142" s="56">
        <v>1</v>
      </c>
      <c r="AH142" s="57">
        <v>40</v>
      </c>
      <c r="AI142" s="56"/>
      <c r="AJ142" s="57" t="str">
        <f t="shared" si="87"/>
        <v/>
      </c>
      <c r="AK142" s="56">
        <v>1</v>
      </c>
      <c r="AL142" s="57">
        <v>40</v>
      </c>
      <c r="AM142" s="56">
        <v>1</v>
      </c>
      <c r="AN142" s="57">
        <v>49</v>
      </c>
      <c r="AO142" s="56"/>
      <c r="AP142" s="57" t="str">
        <f t="shared" si="76"/>
        <v/>
      </c>
      <c r="AQ142" s="56"/>
      <c r="AR142" s="57" t="str">
        <f t="shared" si="77"/>
        <v/>
      </c>
      <c r="AS142" s="56"/>
      <c r="AT142" s="57" t="str">
        <f t="shared" si="78"/>
        <v/>
      </c>
      <c r="AU142" s="58"/>
      <c r="AV142" s="59"/>
      <c r="AW142" s="59"/>
      <c r="AX142" s="60"/>
      <c r="AY142" s="61">
        <v>1</v>
      </c>
      <c r="AZ142" s="62">
        <f t="shared" si="79"/>
        <v>1</v>
      </c>
      <c r="BA142" s="61">
        <v>1</v>
      </c>
      <c r="BB142" s="62">
        <f t="shared" si="80"/>
        <v>1</v>
      </c>
    </row>
    <row r="143" spans="1:54" s="3" customFormat="1" x14ac:dyDescent="0.35">
      <c r="A143" s="73">
        <f t="shared" si="64"/>
        <v>2017</v>
      </c>
      <c r="B143" s="73" t="str">
        <f t="shared" si="65"/>
        <v>Nov</v>
      </c>
      <c r="C143" s="74">
        <f t="shared" si="81"/>
        <v>16</v>
      </c>
      <c r="D143" s="75">
        <f t="shared" si="66"/>
        <v>10</v>
      </c>
      <c r="E143" s="76">
        <f t="shared" si="67"/>
        <v>39</v>
      </c>
      <c r="F143" s="80">
        <v>57</v>
      </c>
      <c r="G143" s="83"/>
      <c r="H143" s="69" t="str">
        <f t="shared" si="82"/>
        <v>Lacine7_20171116_10_00</v>
      </c>
      <c r="I143" s="70">
        <f t="shared" si="83"/>
        <v>1</v>
      </c>
      <c r="J143" s="77" t="str">
        <f t="shared" si="83"/>
        <v>Lactuca</v>
      </c>
      <c r="K143" s="77" t="str">
        <f t="shared" si="83"/>
        <v>inermis</v>
      </c>
      <c r="L143" s="78">
        <f t="shared" si="83"/>
        <v>7</v>
      </c>
      <c r="M143" s="78">
        <f t="shared" si="83"/>
        <v>3</v>
      </c>
      <c r="N143" s="72">
        <f t="shared" si="83"/>
        <v>0</v>
      </c>
      <c r="O143" s="45"/>
      <c r="P143" s="46">
        <f t="shared" si="68"/>
        <v>1</v>
      </c>
      <c r="Q143" s="47" t="str">
        <f t="shared" si="69"/>
        <v>10:39:57</v>
      </c>
      <c r="R143" s="48" t="str">
        <f t="shared" si="70"/>
        <v>39:57</v>
      </c>
      <c r="S143" s="49">
        <f t="shared" si="63"/>
        <v>86</v>
      </c>
      <c r="T143" s="48" t="str">
        <f t="shared" si="71"/>
        <v>10</v>
      </c>
      <c r="U143" s="50">
        <v>41</v>
      </c>
      <c r="V143" s="51">
        <v>23</v>
      </c>
      <c r="W143" s="52" t="str">
        <f t="shared" si="72"/>
        <v>41:23</v>
      </c>
      <c r="X143" s="53" t="s">
        <v>59</v>
      </c>
      <c r="Y143" s="126" t="s">
        <v>67</v>
      </c>
      <c r="Z143" s="126"/>
      <c r="AA143" s="48" t="s">
        <v>60</v>
      </c>
      <c r="AB143" s="48" t="str">
        <f t="shared" si="73"/>
        <v>NA</v>
      </c>
      <c r="AC143" s="54">
        <f t="shared" si="74"/>
        <v>0</v>
      </c>
      <c r="AD143" s="55">
        <f t="shared" si="84"/>
        <v>1</v>
      </c>
      <c r="AE143" s="55"/>
      <c r="AF143" s="55"/>
      <c r="AG143" s="56">
        <v>1</v>
      </c>
      <c r="AH143" s="57">
        <v>6</v>
      </c>
      <c r="AI143" s="56"/>
      <c r="AJ143" s="57" t="str">
        <f t="shared" si="87"/>
        <v/>
      </c>
      <c r="AK143" s="56">
        <v>1</v>
      </c>
      <c r="AL143" s="57">
        <v>60</v>
      </c>
      <c r="AM143" s="56">
        <v>1</v>
      </c>
      <c r="AN143" s="57">
        <v>20</v>
      </c>
      <c r="AO143" s="56"/>
      <c r="AP143" s="57" t="str">
        <f t="shared" si="76"/>
        <v/>
      </c>
      <c r="AQ143" s="56"/>
      <c r="AR143" s="57" t="str">
        <f t="shared" si="77"/>
        <v/>
      </c>
      <c r="AS143" s="56"/>
      <c r="AT143" s="57" t="str">
        <f t="shared" si="78"/>
        <v/>
      </c>
      <c r="AU143" s="58"/>
      <c r="AV143" s="59"/>
      <c r="AW143" s="59"/>
      <c r="AX143" s="60"/>
      <c r="AY143" s="61">
        <v>1</v>
      </c>
      <c r="AZ143" s="62">
        <f t="shared" si="79"/>
        <v>1</v>
      </c>
      <c r="BA143" s="61">
        <v>1</v>
      </c>
      <c r="BB143" s="62">
        <f t="shared" si="80"/>
        <v>1</v>
      </c>
    </row>
    <row r="144" spans="1:54" s="3" customFormat="1" x14ac:dyDescent="0.35">
      <c r="A144" s="73">
        <f t="shared" si="64"/>
        <v>2017</v>
      </c>
      <c r="B144" s="73" t="str">
        <f t="shared" si="65"/>
        <v>Nov</v>
      </c>
      <c r="C144" s="74">
        <f t="shared" si="81"/>
        <v>16</v>
      </c>
      <c r="D144" s="75">
        <f t="shared" si="66"/>
        <v>10</v>
      </c>
      <c r="E144" s="76">
        <f t="shared" si="67"/>
        <v>40</v>
      </c>
      <c r="F144" s="80">
        <v>45</v>
      </c>
      <c r="G144" s="83"/>
      <c r="H144" s="69" t="str">
        <f t="shared" si="82"/>
        <v>Lacine7_20171116_10_00</v>
      </c>
      <c r="I144" s="70">
        <f t="shared" si="83"/>
        <v>1</v>
      </c>
      <c r="J144" s="77" t="str">
        <f t="shared" si="83"/>
        <v>Lactuca</v>
      </c>
      <c r="K144" s="77" t="str">
        <f t="shared" si="83"/>
        <v>inermis</v>
      </c>
      <c r="L144" s="78">
        <f t="shared" si="83"/>
        <v>7</v>
      </c>
      <c r="M144" s="78">
        <f t="shared" si="83"/>
        <v>3</v>
      </c>
      <c r="N144" s="72">
        <f t="shared" si="83"/>
        <v>0</v>
      </c>
      <c r="O144" s="45"/>
      <c r="P144" s="46">
        <f t="shared" si="68"/>
        <v>1</v>
      </c>
      <c r="Q144" s="47" t="str">
        <f t="shared" si="69"/>
        <v>10:40:45</v>
      </c>
      <c r="R144" s="48" t="str">
        <f t="shared" si="70"/>
        <v>40:45</v>
      </c>
      <c r="S144" s="49">
        <f t="shared" si="63"/>
        <v>55</v>
      </c>
      <c r="T144" s="48" t="str">
        <f t="shared" si="71"/>
        <v>10</v>
      </c>
      <c r="U144" s="50">
        <v>41</v>
      </c>
      <c r="V144" s="51">
        <v>40</v>
      </c>
      <c r="W144" s="52" t="str">
        <f t="shared" si="72"/>
        <v>41:40</v>
      </c>
      <c r="X144" s="53" t="s">
        <v>59</v>
      </c>
      <c r="Y144" s="126" t="s">
        <v>67</v>
      </c>
      <c r="Z144" s="126"/>
      <c r="AA144" s="48" t="s">
        <v>60</v>
      </c>
      <c r="AB144" s="48" t="str">
        <f t="shared" si="73"/>
        <v>NA</v>
      </c>
      <c r="AC144" s="54">
        <f t="shared" si="74"/>
        <v>0</v>
      </c>
      <c r="AD144" s="55">
        <v>2</v>
      </c>
      <c r="AE144" s="55"/>
      <c r="AF144" s="55"/>
      <c r="AG144" s="56">
        <v>1</v>
      </c>
      <c r="AH144" s="57">
        <v>35</v>
      </c>
      <c r="AI144" s="56"/>
      <c r="AJ144" s="57" t="str">
        <f t="shared" si="87"/>
        <v/>
      </c>
      <c r="AK144" s="56"/>
      <c r="AL144" s="57" t="str">
        <f t="shared" si="75"/>
        <v/>
      </c>
      <c r="AM144" s="56">
        <v>1</v>
      </c>
      <c r="AN144" s="57">
        <v>20</v>
      </c>
      <c r="AO144" s="56"/>
      <c r="AP144" s="57" t="str">
        <f t="shared" si="76"/>
        <v/>
      </c>
      <c r="AQ144" s="56"/>
      <c r="AR144" s="57" t="str">
        <f t="shared" si="77"/>
        <v/>
      </c>
      <c r="AS144" s="56"/>
      <c r="AT144" s="57" t="str">
        <f t="shared" si="78"/>
        <v/>
      </c>
      <c r="AU144" s="58"/>
      <c r="AV144" s="59"/>
      <c r="AW144" s="59"/>
      <c r="AX144" s="60"/>
      <c r="AY144" s="61">
        <v>1</v>
      </c>
      <c r="AZ144" s="62">
        <f t="shared" si="79"/>
        <v>2</v>
      </c>
      <c r="BA144" s="61">
        <v>1</v>
      </c>
      <c r="BB144" s="62">
        <f t="shared" si="80"/>
        <v>2</v>
      </c>
    </row>
    <row r="145" spans="1:54" s="3" customFormat="1" hidden="1" x14ac:dyDescent="0.35">
      <c r="A145" s="73">
        <f t="shared" si="64"/>
        <v>2017</v>
      </c>
      <c r="B145" s="73" t="str">
        <f t="shared" si="65"/>
        <v>Nov</v>
      </c>
      <c r="C145" s="74">
        <f t="shared" si="81"/>
        <v>16</v>
      </c>
      <c r="D145" s="75">
        <f t="shared" si="66"/>
        <v>10</v>
      </c>
      <c r="E145" s="76">
        <f t="shared" si="67"/>
        <v>41</v>
      </c>
      <c r="F145" s="80"/>
      <c r="G145" s="83"/>
      <c r="H145" s="69" t="str">
        <f t="shared" si="82"/>
        <v>Lacine7_20171116_10_00</v>
      </c>
      <c r="I145" s="70">
        <f t="shared" si="83"/>
        <v>1</v>
      </c>
      <c r="J145" s="77" t="str">
        <f t="shared" si="83"/>
        <v>Lactuca</v>
      </c>
      <c r="K145" s="77" t="str">
        <f t="shared" si="83"/>
        <v>inermis</v>
      </c>
      <c r="L145" s="78">
        <f t="shared" si="83"/>
        <v>7</v>
      </c>
      <c r="M145" s="78">
        <f t="shared" si="83"/>
        <v>3</v>
      </c>
      <c r="N145" s="72">
        <f t="shared" si="83"/>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84"/>
        <v/>
      </c>
      <c r="AE145" s="55"/>
      <c r="AF145" s="55"/>
      <c r="AG145" s="56" t="str">
        <f t="shared" si="85"/>
        <v/>
      </c>
      <c r="AH145" s="57" t="str">
        <f t="shared" si="86"/>
        <v/>
      </c>
      <c r="AI145" s="56"/>
      <c r="AJ145" s="57" t="str">
        <f t="shared" si="87"/>
        <v/>
      </c>
      <c r="AK145" s="56"/>
      <c r="AL145" s="57" t="str">
        <f t="shared" si="75"/>
        <v/>
      </c>
      <c r="AM145" s="56"/>
      <c r="AN145" s="57" t="str">
        <f t="shared" si="88"/>
        <v/>
      </c>
      <c r="AO145" s="56"/>
      <c r="AP145" s="57" t="str">
        <f t="shared" si="76"/>
        <v/>
      </c>
      <c r="AQ145" s="56"/>
      <c r="AR145" s="57" t="str">
        <f t="shared" si="77"/>
        <v/>
      </c>
      <c r="AS145" s="56"/>
      <c r="AT145" s="57" t="str">
        <f t="shared" si="78"/>
        <v/>
      </c>
      <c r="AU145" s="58"/>
      <c r="AV145" s="59"/>
      <c r="AW145" s="59"/>
      <c r="AX145" s="60"/>
      <c r="AY145" s="61" t="str">
        <f t="shared" si="89"/>
        <v/>
      </c>
      <c r="AZ145" s="62" t="str">
        <f t="shared" si="79"/>
        <v/>
      </c>
      <c r="BA145" s="61" t="str">
        <f t="shared" si="90"/>
        <v/>
      </c>
      <c r="BB145" s="62" t="str">
        <f t="shared" si="80"/>
        <v/>
      </c>
    </row>
    <row r="146" spans="1:54" s="3" customFormat="1" x14ac:dyDescent="0.35">
      <c r="A146" s="73">
        <f t="shared" si="64"/>
        <v>2017</v>
      </c>
      <c r="B146" s="73" t="str">
        <f t="shared" si="65"/>
        <v>Nov</v>
      </c>
      <c r="C146" s="74">
        <f t="shared" si="81"/>
        <v>16</v>
      </c>
      <c r="D146" s="75">
        <f t="shared" si="66"/>
        <v>10</v>
      </c>
      <c r="E146" s="76">
        <f t="shared" si="67"/>
        <v>42</v>
      </c>
      <c r="F146" s="80">
        <v>57</v>
      </c>
      <c r="G146" s="83"/>
      <c r="H146" s="69" t="str">
        <f t="shared" si="82"/>
        <v>Lacine7_20171116_10_00</v>
      </c>
      <c r="I146" s="70">
        <f t="shared" si="83"/>
        <v>1</v>
      </c>
      <c r="J146" s="77" t="str">
        <f t="shared" si="83"/>
        <v>Lactuca</v>
      </c>
      <c r="K146" s="77" t="str">
        <f t="shared" si="83"/>
        <v>inermis</v>
      </c>
      <c r="L146" s="78">
        <f t="shared" si="83"/>
        <v>7</v>
      </c>
      <c r="M146" s="78">
        <f t="shared" si="83"/>
        <v>3</v>
      </c>
      <c r="N146" s="72">
        <f t="shared" si="83"/>
        <v>0</v>
      </c>
      <c r="O146" s="45"/>
      <c r="P146" s="46">
        <f t="shared" si="68"/>
        <v>1</v>
      </c>
      <c r="Q146" s="47" t="str">
        <f t="shared" si="69"/>
        <v>10:42:57</v>
      </c>
      <c r="R146" s="48" t="str">
        <f t="shared" si="70"/>
        <v>42:57</v>
      </c>
      <c r="S146" s="49">
        <f t="shared" si="63"/>
        <v>68</v>
      </c>
      <c r="T146" s="48" t="str">
        <f t="shared" si="71"/>
        <v>10</v>
      </c>
      <c r="U146" s="50">
        <v>44</v>
      </c>
      <c r="V146" s="51">
        <v>5</v>
      </c>
      <c r="W146" s="52" t="str">
        <f t="shared" si="72"/>
        <v>44:05</v>
      </c>
      <c r="X146" s="53" t="s">
        <v>59</v>
      </c>
      <c r="Y146" s="126" t="s">
        <v>67</v>
      </c>
      <c r="Z146" s="126"/>
      <c r="AA146" s="48" t="s">
        <v>60</v>
      </c>
      <c r="AB146" s="48" t="str">
        <f t="shared" si="73"/>
        <v>NA</v>
      </c>
      <c r="AC146" s="54">
        <f t="shared" si="74"/>
        <v>0</v>
      </c>
      <c r="AD146" s="55">
        <v>3</v>
      </c>
      <c r="AE146" s="55"/>
      <c r="AF146" s="55"/>
      <c r="AG146" s="56">
        <v>1</v>
      </c>
      <c r="AH146" s="57">
        <v>18</v>
      </c>
      <c r="AI146" s="56">
        <v>1</v>
      </c>
      <c r="AJ146" s="57">
        <v>1</v>
      </c>
      <c r="AK146" s="56">
        <v>1</v>
      </c>
      <c r="AL146" s="57">
        <v>19</v>
      </c>
      <c r="AM146" s="56">
        <v>1</v>
      </c>
      <c r="AN146" s="57">
        <v>30</v>
      </c>
      <c r="AO146" s="56"/>
      <c r="AP146" s="57" t="str">
        <f t="shared" si="76"/>
        <v/>
      </c>
      <c r="AQ146" s="56"/>
      <c r="AR146" s="57" t="str">
        <f t="shared" si="77"/>
        <v/>
      </c>
      <c r="AS146" s="56"/>
      <c r="AT146" s="57" t="str">
        <f t="shared" si="78"/>
        <v/>
      </c>
      <c r="AU146" s="58"/>
      <c r="AV146" s="59"/>
      <c r="AW146" s="59"/>
      <c r="AX146" s="60"/>
      <c r="AY146" s="61">
        <v>1</v>
      </c>
      <c r="AZ146" s="62">
        <f t="shared" si="79"/>
        <v>3</v>
      </c>
      <c r="BA146" s="61">
        <v>1</v>
      </c>
      <c r="BB146" s="62">
        <f t="shared" si="80"/>
        <v>3</v>
      </c>
    </row>
    <row r="147" spans="1:54" s="3" customFormat="1" hidden="1" x14ac:dyDescent="0.35">
      <c r="A147" s="73">
        <f t="shared" si="64"/>
        <v>2017</v>
      </c>
      <c r="B147" s="73" t="str">
        <f t="shared" si="65"/>
        <v>Nov</v>
      </c>
      <c r="C147" s="74">
        <f t="shared" si="81"/>
        <v>16</v>
      </c>
      <c r="D147" s="75">
        <f t="shared" si="66"/>
        <v>10</v>
      </c>
      <c r="E147" s="76">
        <f t="shared" si="67"/>
        <v>43</v>
      </c>
      <c r="F147" s="80"/>
      <c r="G147" s="83"/>
      <c r="H147" s="69" t="str">
        <f t="shared" si="82"/>
        <v>Lacine7_20171116_10_00</v>
      </c>
      <c r="I147" s="70">
        <f t="shared" si="83"/>
        <v>1</v>
      </c>
      <c r="J147" s="77" t="str">
        <f t="shared" si="83"/>
        <v>Lactuca</v>
      </c>
      <c r="K147" s="77" t="str">
        <f t="shared" si="83"/>
        <v>inermis</v>
      </c>
      <c r="L147" s="78">
        <f t="shared" si="83"/>
        <v>7</v>
      </c>
      <c r="M147" s="78">
        <f t="shared" si="83"/>
        <v>3</v>
      </c>
      <c r="N147" s="72">
        <f t="shared" si="83"/>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84"/>
        <v/>
      </c>
      <c r="AE147" s="55"/>
      <c r="AF147" s="55"/>
      <c r="AG147" s="56" t="str">
        <f t="shared" si="85"/>
        <v/>
      </c>
      <c r="AH147" s="57" t="str">
        <f t="shared" si="86"/>
        <v/>
      </c>
      <c r="AI147" s="56"/>
      <c r="AJ147" s="57" t="str">
        <f t="shared" si="87"/>
        <v/>
      </c>
      <c r="AK147" s="56"/>
      <c r="AL147" s="57" t="str">
        <f t="shared" si="75"/>
        <v/>
      </c>
      <c r="AM147" s="56"/>
      <c r="AN147" s="57" t="str">
        <f t="shared" si="88"/>
        <v/>
      </c>
      <c r="AO147" s="56"/>
      <c r="AP147" s="57" t="str">
        <f t="shared" si="76"/>
        <v/>
      </c>
      <c r="AQ147" s="56"/>
      <c r="AR147" s="57" t="str">
        <f t="shared" si="77"/>
        <v/>
      </c>
      <c r="AS147" s="56"/>
      <c r="AT147" s="57" t="str">
        <f t="shared" si="78"/>
        <v/>
      </c>
      <c r="AU147" s="58"/>
      <c r="AV147" s="59"/>
      <c r="AW147" s="59"/>
      <c r="AX147" s="60"/>
      <c r="AY147" s="61" t="str">
        <f t="shared" si="89"/>
        <v/>
      </c>
      <c r="AZ147" s="62" t="str">
        <f t="shared" si="79"/>
        <v/>
      </c>
      <c r="BA147" s="61" t="str">
        <f t="shared" si="90"/>
        <v/>
      </c>
      <c r="BB147" s="62" t="str">
        <f t="shared" si="80"/>
        <v/>
      </c>
    </row>
    <row r="148" spans="1:54" s="3" customFormat="1" hidden="1" x14ac:dyDescent="0.35">
      <c r="A148" s="73">
        <f t="shared" si="64"/>
        <v>2017</v>
      </c>
      <c r="B148" s="73" t="str">
        <f t="shared" si="65"/>
        <v>Nov</v>
      </c>
      <c r="C148" s="74">
        <f t="shared" si="81"/>
        <v>16</v>
      </c>
      <c r="D148" s="75">
        <f t="shared" si="66"/>
        <v>10</v>
      </c>
      <c r="E148" s="76">
        <f t="shared" si="67"/>
        <v>44</v>
      </c>
      <c r="F148" s="80"/>
      <c r="G148" s="83"/>
      <c r="H148" s="69" t="str">
        <f t="shared" si="82"/>
        <v>Lacine7_20171116_10_00</v>
      </c>
      <c r="I148" s="70">
        <f t="shared" si="83"/>
        <v>1</v>
      </c>
      <c r="J148" s="77" t="str">
        <f t="shared" si="83"/>
        <v>Lactuca</v>
      </c>
      <c r="K148" s="77" t="str">
        <f t="shared" si="83"/>
        <v>inermis</v>
      </c>
      <c r="L148" s="78">
        <f t="shared" si="83"/>
        <v>7</v>
      </c>
      <c r="M148" s="78">
        <f t="shared" si="83"/>
        <v>3</v>
      </c>
      <c r="N148" s="72">
        <f t="shared" si="83"/>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84"/>
        <v/>
      </c>
      <c r="AE148" s="55"/>
      <c r="AF148" s="55"/>
      <c r="AG148" s="56" t="str">
        <f t="shared" si="85"/>
        <v/>
      </c>
      <c r="AH148" s="57" t="str">
        <f t="shared" si="86"/>
        <v/>
      </c>
      <c r="AI148" s="56"/>
      <c r="AJ148" s="57" t="str">
        <f t="shared" si="87"/>
        <v/>
      </c>
      <c r="AK148" s="56"/>
      <c r="AL148" s="57" t="str">
        <f t="shared" si="75"/>
        <v/>
      </c>
      <c r="AM148" s="56"/>
      <c r="AN148" s="57" t="str">
        <f t="shared" si="88"/>
        <v/>
      </c>
      <c r="AO148" s="56"/>
      <c r="AP148" s="57" t="str">
        <f t="shared" si="76"/>
        <v/>
      </c>
      <c r="AQ148" s="56"/>
      <c r="AR148" s="57" t="str">
        <f t="shared" si="77"/>
        <v/>
      </c>
      <c r="AS148" s="56"/>
      <c r="AT148" s="57" t="str">
        <f t="shared" si="78"/>
        <v/>
      </c>
      <c r="AU148" s="58"/>
      <c r="AV148" s="59"/>
      <c r="AW148" s="59"/>
      <c r="AX148" s="60"/>
      <c r="AY148" s="61" t="str">
        <f t="shared" si="89"/>
        <v/>
      </c>
      <c r="AZ148" s="62" t="str">
        <f t="shared" si="79"/>
        <v/>
      </c>
      <c r="BA148" s="61" t="str">
        <f t="shared" si="90"/>
        <v/>
      </c>
      <c r="BB148" s="62" t="str">
        <f t="shared" si="80"/>
        <v/>
      </c>
    </row>
    <row r="149" spans="1:54" s="3" customFormat="1" hidden="1" x14ac:dyDescent="0.35">
      <c r="A149" s="73">
        <f t="shared" si="64"/>
        <v>2017</v>
      </c>
      <c r="B149" s="73" t="str">
        <f t="shared" si="65"/>
        <v>Nov</v>
      </c>
      <c r="C149" s="74">
        <f t="shared" si="81"/>
        <v>16</v>
      </c>
      <c r="D149" s="75">
        <f t="shared" si="66"/>
        <v>10</v>
      </c>
      <c r="E149" s="76">
        <f t="shared" si="67"/>
        <v>45</v>
      </c>
      <c r="F149" s="80"/>
      <c r="G149" s="83"/>
      <c r="H149" s="69" t="str">
        <f t="shared" si="82"/>
        <v>Lacine7_20171116_10_00</v>
      </c>
      <c r="I149" s="70">
        <f t="shared" ref="I149:N164" si="91">I148</f>
        <v>1</v>
      </c>
      <c r="J149" s="77" t="str">
        <f t="shared" si="91"/>
        <v>Lactuca</v>
      </c>
      <c r="K149" s="77" t="str">
        <f t="shared" si="91"/>
        <v>inermis</v>
      </c>
      <c r="L149" s="78">
        <f t="shared" si="91"/>
        <v>7</v>
      </c>
      <c r="M149" s="78">
        <f t="shared" si="91"/>
        <v>3</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84"/>
        <v/>
      </c>
      <c r="AE149" s="55"/>
      <c r="AF149" s="55"/>
      <c r="AG149" s="56" t="str">
        <f t="shared" si="85"/>
        <v/>
      </c>
      <c r="AH149" s="57" t="str">
        <f t="shared" si="86"/>
        <v/>
      </c>
      <c r="AI149" s="56"/>
      <c r="AJ149" s="57" t="str">
        <f t="shared" si="87"/>
        <v/>
      </c>
      <c r="AK149" s="56"/>
      <c r="AL149" s="57" t="str">
        <f t="shared" si="75"/>
        <v/>
      </c>
      <c r="AM149" s="56"/>
      <c r="AN149" s="57" t="str">
        <f t="shared" si="88"/>
        <v/>
      </c>
      <c r="AO149" s="56"/>
      <c r="AP149" s="57" t="str">
        <f t="shared" si="76"/>
        <v/>
      </c>
      <c r="AQ149" s="56"/>
      <c r="AR149" s="57" t="str">
        <f t="shared" si="77"/>
        <v/>
      </c>
      <c r="AS149" s="56"/>
      <c r="AT149" s="57" t="str">
        <f t="shared" si="78"/>
        <v/>
      </c>
      <c r="AU149" s="58"/>
      <c r="AV149" s="59"/>
      <c r="AW149" s="59"/>
      <c r="AX149" s="60"/>
      <c r="AY149" s="61" t="str">
        <f t="shared" si="89"/>
        <v/>
      </c>
      <c r="AZ149" s="62" t="str">
        <f t="shared" si="79"/>
        <v/>
      </c>
      <c r="BA149" s="61" t="str">
        <f t="shared" si="90"/>
        <v/>
      </c>
      <c r="BB149" s="62" t="str">
        <f t="shared" si="80"/>
        <v/>
      </c>
    </row>
    <row r="150" spans="1:54" s="3" customFormat="1" hidden="1" x14ac:dyDescent="0.35">
      <c r="A150" s="73">
        <f t="shared" si="64"/>
        <v>2017</v>
      </c>
      <c r="B150" s="73" t="str">
        <f t="shared" si="65"/>
        <v>Nov</v>
      </c>
      <c r="C150" s="74">
        <f t="shared" si="81"/>
        <v>16</v>
      </c>
      <c r="D150" s="75">
        <f t="shared" si="66"/>
        <v>10</v>
      </c>
      <c r="E150" s="76">
        <f t="shared" si="67"/>
        <v>46</v>
      </c>
      <c r="F150" s="80"/>
      <c r="G150" s="83"/>
      <c r="H150" s="69" t="str">
        <f t="shared" si="82"/>
        <v>Lacine7_20171116_10_00</v>
      </c>
      <c r="I150" s="70">
        <f t="shared" si="91"/>
        <v>1</v>
      </c>
      <c r="J150" s="77" t="str">
        <f t="shared" si="91"/>
        <v>Lactuca</v>
      </c>
      <c r="K150" s="77" t="str">
        <f t="shared" si="91"/>
        <v>inermis</v>
      </c>
      <c r="L150" s="78">
        <f t="shared" si="91"/>
        <v>7</v>
      </c>
      <c r="M150" s="78">
        <f t="shared" si="91"/>
        <v>3</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84"/>
        <v/>
      </c>
      <c r="AE150" s="55"/>
      <c r="AF150" s="55"/>
      <c r="AG150" s="56" t="str">
        <f t="shared" si="85"/>
        <v/>
      </c>
      <c r="AH150" s="57" t="str">
        <f t="shared" si="86"/>
        <v/>
      </c>
      <c r="AI150" s="56"/>
      <c r="AJ150" s="57" t="str">
        <f t="shared" si="87"/>
        <v/>
      </c>
      <c r="AK150" s="56"/>
      <c r="AL150" s="57" t="str">
        <f t="shared" si="75"/>
        <v/>
      </c>
      <c r="AM150" s="56"/>
      <c r="AN150" s="57" t="str">
        <f t="shared" si="88"/>
        <v/>
      </c>
      <c r="AO150" s="56"/>
      <c r="AP150" s="57" t="str">
        <f t="shared" si="76"/>
        <v/>
      </c>
      <c r="AQ150" s="56"/>
      <c r="AR150" s="57" t="str">
        <f t="shared" si="77"/>
        <v/>
      </c>
      <c r="AS150" s="56"/>
      <c r="AT150" s="57" t="str">
        <f t="shared" si="78"/>
        <v/>
      </c>
      <c r="AU150" s="58"/>
      <c r="AV150" s="59"/>
      <c r="AW150" s="59"/>
      <c r="AX150" s="60"/>
      <c r="AY150" s="61" t="str">
        <f t="shared" si="89"/>
        <v/>
      </c>
      <c r="AZ150" s="62" t="str">
        <f t="shared" si="79"/>
        <v/>
      </c>
      <c r="BA150" s="61" t="str">
        <f t="shared" si="90"/>
        <v/>
      </c>
      <c r="BB150" s="62" t="str">
        <f t="shared" si="80"/>
        <v/>
      </c>
    </row>
    <row r="151" spans="1:54" s="3" customFormat="1" x14ac:dyDescent="0.35">
      <c r="A151" s="73">
        <f t="shared" si="64"/>
        <v>2017</v>
      </c>
      <c r="B151" s="73" t="str">
        <f t="shared" si="65"/>
        <v>Nov</v>
      </c>
      <c r="C151" s="74">
        <f t="shared" si="81"/>
        <v>16</v>
      </c>
      <c r="D151" s="75">
        <f t="shared" si="66"/>
        <v>10</v>
      </c>
      <c r="E151" s="76">
        <f t="shared" si="67"/>
        <v>47</v>
      </c>
      <c r="F151" s="80">
        <v>35</v>
      </c>
      <c r="G151" s="83"/>
      <c r="H151" s="69" t="str">
        <f t="shared" si="82"/>
        <v>Lacine7_20171116_10_00</v>
      </c>
      <c r="I151" s="70">
        <f t="shared" si="91"/>
        <v>1</v>
      </c>
      <c r="J151" s="77" t="str">
        <f t="shared" si="91"/>
        <v>Lactuca</v>
      </c>
      <c r="K151" s="77" t="str">
        <f t="shared" si="91"/>
        <v>inermis</v>
      </c>
      <c r="L151" s="78">
        <f t="shared" si="91"/>
        <v>7</v>
      </c>
      <c r="M151" s="78">
        <f t="shared" si="91"/>
        <v>3</v>
      </c>
      <c r="N151" s="72">
        <f t="shared" si="91"/>
        <v>0</v>
      </c>
      <c r="O151" s="45"/>
      <c r="P151" s="46">
        <f t="shared" si="68"/>
        <v>1</v>
      </c>
      <c r="Q151" s="47" t="str">
        <f t="shared" si="69"/>
        <v>10:47:35</v>
      </c>
      <c r="R151" s="48" t="str">
        <f t="shared" si="70"/>
        <v>47:35</v>
      </c>
      <c r="S151" s="49">
        <f t="shared" si="63"/>
        <v>594</v>
      </c>
      <c r="T151" s="48" t="str">
        <f t="shared" si="71"/>
        <v>10</v>
      </c>
      <c r="U151" s="50">
        <v>57</v>
      </c>
      <c r="V151" s="51">
        <v>29</v>
      </c>
      <c r="W151" s="52" t="str">
        <f t="shared" si="72"/>
        <v>57:29</v>
      </c>
      <c r="X151" s="53" t="s">
        <v>61</v>
      </c>
      <c r="Y151" s="126" t="s">
        <v>68</v>
      </c>
      <c r="Z151" s="126"/>
      <c r="AA151" s="48" t="s">
        <v>63</v>
      </c>
      <c r="AB151" s="48" t="str">
        <f t="shared" si="73"/>
        <v>NA</v>
      </c>
      <c r="AC151" s="54">
        <f t="shared" si="74"/>
        <v>0</v>
      </c>
      <c r="AD151" s="55">
        <f t="shared" si="84"/>
        <v>1</v>
      </c>
      <c r="AE151" s="55"/>
      <c r="AF151" s="55"/>
      <c r="AG151" s="56">
        <v>1</v>
      </c>
      <c r="AH151" s="57">
        <f t="shared" si="86"/>
        <v>594</v>
      </c>
      <c r="AI151" s="56"/>
      <c r="AJ151" s="57" t="str">
        <f t="shared" si="87"/>
        <v/>
      </c>
      <c r="AK151" s="56"/>
      <c r="AL151" s="57" t="str">
        <f t="shared" si="75"/>
        <v/>
      </c>
      <c r="AM151" s="56"/>
      <c r="AN151" s="57" t="str">
        <f t="shared" si="88"/>
        <v/>
      </c>
      <c r="AO151" s="56"/>
      <c r="AP151" s="57" t="str">
        <f t="shared" si="76"/>
        <v/>
      </c>
      <c r="AQ151" s="56"/>
      <c r="AR151" s="57" t="str">
        <f t="shared" si="77"/>
        <v/>
      </c>
      <c r="AS151" s="56"/>
      <c r="AT151" s="57" t="str">
        <f t="shared" si="78"/>
        <v/>
      </c>
      <c r="AU151" s="58"/>
      <c r="AV151" s="59"/>
      <c r="AW151" s="59"/>
      <c r="AX151" s="60"/>
      <c r="AY151" s="61">
        <f t="shared" si="89"/>
        <v>0</v>
      </c>
      <c r="AZ151" s="62" t="str">
        <f t="shared" si="79"/>
        <v/>
      </c>
      <c r="BA151" s="61">
        <f t="shared" si="90"/>
        <v>0</v>
      </c>
      <c r="BB151" s="62" t="str">
        <f t="shared" si="80"/>
        <v/>
      </c>
    </row>
    <row r="152" spans="1:54" s="3" customFormat="1" hidden="1" x14ac:dyDescent="0.35">
      <c r="A152" s="73">
        <f t="shared" si="64"/>
        <v>2017</v>
      </c>
      <c r="B152" s="73" t="str">
        <f t="shared" si="65"/>
        <v>Nov</v>
      </c>
      <c r="C152" s="74">
        <f t="shared" si="81"/>
        <v>16</v>
      </c>
      <c r="D152" s="75">
        <f t="shared" si="66"/>
        <v>10</v>
      </c>
      <c r="E152" s="76">
        <f t="shared" si="67"/>
        <v>48</v>
      </c>
      <c r="F152" s="80"/>
      <c r="G152" s="83"/>
      <c r="H152" s="69" t="str">
        <f t="shared" si="82"/>
        <v>Lacine7_20171116_10_00</v>
      </c>
      <c r="I152" s="70">
        <f t="shared" si="91"/>
        <v>1</v>
      </c>
      <c r="J152" s="77" t="str">
        <f t="shared" si="91"/>
        <v>Lactuca</v>
      </c>
      <c r="K152" s="77" t="str">
        <f t="shared" si="91"/>
        <v>inermis</v>
      </c>
      <c r="L152" s="78">
        <f t="shared" si="91"/>
        <v>7</v>
      </c>
      <c r="M152" s="78">
        <f t="shared" si="91"/>
        <v>3</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84"/>
        <v/>
      </c>
      <c r="AE152" s="55"/>
      <c r="AF152" s="55"/>
      <c r="AG152" s="56" t="str">
        <f t="shared" si="85"/>
        <v/>
      </c>
      <c r="AH152" s="57" t="str">
        <f t="shared" si="86"/>
        <v/>
      </c>
      <c r="AI152" s="56"/>
      <c r="AJ152" s="57" t="str">
        <f t="shared" si="87"/>
        <v/>
      </c>
      <c r="AK152" s="56"/>
      <c r="AL152" s="57" t="str">
        <f t="shared" si="75"/>
        <v/>
      </c>
      <c r="AM152" s="56"/>
      <c r="AN152" s="57" t="str">
        <f t="shared" si="88"/>
        <v/>
      </c>
      <c r="AO152" s="56"/>
      <c r="AP152" s="57" t="str">
        <f t="shared" si="76"/>
        <v/>
      </c>
      <c r="AQ152" s="56"/>
      <c r="AR152" s="57" t="str">
        <f t="shared" si="77"/>
        <v/>
      </c>
      <c r="AS152" s="56"/>
      <c r="AT152" s="57" t="str">
        <f t="shared" si="78"/>
        <v/>
      </c>
      <c r="AU152" s="58"/>
      <c r="AV152" s="59"/>
      <c r="AW152" s="59"/>
      <c r="AX152" s="60"/>
      <c r="AY152" s="61" t="str">
        <f t="shared" si="89"/>
        <v/>
      </c>
      <c r="AZ152" s="62" t="str">
        <f t="shared" si="79"/>
        <v/>
      </c>
      <c r="BA152" s="61" t="str">
        <f t="shared" si="90"/>
        <v/>
      </c>
      <c r="BB152" s="62" t="str">
        <f t="shared" si="80"/>
        <v/>
      </c>
    </row>
    <row r="153" spans="1:54" s="3" customFormat="1" hidden="1" x14ac:dyDescent="0.35">
      <c r="A153" s="73">
        <f t="shared" si="64"/>
        <v>2017</v>
      </c>
      <c r="B153" s="73" t="str">
        <f t="shared" si="65"/>
        <v>Nov</v>
      </c>
      <c r="C153" s="74">
        <f t="shared" si="81"/>
        <v>16</v>
      </c>
      <c r="D153" s="75">
        <f t="shared" si="66"/>
        <v>10</v>
      </c>
      <c r="E153" s="76">
        <f t="shared" si="67"/>
        <v>49</v>
      </c>
      <c r="F153" s="80"/>
      <c r="G153" s="83"/>
      <c r="H153" s="69" t="str">
        <f t="shared" si="82"/>
        <v>Lacine7_20171116_10_00</v>
      </c>
      <c r="I153" s="70">
        <f t="shared" si="91"/>
        <v>1</v>
      </c>
      <c r="J153" s="77" t="str">
        <f t="shared" si="91"/>
        <v>Lactuca</v>
      </c>
      <c r="K153" s="77" t="str">
        <f t="shared" si="91"/>
        <v>inermis</v>
      </c>
      <c r="L153" s="78">
        <f t="shared" si="91"/>
        <v>7</v>
      </c>
      <c r="M153" s="78">
        <f t="shared" si="91"/>
        <v>3</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84"/>
        <v/>
      </c>
      <c r="AE153" s="55"/>
      <c r="AF153" s="55"/>
      <c r="AG153" s="56" t="str">
        <f t="shared" si="85"/>
        <v/>
      </c>
      <c r="AH153" s="57" t="str">
        <f t="shared" si="86"/>
        <v/>
      </c>
      <c r="AI153" s="56"/>
      <c r="AJ153" s="57" t="str">
        <f t="shared" si="87"/>
        <v/>
      </c>
      <c r="AK153" s="56"/>
      <c r="AL153" s="57" t="str">
        <f t="shared" si="75"/>
        <v/>
      </c>
      <c r="AM153" s="56"/>
      <c r="AN153" s="57" t="str">
        <f t="shared" si="88"/>
        <v/>
      </c>
      <c r="AO153" s="56"/>
      <c r="AP153" s="57" t="str">
        <f t="shared" si="76"/>
        <v/>
      </c>
      <c r="AQ153" s="56"/>
      <c r="AR153" s="57" t="str">
        <f t="shared" si="77"/>
        <v/>
      </c>
      <c r="AS153" s="56"/>
      <c r="AT153" s="57" t="str">
        <f t="shared" si="78"/>
        <v/>
      </c>
      <c r="AU153" s="58"/>
      <c r="AV153" s="59"/>
      <c r="AW153" s="59"/>
      <c r="AX153" s="60"/>
      <c r="AY153" s="61" t="str">
        <f t="shared" si="89"/>
        <v/>
      </c>
      <c r="AZ153" s="62" t="str">
        <f t="shared" si="79"/>
        <v/>
      </c>
      <c r="BA153" s="61" t="str">
        <f t="shared" si="90"/>
        <v/>
      </c>
      <c r="BB153" s="62" t="str">
        <f t="shared" si="80"/>
        <v/>
      </c>
    </row>
    <row r="154" spans="1:54" s="3" customFormat="1" hidden="1" x14ac:dyDescent="0.35">
      <c r="A154" s="73">
        <f t="shared" si="64"/>
        <v>2017</v>
      </c>
      <c r="B154" s="73" t="str">
        <f t="shared" si="65"/>
        <v>Nov</v>
      </c>
      <c r="C154" s="74">
        <f t="shared" si="81"/>
        <v>16</v>
      </c>
      <c r="D154" s="75">
        <f t="shared" si="66"/>
        <v>10</v>
      </c>
      <c r="E154" s="76">
        <f t="shared" si="67"/>
        <v>50</v>
      </c>
      <c r="F154" s="80"/>
      <c r="G154" s="83"/>
      <c r="H154" s="69" t="str">
        <f t="shared" si="82"/>
        <v>Lacine7_20171116_10_00</v>
      </c>
      <c r="I154" s="70">
        <f t="shared" si="91"/>
        <v>1</v>
      </c>
      <c r="J154" s="77" t="str">
        <f t="shared" si="91"/>
        <v>Lactuca</v>
      </c>
      <c r="K154" s="77" t="str">
        <f t="shared" si="91"/>
        <v>inermis</v>
      </c>
      <c r="L154" s="78">
        <f t="shared" si="91"/>
        <v>7</v>
      </c>
      <c r="M154" s="78">
        <f t="shared" si="91"/>
        <v>3</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84"/>
        <v/>
      </c>
      <c r="AE154" s="55"/>
      <c r="AF154" s="55"/>
      <c r="AG154" s="56" t="str">
        <f t="shared" si="85"/>
        <v/>
      </c>
      <c r="AH154" s="57" t="str">
        <f t="shared" si="86"/>
        <v/>
      </c>
      <c r="AI154" s="56"/>
      <c r="AJ154" s="57" t="str">
        <f t="shared" si="87"/>
        <v/>
      </c>
      <c r="AK154" s="56"/>
      <c r="AL154" s="57" t="str">
        <f t="shared" si="75"/>
        <v/>
      </c>
      <c r="AM154" s="56"/>
      <c r="AN154" s="57" t="str">
        <f t="shared" si="88"/>
        <v/>
      </c>
      <c r="AO154" s="56"/>
      <c r="AP154" s="57" t="str">
        <f t="shared" si="76"/>
        <v/>
      </c>
      <c r="AQ154" s="56"/>
      <c r="AR154" s="57" t="str">
        <f t="shared" si="77"/>
        <v/>
      </c>
      <c r="AS154" s="56"/>
      <c r="AT154" s="57" t="str">
        <f t="shared" si="78"/>
        <v/>
      </c>
      <c r="AU154" s="58"/>
      <c r="AV154" s="59"/>
      <c r="AW154" s="59"/>
      <c r="AX154" s="60"/>
      <c r="AY154" s="61" t="str">
        <f t="shared" si="89"/>
        <v/>
      </c>
      <c r="AZ154" s="62" t="str">
        <f t="shared" si="79"/>
        <v/>
      </c>
      <c r="BA154" s="61" t="str">
        <f t="shared" si="90"/>
        <v/>
      </c>
      <c r="BB154" s="62" t="str">
        <f t="shared" si="80"/>
        <v/>
      </c>
    </row>
    <row r="155" spans="1:54" s="3" customFormat="1" hidden="1" x14ac:dyDescent="0.35">
      <c r="A155" s="73">
        <f t="shared" si="64"/>
        <v>2017</v>
      </c>
      <c r="B155" s="73" t="str">
        <f t="shared" si="65"/>
        <v>Nov</v>
      </c>
      <c r="C155" s="74">
        <f t="shared" si="81"/>
        <v>16</v>
      </c>
      <c r="D155" s="75">
        <f t="shared" si="66"/>
        <v>10</v>
      </c>
      <c r="E155" s="76">
        <f t="shared" si="67"/>
        <v>51</v>
      </c>
      <c r="F155" s="80"/>
      <c r="G155" s="83"/>
      <c r="H155" s="69" t="str">
        <f t="shared" si="82"/>
        <v>Lacine7_20171116_10_00</v>
      </c>
      <c r="I155" s="70">
        <f t="shared" si="91"/>
        <v>1</v>
      </c>
      <c r="J155" s="77" t="str">
        <f t="shared" si="91"/>
        <v>Lactuca</v>
      </c>
      <c r="K155" s="77" t="str">
        <f t="shared" si="91"/>
        <v>inermis</v>
      </c>
      <c r="L155" s="78">
        <f t="shared" si="91"/>
        <v>7</v>
      </c>
      <c r="M155" s="78">
        <f t="shared" si="91"/>
        <v>3</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84"/>
        <v/>
      </c>
      <c r="AE155" s="55"/>
      <c r="AF155" s="55"/>
      <c r="AG155" s="56" t="str">
        <f t="shared" si="85"/>
        <v/>
      </c>
      <c r="AH155" s="57" t="str">
        <f t="shared" si="86"/>
        <v/>
      </c>
      <c r="AI155" s="56"/>
      <c r="AJ155" s="57" t="str">
        <f t="shared" si="87"/>
        <v/>
      </c>
      <c r="AK155" s="56"/>
      <c r="AL155" s="57" t="str">
        <f t="shared" si="75"/>
        <v/>
      </c>
      <c r="AM155" s="56"/>
      <c r="AN155" s="57" t="str">
        <f t="shared" si="88"/>
        <v/>
      </c>
      <c r="AO155" s="56"/>
      <c r="AP155" s="57" t="str">
        <f t="shared" si="76"/>
        <v/>
      </c>
      <c r="AQ155" s="56"/>
      <c r="AR155" s="57" t="str">
        <f t="shared" si="77"/>
        <v/>
      </c>
      <c r="AS155" s="56"/>
      <c r="AT155" s="57" t="str">
        <f t="shared" si="78"/>
        <v/>
      </c>
      <c r="AU155" s="58"/>
      <c r="AV155" s="59"/>
      <c r="AW155" s="59"/>
      <c r="AX155" s="60"/>
      <c r="AY155" s="61" t="str">
        <f t="shared" si="89"/>
        <v/>
      </c>
      <c r="AZ155" s="62" t="str">
        <f t="shared" si="79"/>
        <v/>
      </c>
      <c r="BA155" s="61" t="str">
        <f t="shared" si="90"/>
        <v/>
      </c>
      <c r="BB155" s="62" t="str">
        <f t="shared" si="80"/>
        <v/>
      </c>
    </row>
    <row r="156" spans="1:54" s="3" customFormat="1" x14ac:dyDescent="0.35">
      <c r="A156" s="73">
        <f t="shared" si="64"/>
        <v>2017</v>
      </c>
      <c r="B156" s="73" t="str">
        <f t="shared" si="65"/>
        <v>Nov</v>
      </c>
      <c r="C156" s="74">
        <f t="shared" si="81"/>
        <v>16</v>
      </c>
      <c r="D156" s="75">
        <f t="shared" si="66"/>
        <v>10</v>
      </c>
      <c r="E156" s="76">
        <f t="shared" si="67"/>
        <v>52</v>
      </c>
      <c r="F156" s="80">
        <v>3</v>
      </c>
      <c r="G156" s="83"/>
      <c r="H156" s="69" t="str">
        <f t="shared" si="82"/>
        <v>Lacine7_20171116_10_00</v>
      </c>
      <c r="I156" s="70">
        <f t="shared" si="91"/>
        <v>1</v>
      </c>
      <c r="J156" s="77" t="str">
        <f t="shared" si="91"/>
        <v>Lactuca</v>
      </c>
      <c r="K156" s="77" t="str">
        <f t="shared" si="91"/>
        <v>inermis</v>
      </c>
      <c r="L156" s="78">
        <f t="shared" si="91"/>
        <v>7</v>
      </c>
      <c r="M156" s="78">
        <f t="shared" si="91"/>
        <v>3</v>
      </c>
      <c r="N156" s="72">
        <f t="shared" si="91"/>
        <v>0</v>
      </c>
      <c r="O156" s="45"/>
      <c r="P156" s="46">
        <f t="shared" si="68"/>
        <v>1</v>
      </c>
      <c r="Q156" s="47" t="str">
        <f t="shared" si="69"/>
        <v>10:52:03</v>
      </c>
      <c r="R156" s="48" t="str">
        <f t="shared" si="70"/>
        <v>52:03</v>
      </c>
      <c r="S156" s="49">
        <f t="shared" si="63"/>
        <v>73</v>
      </c>
      <c r="T156" s="48" t="str">
        <f t="shared" si="71"/>
        <v>10</v>
      </c>
      <c r="U156" s="50">
        <v>53</v>
      </c>
      <c r="V156" s="51">
        <v>16</v>
      </c>
      <c r="W156" s="52" t="str">
        <f t="shared" si="72"/>
        <v>53:16</v>
      </c>
      <c r="X156" s="53" t="s">
        <v>59</v>
      </c>
      <c r="Y156" s="126" t="s">
        <v>67</v>
      </c>
      <c r="Z156" s="126"/>
      <c r="AA156" s="48" t="s">
        <v>60</v>
      </c>
      <c r="AB156" s="48" t="str">
        <f t="shared" si="73"/>
        <v>NA</v>
      </c>
      <c r="AC156" s="54">
        <f t="shared" si="74"/>
        <v>0</v>
      </c>
      <c r="AD156" s="55">
        <f t="shared" si="84"/>
        <v>1</v>
      </c>
      <c r="AE156" s="55"/>
      <c r="AF156" s="55"/>
      <c r="AG156" s="56">
        <v>1</v>
      </c>
      <c r="AH156" s="57">
        <v>33</v>
      </c>
      <c r="AI156" s="56"/>
      <c r="AJ156" s="57" t="str">
        <f t="shared" si="87"/>
        <v/>
      </c>
      <c r="AK156" s="56"/>
      <c r="AL156" s="57" t="str">
        <f t="shared" si="75"/>
        <v/>
      </c>
      <c r="AM156" s="56">
        <v>1</v>
      </c>
      <c r="AN156" s="57">
        <v>40</v>
      </c>
      <c r="AO156" s="56"/>
      <c r="AP156" s="57" t="str">
        <f t="shared" si="76"/>
        <v/>
      </c>
      <c r="AQ156" s="56"/>
      <c r="AR156" s="57" t="str">
        <f t="shared" si="77"/>
        <v/>
      </c>
      <c r="AS156" s="56"/>
      <c r="AT156" s="57" t="str">
        <f t="shared" si="78"/>
        <v/>
      </c>
      <c r="AU156" s="58"/>
      <c r="AV156" s="59"/>
      <c r="AW156" s="59"/>
      <c r="AX156" s="60"/>
      <c r="AY156" s="61">
        <v>1</v>
      </c>
      <c r="AZ156" s="62">
        <f t="shared" si="79"/>
        <v>1</v>
      </c>
      <c r="BA156" s="61">
        <v>1</v>
      </c>
      <c r="BB156" s="62">
        <f t="shared" si="80"/>
        <v>1</v>
      </c>
    </row>
    <row r="157" spans="1:54" s="3" customFormat="1" x14ac:dyDescent="0.35">
      <c r="A157" s="73">
        <f t="shared" si="64"/>
        <v>2017</v>
      </c>
      <c r="B157" s="73" t="str">
        <f t="shared" si="65"/>
        <v>Nov</v>
      </c>
      <c r="C157" s="74">
        <f t="shared" si="81"/>
        <v>16</v>
      </c>
      <c r="D157" s="75">
        <f t="shared" si="66"/>
        <v>10</v>
      </c>
      <c r="E157" s="76">
        <f t="shared" si="67"/>
        <v>53</v>
      </c>
      <c r="F157" s="80">
        <v>18</v>
      </c>
      <c r="G157" s="83"/>
      <c r="H157" s="69" t="str">
        <f t="shared" si="82"/>
        <v>Lacine7_20171116_10_00</v>
      </c>
      <c r="I157" s="70">
        <f t="shared" si="91"/>
        <v>1</v>
      </c>
      <c r="J157" s="77" t="str">
        <f t="shared" si="91"/>
        <v>Lactuca</v>
      </c>
      <c r="K157" s="77" t="str">
        <f t="shared" si="91"/>
        <v>inermis</v>
      </c>
      <c r="L157" s="78">
        <f t="shared" si="91"/>
        <v>7</v>
      </c>
      <c r="M157" s="78">
        <f t="shared" si="91"/>
        <v>3</v>
      </c>
      <c r="N157" s="72">
        <f t="shared" si="91"/>
        <v>0</v>
      </c>
      <c r="O157" s="45"/>
      <c r="P157" s="46">
        <f t="shared" si="68"/>
        <v>1</v>
      </c>
      <c r="Q157" s="47" t="str">
        <f t="shared" si="69"/>
        <v>10:53:18</v>
      </c>
      <c r="R157" s="48" t="str">
        <f t="shared" si="70"/>
        <v>53:18</v>
      </c>
      <c r="S157" s="49">
        <f t="shared" si="63"/>
        <v>103</v>
      </c>
      <c r="T157" s="48" t="str">
        <f t="shared" si="71"/>
        <v>10</v>
      </c>
      <c r="U157" s="50">
        <v>55</v>
      </c>
      <c r="V157" s="51">
        <v>1</v>
      </c>
      <c r="W157" s="52" t="str">
        <f t="shared" si="72"/>
        <v>55:01</v>
      </c>
      <c r="X157" s="53" t="s">
        <v>59</v>
      </c>
      <c r="Y157" s="126" t="s">
        <v>67</v>
      </c>
      <c r="Z157" s="126"/>
      <c r="AA157" s="48" t="s">
        <v>60</v>
      </c>
      <c r="AB157" s="48" t="str">
        <f t="shared" si="73"/>
        <v>NA</v>
      </c>
      <c r="AC157" s="54">
        <f t="shared" si="74"/>
        <v>0</v>
      </c>
      <c r="AD157" s="55">
        <v>2</v>
      </c>
      <c r="AE157" s="55"/>
      <c r="AF157" s="55"/>
      <c r="AG157" s="56">
        <v>1</v>
      </c>
      <c r="AH157" s="57">
        <v>30</v>
      </c>
      <c r="AI157" s="56">
        <v>1</v>
      </c>
      <c r="AJ157" s="57">
        <v>1</v>
      </c>
      <c r="AK157" s="56">
        <v>1</v>
      </c>
      <c r="AL157" s="57">
        <v>22</v>
      </c>
      <c r="AM157" s="56">
        <v>1</v>
      </c>
      <c r="AN157" s="57">
        <v>50</v>
      </c>
      <c r="AO157" s="56"/>
      <c r="AP157" s="57" t="str">
        <f t="shared" si="76"/>
        <v/>
      </c>
      <c r="AQ157" s="56"/>
      <c r="AR157" s="57" t="str">
        <f t="shared" si="77"/>
        <v/>
      </c>
      <c r="AS157" s="56"/>
      <c r="AT157" s="57" t="str">
        <f t="shared" si="78"/>
        <v/>
      </c>
      <c r="AU157" s="58"/>
      <c r="AV157" s="59"/>
      <c r="AW157" s="59"/>
      <c r="AX157" s="60"/>
      <c r="AY157" s="61">
        <v>1</v>
      </c>
      <c r="AZ157" s="62">
        <f t="shared" si="79"/>
        <v>2</v>
      </c>
      <c r="BA157" s="61">
        <v>1</v>
      </c>
      <c r="BB157" s="62">
        <f t="shared" si="80"/>
        <v>2</v>
      </c>
    </row>
    <row r="158" spans="1:54" s="3" customFormat="1" hidden="1" x14ac:dyDescent="0.35">
      <c r="A158" s="73">
        <f t="shared" si="64"/>
        <v>2017</v>
      </c>
      <c r="B158" s="73" t="str">
        <f t="shared" si="65"/>
        <v>Nov</v>
      </c>
      <c r="C158" s="74">
        <f t="shared" si="81"/>
        <v>16</v>
      </c>
      <c r="D158" s="75">
        <f t="shared" si="66"/>
        <v>10</v>
      </c>
      <c r="E158" s="76">
        <f t="shared" si="67"/>
        <v>54</v>
      </c>
      <c r="F158" s="80"/>
      <c r="G158" s="83"/>
      <c r="H158" s="69" t="str">
        <f t="shared" si="82"/>
        <v>Lacine7_20171116_10_00</v>
      </c>
      <c r="I158" s="70">
        <f t="shared" si="91"/>
        <v>1</v>
      </c>
      <c r="J158" s="77" t="str">
        <f t="shared" si="91"/>
        <v>Lactuca</v>
      </c>
      <c r="K158" s="77" t="str">
        <f t="shared" si="91"/>
        <v>inermis</v>
      </c>
      <c r="L158" s="78">
        <f t="shared" si="91"/>
        <v>7</v>
      </c>
      <c r="M158" s="78">
        <f t="shared" si="91"/>
        <v>3</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84"/>
        <v/>
      </c>
      <c r="AE158" s="55"/>
      <c r="AF158" s="55"/>
      <c r="AG158" s="56" t="str">
        <f t="shared" si="85"/>
        <v/>
      </c>
      <c r="AH158" s="57" t="str">
        <f t="shared" si="86"/>
        <v/>
      </c>
      <c r="AI158" s="56"/>
      <c r="AJ158" s="57" t="str">
        <f t="shared" si="87"/>
        <v/>
      </c>
      <c r="AK158" s="56"/>
      <c r="AL158" s="57" t="str">
        <f t="shared" si="75"/>
        <v/>
      </c>
      <c r="AM158" s="56"/>
      <c r="AN158" s="57" t="str">
        <f t="shared" si="88"/>
        <v/>
      </c>
      <c r="AO158" s="56"/>
      <c r="AP158" s="57" t="str">
        <f t="shared" si="76"/>
        <v/>
      </c>
      <c r="AQ158" s="56"/>
      <c r="AR158" s="57" t="str">
        <f t="shared" si="77"/>
        <v/>
      </c>
      <c r="AS158" s="56"/>
      <c r="AT158" s="57" t="str">
        <f t="shared" si="78"/>
        <v/>
      </c>
      <c r="AU158" s="58"/>
      <c r="AV158" s="59"/>
      <c r="AW158" s="59"/>
      <c r="AX158" s="60"/>
      <c r="AY158" s="61" t="str">
        <f t="shared" si="89"/>
        <v/>
      </c>
      <c r="AZ158" s="62" t="str">
        <f t="shared" si="79"/>
        <v/>
      </c>
      <c r="BA158" s="61" t="str">
        <f t="shared" si="90"/>
        <v/>
      </c>
      <c r="BB158" s="62" t="str">
        <f t="shared" si="80"/>
        <v/>
      </c>
    </row>
    <row r="159" spans="1:54" s="3" customFormat="1" hidden="1" x14ac:dyDescent="0.35">
      <c r="A159" s="73">
        <f t="shared" si="64"/>
        <v>2017</v>
      </c>
      <c r="B159" s="73" t="str">
        <f t="shared" si="65"/>
        <v>Nov</v>
      </c>
      <c r="C159" s="74">
        <f t="shared" si="81"/>
        <v>16</v>
      </c>
      <c r="D159" s="75">
        <f t="shared" si="66"/>
        <v>10</v>
      </c>
      <c r="E159" s="76">
        <f t="shared" si="67"/>
        <v>55</v>
      </c>
      <c r="F159" s="80"/>
      <c r="G159" s="83"/>
      <c r="H159" s="69" t="str">
        <f t="shared" si="82"/>
        <v>Lacine7_20171116_10_00</v>
      </c>
      <c r="I159" s="70">
        <f t="shared" si="91"/>
        <v>1</v>
      </c>
      <c r="J159" s="77" t="str">
        <f t="shared" si="91"/>
        <v>Lactuca</v>
      </c>
      <c r="K159" s="77" t="str">
        <f t="shared" si="91"/>
        <v>inermis</v>
      </c>
      <c r="L159" s="78">
        <f t="shared" si="91"/>
        <v>7</v>
      </c>
      <c r="M159" s="78">
        <f t="shared" si="91"/>
        <v>3</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84"/>
        <v/>
      </c>
      <c r="AE159" s="55"/>
      <c r="AF159" s="55"/>
      <c r="AG159" s="56" t="str">
        <f t="shared" si="85"/>
        <v/>
      </c>
      <c r="AH159" s="57" t="str">
        <f t="shared" si="86"/>
        <v/>
      </c>
      <c r="AI159" s="56"/>
      <c r="AJ159" s="57" t="str">
        <f t="shared" si="87"/>
        <v/>
      </c>
      <c r="AK159" s="56"/>
      <c r="AL159" s="57" t="str">
        <f t="shared" si="75"/>
        <v/>
      </c>
      <c r="AM159" s="56"/>
      <c r="AN159" s="57" t="str">
        <f t="shared" si="88"/>
        <v/>
      </c>
      <c r="AO159" s="56"/>
      <c r="AP159" s="57" t="str">
        <f t="shared" si="76"/>
        <v/>
      </c>
      <c r="AQ159" s="56"/>
      <c r="AR159" s="57" t="str">
        <f t="shared" si="77"/>
        <v/>
      </c>
      <c r="AS159" s="56"/>
      <c r="AT159" s="57" t="str">
        <f t="shared" si="78"/>
        <v/>
      </c>
      <c r="AU159" s="58"/>
      <c r="AV159" s="59"/>
      <c r="AW159" s="59"/>
      <c r="AX159" s="60"/>
      <c r="AY159" s="61" t="str">
        <f t="shared" si="89"/>
        <v/>
      </c>
      <c r="AZ159" s="62" t="str">
        <f t="shared" si="79"/>
        <v/>
      </c>
      <c r="BA159" s="61" t="str">
        <f t="shared" si="90"/>
        <v/>
      </c>
      <c r="BB159" s="62" t="str">
        <f t="shared" si="80"/>
        <v/>
      </c>
    </row>
    <row r="160" spans="1:54" s="3" customFormat="1" hidden="1" x14ac:dyDescent="0.35">
      <c r="A160" s="73">
        <f t="shared" si="64"/>
        <v>2017</v>
      </c>
      <c r="B160" s="73" t="str">
        <f t="shared" si="65"/>
        <v>Nov</v>
      </c>
      <c r="C160" s="74">
        <f t="shared" si="81"/>
        <v>16</v>
      </c>
      <c r="D160" s="75">
        <f t="shared" si="66"/>
        <v>10</v>
      </c>
      <c r="E160" s="76">
        <f t="shared" si="67"/>
        <v>56</v>
      </c>
      <c r="F160" s="80"/>
      <c r="G160" s="83"/>
      <c r="H160" s="69" t="str">
        <f t="shared" si="82"/>
        <v>Lacine7_20171116_10_00</v>
      </c>
      <c r="I160" s="70">
        <f t="shared" si="91"/>
        <v>1</v>
      </c>
      <c r="J160" s="77" t="str">
        <f t="shared" si="91"/>
        <v>Lactuca</v>
      </c>
      <c r="K160" s="77" t="str">
        <f t="shared" si="91"/>
        <v>inermis</v>
      </c>
      <c r="L160" s="78">
        <f t="shared" si="91"/>
        <v>7</v>
      </c>
      <c r="M160" s="78">
        <f t="shared" si="91"/>
        <v>3</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84"/>
        <v/>
      </c>
      <c r="AE160" s="55"/>
      <c r="AF160" s="55"/>
      <c r="AG160" s="56" t="str">
        <f t="shared" si="85"/>
        <v/>
      </c>
      <c r="AH160" s="57" t="str">
        <f t="shared" si="86"/>
        <v/>
      </c>
      <c r="AI160" s="56"/>
      <c r="AJ160" s="57" t="str">
        <f t="shared" si="87"/>
        <v/>
      </c>
      <c r="AK160" s="56"/>
      <c r="AL160" s="57" t="str">
        <f t="shared" si="75"/>
        <v/>
      </c>
      <c r="AM160" s="56"/>
      <c r="AN160" s="57" t="str">
        <f t="shared" si="88"/>
        <v/>
      </c>
      <c r="AO160" s="56"/>
      <c r="AP160" s="57" t="str">
        <f t="shared" si="76"/>
        <v/>
      </c>
      <c r="AQ160" s="56"/>
      <c r="AR160" s="57" t="str">
        <f t="shared" si="77"/>
        <v/>
      </c>
      <c r="AS160" s="56"/>
      <c r="AT160" s="57" t="str">
        <f t="shared" si="78"/>
        <v/>
      </c>
      <c r="AU160" s="58"/>
      <c r="AV160" s="59"/>
      <c r="AW160" s="59"/>
      <c r="AX160" s="60"/>
      <c r="AY160" s="61" t="str">
        <f t="shared" si="89"/>
        <v/>
      </c>
      <c r="AZ160" s="62" t="str">
        <f t="shared" si="79"/>
        <v/>
      </c>
      <c r="BA160" s="61" t="str">
        <f t="shared" si="90"/>
        <v/>
      </c>
      <c r="BB160" s="62" t="str">
        <f t="shared" si="80"/>
        <v/>
      </c>
    </row>
    <row r="161" spans="1:54" s="3" customFormat="1" hidden="1" x14ac:dyDescent="0.35">
      <c r="A161" s="73">
        <f t="shared" si="64"/>
        <v>2017</v>
      </c>
      <c r="B161" s="73" t="str">
        <f t="shared" si="65"/>
        <v>Nov</v>
      </c>
      <c r="C161" s="74">
        <f t="shared" si="81"/>
        <v>16</v>
      </c>
      <c r="D161" s="75">
        <f t="shared" si="66"/>
        <v>10</v>
      </c>
      <c r="E161" s="76">
        <f t="shared" si="67"/>
        <v>57</v>
      </c>
      <c r="F161" s="80"/>
      <c r="G161" s="83"/>
      <c r="H161" s="69" t="str">
        <f t="shared" si="82"/>
        <v>Lacine7_20171116_10_00</v>
      </c>
      <c r="I161" s="70">
        <f t="shared" si="91"/>
        <v>1</v>
      </c>
      <c r="J161" s="77" t="str">
        <f t="shared" si="91"/>
        <v>Lactuca</v>
      </c>
      <c r="K161" s="77" t="str">
        <f t="shared" si="91"/>
        <v>inermis</v>
      </c>
      <c r="L161" s="78">
        <f t="shared" si="91"/>
        <v>7</v>
      </c>
      <c r="M161" s="78">
        <f t="shared" si="91"/>
        <v>3</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84"/>
        <v/>
      </c>
      <c r="AE161" s="55"/>
      <c r="AF161" s="55"/>
      <c r="AG161" s="56" t="str">
        <f t="shared" si="85"/>
        <v/>
      </c>
      <c r="AH161" s="57" t="str">
        <f t="shared" si="86"/>
        <v/>
      </c>
      <c r="AI161" s="56"/>
      <c r="AJ161" s="57" t="str">
        <f t="shared" si="87"/>
        <v/>
      </c>
      <c r="AK161" s="56"/>
      <c r="AL161" s="57" t="str">
        <f t="shared" si="75"/>
        <v/>
      </c>
      <c r="AM161" s="56"/>
      <c r="AN161" s="57" t="str">
        <f t="shared" si="88"/>
        <v/>
      </c>
      <c r="AO161" s="56"/>
      <c r="AP161" s="57" t="str">
        <f t="shared" si="76"/>
        <v/>
      </c>
      <c r="AQ161" s="56"/>
      <c r="AR161" s="57" t="str">
        <f t="shared" si="77"/>
        <v/>
      </c>
      <c r="AS161" s="56"/>
      <c r="AT161" s="57" t="str">
        <f t="shared" si="78"/>
        <v/>
      </c>
      <c r="AU161" s="58"/>
      <c r="AV161" s="59"/>
      <c r="AW161" s="59"/>
      <c r="AX161" s="60"/>
      <c r="AY161" s="61" t="str">
        <f t="shared" si="89"/>
        <v/>
      </c>
      <c r="AZ161" s="62" t="str">
        <f t="shared" si="79"/>
        <v/>
      </c>
      <c r="BA161" s="61" t="str">
        <f t="shared" si="90"/>
        <v/>
      </c>
      <c r="BB161" s="62" t="str">
        <f t="shared" si="80"/>
        <v/>
      </c>
    </row>
    <row r="162" spans="1:54" s="3" customFormat="1" hidden="1" x14ac:dyDescent="0.35">
      <c r="A162" s="73">
        <f t="shared" si="64"/>
        <v>2017</v>
      </c>
      <c r="B162" s="73" t="str">
        <f t="shared" si="65"/>
        <v>Nov</v>
      </c>
      <c r="C162" s="74">
        <f t="shared" si="81"/>
        <v>16</v>
      </c>
      <c r="D162" s="75">
        <f t="shared" si="66"/>
        <v>10</v>
      </c>
      <c r="E162" s="76">
        <f t="shared" si="67"/>
        <v>58</v>
      </c>
      <c r="F162" s="80"/>
      <c r="G162" s="83"/>
      <c r="H162" s="69" t="str">
        <f t="shared" si="82"/>
        <v>Lacine7_20171116_10_00</v>
      </c>
      <c r="I162" s="70">
        <f t="shared" si="91"/>
        <v>1</v>
      </c>
      <c r="J162" s="77" t="str">
        <f t="shared" si="91"/>
        <v>Lactuca</v>
      </c>
      <c r="K162" s="77" t="str">
        <f t="shared" si="91"/>
        <v>inermis</v>
      </c>
      <c r="L162" s="78">
        <f t="shared" si="91"/>
        <v>7</v>
      </c>
      <c r="M162" s="78">
        <f t="shared" si="91"/>
        <v>3</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84"/>
        <v/>
      </c>
      <c r="AE162" s="55"/>
      <c r="AF162" s="55"/>
      <c r="AG162" s="56" t="str">
        <f t="shared" si="85"/>
        <v/>
      </c>
      <c r="AH162" s="57" t="str">
        <f t="shared" si="86"/>
        <v/>
      </c>
      <c r="AI162" s="56"/>
      <c r="AJ162" s="57" t="str">
        <f t="shared" si="87"/>
        <v/>
      </c>
      <c r="AK162" s="56"/>
      <c r="AL162" s="57" t="str">
        <f t="shared" si="75"/>
        <v/>
      </c>
      <c r="AM162" s="56"/>
      <c r="AN162" s="57" t="str">
        <f t="shared" si="88"/>
        <v/>
      </c>
      <c r="AO162" s="56"/>
      <c r="AP162" s="57" t="str">
        <f t="shared" si="76"/>
        <v/>
      </c>
      <c r="AQ162" s="56"/>
      <c r="AR162" s="57" t="str">
        <f t="shared" si="77"/>
        <v/>
      </c>
      <c r="AS162" s="56"/>
      <c r="AT162" s="57" t="str">
        <f t="shared" si="78"/>
        <v/>
      </c>
      <c r="AU162" s="58"/>
      <c r="AV162" s="59"/>
      <c r="AW162" s="59"/>
      <c r="AX162" s="60"/>
      <c r="AY162" s="61" t="str">
        <f t="shared" si="89"/>
        <v/>
      </c>
      <c r="AZ162" s="62" t="str">
        <f t="shared" si="79"/>
        <v/>
      </c>
      <c r="BA162" s="61" t="str">
        <f t="shared" si="90"/>
        <v/>
      </c>
      <c r="BB162" s="62" t="str">
        <f t="shared" si="80"/>
        <v/>
      </c>
    </row>
    <row r="163" spans="1:54" s="3" customFormat="1" hidden="1" x14ac:dyDescent="0.35">
      <c r="A163" s="73">
        <f t="shared" si="64"/>
        <v>2017</v>
      </c>
      <c r="B163" s="73" t="str">
        <f t="shared" si="65"/>
        <v>Nov</v>
      </c>
      <c r="C163" s="74">
        <f t="shared" si="81"/>
        <v>16</v>
      </c>
      <c r="D163" s="75">
        <f t="shared" si="66"/>
        <v>10</v>
      </c>
      <c r="E163" s="76">
        <f t="shared" si="67"/>
        <v>59</v>
      </c>
      <c r="F163" s="80"/>
      <c r="G163" s="83"/>
      <c r="H163" s="69" t="str">
        <f t="shared" si="82"/>
        <v>Lacine7_20171116_10_00</v>
      </c>
      <c r="I163" s="70">
        <f t="shared" si="91"/>
        <v>1</v>
      </c>
      <c r="J163" s="77" t="str">
        <f t="shared" si="91"/>
        <v>Lactuca</v>
      </c>
      <c r="K163" s="77" t="str">
        <f t="shared" si="91"/>
        <v>inermis</v>
      </c>
      <c r="L163" s="78">
        <f t="shared" si="91"/>
        <v>7</v>
      </c>
      <c r="M163" s="78">
        <f t="shared" si="91"/>
        <v>3</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84"/>
        <v/>
      </c>
      <c r="AE163" s="55"/>
      <c r="AF163" s="55"/>
      <c r="AG163" s="56" t="str">
        <f t="shared" si="85"/>
        <v/>
      </c>
      <c r="AH163" s="57" t="str">
        <f t="shared" si="86"/>
        <v/>
      </c>
      <c r="AI163" s="56"/>
      <c r="AJ163" s="57" t="str">
        <f t="shared" si="87"/>
        <v/>
      </c>
      <c r="AK163" s="56"/>
      <c r="AL163" s="57" t="str">
        <f t="shared" si="75"/>
        <v/>
      </c>
      <c r="AM163" s="56"/>
      <c r="AN163" s="57" t="str">
        <f t="shared" si="88"/>
        <v/>
      </c>
      <c r="AO163" s="56"/>
      <c r="AP163" s="57" t="str">
        <f t="shared" si="76"/>
        <v/>
      </c>
      <c r="AQ163" s="56"/>
      <c r="AR163" s="57" t="str">
        <f t="shared" si="77"/>
        <v/>
      </c>
      <c r="AS163" s="56"/>
      <c r="AT163" s="57" t="str">
        <f t="shared" si="78"/>
        <v/>
      </c>
      <c r="AU163" s="58"/>
      <c r="AV163" s="59"/>
      <c r="AW163" s="59"/>
      <c r="AX163" s="60"/>
      <c r="AY163" s="61" t="str">
        <f t="shared" si="89"/>
        <v/>
      </c>
      <c r="AZ163" s="62" t="str">
        <f t="shared" si="79"/>
        <v/>
      </c>
      <c r="BA163" s="61" t="str">
        <f t="shared" si="90"/>
        <v/>
      </c>
      <c r="BB163" s="62" t="str">
        <f t="shared" si="80"/>
        <v/>
      </c>
    </row>
    <row r="164" spans="1:54" s="3" customFormat="1" hidden="1" x14ac:dyDescent="0.35">
      <c r="A164" s="73">
        <f t="shared" si="64"/>
        <v>2017</v>
      </c>
      <c r="B164" s="73" t="str">
        <f t="shared" si="65"/>
        <v>Nov</v>
      </c>
      <c r="C164" s="74">
        <f t="shared" si="81"/>
        <v>16</v>
      </c>
      <c r="D164" s="75">
        <f t="shared" si="66"/>
        <v>11</v>
      </c>
      <c r="E164" s="76">
        <f t="shared" si="67"/>
        <v>0</v>
      </c>
      <c r="F164" s="80"/>
      <c r="G164" s="83"/>
      <c r="H164" s="69" t="str">
        <f t="shared" si="82"/>
        <v>Lacine7_20171116_11_00</v>
      </c>
      <c r="I164" s="70">
        <f t="shared" si="91"/>
        <v>1</v>
      </c>
      <c r="J164" s="77" t="str">
        <f t="shared" si="91"/>
        <v>Lactuca</v>
      </c>
      <c r="K164" s="77" t="str">
        <f t="shared" si="91"/>
        <v>inermis</v>
      </c>
      <c r="L164" s="78">
        <f t="shared" si="91"/>
        <v>7</v>
      </c>
      <c r="M164" s="78">
        <f t="shared" si="91"/>
        <v>3</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84"/>
        <v/>
      </c>
      <c r="AE164" s="55"/>
      <c r="AF164" s="55"/>
      <c r="AG164" s="56" t="str">
        <f t="shared" si="85"/>
        <v/>
      </c>
      <c r="AH164" s="57" t="str">
        <f t="shared" si="86"/>
        <v/>
      </c>
      <c r="AI164" s="56"/>
      <c r="AJ164" s="57" t="str">
        <f t="shared" si="87"/>
        <v/>
      </c>
      <c r="AK164" s="56"/>
      <c r="AL164" s="57" t="str">
        <f t="shared" si="75"/>
        <v/>
      </c>
      <c r="AM164" s="56"/>
      <c r="AN164" s="57" t="str">
        <f t="shared" si="88"/>
        <v/>
      </c>
      <c r="AO164" s="56"/>
      <c r="AP164" s="57" t="str">
        <f t="shared" si="76"/>
        <v/>
      </c>
      <c r="AQ164" s="56"/>
      <c r="AR164" s="57" t="str">
        <f t="shared" si="77"/>
        <v/>
      </c>
      <c r="AS164" s="56"/>
      <c r="AT164" s="57" t="str">
        <f t="shared" si="78"/>
        <v/>
      </c>
      <c r="AU164" s="58"/>
      <c r="AV164" s="59"/>
      <c r="AW164" s="59"/>
      <c r="AX164" s="60"/>
      <c r="AY164" s="61" t="str">
        <f t="shared" si="89"/>
        <v/>
      </c>
      <c r="AZ164" s="62" t="str">
        <f t="shared" si="79"/>
        <v/>
      </c>
      <c r="BA164" s="61" t="str">
        <f t="shared" si="90"/>
        <v/>
      </c>
      <c r="BB164" s="62" t="str">
        <f t="shared" si="80"/>
        <v/>
      </c>
    </row>
    <row r="165" spans="1:54" s="3" customFormat="1" hidden="1" x14ac:dyDescent="0.35">
      <c r="A165" s="73">
        <f t="shared" si="64"/>
        <v>2017</v>
      </c>
      <c r="B165" s="73" t="str">
        <f t="shared" si="65"/>
        <v>Nov</v>
      </c>
      <c r="C165" s="74">
        <f t="shared" si="81"/>
        <v>16</v>
      </c>
      <c r="D165" s="75">
        <f t="shared" si="66"/>
        <v>11</v>
      </c>
      <c r="E165" s="76">
        <f t="shared" si="67"/>
        <v>1</v>
      </c>
      <c r="F165" s="80"/>
      <c r="G165" s="83"/>
      <c r="H165" s="69" t="str">
        <f t="shared" si="82"/>
        <v>Lacine7_20171116_11_00</v>
      </c>
      <c r="I165" s="70">
        <f t="shared" ref="I165:N180" si="92">I164</f>
        <v>1</v>
      </c>
      <c r="J165" s="77" t="str">
        <f t="shared" si="92"/>
        <v>Lactuca</v>
      </c>
      <c r="K165" s="77" t="str">
        <f t="shared" si="92"/>
        <v>inermis</v>
      </c>
      <c r="L165" s="78">
        <f t="shared" si="92"/>
        <v>7</v>
      </c>
      <c r="M165" s="78">
        <f t="shared" si="92"/>
        <v>3</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84"/>
        <v/>
      </c>
      <c r="AE165" s="55"/>
      <c r="AF165" s="55"/>
      <c r="AG165" s="56" t="str">
        <f t="shared" si="85"/>
        <v/>
      </c>
      <c r="AH165" s="57" t="str">
        <f t="shared" si="86"/>
        <v/>
      </c>
      <c r="AI165" s="56"/>
      <c r="AJ165" s="57" t="str">
        <f t="shared" si="87"/>
        <v/>
      </c>
      <c r="AK165" s="56"/>
      <c r="AL165" s="57" t="str">
        <f t="shared" si="75"/>
        <v/>
      </c>
      <c r="AM165" s="56"/>
      <c r="AN165" s="57" t="str">
        <f t="shared" si="88"/>
        <v/>
      </c>
      <c r="AO165" s="56"/>
      <c r="AP165" s="57" t="str">
        <f t="shared" si="76"/>
        <v/>
      </c>
      <c r="AQ165" s="56"/>
      <c r="AR165" s="57" t="str">
        <f t="shared" si="77"/>
        <v/>
      </c>
      <c r="AS165" s="56"/>
      <c r="AT165" s="57" t="str">
        <f t="shared" si="78"/>
        <v/>
      </c>
      <c r="AU165" s="58"/>
      <c r="AV165" s="59"/>
      <c r="AW165" s="59"/>
      <c r="AX165" s="60"/>
      <c r="AY165" s="61" t="str">
        <f t="shared" si="89"/>
        <v/>
      </c>
      <c r="AZ165" s="62" t="str">
        <f t="shared" si="79"/>
        <v/>
      </c>
      <c r="BA165" s="61" t="str">
        <f t="shared" si="90"/>
        <v/>
      </c>
      <c r="BB165" s="62" t="str">
        <f t="shared" si="80"/>
        <v/>
      </c>
    </row>
    <row r="166" spans="1:54" s="3" customFormat="1" hidden="1" x14ac:dyDescent="0.35">
      <c r="A166" s="73">
        <f t="shared" si="64"/>
        <v>2017</v>
      </c>
      <c r="B166" s="73" t="str">
        <f t="shared" si="65"/>
        <v>Nov</v>
      </c>
      <c r="C166" s="74">
        <f t="shared" si="81"/>
        <v>16</v>
      </c>
      <c r="D166" s="75">
        <f t="shared" si="66"/>
        <v>11</v>
      </c>
      <c r="E166" s="76">
        <f t="shared" si="67"/>
        <v>2</v>
      </c>
      <c r="F166" s="80"/>
      <c r="G166" s="83"/>
      <c r="H166" s="69" t="str">
        <f t="shared" si="82"/>
        <v>Lacine7_20171116_11_00</v>
      </c>
      <c r="I166" s="70">
        <f t="shared" si="92"/>
        <v>1</v>
      </c>
      <c r="J166" s="77" t="str">
        <f t="shared" si="92"/>
        <v>Lactuca</v>
      </c>
      <c r="K166" s="77" t="str">
        <f t="shared" si="92"/>
        <v>inermis</v>
      </c>
      <c r="L166" s="78">
        <f t="shared" si="92"/>
        <v>7</v>
      </c>
      <c r="M166" s="78">
        <f t="shared" si="92"/>
        <v>3</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84"/>
        <v/>
      </c>
      <c r="AE166" s="55"/>
      <c r="AF166" s="55"/>
      <c r="AG166" s="56" t="str">
        <f t="shared" si="85"/>
        <v/>
      </c>
      <c r="AH166" s="57" t="str">
        <f t="shared" si="86"/>
        <v/>
      </c>
      <c r="AI166" s="56"/>
      <c r="AJ166" s="57" t="str">
        <f t="shared" si="87"/>
        <v/>
      </c>
      <c r="AK166" s="56"/>
      <c r="AL166" s="57" t="str">
        <f t="shared" si="75"/>
        <v/>
      </c>
      <c r="AM166" s="56"/>
      <c r="AN166" s="57" t="str">
        <f t="shared" si="88"/>
        <v/>
      </c>
      <c r="AO166" s="56"/>
      <c r="AP166" s="57" t="str">
        <f t="shared" si="76"/>
        <v/>
      </c>
      <c r="AQ166" s="56"/>
      <c r="AR166" s="57" t="str">
        <f t="shared" si="77"/>
        <v/>
      </c>
      <c r="AS166" s="56"/>
      <c r="AT166" s="57" t="str">
        <f t="shared" si="78"/>
        <v/>
      </c>
      <c r="AU166" s="58"/>
      <c r="AV166" s="59"/>
      <c r="AW166" s="59"/>
      <c r="AX166" s="60"/>
      <c r="AY166" s="61" t="str">
        <f t="shared" si="89"/>
        <v/>
      </c>
      <c r="AZ166" s="62" t="str">
        <f t="shared" si="79"/>
        <v/>
      </c>
      <c r="BA166" s="61" t="str">
        <f t="shared" si="90"/>
        <v/>
      </c>
      <c r="BB166" s="62" t="str">
        <f t="shared" si="80"/>
        <v/>
      </c>
    </row>
    <row r="167" spans="1:54" s="3" customFormat="1" hidden="1" x14ac:dyDescent="0.35">
      <c r="A167" s="73">
        <f t="shared" si="64"/>
        <v>2017</v>
      </c>
      <c r="B167" s="73" t="str">
        <f t="shared" si="65"/>
        <v>Nov</v>
      </c>
      <c r="C167" s="74">
        <f t="shared" si="81"/>
        <v>16</v>
      </c>
      <c r="D167" s="75">
        <f t="shared" si="66"/>
        <v>11</v>
      </c>
      <c r="E167" s="76">
        <f t="shared" si="67"/>
        <v>3</v>
      </c>
      <c r="F167" s="80"/>
      <c r="G167" s="83"/>
      <c r="H167" s="69" t="str">
        <f t="shared" si="82"/>
        <v>Lacine7_20171116_11_00</v>
      </c>
      <c r="I167" s="70">
        <f t="shared" si="92"/>
        <v>1</v>
      </c>
      <c r="J167" s="77" t="str">
        <f t="shared" si="92"/>
        <v>Lactuca</v>
      </c>
      <c r="K167" s="77" t="str">
        <f t="shared" si="92"/>
        <v>inermis</v>
      </c>
      <c r="L167" s="78">
        <f t="shared" si="92"/>
        <v>7</v>
      </c>
      <c r="M167" s="78">
        <f t="shared" si="92"/>
        <v>3</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84"/>
        <v/>
      </c>
      <c r="AE167" s="55"/>
      <c r="AF167" s="55"/>
      <c r="AG167" s="56" t="str">
        <f t="shared" si="85"/>
        <v/>
      </c>
      <c r="AH167" s="57" t="str">
        <f t="shared" si="86"/>
        <v/>
      </c>
      <c r="AI167" s="56"/>
      <c r="AJ167" s="57" t="str">
        <f t="shared" si="87"/>
        <v/>
      </c>
      <c r="AK167" s="56"/>
      <c r="AL167" s="57" t="str">
        <f t="shared" si="75"/>
        <v/>
      </c>
      <c r="AM167" s="56"/>
      <c r="AN167" s="57" t="str">
        <f t="shared" si="88"/>
        <v/>
      </c>
      <c r="AO167" s="56"/>
      <c r="AP167" s="57" t="str">
        <f t="shared" si="76"/>
        <v/>
      </c>
      <c r="AQ167" s="56"/>
      <c r="AR167" s="57" t="str">
        <f t="shared" si="77"/>
        <v/>
      </c>
      <c r="AS167" s="56"/>
      <c r="AT167" s="57" t="str">
        <f t="shared" si="78"/>
        <v/>
      </c>
      <c r="AU167" s="58"/>
      <c r="AV167" s="59"/>
      <c r="AW167" s="59"/>
      <c r="AX167" s="60"/>
      <c r="AY167" s="61" t="str">
        <f t="shared" si="89"/>
        <v/>
      </c>
      <c r="AZ167" s="62" t="str">
        <f t="shared" si="79"/>
        <v/>
      </c>
      <c r="BA167" s="61" t="str">
        <f t="shared" si="90"/>
        <v/>
      </c>
      <c r="BB167" s="62" t="str">
        <f t="shared" si="80"/>
        <v/>
      </c>
    </row>
    <row r="168" spans="1:54" s="3" customFormat="1" hidden="1" x14ac:dyDescent="0.35">
      <c r="A168" s="73">
        <f t="shared" si="64"/>
        <v>2017</v>
      </c>
      <c r="B168" s="73" t="str">
        <f t="shared" si="65"/>
        <v>Nov</v>
      </c>
      <c r="C168" s="74">
        <f t="shared" si="81"/>
        <v>16</v>
      </c>
      <c r="D168" s="75">
        <f t="shared" si="66"/>
        <v>11</v>
      </c>
      <c r="E168" s="76">
        <f t="shared" si="67"/>
        <v>4</v>
      </c>
      <c r="F168" s="80"/>
      <c r="G168" s="83"/>
      <c r="H168" s="69" t="str">
        <f t="shared" si="82"/>
        <v>Lacine7_20171116_11_00</v>
      </c>
      <c r="I168" s="70">
        <f t="shared" si="92"/>
        <v>1</v>
      </c>
      <c r="J168" s="77" t="str">
        <f t="shared" si="92"/>
        <v>Lactuca</v>
      </c>
      <c r="K168" s="77" t="str">
        <f t="shared" si="92"/>
        <v>inermis</v>
      </c>
      <c r="L168" s="78">
        <f t="shared" si="92"/>
        <v>7</v>
      </c>
      <c r="M168" s="78">
        <f t="shared" si="92"/>
        <v>3</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84"/>
        <v/>
      </c>
      <c r="AE168" s="55"/>
      <c r="AF168" s="55"/>
      <c r="AG168" s="56" t="str">
        <f t="shared" si="85"/>
        <v/>
      </c>
      <c r="AH168" s="57" t="str">
        <f t="shared" si="86"/>
        <v/>
      </c>
      <c r="AI168" s="56"/>
      <c r="AJ168" s="57" t="str">
        <f t="shared" si="87"/>
        <v/>
      </c>
      <c r="AK168" s="56"/>
      <c r="AL168" s="57" t="str">
        <f t="shared" si="75"/>
        <v/>
      </c>
      <c r="AM168" s="56"/>
      <c r="AN168" s="57" t="str">
        <f t="shared" si="88"/>
        <v/>
      </c>
      <c r="AO168" s="56"/>
      <c r="AP168" s="57" t="str">
        <f t="shared" si="76"/>
        <v/>
      </c>
      <c r="AQ168" s="56"/>
      <c r="AR168" s="57" t="str">
        <f t="shared" si="77"/>
        <v/>
      </c>
      <c r="AS168" s="56"/>
      <c r="AT168" s="57" t="str">
        <f t="shared" si="78"/>
        <v/>
      </c>
      <c r="AU168" s="58"/>
      <c r="AV168" s="59"/>
      <c r="AW168" s="59"/>
      <c r="AX168" s="60"/>
      <c r="AY168" s="61" t="str">
        <f t="shared" si="89"/>
        <v/>
      </c>
      <c r="AZ168" s="62" t="str">
        <f t="shared" si="79"/>
        <v/>
      </c>
      <c r="BA168" s="61" t="str">
        <f t="shared" si="90"/>
        <v/>
      </c>
      <c r="BB168" s="62" t="str">
        <f t="shared" si="80"/>
        <v/>
      </c>
    </row>
    <row r="169" spans="1:54" s="3" customFormat="1" hidden="1" x14ac:dyDescent="0.35">
      <c r="A169" s="73">
        <f t="shared" si="64"/>
        <v>2017</v>
      </c>
      <c r="B169" s="73" t="str">
        <f t="shared" si="65"/>
        <v>Nov</v>
      </c>
      <c r="C169" s="74">
        <f t="shared" si="81"/>
        <v>16</v>
      </c>
      <c r="D169" s="75">
        <f t="shared" si="66"/>
        <v>11</v>
      </c>
      <c r="E169" s="76">
        <f t="shared" si="67"/>
        <v>5</v>
      </c>
      <c r="F169" s="80"/>
      <c r="G169" s="83"/>
      <c r="H169" s="69" t="str">
        <f t="shared" si="82"/>
        <v>Lacine7_20171116_11_00</v>
      </c>
      <c r="I169" s="70">
        <f t="shared" si="92"/>
        <v>1</v>
      </c>
      <c r="J169" s="77" t="str">
        <f t="shared" si="92"/>
        <v>Lactuca</v>
      </c>
      <c r="K169" s="77" t="str">
        <f t="shared" si="92"/>
        <v>inermis</v>
      </c>
      <c r="L169" s="78">
        <f t="shared" si="92"/>
        <v>7</v>
      </c>
      <c r="M169" s="78">
        <f t="shared" si="92"/>
        <v>3</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84"/>
        <v/>
      </c>
      <c r="AE169" s="55"/>
      <c r="AF169" s="55"/>
      <c r="AG169" s="56" t="str">
        <f t="shared" si="85"/>
        <v/>
      </c>
      <c r="AH169" s="57" t="str">
        <f t="shared" si="86"/>
        <v/>
      </c>
      <c r="AI169" s="56"/>
      <c r="AJ169" s="57" t="str">
        <f t="shared" si="87"/>
        <v/>
      </c>
      <c r="AK169" s="56"/>
      <c r="AL169" s="57" t="str">
        <f t="shared" si="75"/>
        <v/>
      </c>
      <c r="AM169" s="56"/>
      <c r="AN169" s="57" t="str">
        <f t="shared" si="88"/>
        <v/>
      </c>
      <c r="AO169" s="56"/>
      <c r="AP169" s="57" t="str">
        <f t="shared" si="76"/>
        <v/>
      </c>
      <c r="AQ169" s="56"/>
      <c r="AR169" s="57" t="str">
        <f t="shared" si="77"/>
        <v/>
      </c>
      <c r="AS169" s="56"/>
      <c r="AT169" s="57" t="str">
        <f t="shared" si="78"/>
        <v/>
      </c>
      <c r="AU169" s="58"/>
      <c r="AV169" s="59"/>
      <c r="AW169" s="59"/>
      <c r="AX169" s="60"/>
      <c r="AY169" s="61" t="str">
        <f t="shared" si="89"/>
        <v/>
      </c>
      <c r="AZ169" s="62" t="str">
        <f t="shared" si="79"/>
        <v/>
      </c>
      <c r="BA169" s="61" t="str">
        <f t="shared" si="90"/>
        <v/>
      </c>
      <c r="BB169" s="62" t="str">
        <f t="shared" si="80"/>
        <v/>
      </c>
    </row>
    <row r="170" spans="1:54" s="3" customFormat="1" hidden="1" x14ac:dyDescent="0.35">
      <c r="A170" s="73">
        <f t="shared" si="64"/>
        <v>2017</v>
      </c>
      <c r="B170" s="73" t="str">
        <f t="shared" si="65"/>
        <v>Nov</v>
      </c>
      <c r="C170" s="74">
        <f t="shared" si="81"/>
        <v>16</v>
      </c>
      <c r="D170" s="75">
        <f t="shared" si="66"/>
        <v>11</v>
      </c>
      <c r="E170" s="76">
        <f t="shared" si="67"/>
        <v>6</v>
      </c>
      <c r="F170" s="80"/>
      <c r="G170" s="83"/>
      <c r="H170" s="69" t="str">
        <f t="shared" si="82"/>
        <v>Lacine7_20171116_11_00</v>
      </c>
      <c r="I170" s="70">
        <f t="shared" si="92"/>
        <v>1</v>
      </c>
      <c r="J170" s="77" t="str">
        <f t="shared" si="92"/>
        <v>Lactuca</v>
      </c>
      <c r="K170" s="77" t="str">
        <f t="shared" si="92"/>
        <v>inermis</v>
      </c>
      <c r="L170" s="78">
        <f t="shared" si="92"/>
        <v>7</v>
      </c>
      <c r="M170" s="78">
        <f t="shared" si="92"/>
        <v>3</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84"/>
        <v/>
      </c>
      <c r="AE170" s="55"/>
      <c r="AF170" s="55"/>
      <c r="AG170" s="56" t="str">
        <f t="shared" si="85"/>
        <v/>
      </c>
      <c r="AH170" s="57" t="str">
        <f t="shared" si="86"/>
        <v/>
      </c>
      <c r="AI170" s="56"/>
      <c r="AJ170" s="57" t="str">
        <f t="shared" si="87"/>
        <v/>
      </c>
      <c r="AK170" s="56"/>
      <c r="AL170" s="57" t="str">
        <f t="shared" si="75"/>
        <v/>
      </c>
      <c r="AM170" s="56"/>
      <c r="AN170" s="57" t="str">
        <f t="shared" si="88"/>
        <v/>
      </c>
      <c r="AO170" s="56"/>
      <c r="AP170" s="57" t="str">
        <f t="shared" si="76"/>
        <v/>
      </c>
      <c r="AQ170" s="56"/>
      <c r="AR170" s="57" t="str">
        <f t="shared" si="77"/>
        <v/>
      </c>
      <c r="AS170" s="56"/>
      <c r="AT170" s="57" t="str">
        <f t="shared" si="78"/>
        <v/>
      </c>
      <c r="AU170" s="58"/>
      <c r="AV170" s="59"/>
      <c r="AW170" s="59"/>
      <c r="AX170" s="60"/>
      <c r="AY170" s="61" t="str">
        <f t="shared" si="89"/>
        <v/>
      </c>
      <c r="AZ170" s="62" t="str">
        <f t="shared" si="79"/>
        <v/>
      </c>
      <c r="BA170" s="61" t="str">
        <f t="shared" si="90"/>
        <v/>
      </c>
      <c r="BB170" s="62" t="str">
        <f t="shared" si="80"/>
        <v/>
      </c>
    </row>
    <row r="171" spans="1:54" s="3" customFormat="1" x14ac:dyDescent="0.35">
      <c r="A171" s="73">
        <f t="shared" si="64"/>
        <v>2017</v>
      </c>
      <c r="B171" s="73" t="str">
        <f t="shared" si="65"/>
        <v>Nov</v>
      </c>
      <c r="C171" s="74">
        <f t="shared" si="81"/>
        <v>16</v>
      </c>
      <c r="D171" s="75">
        <f t="shared" si="66"/>
        <v>11</v>
      </c>
      <c r="E171" s="76">
        <f t="shared" si="67"/>
        <v>7</v>
      </c>
      <c r="F171" s="80">
        <v>0</v>
      </c>
      <c r="G171" s="83"/>
      <c r="H171" s="69" t="str">
        <f t="shared" si="82"/>
        <v>Lacine7_20171116_11_00</v>
      </c>
      <c r="I171" s="70">
        <f t="shared" si="92"/>
        <v>1</v>
      </c>
      <c r="J171" s="77" t="str">
        <f t="shared" si="92"/>
        <v>Lactuca</v>
      </c>
      <c r="K171" s="77" t="str">
        <f t="shared" si="92"/>
        <v>inermis</v>
      </c>
      <c r="L171" s="78">
        <f t="shared" si="92"/>
        <v>7</v>
      </c>
      <c r="M171" s="78">
        <f t="shared" si="92"/>
        <v>3</v>
      </c>
      <c r="N171" s="72">
        <f t="shared" si="92"/>
        <v>0</v>
      </c>
      <c r="O171" s="45"/>
      <c r="P171" s="46">
        <f t="shared" si="68"/>
        <v>1</v>
      </c>
      <c r="Q171" s="47" t="str">
        <f t="shared" si="69"/>
        <v>11:07:00</v>
      </c>
      <c r="R171" s="48" t="str">
        <f t="shared" si="70"/>
        <v>07:00</v>
      </c>
      <c r="S171" s="49">
        <f t="shared" si="63"/>
        <v>278</v>
      </c>
      <c r="T171" s="48" t="str">
        <f t="shared" si="71"/>
        <v>11</v>
      </c>
      <c r="U171" s="50">
        <v>11</v>
      </c>
      <c r="V171" s="51">
        <v>38</v>
      </c>
      <c r="W171" s="52" t="str">
        <f t="shared" si="72"/>
        <v>11:38</v>
      </c>
      <c r="X171" s="53" t="s">
        <v>61</v>
      </c>
      <c r="Y171" s="126" t="s">
        <v>68</v>
      </c>
      <c r="Z171" s="126"/>
      <c r="AA171" s="48" t="s">
        <v>63</v>
      </c>
      <c r="AB171" s="48" t="str">
        <f t="shared" si="73"/>
        <v>NA</v>
      </c>
      <c r="AC171" s="54">
        <f t="shared" si="74"/>
        <v>0</v>
      </c>
      <c r="AD171" s="55">
        <f t="shared" si="84"/>
        <v>1</v>
      </c>
      <c r="AE171" s="55"/>
      <c r="AF171" s="55"/>
      <c r="AG171" s="56">
        <v>1</v>
      </c>
      <c r="AH171" s="57">
        <f t="shared" si="86"/>
        <v>278</v>
      </c>
      <c r="AI171" s="56"/>
      <c r="AJ171" s="57" t="str">
        <f t="shared" si="87"/>
        <v/>
      </c>
      <c r="AK171" s="56"/>
      <c r="AL171" s="57" t="str">
        <f t="shared" si="75"/>
        <v/>
      </c>
      <c r="AM171" s="56"/>
      <c r="AN171" s="57" t="str">
        <f t="shared" si="88"/>
        <v/>
      </c>
      <c r="AO171" s="56"/>
      <c r="AP171" s="57" t="str">
        <f t="shared" si="76"/>
        <v/>
      </c>
      <c r="AQ171" s="56"/>
      <c r="AR171" s="57" t="str">
        <f t="shared" si="77"/>
        <v/>
      </c>
      <c r="AS171" s="56"/>
      <c r="AT171" s="57" t="str">
        <f t="shared" si="78"/>
        <v/>
      </c>
      <c r="AU171" s="58"/>
      <c r="AV171" s="59"/>
      <c r="AW171" s="59"/>
      <c r="AX171" s="60"/>
      <c r="AY171" s="61">
        <f t="shared" si="89"/>
        <v>0</v>
      </c>
      <c r="AZ171" s="62" t="str">
        <f t="shared" si="79"/>
        <v/>
      </c>
      <c r="BA171" s="61">
        <f t="shared" si="90"/>
        <v>0</v>
      </c>
      <c r="BB171" s="62" t="str">
        <f t="shared" si="80"/>
        <v/>
      </c>
    </row>
    <row r="172" spans="1:54" s="3" customFormat="1" hidden="1" x14ac:dyDescent="0.35">
      <c r="A172" s="73">
        <f t="shared" si="64"/>
        <v>2017</v>
      </c>
      <c r="B172" s="73" t="str">
        <f t="shared" si="65"/>
        <v>Nov</v>
      </c>
      <c r="C172" s="74">
        <f t="shared" si="81"/>
        <v>16</v>
      </c>
      <c r="D172" s="75">
        <f t="shared" si="66"/>
        <v>11</v>
      </c>
      <c r="E172" s="76">
        <f t="shared" si="67"/>
        <v>8</v>
      </c>
      <c r="F172" s="80"/>
      <c r="G172" s="83"/>
      <c r="H172" s="69" t="str">
        <f t="shared" si="82"/>
        <v>Lacine7_20171116_11_00</v>
      </c>
      <c r="I172" s="70">
        <f t="shared" si="92"/>
        <v>1</v>
      </c>
      <c r="J172" s="77" t="str">
        <f t="shared" si="92"/>
        <v>Lactuca</v>
      </c>
      <c r="K172" s="77" t="str">
        <f t="shared" si="92"/>
        <v>inermis</v>
      </c>
      <c r="L172" s="78">
        <f t="shared" si="92"/>
        <v>7</v>
      </c>
      <c r="M172" s="78">
        <f t="shared" si="92"/>
        <v>3</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84"/>
        <v/>
      </c>
      <c r="AE172" s="55"/>
      <c r="AF172" s="55"/>
      <c r="AG172" s="56" t="str">
        <f t="shared" si="85"/>
        <v/>
      </c>
      <c r="AH172" s="57" t="str">
        <f t="shared" si="86"/>
        <v/>
      </c>
      <c r="AI172" s="56"/>
      <c r="AJ172" s="57" t="str">
        <f t="shared" si="87"/>
        <v/>
      </c>
      <c r="AK172" s="56"/>
      <c r="AL172" s="57" t="str">
        <f t="shared" si="75"/>
        <v/>
      </c>
      <c r="AM172" s="56"/>
      <c r="AN172" s="57" t="str">
        <f t="shared" si="88"/>
        <v/>
      </c>
      <c r="AO172" s="56"/>
      <c r="AP172" s="57" t="str">
        <f t="shared" si="76"/>
        <v/>
      </c>
      <c r="AQ172" s="56"/>
      <c r="AR172" s="57" t="str">
        <f t="shared" si="77"/>
        <v/>
      </c>
      <c r="AS172" s="56"/>
      <c r="AT172" s="57" t="str">
        <f t="shared" si="78"/>
        <v/>
      </c>
      <c r="AU172" s="58"/>
      <c r="AV172" s="59"/>
      <c r="AW172" s="59"/>
      <c r="AX172" s="60"/>
      <c r="AY172" s="61" t="str">
        <f t="shared" si="89"/>
        <v/>
      </c>
      <c r="AZ172" s="62" t="str">
        <f t="shared" si="79"/>
        <v/>
      </c>
      <c r="BA172" s="61" t="str">
        <f t="shared" si="90"/>
        <v/>
      </c>
      <c r="BB172" s="62" t="str">
        <f t="shared" si="80"/>
        <v/>
      </c>
    </row>
    <row r="173" spans="1:54" s="3" customFormat="1" hidden="1" x14ac:dyDescent="0.35">
      <c r="A173" s="73">
        <f t="shared" si="64"/>
        <v>2017</v>
      </c>
      <c r="B173" s="73" t="str">
        <f t="shared" si="65"/>
        <v>Nov</v>
      </c>
      <c r="C173" s="74">
        <f t="shared" si="81"/>
        <v>16</v>
      </c>
      <c r="D173" s="75">
        <f t="shared" si="66"/>
        <v>11</v>
      </c>
      <c r="E173" s="76">
        <f t="shared" si="67"/>
        <v>9</v>
      </c>
      <c r="F173" s="80"/>
      <c r="G173" s="83"/>
      <c r="H173" s="69" t="str">
        <f t="shared" si="82"/>
        <v>Lacine7_20171116_11_00</v>
      </c>
      <c r="I173" s="70">
        <f t="shared" si="92"/>
        <v>1</v>
      </c>
      <c r="J173" s="77" t="str">
        <f t="shared" si="92"/>
        <v>Lactuca</v>
      </c>
      <c r="K173" s="77" t="str">
        <f t="shared" si="92"/>
        <v>inermis</v>
      </c>
      <c r="L173" s="78">
        <f t="shared" si="92"/>
        <v>7</v>
      </c>
      <c r="M173" s="78">
        <f t="shared" si="92"/>
        <v>3</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84"/>
        <v/>
      </c>
      <c r="AE173" s="55"/>
      <c r="AF173" s="55"/>
      <c r="AG173" s="56" t="str">
        <f t="shared" si="85"/>
        <v/>
      </c>
      <c r="AH173" s="57" t="str">
        <f t="shared" si="86"/>
        <v/>
      </c>
      <c r="AI173" s="56"/>
      <c r="AJ173" s="57" t="str">
        <f t="shared" si="87"/>
        <v/>
      </c>
      <c r="AK173" s="56"/>
      <c r="AL173" s="57" t="str">
        <f t="shared" si="75"/>
        <v/>
      </c>
      <c r="AM173" s="56"/>
      <c r="AN173" s="57" t="str">
        <f t="shared" si="88"/>
        <v/>
      </c>
      <c r="AO173" s="56"/>
      <c r="AP173" s="57" t="str">
        <f t="shared" si="76"/>
        <v/>
      </c>
      <c r="AQ173" s="56"/>
      <c r="AR173" s="57" t="str">
        <f t="shared" si="77"/>
        <v/>
      </c>
      <c r="AS173" s="56"/>
      <c r="AT173" s="57" t="str">
        <f t="shared" si="78"/>
        <v/>
      </c>
      <c r="AU173" s="58"/>
      <c r="AV173" s="59"/>
      <c r="AW173" s="59"/>
      <c r="AX173" s="60"/>
      <c r="AY173" s="61" t="str">
        <f t="shared" si="89"/>
        <v/>
      </c>
      <c r="AZ173" s="62" t="str">
        <f t="shared" si="79"/>
        <v/>
      </c>
      <c r="BA173" s="61" t="str">
        <f t="shared" si="90"/>
        <v/>
      </c>
      <c r="BB173" s="62" t="str">
        <f t="shared" si="80"/>
        <v/>
      </c>
    </row>
    <row r="174" spans="1:54" s="3" customFormat="1" hidden="1" x14ac:dyDescent="0.35">
      <c r="A174" s="73">
        <f t="shared" si="64"/>
        <v>2017</v>
      </c>
      <c r="B174" s="73" t="str">
        <f t="shared" si="65"/>
        <v>Nov</v>
      </c>
      <c r="C174" s="74">
        <f t="shared" si="81"/>
        <v>16</v>
      </c>
      <c r="D174" s="75">
        <f t="shared" si="66"/>
        <v>11</v>
      </c>
      <c r="E174" s="76">
        <f t="shared" si="67"/>
        <v>10</v>
      </c>
      <c r="F174" s="80"/>
      <c r="G174" s="83"/>
      <c r="H174" s="69" t="str">
        <f t="shared" si="82"/>
        <v>Lacine7_20171116_11_00</v>
      </c>
      <c r="I174" s="70">
        <f t="shared" si="92"/>
        <v>1</v>
      </c>
      <c r="J174" s="77" t="str">
        <f t="shared" si="92"/>
        <v>Lactuca</v>
      </c>
      <c r="K174" s="77" t="str">
        <f t="shared" si="92"/>
        <v>inermis</v>
      </c>
      <c r="L174" s="78">
        <f t="shared" si="92"/>
        <v>7</v>
      </c>
      <c r="M174" s="78">
        <f t="shared" si="92"/>
        <v>3</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84"/>
        <v/>
      </c>
      <c r="AE174" s="55"/>
      <c r="AF174" s="55"/>
      <c r="AG174" s="56" t="str">
        <f t="shared" si="85"/>
        <v/>
      </c>
      <c r="AH174" s="57" t="str">
        <f t="shared" si="86"/>
        <v/>
      </c>
      <c r="AI174" s="56"/>
      <c r="AJ174" s="57" t="str">
        <f t="shared" si="87"/>
        <v/>
      </c>
      <c r="AK174" s="56"/>
      <c r="AL174" s="57" t="str">
        <f t="shared" si="75"/>
        <v/>
      </c>
      <c r="AM174" s="56"/>
      <c r="AN174" s="57" t="str">
        <f t="shared" si="88"/>
        <v/>
      </c>
      <c r="AO174" s="56"/>
      <c r="AP174" s="57" t="str">
        <f t="shared" si="76"/>
        <v/>
      </c>
      <c r="AQ174" s="56"/>
      <c r="AR174" s="57" t="str">
        <f t="shared" si="77"/>
        <v/>
      </c>
      <c r="AS174" s="56"/>
      <c r="AT174" s="57" t="str">
        <f t="shared" si="78"/>
        <v/>
      </c>
      <c r="AU174" s="58"/>
      <c r="AV174" s="59"/>
      <c r="AW174" s="59"/>
      <c r="AX174" s="60"/>
      <c r="AY174" s="61" t="str">
        <f t="shared" si="89"/>
        <v/>
      </c>
      <c r="AZ174" s="62" t="str">
        <f t="shared" si="79"/>
        <v/>
      </c>
      <c r="BA174" s="61" t="str">
        <f t="shared" si="90"/>
        <v/>
      </c>
      <c r="BB174" s="62" t="str">
        <f t="shared" si="80"/>
        <v/>
      </c>
    </row>
    <row r="175" spans="1:54" s="3" customFormat="1" x14ac:dyDescent="0.35">
      <c r="A175" s="73">
        <f t="shared" si="64"/>
        <v>2017</v>
      </c>
      <c r="B175" s="73" t="str">
        <f t="shared" si="65"/>
        <v>Nov</v>
      </c>
      <c r="C175" s="74">
        <f t="shared" si="81"/>
        <v>16</v>
      </c>
      <c r="D175" s="75">
        <f t="shared" si="66"/>
        <v>11</v>
      </c>
      <c r="E175" s="76">
        <f t="shared" si="67"/>
        <v>11</v>
      </c>
      <c r="F175" s="80">
        <v>15</v>
      </c>
      <c r="G175" s="83"/>
      <c r="H175" s="69" t="str">
        <f t="shared" si="82"/>
        <v>Lacine7_20171116_11_00</v>
      </c>
      <c r="I175" s="70">
        <f t="shared" si="92"/>
        <v>1</v>
      </c>
      <c r="J175" s="77" t="str">
        <f t="shared" si="92"/>
        <v>Lactuca</v>
      </c>
      <c r="K175" s="77" t="str">
        <f t="shared" si="92"/>
        <v>inermis</v>
      </c>
      <c r="L175" s="78">
        <f t="shared" si="92"/>
        <v>7</v>
      </c>
      <c r="M175" s="78">
        <f t="shared" si="92"/>
        <v>3</v>
      </c>
      <c r="N175" s="72">
        <f t="shared" si="92"/>
        <v>0</v>
      </c>
      <c r="O175" s="45"/>
      <c r="P175" s="46">
        <f t="shared" si="68"/>
        <v>1</v>
      </c>
      <c r="Q175" s="47" t="str">
        <f t="shared" si="69"/>
        <v>11:11:15</v>
      </c>
      <c r="R175" s="48" t="str">
        <f t="shared" si="70"/>
        <v>11:15</v>
      </c>
      <c r="S175" s="49">
        <f t="shared" si="63"/>
        <v>111</v>
      </c>
      <c r="T175" s="48" t="str">
        <f t="shared" si="71"/>
        <v>11</v>
      </c>
      <c r="U175" s="50">
        <v>13</v>
      </c>
      <c r="V175" s="51">
        <v>6</v>
      </c>
      <c r="W175" s="52" t="str">
        <f t="shared" si="72"/>
        <v>13:06</v>
      </c>
      <c r="X175" s="53" t="s">
        <v>62</v>
      </c>
      <c r="Y175" s="126" t="s">
        <v>68</v>
      </c>
      <c r="Z175" s="126"/>
      <c r="AA175" s="48" t="s">
        <v>63</v>
      </c>
      <c r="AB175" s="48" t="str">
        <f t="shared" si="73"/>
        <v>NA</v>
      </c>
      <c r="AC175" s="54">
        <f t="shared" si="74"/>
        <v>0</v>
      </c>
      <c r="AD175" s="55">
        <f t="shared" si="84"/>
        <v>1</v>
      </c>
      <c r="AE175" s="55"/>
      <c r="AF175" s="55"/>
      <c r="AG175" s="56">
        <v>1</v>
      </c>
      <c r="AH175" s="57">
        <v>70</v>
      </c>
      <c r="AI175" s="56"/>
      <c r="AJ175" s="57" t="str">
        <f t="shared" si="87"/>
        <v/>
      </c>
      <c r="AK175" s="56"/>
      <c r="AL175" s="57" t="str">
        <f t="shared" si="75"/>
        <v/>
      </c>
      <c r="AM175" s="56">
        <v>1</v>
      </c>
      <c r="AN175" s="57">
        <v>41</v>
      </c>
      <c r="AO175" s="56"/>
      <c r="AP175" s="57" t="str">
        <f t="shared" si="76"/>
        <v/>
      </c>
      <c r="AQ175" s="56"/>
      <c r="AR175" s="57" t="str">
        <f t="shared" si="77"/>
        <v/>
      </c>
      <c r="AS175" s="56"/>
      <c r="AT175" s="57" t="str">
        <f t="shared" si="78"/>
        <v/>
      </c>
      <c r="AU175" s="58"/>
      <c r="AV175" s="59"/>
      <c r="AW175" s="59"/>
      <c r="AX175" s="60"/>
      <c r="AY175" s="61">
        <v>1</v>
      </c>
      <c r="AZ175" s="62">
        <f t="shared" si="79"/>
        <v>1</v>
      </c>
      <c r="BA175" s="61">
        <v>1</v>
      </c>
      <c r="BB175" s="62">
        <f t="shared" si="80"/>
        <v>1</v>
      </c>
    </row>
    <row r="176" spans="1:54" s="3" customFormat="1" hidden="1" x14ac:dyDescent="0.35">
      <c r="A176" s="73">
        <f t="shared" si="64"/>
        <v>2017</v>
      </c>
      <c r="B176" s="73" t="str">
        <f t="shared" si="65"/>
        <v>Nov</v>
      </c>
      <c r="C176" s="74">
        <f t="shared" si="81"/>
        <v>16</v>
      </c>
      <c r="D176" s="75">
        <f t="shared" si="66"/>
        <v>11</v>
      </c>
      <c r="E176" s="76">
        <f t="shared" si="67"/>
        <v>12</v>
      </c>
      <c r="F176" s="80"/>
      <c r="G176" s="83"/>
      <c r="H176" s="69" t="str">
        <f t="shared" si="82"/>
        <v>Lacine7_20171116_11_00</v>
      </c>
      <c r="I176" s="70">
        <f t="shared" si="92"/>
        <v>1</v>
      </c>
      <c r="J176" s="77" t="str">
        <f t="shared" si="92"/>
        <v>Lactuca</v>
      </c>
      <c r="K176" s="77" t="str">
        <f t="shared" si="92"/>
        <v>inermis</v>
      </c>
      <c r="L176" s="78">
        <f t="shared" si="92"/>
        <v>7</v>
      </c>
      <c r="M176" s="78">
        <f t="shared" si="92"/>
        <v>3</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84"/>
        <v/>
      </c>
      <c r="AE176" s="55"/>
      <c r="AF176" s="55"/>
      <c r="AG176" s="56" t="str">
        <f t="shared" si="85"/>
        <v/>
      </c>
      <c r="AH176" s="57" t="str">
        <f t="shared" si="86"/>
        <v/>
      </c>
      <c r="AI176" s="56"/>
      <c r="AJ176" s="57" t="str">
        <f t="shared" si="87"/>
        <v/>
      </c>
      <c r="AK176" s="56"/>
      <c r="AL176" s="57" t="str">
        <f t="shared" si="75"/>
        <v/>
      </c>
      <c r="AM176" s="56"/>
      <c r="AN176" s="57" t="str">
        <f t="shared" si="88"/>
        <v/>
      </c>
      <c r="AO176" s="56"/>
      <c r="AP176" s="57" t="str">
        <f t="shared" si="76"/>
        <v/>
      </c>
      <c r="AQ176" s="56"/>
      <c r="AR176" s="57" t="str">
        <f t="shared" si="77"/>
        <v/>
      </c>
      <c r="AS176" s="56"/>
      <c r="AT176" s="57" t="str">
        <f t="shared" si="78"/>
        <v/>
      </c>
      <c r="AU176" s="58"/>
      <c r="AV176" s="59"/>
      <c r="AW176" s="59"/>
      <c r="AX176" s="60"/>
      <c r="AY176" s="61" t="str">
        <f t="shared" si="89"/>
        <v/>
      </c>
      <c r="AZ176" s="62" t="str">
        <f t="shared" si="79"/>
        <v/>
      </c>
      <c r="BA176" s="61" t="str">
        <f t="shared" si="90"/>
        <v/>
      </c>
      <c r="BB176" s="62" t="str">
        <f t="shared" si="80"/>
        <v/>
      </c>
    </row>
    <row r="177" spans="1:54" s="3" customFormat="1" x14ac:dyDescent="0.35">
      <c r="A177" s="73">
        <f t="shared" si="64"/>
        <v>2017</v>
      </c>
      <c r="B177" s="73" t="str">
        <f t="shared" si="65"/>
        <v>Nov</v>
      </c>
      <c r="C177" s="74">
        <f t="shared" si="81"/>
        <v>16</v>
      </c>
      <c r="D177" s="75">
        <f t="shared" si="66"/>
        <v>11</v>
      </c>
      <c r="E177" s="76">
        <f t="shared" si="67"/>
        <v>13</v>
      </c>
      <c r="F177" s="80">
        <v>25</v>
      </c>
      <c r="G177" s="83"/>
      <c r="H177" s="69" t="str">
        <f t="shared" si="82"/>
        <v>Lacine7_20171116_11_00</v>
      </c>
      <c r="I177" s="70">
        <f t="shared" si="92"/>
        <v>1</v>
      </c>
      <c r="J177" s="77" t="str">
        <f t="shared" si="92"/>
        <v>Lactuca</v>
      </c>
      <c r="K177" s="77" t="str">
        <f t="shared" si="92"/>
        <v>inermis</v>
      </c>
      <c r="L177" s="78">
        <f t="shared" si="92"/>
        <v>7</v>
      </c>
      <c r="M177" s="78">
        <f t="shared" si="92"/>
        <v>3</v>
      </c>
      <c r="N177" s="72">
        <f t="shared" si="92"/>
        <v>0</v>
      </c>
      <c r="O177" s="45"/>
      <c r="P177" s="46">
        <f t="shared" si="68"/>
        <v>1</v>
      </c>
      <c r="Q177" s="47" t="str">
        <f t="shared" si="69"/>
        <v>11:13:25</v>
      </c>
      <c r="R177" s="48" t="str">
        <f t="shared" si="70"/>
        <v>13:25</v>
      </c>
      <c r="S177" s="49">
        <f t="shared" si="63"/>
        <v>62</v>
      </c>
      <c r="T177" s="48" t="str">
        <f t="shared" si="71"/>
        <v>11</v>
      </c>
      <c r="U177" s="50">
        <v>14</v>
      </c>
      <c r="V177" s="51">
        <v>27</v>
      </c>
      <c r="W177" s="52" t="str">
        <f t="shared" si="72"/>
        <v>14:27</v>
      </c>
      <c r="X177" s="53" t="s">
        <v>62</v>
      </c>
      <c r="Y177" s="126" t="s">
        <v>68</v>
      </c>
      <c r="Z177" s="126"/>
      <c r="AA177" s="48" t="s">
        <v>63</v>
      </c>
      <c r="AB177" s="48" t="str">
        <f t="shared" si="73"/>
        <v>NA</v>
      </c>
      <c r="AC177" s="54">
        <f t="shared" si="74"/>
        <v>0</v>
      </c>
      <c r="AD177" s="55">
        <f t="shared" si="84"/>
        <v>1</v>
      </c>
      <c r="AE177" s="55"/>
      <c r="AF177" s="55"/>
      <c r="AG177" s="56">
        <v>1</v>
      </c>
      <c r="AH177" s="57">
        <v>50</v>
      </c>
      <c r="AI177" s="56"/>
      <c r="AJ177" s="57" t="str">
        <f t="shared" si="87"/>
        <v/>
      </c>
      <c r="AK177" s="56"/>
      <c r="AL177" s="57" t="str">
        <f t="shared" si="75"/>
        <v/>
      </c>
      <c r="AM177" s="56">
        <v>1</v>
      </c>
      <c r="AN177" s="57">
        <v>12</v>
      </c>
      <c r="AO177" s="56"/>
      <c r="AP177" s="57" t="str">
        <f t="shared" si="76"/>
        <v/>
      </c>
      <c r="AQ177" s="56"/>
      <c r="AR177" s="57" t="str">
        <f t="shared" si="77"/>
        <v/>
      </c>
      <c r="AS177" s="56"/>
      <c r="AT177" s="57" t="str">
        <f t="shared" si="78"/>
        <v/>
      </c>
      <c r="AU177" s="58"/>
      <c r="AV177" s="59"/>
      <c r="AW177" s="59"/>
      <c r="AX177" s="60"/>
      <c r="AY177" s="61">
        <v>1</v>
      </c>
      <c r="AZ177" s="62">
        <f t="shared" si="79"/>
        <v>1</v>
      </c>
      <c r="BA177" s="61">
        <f t="shared" si="90"/>
        <v>0</v>
      </c>
      <c r="BB177" s="62" t="str">
        <f t="shared" si="80"/>
        <v/>
      </c>
    </row>
    <row r="178" spans="1:54" s="3" customFormat="1" hidden="1" x14ac:dyDescent="0.35">
      <c r="A178" s="73">
        <f t="shared" si="64"/>
        <v>2017</v>
      </c>
      <c r="B178" s="73" t="str">
        <f t="shared" si="65"/>
        <v>Nov</v>
      </c>
      <c r="C178" s="74">
        <f t="shared" si="81"/>
        <v>16</v>
      </c>
      <c r="D178" s="75">
        <f t="shared" si="66"/>
        <v>11</v>
      </c>
      <c r="E178" s="76">
        <f t="shared" si="67"/>
        <v>14</v>
      </c>
      <c r="F178" s="80"/>
      <c r="G178" s="83"/>
      <c r="H178" s="69" t="str">
        <f t="shared" si="82"/>
        <v>Lacine7_20171116_11_00</v>
      </c>
      <c r="I178" s="70">
        <f t="shared" si="92"/>
        <v>1</v>
      </c>
      <c r="J178" s="77" t="str">
        <f t="shared" si="92"/>
        <v>Lactuca</v>
      </c>
      <c r="K178" s="77" t="str">
        <f t="shared" si="92"/>
        <v>inermis</v>
      </c>
      <c r="L178" s="78">
        <f t="shared" si="92"/>
        <v>7</v>
      </c>
      <c r="M178" s="78">
        <f t="shared" si="92"/>
        <v>3</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84"/>
        <v/>
      </c>
      <c r="AE178" s="55"/>
      <c r="AF178" s="55"/>
      <c r="AG178" s="56" t="str">
        <f t="shared" si="85"/>
        <v/>
      </c>
      <c r="AH178" s="57" t="str">
        <f t="shared" si="86"/>
        <v/>
      </c>
      <c r="AI178" s="56"/>
      <c r="AJ178" s="57" t="str">
        <f t="shared" si="87"/>
        <v/>
      </c>
      <c r="AK178" s="56"/>
      <c r="AL178" s="57" t="str">
        <f t="shared" si="75"/>
        <v/>
      </c>
      <c r="AM178" s="56"/>
      <c r="AN178" s="57" t="str">
        <f t="shared" si="88"/>
        <v/>
      </c>
      <c r="AO178" s="56"/>
      <c r="AP178" s="57" t="str">
        <f t="shared" si="76"/>
        <v/>
      </c>
      <c r="AQ178" s="56"/>
      <c r="AR178" s="57" t="str">
        <f t="shared" si="77"/>
        <v/>
      </c>
      <c r="AS178" s="56"/>
      <c r="AT178" s="57" t="str">
        <f t="shared" si="78"/>
        <v/>
      </c>
      <c r="AU178" s="58"/>
      <c r="AV178" s="59"/>
      <c r="AW178" s="59"/>
      <c r="AX178" s="60"/>
      <c r="AY178" s="61" t="str">
        <f t="shared" si="89"/>
        <v/>
      </c>
      <c r="AZ178" s="62" t="str">
        <f t="shared" si="79"/>
        <v/>
      </c>
      <c r="BA178" s="61" t="str">
        <f t="shared" si="90"/>
        <v/>
      </c>
      <c r="BB178" s="62" t="str">
        <f t="shared" si="80"/>
        <v/>
      </c>
    </row>
    <row r="179" spans="1:54" s="3" customFormat="1" hidden="1" x14ac:dyDescent="0.35">
      <c r="A179" s="73">
        <f t="shared" si="64"/>
        <v>2017</v>
      </c>
      <c r="B179" s="73" t="str">
        <f t="shared" si="65"/>
        <v>Nov</v>
      </c>
      <c r="C179" s="74">
        <f t="shared" si="81"/>
        <v>16</v>
      </c>
      <c r="D179" s="75">
        <f t="shared" si="66"/>
        <v>11</v>
      </c>
      <c r="E179" s="76">
        <f t="shared" si="67"/>
        <v>15</v>
      </c>
      <c r="F179" s="80"/>
      <c r="G179" s="83"/>
      <c r="H179" s="69" t="str">
        <f t="shared" si="82"/>
        <v>Lacine7_20171116_11_00</v>
      </c>
      <c r="I179" s="70">
        <f t="shared" si="92"/>
        <v>1</v>
      </c>
      <c r="J179" s="77" t="str">
        <f t="shared" si="92"/>
        <v>Lactuca</v>
      </c>
      <c r="K179" s="77" t="str">
        <f t="shared" si="92"/>
        <v>inermis</v>
      </c>
      <c r="L179" s="78">
        <f t="shared" si="92"/>
        <v>7</v>
      </c>
      <c r="M179" s="78">
        <f t="shared" si="92"/>
        <v>3</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84"/>
        <v/>
      </c>
      <c r="AE179" s="55"/>
      <c r="AF179" s="55"/>
      <c r="AG179" s="56" t="str">
        <f t="shared" si="85"/>
        <v/>
      </c>
      <c r="AH179" s="57" t="str">
        <f t="shared" si="86"/>
        <v/>
      </c>
      <c r="AI179" s="56"/>
      <c r="AJ179" s="57" t="str">
        <f t="shared" si="87"/>
        <v/>
      </c>
      <c r="AK179" s="56"/>
      <c r="AL179" s="57" t="str">
        <f t="shared" si="75"/>
        <v/>
      </c>
      <c r="AM179" s="56"/>
      <c r="AN179" s="57" t="str">
        <f t="shared" si="88"/>
        <v/>
      </c>
      <c r="AO179" s="56"/>
      <c r="AP179" s="57" t="str">
        <f t="shared" si="76"/>
        <v/>
      </c>
      <c r="AQ179" s="56"/>
      <c r="AR179" s="57" t="str">
        <f t="shared" si="77"/>
        <v/>
      </c>
      <c r="AS179" s="56"/>
      <c r="AT179" s="57" t="str">
        <f t="shared" si="78"/>
        <v/>
      </c>
      <c r="AU179" s="58"/>
      <c r="AV179" s="59"/>
      <c r="AW179" s="59"/>
      <c r="AX179" s="60"/>
      <c r="AY179" s="61" t="str">
        <f t="shared" si="89"/>
        <v/>
      </c>
      <c r="AZ179" s="62" t="str">
        <f t="shared" si="79"/>
        <v/>
      </c>
      <c r="BA179" s="61" t="str">
        <f t="shared" si="90"/>
        <v/>
      </c>
      <c r="BB179" s="62" t="str">
        <f t="shared" si="80"/>
        <v/>
      </c>
    </row>
    <row r="180" spans="1:54" s="3" customFormat="1" hidden="1" x14ac:dyDescent="0.35">
      <c r="A180" s="73">
        <f t="shared" si="64"/>
        <v>2017</v>
      </c>
      <c r="B180" s="73" t="str">
        <f t="shared" si="65"/>
        <v>Nov</v>
      </c>
      <c r="C180" s="74">
        <f t="shared" si="81"/>
        <v>16</v>
      </c>
      <c r="D180" s="75">
        <f t="shared" si="66"/>
        <v>11</v>
      </c>
      <c r="E180" s="76">
        <f t="shared" si="67"/>
        <v>16</v>
      </c>
      <c r="F180" s="80"/>
      <c r="G180" s="83"/>
      <c r="H180" s="69" t="str">
        <f t="shared" si="82"/>
        <v>Lacine7_20171116_11_00</v>
      </c>
      <c r="I180" s="70">
        <f t="shared" si="92"/>
        <v>1</v>
      </c>
      <c r="J180" s="77" t="str">
        <f t="shared" si="92"/>
        <v>Lactuca</v>
      </c>
      <c r="K180" s="77" t="str">
        <f t="shared" si="92"/>
        <v>inermis</v>
      </c>
      <c r="L180" s="78">
        <f t="shared" si="92"/>
        <v>7</v>
      </c>
      <c r="M180" s="78">
        <f t="shared" si="92"/>
        <v>3</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84"/>
        <v/>
      </c>
      <c r="AE180" s="55"/>
      <c r="AF180" s="55"/>
      <c r="AG180" s="56" t="str">
        <f t="shared" si="85"/>
        <v/>
      </c>
      <c r="AH180" s="57" t="str">
        <f t="shared" si="86"/>
        <v/>
      </c>
      <c r="AI180" s="56"/>
      <c r="AJ180" s="57" t="str">
        <f t="shared" si="87"/>
        <v/>
      </c>
      <c r="AK180" s="56"/>
      <c r="AL180" s="57" t="str">
        <f t="shared" si="75"/>
        <v/>
      </c>
      <c r="AM180" s="56"/>
      <c r="AN180" s="57" t="str">
        <f t="shared" si="88"/>
        <v/>
      </c>
      <c r="AO180" s="56"/>
      <c r="AP180" s="57" t="str">
        <f t="shared" si="76"/>
        <v/>
      </c>
      <c r="AQ180" s="56"/>
      <c r="AR180" s="57" t="str">
        <f t="shared" si="77"/>
        <v/>
      </c>
      <c r="AS180" s="56"/>
      <c r="AT180" s="57" t="str">
        <f t="shared" si="78"/>
        <v/>
      </c>
      <c r="AU180" s="58"/>
      <c r="AV180" s="59"/>
      <c r="AW180" s="59"/>
      <c r="AX180" s="60"/>
      <c r="AY180" s="61" t="str">
        <f t="shared" si="89"/>
        <v/>
      </c>
      <c r="AZ180" s="62" t="str">
        <f t="shared" si="79"/>
        <v/>
      </c>
      <c r="BA180" s="61" t="str">
        <f t="shared" si="90"/>
        <v/>
      </c>
      <c r="BB180" s="62" t="str">
        <f t="shared" si="80"/>
        <v/>
      </c>
    </row>
    <row r="181" spans="1:54" s="3" customFormat="1" hidden="1" x14ac:dyDescent="0.35">
      <c r="A181" s="73">
        <f t="shared" si="64"/>
        <v>2017</v>
      </c>
      <c r="B181" s="73" t="str">
        <f t="shared" si="65"/>
        <v>Nov</v>
      </c>
      <c r="C181" s="74">
        <f t="shared" si="81"/>
        <v>16</v>
      </c>
      <c r="D181" s="75">
        <f t="shared" si="66"/>
        <v>11</v>
      </c>
      <c r="E181" s="76">
        <f t="shared" si="67"/>
        <v>17</v>
      </c>
      <c r="F181" s="80"/>
      <c r="G181" s="83"/>
      <c r="H181" s="69" t="str">
        <f t="shared" si="82"/>
        <v>Lacine7_20171116_11_00</v>
      </c>
      <c r="I181" s="70">
        <f t="shared" ref="I181:N196" si="93">I180</f>
        <v>1</v>
      </c>
      <c r="J181" s="77" t="str">
        <f t="shared" si="93"/>
        <v>Lactuca</v>
      </c>
      <c r="K181" s="77" t="str">
        <f t="shared" si="93"/>
        <v>inermis</v>
      </c>
      <c r="L181" s="78">
        <f t="shared" si="93"/>
        <v>7</v>
      </c>
      <c r="M181" s="78">
        <f t="shared" si="93"/>
        <v>3</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84"/>
        <v/>
      </c>
      <c r="AE181" s="55"/>
      <c r="AF181" s="55"/>
      <c r="AG181" s="56" t="str">
        <f t="shared" si="85"/>
        <v/>
      </c>
      <c r="AH181" s="57" t="str">
        <f t="shared" si="86"/>
        <v/>
      </c>
      <c r="AI181" s="56"/>
      <c r="AJ181" s="57" t="str">
        <f t="shared" si="87"/>
        <v/>
      </c>
      <c r="AK181" s="56"/>
      <c r="AL181" s="57" t="str">
        <f t="shared" si="75"/>
        <v/>
      </c>
      <c r="AM181" s="56"/>
      <c r="AN181" s="57" t="str">
        <f t="shared" si="88"/>
        <v/>
      </c>
      <c r="AO181" s="56"/>
      <c r="AP181" s="57" t="str">
        <f t="shared" si="76"/>
        <v/>
      </c>
      <c r="AQ181" s="56"/>
      <c r="AR181" s="57" t="str">
        <f t="shared" si="77"/>
        <v/>
      </c>
      <c r="AS181" s="56"/>
      <c r="AT181" s="57" t="str">
        <f t="shared" si="78"/>
        <v/>
      </c>
      <c r="AU181" s="58"/>
      <c r="AV181" s="59"/>
      <c r="AW181" s="59"/>
      <c r="AX181" s="60"/>
      <c r="AY181" s="61" t="str">
        <f t="shared" si="89"/>
        <v/>
      </c>
      <c r="AZ181" s="62" t="str">
        <f t="shared" si="79"/>
        <v/>
      </c>
      <c r="BA181" s="61" t="str">
        <f t="shared" si="90"/>
        <v/>
      </c>
      <c r="BB181" s="62" t="str">
        <f t="shared" si="80"/>
        <v/>
      </c>
    </row>
    <row r="182" spans="1:54" s="3" customFormat="1" hidden="1" x14ac:dyDescent="0.35">
      <c r="A182" s="73">
        <f t="shared" si="64"/>
        <v>2017</v>
      </c>
      <c r="B182" s="73" t="str">
        <f t="shared" si="65"/>
        <v>Nov</v>
      </c>
      <c r="C182" s="74">
        <f t="shared" si="81"/>
        <v>16</v>
      </c>
      <c r="D182" s="75">
        <f t="shared" si="66"/>
        <v>11</v>
      </c>
      <c r="E182" s="76">
        <f t="shared" si="67"/>
        <v>18</v>
      </c>
      <c r="F182" s="80"/>
      <c r="G182" s="83"/>
      <c r="H182" s="69" t="str">
        <f t="shared" si="82"/>
        <v>Lacine7_20171116_11_00</v>
      </c>
      <c r="I182" s="70">
        <f t="shared" si="93"/>
        <v>1</v>
      </c>
      <c r="J182" s="77" t="str">
        <f t="shared" si="93"/>
        <v>Lactuca</v>
      </c>
      <c r="K182" s="77" t="str">
        <f t="shared" si="93"/>
        <v>inermis</v>
      </c>
      <c r="L182" s="78">
        <f t="shared" si="93"/>
        <v>7</v>
      </c>
      <c r="M182" s="78">
        <f t="shared" si="93"/>
        <v>3</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84"/>
        <v/>
      </c>
      <c r="AE182" s="55"/>
      <c r="AF182" s="55"/>
      <c r="AG182" s="56" t="str">
        <f t="shared" si="85"/>
        <v/>
      </c>
      <c r="AH182" s="57" t="str">
        <f t="shared" si="86"/>
        <v/>
      </c>
      <c r="AI182" s="56"/>
      <c r="AJ182" s="57" t="str">
        <f t="shared" si="87"/>
        <v/>
      </c>
      <c r="AK182" s="56"/>
      <c r="AL182" s="57" t="str">
        <f t="shared" si="75"/>
        <v/>
      </c>
      <c r="AM182" s="56"/>
      <c r="AN182" s="57" t="str">
        <f t="shared" si="88"/>
        <v/>
      </c>
      <c r="AO182" s="56"/>
      <c r="AP182" s="57" t="str">
        <f t="shared" si="76"/>
        <v/>
      </c>
      <c r="AQ182" s="56"/>
      <c r="AR182" s="57" t="str">
        <f t="shared" si="77"/>
        <v/>
      </c>
      <c r="AS182" s="56"/>
      <c r="AT182" s="57" t="str">
        <f t="shared" si="78"/>
        <v/>
      </c>
      <c r="AU182" s="58"/>
      <c r="AV182" s="59"/>
      <c r="AW182" s="59"/>
      <c r="AX182" s="60"/>
      <c r="AY182" s="61" t="str">
        <f t="shared" si="89"/>
        <v/>
      </c>
      <c r="AZ182" s="62" t="str">
        <f t="shared" si="79"/>
        <v/>
      </c>
      <c r="BA182" s="61" t="str">
        <f t="shared" si="90"/>
        <v/>
      </c>
      <c r="BB182" s="62" t="str">
        <f t="shared" si="80"/>
        <v/>
      </c>
    </row>
    <row r="183" spans="1:54" s="3" customFormat="1" hidden="1" x14ac:dyDescent="0.35">
      <c r="A183" s="73">
        <f t="shared" si="64"/>
        <v>2017</v>
      </c>
      <c r="B183" s="73" t="str">
        <f t="shared" si="65"/>
        <v>Nov</v>
      </c>
      <c r="C183" s="74">
        <f t="shared" si="81"/>
        <v>16</v>
      </c>
      <c r="D183" s="75">
        <f t="shared" si="66"/>
        <v>11</v>
      </c>
      <c r="E183" s="76">
        <f t="shared" si="67"/>
        <v>19</v>
      </c>
      <c r="F183" s="80"/>
      <c r="G183" s="83"/>
      <c r="H183" s="69" t="str">
        <f t="shared" si="82"/>
        <v>Lacine7_20171116_11_00</v>
      </c>
      <c r="I183" s="70">
        <f t="shared" si="93"/>
        <v>1</v>
      </c>
      <c r="J183" s="77" t="str">
        <f t="shared" si="93"/>
        <v>Lactuca</v>
      </c>
      <c r="K183" s="77" t="str">
        <f t="shared" si="93"/>
        <v>inermis</v>
      </c>
      <c r="L183" s="78">
        <f t="shared" si="93"/>
        <v>7</v>
      </c>
      <c r="M183" s="78">
        <f t="shared" si="93"/>
        <v>3</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84"/>
        <v/>
      </c>
      <c r="AE183" s="55"/>
      <c r="AF183" s="55"/>
      <c r="AG183" s="56" t="str">
        <f t="shared" si="85"/>
        <v/>
      </c>
      <c r="AH183" s="57" t="str">
        <f t="shared" si="86"/>
        <v/>
      </c>
      <c r="AI183" s="56"/>
      <c r="AJ183" s="57" t="str">
        <f t="shared" si="87"/>
        <v/>
      </c>
      <c r="AK183" s="56"/>
      <c r="AL183" s="57" t="str">
        <f t="shared" si="75"/>
        <v/>
      </c>
      <c r="AM183" s="56"/>
      <c r="AN183" s="57" t="str">
        <f t="shared" si="88"/>
        <v/>
      </c>
      <c r="AO183" s="56"/>
      <c r="AP183" s="57" t="str">
        <f t="shared" si="76"/>
        <v/>
      </c>
      <c r="AQ183" s="56"/>
      <c r="AR183" s="57" t="str">
        <f t="shared" si="77"/>
        <v/>
      </c>
      <c r="AS183" s="56"/>
      <c r="AT183" s="57" t="str">
        <f t="shared" si="78"/>
        <v/>
      </c>
      <c r="AU183" s="58"/>
      <c r="AV183" s="59"/>
      <c r="AW183" s="59"/>
      <c r="AX183" s="60"/>
      <c r="AY183" s="61" t="str">
        <f t="shared" si="89"/>
        <v/>
      </c>
      <c r="AZ183" s="62" t="str">
        <f t="shared" si="79"/>
        <v/>
      </c>
      <c r="BA183" s="61" t="str">
        <f t="shared" si="90"/>
        <v/>
      </c>
      <c r="BB183" s="62" t="str">
        <f t="shared" si="80"/>
        <v/>
      </c>
    </row>
    <row r="184" spans="1:54" s="3" customFormat="1" x14ac:dyDescent="0.35">
      <c r="A184" s="73">
        <f t="shared" si="64"/>
        <v>2017</v>
      </c>
      <c r="B184" s="73" t="str">
        <f t="shared" si="65"/>
        <v>Nov</v>
      </c>
      <c r="C184" s="74">
        <f t="shared" si="81"/>
        <v>16</v>
      </c>
      <c r="D184" s="75">
        <f t="shared" si="66"/>
        <v>11</v>
      </c>
      <c r="E184" s="76">
        <f t="shared" si="67"/>
        <v>20</v>
      </c>
      <c r="F184" s="80">
        <v>25</v>
      </c>
      <c r="G184" s="83"/>
      <c r="H184" s="69" t="str">
        <f t="shared" si="82"/>
        <v>Lacine7_20171116_11_00</v>
      </c>
      <c r="I184" s="70">
        <f t="shared" si="93"/>
        <v>1</v>
      </c>
      <c r="J184" s="77" t="str">
        <f t="shared" si="93"/>
        <v>Lactuca</v>
      </c>
      <c r="K184" s="77" t="str">
        <f t="shared" si="93"/>
        <v>inermis</v>
      </c>
      <c r="L184" s="78">
        <f t="shared" si="93"/>
        <v>7</v>
      </c>
      <c r="M184" s="78">
        <f t="shared" si="93"/>
        <v>3</v>
      </c>
      <c r="N184" s="72">
        <f t="shared" si="93"/>
        <v>0</v>
      </c>
      <c r="O184" s="45"/>
      <c r="P184" s="46">
        <f t="shared" si="68"/>
        <v>1</v>
      </c>
      <c r="Q184" s="47" t="str">
        <f t="shared" si="69"/>
        <v>11:20:25</v>
      </c>
      <c r="R184" s="48" t="str">
        <f t="shared" si="70"/>
        <v>20:25</v>
      </c>
      <c r="S184" s="49">
        <f t="shared" si="63"/>
        <v>2</v>
      </c>
      <c r="T184" s="48" t="str">
        <f t="shared" si="71"/>
        <v>11</v>
      </c>
      <c r="U184" s="50">
        <v>20</v>
      </c>
      <c r="V184" s="51">
        <v>27</v>
      </c>
      <c r="W184" s="52" t="str">
        <f t="shared" si="72"/>
        <v>20:27</v>
      </c>
      <c r="X184" s="53" t="s">
        <v>59</v>
      </c>
      <c r="Y184" s="126" t="s">
        <v>67</v>
      </c>
      <c r="Z184" s="126"/>
      <c r="AA184" s="48" t="s">
        <v>60</v>
      </c>
      <c r="AB184" s="48" t="str">
        <f t="shared" si="73"/>
        <v>NA</v>
      </c>
      <c r="AC184" s="54">
        <f t="shared" si="74"/>
        <v>0</v>
      </c>
      <c r="AD184" s="55">
        <f t="shared" si="84"/>
        <v>1</v>
      </c>
      <c r="AE184" s="55"/>
      <c r="AF184" s="55"/>
      <c r="AG184" s="56">
        <v>1</v>
      </c>
      <c r="AH184" s="57">
        <f t="shared" si="86"/>
        <v>2</v>
      </c>
      <c r="AI184" s="56"/>
      <c r="AJ184" s="57" t="str">
        <f t="shared" si="87"/>
        <v/>
      </c>
      <c r="AK184" s="56"/>
      <c r="AL184" s="57" t="str">
        <f t="shared" si="75"/>
        <v/>
      </c>
      <c r="AM184" s="56"/>
      <c r="AN184" s="57" t="str">
        <f t="shared" si="88"/>
        <v/>
      </c>
      <c r="AO184" s="56"/>
      <c r="AP184" s="57" t="str">
        <f t="shared" si="76"/>
        <v/>
      </c>
      <c r="AQ184" s="56"/>
      <c r="AR184" s="57" t="str">
        <f t="shared" si="77"/>
        <v/>
      </c>
      <c r="AS184" s="56"/>
      <c r="AT184" s="57" t="str">
        <f t="shared" si="78"/>
        <v/>
      </c>
      <c r="AU184" s="58"/>
      <c r="AV184" s="59"/>
      <c r="AW184" s="59"/>
      <c r="AX184" s="60"/>
      <c r="AY184" s="61">
        <f t="shared" si="89"/>
        <v>0</v>
      </c>
      <c r="AZ184" s="62" t="str">
        <f t="shared" si="79"/>
        <v/>
      </c>
      <c r="BA184" s="61">
        <f t="shared" si="90"/>
        <v>0</v>
      </c>
      <c r="BB184" s="62" t="str">
        <f t="shared" si="80"/>
        <v/>
      </c>
    </row>
    <row r="185" spans="1:54" s="3" customFormat="1" x14ac:dyDescent="0.35">
      <c r="A185" s="73">
        <f t="shared" si="64"/>
        <v>2017</v>
      </c>
      <c r="B185" s="73" t="str">
        <f t="shared" si="65"/>
        <v>Nov</v>
      </c>
      <c r="C185" s="74">
        <f t="shared" si="81"/>
        <v>16</v>
      </c>
      <c r="D185" s="75">
        <f t="shared" si="66"/>
        <v>11</v>
      </c>
      <c r="E185" s="76">
        <v>20</v>
      </c>
      <c r="F185" s="80">
        <v>27</v>
      </c>
      <c r="G185" s="83"/>
      <c r="H185" s="69" t="str">
        <f t="shared" si="82"/>
        <v>Lacine7_20171116_11_00</v>
      </c>
      <c r="I185" s="70">
        <f t="shared" si="93"/>
        <v>1</v>
      </c>
      <c r="J185" s="77" t="str">
        <f t="shared" si="93"/>
        <v>Lactuca</v>
      </c>
      <c r="K185" s="77" t="str">
        <f t="shared" si="93"/>
        <v>inermis</v>
      </c>
      <c r="L185" s="78">
        <f t="shared" si="93"/>
        <v>7</v>
      </c>
      <c r="M185" s="78">
        <f t="shared" si="93"/>
        <v>3</v>
      </c>
      <c r="N185" s="72">
        <f t="shared" si="93"/>
        <v>0</v>
      </c>
      <c r="O185" s="45"/>
      <c r="P185" s="46">
        <f t="shared" si="68"/>
        <v>1</v>
      </c>
      <c r="Q185" s="47" t="str">
        <f t="shared" si="69"/>
        <v>11:20:27</v>
      </c>
      <c r="R185" s="48" t="str">
        <f t="shared" si="70"/>
        <v>20:27</v>
      </c>
      <c r="S185" s="49">
        <f t="shared" si="63"/>
        <v>55</v>
      </c>
      <c r="T185" s="48" t="str">
        <f t="shared" si="71"/>
        <v>11</v>
      </c>
      <c r="U185" s="50">
        <v>21</v>
      </c>
      <c r="V185" s="51">
        <v>22</v>
      </c>
      <c r="W185" s="52" t="str">
        <f t="shared" si="72"/>
        <v>21:22</v>
      </c>
      <c r="X185" s="53" t="s">
        <v>64</v>
      </c>
      <c r="Y185" s="126" t="s">
        <v>69</v>
      </c>
      <c r="Z185" s="126"/>
      <c r="AA185" s="48" t="s">
        <v>63</v>
      </c>
      <c r="AB185" s="48" t="str">
        <f t="shared" si="73"/>
        <v>NA</v>
      </c>
      <c r="AC185" s="54">
        <f t="shared" si="74"/>
        <v>0</v>
      </c>
      <c r="AD185" s="55">
        <f t="shared" si="84"/>
        <v>1</v>
      </c>
      <c r="AE185" s="55"/>
      <c r="AF185" s="55"/>
      <c r="AG185" s="56">
        <v>1</v>
      </c>
      <c r="AH185" s="57">
        <f t="shared" si="86"/>
        <v>55</v>
      </c>
      <c r="AI185" s="56"/>
      <c r="AJ185" s="57" t="str">
        <f t="shared" si="87"/>
        <v/>
      </c>
      <c r="AK185" s="56"/>
      <c r="AL185" s="57" t="str">
        <f t="shared" si="75"/>
        <v/>
      </c>
      <c r="AM185" s="56"/>
      <c r="AN185" s="57" t="str">
        <f t="shared" si="88"/>
        <v/>
      </c>
      <c r="AO185" s="56"/>
      <c r="AP185" s="57" t="str">
        <f t="shared" si="76"/>
        <v/>
      </c>
      <c r="AQ185" s="56"/>
      <c r="AR185" s="57" t="str">
        <f t="shared" si="77"/>
        <v/>
      </c>
      <c r="AS185" s="56"/>
      <c r="AT185" s="57" t="str">
        <f t="shared" si="78"/>
        <v/>
      </c>
      <c r="AU185" s="58"/>
      <c r="AV185" s="59"/>
      <c r="AW185" s="59"/>
      <c r="AX185" s="60"/>
      <c r="AY185" s="61">
        <v>1</v>
      </c>
      <c r="AZ185" s="62">
        <f t="shared" si="79"/>
        <v>1</v>
      </c>
      <c r="BA185" s="61">
        <f t="shared" si="90"/>
        <v>0</v>
      </c>
      <c r="BB185" s="62" t="str">
        <f t="shared" si="80"/>
        <v/>
      </c>
    </row>
    <row r="186" spans="1:54" s="3" customFormat="1" hidden="1" x14ac:dyDescent="0.35">
      <c r="A186" s="73">
        <f t="shared" si="64"/>
        <v>2017</v>
      </c>
      <c r="B186" s="73" t="str">
        <f t="shared" si="65"/>
        <v>Nov</v>
      </c>
      <c r="C186" s="74">
        <f t="shared" si="81"/>
        <v>16</v>
      </c>
      <c r="D186" s="75">
        <f t="shared" si="66"/>
        <v>11</v>
      </c>
      <c r="E186" s="76">
        <f t="shared" si="67"/>
        <v>21</v>
      </c>
      <c r="F186" s="80"/>
      <c r="G186" s="83"/>
      <c r="H186" s="69" t="str">
        <f t="shared" si="82"/>
        <v>Lacine7_20171116_11_00</v>
      </c>
      <c r="I186" s="70">
        <f t="shared" si="93"/>
        <v>1</v>
      </c>
      <c r="J186" s="77" t="str">
        <f t="shared" si="93"/>
        <v>Lactuca</v>
      </c>
      <c r="K186" s="77" t="str">
        <f t="shared" si="93"/>
        <v>inermis</v>
      </c>
      <c r="L186" s="78">
        <f t="shared" si="93"/>
        <v>7</v>
      </c>
      <c r="M186" s="78">
        <f t="shared" si="93"/>
        <v>3</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84"/>
        <v/>
      </c>
      <c r="AE186" s="55"/>
      <c r="AF186" s="55"/>
      <c r="AG186" s="56" t="str">
        <f t="shared" si="85"/>
        <v/>
      </c>
      <c r="AH186" s="57" t="str">
        <f t="shared" si="86"/>
        <v/>
      </c>
      <c r="AI186" s="56"/>
      <c r="AJ186" s="57" t="str">
        <f t="shared" si="87"/>
        <v/>
      </c>
      <c r="AK186" s="56"/>
      <c r="AL186" s="57" t="str">
        <f t="shared" si="75"/>
        <v/>
      </c>
      <c r="AM186" s="56"/>
      <c r="AN186" s="57" t="str">
        <f t="shared" si="88"/>
        <v/>
      </c>
      <c r="AO186" s="56"/>
      <c r="AP186" s="57" t="str">
        <f t="shared" si="76"/>
        <v/>
      </c>
      <c r="AQ186" s="56"/>
      <c r="AR186" s="57" t="str">
        <f t="shared" si="77"/>
        <v/>
      </c>
      <c r="AS186" s="56"/>
      <c r="AT186" s="57" t="str">
        <f t="shared" si="78"/>
        <v/>
      </c>
      <c r="AU186" s="58"/>
      <c r="AV186" s="59"/>
      <c r="AW186" s="59"/>
      <c r="AX186" s="60"/>
      <c r="AY186" s="61" t="str">
        <f t="shared" si="89"/>
        <v/>
      </c>
      <c r="AZ186" s="62" t="str">
        <f t="shared" si="79"/>
        <v/>
      </c>
      <c r="BA186" s="61" t="str">
        <f t="shared" si="90"/>
        <v/>
      </c>
      <c r="BB186" s="62" t="str">
        <f t="shared" si="80"/>
        <v/>
      </c>
    </row>
    <row r="187" spans="1:54" s="3" customFormat="1" hidden="1" x14ac:dyDescent="0.35">
      <c r="A187" s="73">
        <f t="shared" si="64"/>
        <v>2017</v>
      </c>
      <c r="B187" s="73" t="str">
        <f t="shared" si="65"/>
        <v>Nov</v>
      </c>
      <c r="C187" s="74">
        <f t="shared" si="81"/>
        <v>16</v>
      </c>
      <c r="D187" s="75">
        <f t="shared" si="66"/>
        <v>11</v>
      </c>
      <c r="E187" s="76">
        <f t="shared" si="67"/>
        <v>22</v>
      </c>
      <c r="F187" s="80"/>
      <c r="G187" s="83"/>
      <c r="H187" s="69" t="str">
        <f t="shared" si="82"/>
        <v>Lacine7_20171116_11_00</v>
      </c>
      <c r="I187" s="70">
        <f t="shared" si="93"/>
        <v>1</v>
      </c>
      <c r="J187" s="77" t="str">
        <f t="shared" si="93"/>
        <v>Lactuca</v>
      </c>
      <c r="K187" s="77" t="str">
        <f t="shared" si="93"/>
        <v>inermis</v>
      </c>
      <c r="L187" s="78">
        <f t="shared" si="93"/>
        <v>7</v>
      </c>
      <c r="M187" s="78">
        <f t="shared" si="93"/>
        <v>3</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84"/>
        <v/>
      </c>
      <c r="AE187" s="55"/>
      <c r="AF187" s="55"/>
      <c r="AG187" s="56" t="str">
        <f t="shared" si="85"/>
        <v/>
      </c>
      <c r="AH187" s="57" t="str">
        <f t="shared" si="86"/>
        <v/>
      </c>
      <c r="AI187" s="56"/>
      <c r="AJ187" s="57" t="str">
        <f t="shared" si="87"/>
        <v/>
      </c>
      <c r="AK187" s="56"/>
      <c r="AL187" s="57" t="str">
        <f t="shared" si="75"/>
        <v/>
      </c>
      <c r="AM187" s="56"/>
      <c r="AN187" s="57" t="str">
        <f t="shared" si="88"/>
        <v/>
      </c>
      <c r="AO187" s="56"/>
      <c r="AP187" s="57" t="str">
        <f t="shared" si="76"/>
        <v/>
      </c>
      <c r="AQ187" s="56"/>
      <c r="AR187" s="57" t="str">
        <f t="shared" si="77"/>
        <v/>
      </c>
      <c r="AS187" s="56"/>
      <c r="AT187" s="57" t="str">
        <f t="shared" si="78"/>
        <v/>
      </c>
      <c r="AU187" s="58"/>
      <c r="AV187" s="59"/>
      <c r="AW187" s="59"/>
      <c r="AX187" s="60"/>
      <c r="AY187" s="61" t="str">
        <f t="shared" si="89"/>
        <v/>
      </c>
      <c r="AZ187" s="62" t="str">
        <f t="shared" si="79"/>
        <v/>
      </c>
      <c r="BA187" s="61" t="str">
        <f t="shared" si="90"/>
        <v/>
      </c>
      <c r="BB187" s="62" t="str">
        <f t="shared" si="80"/>
        <v/>
      </c>
    </row>
    <row r="188" spans="1:54" s="3" customFormat="1" hidden="1" x14ac:dyDescent="0.35">
      <c r="A188" s="73">
        <f t="shared" si="64"/>
        <v>2017</v>
      </c>
      <c r="B188" s="73" t="str">
        <f t="shared" si="65"/>
        <v>Nov</v>
      </c>
      <c r="C188" s="74">
        <f t="shared" si="81"/>
        <v>16</v>
      </c>
      <c r="D188" s="75">
        <f t="shared" si="66"/>
        <v>11</v>
      </c>
      <c r="E188" s="76">
        <f t="shared" si="67"/>
        <v>23</v>
      </c>
      <c r="F188" s="80"/>
      <c r="G188" s="83"/>
      <c r="H188" s="69" t="str">
        <f t="shared" si="82"/>
        <v>Lacine7_20171116_11_00</v>
      </c>
      <c r="I188" s="70">
        <f t="shared" si="93"/>
        <v>1</v>
      </c>
      <c r="J188" s="77" t="str">
        <f t="shared" si="93"/>
        <v>Lactuca</v>
      </c>
      <c r="K188" s="77" t="str">
        <f t="shared" si="93"/>
        <v>inermis</v>
      </c>
      <c r="L188" s="78">
        <f t="shared" si="93"/>
        <v>7</v>
      </c>
      <c r="M188" s="78">
        <f t="shared" si="93"/>
        <v>3</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84"/>
        <v/>
      </c>
      <c r="AE188" s="55"/>
      <c r="AF188" s="55"/>
      <c r="AG188" s="56" t="str">
        <f t="shared" si="85"/>
        <v/>
      </c>
      <c r="AH188" s="57" t="str">
        <f t="shared" si="86"/>
        <v/>
      </c>
      <c r="AI188" s="56"/>
      <c r="AJ188" s="57" t="str">
        <f t="shared" si="87"/>
        <v/>
      </c>
      <c r="AK188" s="56"/>
      <c r="AL188" s="57" t="str">
        <f t="shared" si="75"/>
        <v/>
      </c>
      <c r="AM188" s="56"/>
      <c r="AN188" s="57" t="str">
        <f t="shared" si="88"/>
        <v/>
      </c>
      <c r="AO188" s="56"/>
      <c r="AP188" s="57" t="str">
        <f t="shared" si="76"/>
        <v/>
      </c>
      <c r="AQ188" s="56"/>
      <c r="AR188" s="57" t="str">
        <f t="shared" si="77"/>
        <v/>
      </c>
      <c r="AS188" s="56"/>
      <c r="AT188" s="57" t="str">
        <f t="shared" si="78"/>
        <v/>
      </c>
      <c r="AU188" s="58"/>
      <c r="AV188" s="59"/>
      <c r="AW188" s="59"/>
      <c r="AX188" s="60"/>
      <c r="AY188" s="61" t="str">
        <f t="shared" si="89"/>
        <v/>
      </c>
      <c r="AZ188" s="62" t="str">
        <f t="shared" si="79"/>
        <v/>
      </c>
      <c r="BA188" s="61" t="str">
        <f t="shared" si="90"/>
        <v/>
      </c>
      <c r="BB188" s="62" t="str">
        <f t="shared" si="80"/>
        <v/>
      </c>
    </row>
    <row r="189" spans="1:54" s="3" customFormat="1" hidden="1" x14ac:dyDescent="0.35">
      <c r="A189" s="73">
        <f t="shared" si="64"/>
        <v>2017</v>
      </c>
      <c r="B189" s="73" t="str">
        <f t="shared" si="65"/>
        <v>Nov</v>
      </c>
      <c r="C189" s="74">
        <f t="shared" si="81"/>
        <v>16</v>
      </c>
      <c r="D189" s="75">
        <f t="shared" si="66"/>
        <v>11</v>
      </c>
      <c r="E189" s="76">
        <f t="shared" si="67"/>
        <v>24</v>
      </c>
      <c r="F189" s="80"/>
      <c r="G189" s="83"/>
      <c r="H189" s="69" t="str">
        <f t="shared" si="82"/>
        <v>Lacine7_20171116_11_00</v>
      </c>
      <c r="I189" s="70">
        <f t="shared" si="93"/>
        <v>1</v>
      </c>
      <c r="J189" s="77" t="str">
        <f t="shared" si="93"/>
        <v>Lactuca</v>
      </c>
      <c r="K189" s="77" t="str">
        <f t="shared" si="93"/>
        <v>inermis</v>
      </c>
      <c r="L189" s="78">
        <f t="shared" si="93"/>
        <v>7</v>
      </c>
      <c r="M189" s="78">
        <f t="shared" si="93"/>
        <v>3</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84"/>
        <v/>
      </c>
      <c r="AE189" s="55"/>
      <c r="AF189" s="55"/>
      <c r="AG189" s="56" t="str">
        <f t="shared" si="85"/>
        <v/>
      </c>
      <c r="AH189" s="57" t="str">
        <f t="shared" si="86"/>
        <v/>
      </c>
      <c r="AI189" s="56"/>
      <c r="AJ189" s="57" t="str">
        <f t="shared" si="87"/>
        <v/>
      </c>
      <c r="AK189" s="56"/>
      <c r="AL189" s="57" t="str">
        <f t="shared" si="75"/>
        <v/>
      </c>
      <c r="AM189" s="56"/>
      <c r="AN189" s="57" t="str">
        <f t="shared" si="88"/>
        <v/>
      </c>
      <c r="AO189" s="56"/>
      <c r="AP189" s="57" t="str">
        <f t="shared" si="76"/>
        <v/>
      </c>
      <c r="AQ189" s="56"/>
      <c r="AR189" s="57" t="str">
        <f t="shared" si="77"/>
        <v/>
      </c>
      <c r="AS189" s="56"/>
      <c r="AT189" s="57" t="str">
        <f t="shared" si="78"/>
        <v/>
      </c>
      <c r="AU189" s="58"/>
      <c r="AV189" s="59"/>
      <c r="AW189" s="59"/>
      <c r="AX189" s="60"/>
      <c r="AY189" s="61" t="str">
        <f t="shared" si="89"/>
        <v/>
      </c>
      <c r="AZ189" s="62" t="str">
        <f t="shared" si="79"/>
        <v/>
      </c>
      <c r="BA189" s="61" t="str">
        <f t="shared" si="90"/>
        <v/>
      </c>
      <c r="BB189" s="62" t="str">
        <f t="shared" si="80"/>
        <v/>
      </c>
    </row>
    <row r="190" spans="1:54" s="3" customFormat="1" hidden="1" x14ac:dyDescent="0.35">
      <c r="A190" s="73">
        <f t="shared" si="64"/>
        <v>2017</v>
      </c>
      <c r="B190" s="73" t="str">
        <f t="shared" si="65"/>
        <v>Nov</v>
      </c>
      <c r="C190" s="74">
        <f t="shared" si="81"/>
        <v>16</v>
      </c>
      <c r="D190" s="75">
        <f t="shared" si="66"/>
        <v>11</v>
      </c>
      <c r="E190" s="76">
        <f t="shared" si="67"/>
        <v>25</v>
      </c>
      <c r="F190" s="80"/>
      <c r="G190" s="83"/>
      <c r="H190" s="69" t="str">
        <f t="shared" si="82"/>
        <v>Lacine7_20171116_11_00</v>
      </c>
      <c r="I190" s="70">
        <f t="shared" si="93"/>
        <v>1</v>
      </c>
      <c r="J190" s="77" t="str">
        <f t="shared" si="93"/>
        <v>Lactuca</v>
      </c>
      <c r="K190" s="77" t="str">
        <f t="shared" si="93"/>
        <v>inermis</v>
      </c>
      <c r="L190" s="78">
        <f t="shared" si="93"/>
        <v>7</v>
      </c>
      <c r="M190" s="78">
        <f t="shared" si="93"/>
        <v>3</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84"/>
        <v/>
      </c>
      <c r="AE190" s="55"/>
      <c r="AF190" s="55"/>
      <c r="AG190" s="56" t="str">
        <f t="shared" si="85"/>
        <v/>
      </c>
      <c r="AH190" s="57" t="str">
        <f t="shared" si="86"/>
        <v/>
      </c>
      <c r="AI190" s="56"/>
      <c r="AJ190" s="57" t="str">
        <f t="shared" si="87"/>
        <v/>
      </c>
      <c r="AK190" s="56"/>
      <c r="AL190" s="57" t="str">
        <f t="shared" si="75"/>
        <v/>
      </c>
      <c r="AM190" s="56"/>
      <c r="AN190" s="57" t="str">
        <f t="shared" si="88"/>
        <v/>
      </c>
      <c r="AO190" s="56"/>
      <c r="AP190" s="57" t="str">
        <f t="shared" si="76"/>
        <v/>
      </c>
      <c r="AQ190" s="56"/>
      <c r="AR190" s="57" t="str">
        <f t="shared" si="77"/>
        <v/>
      </c>
      <c r="AS190" s="56"/>
      <c r="AT190" s="57" t="str">
        <f t="shared" si="78"/>
        <v/>
      </c>
      <c r="AU190" s="58"/>
      <c r="AV190" s="59"/>
      <c r="AW190" s="59"/>
      <c r="AX190" s="60"/>
      <c r="AY190" s="61" t="str">
        <f t="shared" si="89"/>
        <v/>
      </c>
      <c r="AZ190" s="62" t="str">
        <f t="shared" si="79"/>
        <v/>
      </c>
      <c r="BA190" s="61" t="str">
        <f t="shared" si="90"/>
        <v/>
      </c>
      <c r="BB190" s="62" t="str">
        <f t="shared" si="80"/>
        <v/>
      </c>
    </row>
    <row r="191" spans="1:54" s="3" customFormat="1" hidden="1" x14ac:dyDescent="0.35">
      <c r="A191" s="73">
        <f t="shared" si="64"/>
        <v>2017</v>
      </c>
      <c r="B191" s="73" t="str">
        <f t="shared" si="65"/>
        <v>Nov</v>
      </c>
      <c r="C191" s="74">
        <f t="shared" si="81"/>
        <v>16</v>
      </c>
      <c r="D191" s="75">
        <f t="shared" si="66"/>
        <v>11</v>
      </c>
      <c r="E191" s="76">
        <f t="shared" si="67"/>
        <v>26</v>
      </c>
      <c r="F191" s="80"/>
      <c r="G191" s="83"/>
      <c r="H191" s="69" t="str">
        <f t="shared" si="82"/>
        <v>Lacine7_20171116_11_00</v>
      </c>
      <c r="I191" s="70">
        <f t="shared" si="93"/>
        <v>1</v>
      </c>
      <c r="J191" s="77" t="str">
        <f t="shared" si="93"/>
        <v>Lactuca</v>
      </c>
      <c r="K191" s="77" t="str">
        <f t="shared" si="93"/>
        <v>inermis</v>
      </c>
      <c r="L191" s="78">
        <f t="shared" si="93"/>
        <v>7</v>
      </c>
      <c r="M191" s="78">
        <f t="shared" si="93"/>
        <v>3</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84"/>
        <v/>
      </c>
      <c r="AE191" s="55"/>
      <c r="AF191" s="55"/>
      <c r="AG191" s="56" t="str">
        <f t="shared" si="85"/>
        <v/>
      </c>
      <c r="AH191" s="57" t="str">
        <f t="shared" si="86"/>
        <v/>
      </c>
      <c r="AI191" s="56"/>
      <c r="AJ191" s="57" t="str">
        <f t="shared" si="87"/>
        <v/>
      </c>
      <c r="AK191" s="56"/>
      <c r="AL191" s="57" t="str">
        <f t="shared" si="75"/>
        <v/>
      </c>
      <c r="AM191" s="56"/>
      <c r="AN191" s="57" t="str">
        <f t="shared" si="88"/>
        <v/>
      </c>
      <c r="AO191" s="56"/>
      <c r="AP191" s="57" t="str">
        <f t="shared" si="76"/>
        <v/>
      </c>
      <c r="AQ191" s="56"/>
      <c r="AR191" s="57" t="str">
        <f t="shared" si="77"/>
        <v/>
      </c>
      <c r="AS191" s="56"/>
      <c r="AT191" s="57" t="str">
        <f t="shared" si="78"/>
        <v/>
      </c>
      <c r="AU191" s="58"/>
      <c r="AV191" s="59"/>
      <c r="AW191" s="59"/>
      <c r="AX191" s="60"/>
      <c r="AY191" s="61" t="str">
        <f t="shared" si="89"/>
        <v/>
      </c>
      <c r="AZ191" s="62" t="str">
        <f t="shared" si="79"/>
        <v/>
      </c>
      <c r="BA191" s="61" t="str">
        <f t="shared" si="90"/>
        <v/>
      </c>
      <c r="BB191" s="62" t="str">
        <f t="shared" si="80"/>
        <v/>
      </c>
    </row>
    <row r="192" spans="1:54" s="3" customFormat="1" hidden="1" x14ac:dyDescent="0.35">
      <c r="A192" s="73">
        <f t="shared" si="64"/>
        <v>2017</v>
      </c>
      <c r="B192" s="73" t="str">
        <f t="shared" si="65"/>
        <v>Nov</v>
      </c>
      <c r="C192" s="74">
        <f t="shared" si="81"/>
        <v>16</v>
      </c>
      <c r="D192" s="75">
        <f t="shared" si="66"/>
        <v>11</v>
      </c>
      <c r="E192" s="76">
        <f t="shared" si="67"/>
        <v>27</v>
      </c>
      <c r="F192" s="80"/>
      <c r="G192" s="83"/>
      <c r="H192" s="69" t="str">
        <f t="shared" si="82"/>
        <v>Lacine7_20171116_11_00</v>
      </c>
      <c r="I192" s="70">
        <f t="shared" si="93"/>
        <v>1</v>
      </c>
      <c r="J192" s="77" t="str">
        <f t="shared" si="93"/>
        <v>Lactuca</v>
      </c>
      <c r="K192" s="77" t="str">
        <f t="shared" si="93"/>
        <v>inermis</v>
      </c>
      <c r="L192" s="78">
        <f t="shared" si="93"/>
        <v>7</v>
      </c>
      <c r="M192" s="78">
        <f t="shared" si="93"/>
        <v>3</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84"/>
        <v/>
      </c>
      <c r="AE192" s="55"/>
      <c r="AF192" s="55"/>
      <c r="AG192" s="56" t="str">
        <f t="shared" si="85"/>
        <v/>
      </c>
      <c r="AH192" s="57" t="str">
        <f t="shared" si="86"/>
        <v/>
      </c>
      <c r="AI192" s="56"/>
      <c r="AJ192" s="57" t="str">
        <f t="shared" si="87"/>
        <v/>
      </c>
      <c r="AK192" s="56"/>
      <c r="AL192" s="57" t="str">
        <f t="shared" si="75"/>
        <v/>
      </c>
      <c r="AM192" s="56"/>
      <c r="AN192" s="57" t="str">
        <f t="shared" si="88"/>
        <v/>
      </c>
      <c r="AO192" s="56"/>
      <c r="AP192" s="57" t="str">
        <f t="shared" si="76"/>
        <v/>
      </c>
      <c r="AQ192" s="56"/>
      <c r="AR192" s="57" t="str">
        <f t="shared" si="77"/>
        <v/>
      </c>
      <c r="AS192" s="56"/>
      <c r="AT192" s="57" t="str">
        <f t="shared" si="78"/>
        <v/>
      </c>
      <c r="AU192" s="58"/>
      <c r="AV192" s="59"/>
      <c r="AW192" s="59"/>
      <c r="AX192" s="60"/>
      <c r="AY192" s="61" t="str">
        <f t="shared" si="89"/>
        <v/>
      </c>
      <c r="AZ192" s="62" t="str">
        <f t="shared" si="79"/>
        <v/>
      </c>
      <c r="BA192" s="61" t="str">
        <f t="shared" si="90"/>
        <v/>
      </c>
      <c r="BB192" s="62" t="str">
        <f t="shared" si="80"/>
        <v/>
      </c>
    </row>
    <row r="193" spans="1:54" s="3" customFormat="1" hidden="1" x14ac:dyDescent="0.35">
      <c r="A193" s="73">
        <f t="shared" si="64"/>
        <v>2017</v>
      </c>
      <c r="B193" s="73" t="str">
        <f t="shared" si="65"/>
        <v>Nov</v>
      </c>
      <c r="C193" s="74">
        <f t="shared" si="81"/>
        <v>16</v>
      </c>
      <c r="D193" s="75">
        <f t="shared" si="66"/>
        <v>11</v>
      </c>
      <c r="E193" s="76">
        <f t="shared" si="67"/>
        <v>28</v>
      </c>
      <c r="F193" s="80"/>
      <c r="G193" s="83"/>
      <c r="H193" s="69" t="str">
        <f t="shared" si="82"/>
        <v>Lacine7_20171116_11_00</v>
      </c>
      <c r="I193" s="70">
        <f t="shared" si="93"/>
        <v>1</v>
      </c>
      <c r="J193" s="77" t="str">
        <f t="shared" si="93"/>
        <v>Lactuca</v>
      </c>
      <c r="K193" s="77" t="str">
        <f t="shared" si="93"/>
        <v>inermis</v>
      </c>
      <c r="L193" s="78">
        <f t="shared" si="93"/>
        <v>7</v>
      </c>
      <c r="M193" s="78">
        <f t="shared" si="93"/>
        <v>3</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84"/>
        <v/>
      </c>
      <c r="AE193" s="55"/>
      <c r="AF193" s="55"/>
      <c r="AG193" s="56" t="str">
        <f t="shared" si="85"/>
        <v/>
      </c>
      <c r="AH193" s="57" t="str">
        <f t="shared" si="86"/>
        <v/>
      </c>
      <c r="AI193" s="56"/>
      <c r="AJ193" s="57" t="str">
        <f t="shared" si="87"/>
        <v/>
      </c>
      <c r="AK193" s="56"/>
      <c r="AL193" s="57" t="str">
        <f t="shared" si="75"/>
        <v/>
      </c>
      <c r="AM193" s="56"/>
      <c r="AN193" s="57" t="str">
        <f t="shared" si="88"/>
        <v/>
      </c>
      <c r="AO193" s="56"/>
      <c r="AP193" s="57" t="str">
        <f t="shared" si="76"/>
        <v/>
      </c>
      <c r="AQ193" s="56"/>
      <c r="AR193" s="57" t="str">
        <f t="shared" si="77"/>
        <v/>
      </c>
      <c r="AS193" s="56"/>
      <c r="AT193" s="57" t="str">
        <f t="shared" si="78"/>
        <v/>
      </c>
      <c r="AU193" s="58"/>
      <c r="AV193" s="59"/>
      <c r="AW193" s="59"/>
      <c r="AX193" s="60"/>
      <c r="AY193" s="61" t="str">
        <f t="shared" si="89"/>
        <v/>
      </c>
      <c r="AZ193" s="62" t="str">
        <f t="shared" si="79"/>
        <v/>
      </c>
      <c r="BA193" s="61" t="str">
        <f t="shared" si="90"/>
        <v/>
      </c>
      <c r="BB193" s="62" t="str">
        <f t="shared" si="80"/>
        <v/>
      </c>
    </row>
    <row r="194" spans="1:54" s="3" customFormat="1" hidden="1" x14ac:dyDescent="0.35">
      <c r="A194" s="73">
        <f t="shared" si="64"/>
        <v>2017</v>
      </c>
      <c r="B194" s="73" t="str">
        <f t="shared" si="65"/>
        <v>Nov</v>
      </c>
      <c r="C194" s="74">
        <f t="shared" si="81"/>
        <v>16</v>
      </c>
      <c r="D194" s="75">
        <f t="shared" si="66"/>
        <v>11</v>
      </c>
      <c r="E194" s="76">
        <f t="shared" si="67"/>
        <v>29</v>
      </c>
      <c r="F194" s="80"/>
      <c r="G194" s="83"/>
      <c r="H194" s="69" t="str">
        <f t="shared" si="82"/>
        <v>Lacine7_20171116_11_00</v>
      </c>
      <c r="I194" s="70">
        <f t="shared" si="93"/>
        <v>1</v>
      </c>
      <c r="J194" s="77" t="str">
        <f t="shared" si="93"/>
        <v>Lactuca</v>
      </c>
      <c r="K194" s="77" t="str">
        <f t="shared" si="93"/>
        <v>inermis</v>
      </c>
      <c r="L194" s="78">
        <f t="shared" si="93"/>
        <v>7</v>
      </c>
      <c r="M194" s="78">
        <f t="shared" si="93"/>
        <v>3</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84"/>
        <v/>
      </c>
      <c r="AE194" s="55"/>
      <c r="AF194" s="55"/>
      <c r="AG194" s="56" t="str">
        <f t="shared" si="85"/>
        <v/>
      </c>
      <c r="AH194" s="57" t="str">
        <f t="shared" si="86"/>
        <v/>
      </c>
      <c r="AI194" s="56"/>
      <c r="AJ194" s="57" t="str">
        <f t="shared" si="87"/>
        <v/>
      </c>
      <c r="AK194" s="56"/>
      <c r="AL194" s="57" t="str">
        <f t="shared" si="75"/>
        <v/>
      </c>
      <c r="AM194" s="56"/>
      <c r="AN194" s="57" t="str">
        <f t="shared" si="88"/>
        <v/>
      </c>
      <c r="AO194" s="56"/>
      <c r="AP194" s="57" t="str">
        <f t="shared" si="76"/>
        <v/>
      </c>
      <c r="AQ194" s="56"/>
      <c r="AR194" s="57" t="str">
        <f t="shared" si="77"/>
        <v/>
      </c>
      <c r="AS194" s="56"/>
      <c r="AT194" s="57" t="str">
        <f t="shared" si="78"/>
        <v/>
      </c>
      <c r="AU194" s="58"/>
      <c r="AV194" s="59"/>
      <c r="AW194" s="59"/>
      <c r="AX194" s="60"/>
      <c r="AY194" s="61" t="str">
        <f t="shared" si="89"/>
        <v/>
      </c>
      <c r="AZ194" s="62" t="str">
        <f t="shared" si="79"/>
        <v/>
      </c>
      <c r="BA194" s="61" t="str">
        <f t="shared" si="90"/>
        <v/>
      </c>
      <c r="BB194" s="62" t="str">
        <f t="shared" si="80"/>
        <v/>
      </c>
    </row>
    <row r="195" spans="1:54" s="3" customFormat="1" x14ac:dyDescent="0.35">
      <c r="A195" s="73">
        <f t="shared" si="64"/>
        <v>2017</v>
      </c>
      <c r="B195" s="73" t="str">
        <f t="shared" si="65"/>
        <v>Nov</v>
      </c>
      <c r="C195" s="74">
        <f t="shared" si="81"/>
        <v>16</v>
      </c>
      <c r="D195" s="75">
        <f t="shared" si="66"/>
        <v>11</v>
      </c>
      <c r="E195" s="76">
        <f t="shared" si="67"/>
        <v>30</v>
      </c>
      <c r="F195" s="80">
        <v>10</v>
      </c>
      <c r="G195" s="83"/>
      <c r="H195" s="69" t="str">
        <f t="shared" si="82"/>
        <v>Lacine7_20171116_11_00</v>
      </c>
      <c r="I195" s="70">
        <f t="shared" si="93"/>
        <v>1</v>
      </c>
      <c r="J195" s="77" t="str">
        <f t="shared" si="93"/>
        <v>Lactuca</v>
      </c>
      <c r="K195" s="77" t="str">
        <f t="shared" si="93"/>
        <v>inermis</v>
      </c>
      <c r="L195" s="78">
        <f t="shared" si="93"/>
        <v>7</v>
      </c>
      <c r="M195" s="78">
        <f t="shared" si="93"/>
        <v>3</v>
      </c>
      <c r="N195" s="72">
        <f t="shared" si="93"/>
        <v>0</v>
      </c>
      <c r="O195" s="45"/>
      <c r="P195" s="46">
        <f t="shared" si="68"/>
        <v>1</v>
      </c>
      <c r="Q195" s="47" t="str">
        <f t="shared" si="69"/>
        <v>11:30:10</v>
      </c>
      <c r="R195" s="48" t="str">
        <f t="shared" si="70"/>
        <v>30:10</v>
      </c>
      <c r="S195" s="49">
        <f t="shared" ref="S195:S258" si="94">IF(T195&lt;D195, (T195*3600+U195*60+V195)+((23*3600+59*60+60)-(D195*3600+E195*60+LEFT(F195,2))), (T195*3600+U195*60+V195)-(D195*3600+E195*60+LEFT(F195,2)))</f>
        <v>145</v>
      </c>
      <c r="T195" s="48" t="str">
        <f t="shared" si="71"/>
        <v>11</v>
      </c>
      <c r="U195" s="50">
        <v>32</v>
      </c>
      <c r="V195" s="51">
        <v>35</v>
      </c>
      <c r="W195" s="52" t="str">
        <f t="shared" si="72"/>
        <v>32:35</v>
      </c>
      <c r="X195" s="53" t="s">
        <v>65</v>
      </c>
      <c r="Y195" s="126" t="s">
        <v>68</v>
      </c>
      <c r="Z195" s="126"/>
      <c r="AA195" s="48" t="s">
        <v>63</v>
      </c>
      <c r="AB195" s="48" t="str">
        <f t="shared" si="73"/>
        <v>NA</v>
      </c>
      <c r="AC195" s="54">
        <f t="shared" si="74"/>
        <v>0</v>
      </c>
      <c r="AD195" s="55">
        <v>3</v>
      </c>
      <c r="AE195" s="55"/>
      <c r="AF195" s="55"/>
      <c r="AG195" s="56">
        <v>1</v>
      </c>
      <c r="AH195" s="57">
        <v>100</v>
      </c>
      <c r="AI195" s="56"/>
      <c r="AJ195" s="57" t="str">
        <f t="shared" si="87"/>
        <v/>
      </c>
      <c r="AK195" s="56"/>
      <c r="AL195" s="57" t="str">
        <f t="shared" si="75"/>
        <v/>
      </c>
      <c r="AM195" s="56">
        <v>1</v>
      </c>
      <c r="AN195" s="57">
        <v>45</v>
      </c>
      <c r="AO195" s="56"/>
      <c r="AP195" s="57" t="str">
        <f t="shared" si="76"/>
        <v/>
      </c>
      <c r="AQ195" s="56"/>
      <c r="AR195" s="57" t="str">
        <f t="shared" si="77"/>
        <v/>
      </c>
      <c r="AS195" s="56"/>
      <c r="AT195" s="57" t="str">
        <f t="shared" si="78"/>
        <v/>
      </c>
      <c r="AU195" s="58"/>
      <c r="AV195" s="59"/>
      <c r="AW195" s="59"/>
      <c r="AX195" s="60"/>
      <c r="AY195" s="61">
        <v>1</v>
      </c>
      <c r="AZ195" s="62">
        <f t="shared" si="79"/>
        <v>3</v>
      </c>
      <c r="BA195" s="61">
        <v>1</v>
      </c>
      <c r="BB195" s="62">
        <f t="shared" si="80"/>
        <v>3</v>
      </c>
    </row>
    <row r="196" spans="1:54" s="3" customFormat="1" hidden="1" x14ac:dyDescent="0.35">
      <c r="A196" s="73">
        <f t="shared" ref="A196:A259" si="95">A195</f>
        <v>2017</v>
      </c>
      <c r="B196" s="73" t="str">
        <f t="shared" ref="B196:B259" si="96">IF(C195-C196&gt;0, TEXT(DATE(2016,(MONTH(DATEVALUE(B195&amp;"1"))+1),1),"mmm"), B195)</f>
        <v>Nov</v>
      </c>
      <c r="C196" s="74">
        <f t="shared" si="81"/>
        <v>16</v>
      </c>
      <c r="D196" s="75">
        <f t="shared" ref="D196:D259" si="97">IF(IF(E195=59,D195+1,D195)=24,0,IF(E195=59,D195+1,D195))</f>
        <v>11</v>
      </c>
      <c r="E196" s="76">
        <f t="shared" ref="E196:E259" si="98">IF(E195&lt;59,E195+1,0)</f>
        <v>31</v>
      </c>
      <c r="F196" s="80"/>
      <c r="G196" s="83"/>
      <c r="H196" s="69" t="str">
        <f t="shared" si="82"/>
        <v>Lacine7_20171116_11_00</v>
      </c>
      <c r="I196" s="70">
        <f t="shared" si="93"/>
        <v>1</v>
      </c>
      <c r="J196" s="77" t="str">
        <f t="shared" si="93"/>
        <v>Lactuca</v>
      </c>
      <c r="K196" s="77" t="str">
        <f t="shared" si="93"/>
        <v>inermis</v>
      </c>
      <c r="L196" s="78">
        <f t="shared" si="93"/>
        <v>7</v>
      </c>
      <c r="M196" s="78">
        <f t="shared" si="93"/>
        <v>3</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2017</v>
      </c>
      <c r="B197" s="73" t="str">
        <f t="shared" si="96"/>
        <v>Nov</v>
      </c>
      <c r="C197" s="74">
        <f t="shared" ref="C197:C260" si="119">IF(AND(D197=0, E197=0), IF(TEXT(C196,"dd")=TEXT(EOMONTH(DATE(A196,MONTH(DATEVALUE(B196&amp;"1")),C196),0), "dd"), 1, C196+1), C196)</f>
        <v>16</v>
      </c>
      <c r="D197" s="75">
        <f t="shared" si="97"/>
        <v>11</v>
      </c>
      <c r="E197" s="76">
        <f t="shared" si="98"/>
        <v>32</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Lacine7_20171116_11_00</v>
      </c>
      <c r="I197" s="70">
        <f t="shared" ref="I197:N212" si="121">I196</f>
        <v>1</v>
      </c>
      <c r="J197" s="77" t="str">
        <f t="shared" si="121"/>
        <v>Lactuca</v>
      </c>
      <c r="K197" s="77" t="str">
        <f t="shared" si="121"/>
        <v>inermis</v>
      </c>
      <c r="L197" s="78">
        <f t="shared" si="121"/>
        <v>7</v>
      </c>
      <c r="M197" s="78">
        <f t="shared" si="121"/>
        <v>3</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2017</v>
      </c>
      <c r="B198" s="73" t="str">
        <f t="shared" si="96"/>
        <v>Nov</v>
      </c>
      <c r="C198" s="74">
        <f t="shared" si="119"/>
        <v>16</v>
      </c>
      <c r="D198" s="75">
        <f t="shared" si="97"/>
        <v>11</v>
      </c>
      <c r="E198" s="76">
        <f t="shared" si="98"/>
        <v>33</v>
      </c>
      <c r="F198" s="80"/>
      <c r="G198" s="83"/>
      <c r="H198" s="69" t="str">
        <f t="shared" si="120"/>
        <v>Lacine7_20171116_11_00</v>
      </c>
      <c r="I198" s="70">
        <f t="shared" si="121"/>
        <v>1</v>
      </c>
      <c r="J198" s="77" t="str">
        <f t="shared" si="121"/>
        <v>Lactuca</v>
      </c>
      <c r="K198" s="77" t="str">
        <f t="shared" si="121"/>
        <v>inermis</v>
      </c>
      <c r="L198" s="78">
        <f t="shared" si="121"/>
        <v>7</v>
      </c>
      <c r="M198" s="78">
        <f t="shared" si="121"/>
        <v>3</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2017</v>
      </c>
      <c r="B199" s="73" t="str">
        <f t="shared" si="96"/>
        <v>Nov</v>
      </c>
      <c r="C199" s="74">
        <f t="shared" si="119"/>
        <v>16</v>
      </c>
      <c r="D199" s="75">
        <f t="shared" si="97"/>
        <v>11</v>
      </c>
      <c r="E199" s="76">
        <f t="shared" si="98"/>
        <v>34</v>
      </c>
      <c r="F199" s="80"/>
      <c r="G199" s="83"/>
      <c r="H199" s="69" t="str">
        <f t="shared" si="120"/>
        <v>Lacine7_20171116_11_00</v>
      </c>
      <c r="I199" s="70">
        <f t="shared" si="121"/>
        <v>1</v>
      </c>
      <c r="J199" s="77" t="str">
        <f t="shared" si="121"/>
        <v>Lactuca</v>
      </c>
      <c r="K199" s="77" t="str">
        <f t="shared" si="121"/>
        <v>inermis</v>
      </c>
      <c r="L199" s="78">
        <f t="shared" si="121"/>
        <v>7</v>
      </c>
      <c r="M199" s="78">
        <f t="shared" si="121"/>
        <v>3</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2017</v>
      </c>
      <c r="B200" s="73" t="str">
        <f t="shared" si="96"/>
        <v>Nov</v>
      </c>
      <c r="C200" s="74">
        <f t="shared" si="119"/>
        <v>16</v>
      </c>
      <c r="D200" s="75">
        <f t="shared" si="97"/>
        <v>11</v>
      </c>
      <c r="E200" s="76">
        <f t="shared" si="98"/>
        <v>35</v>
      </c>
      <c r="F200" s="80"/>
      <c r="G200" s="83"/>
      <c r="H200" s="69" t="str">
        <f t="shared" si="120"/>
        <v>Lacine7_20171116_11_00</v>
      </c>
      <c r="I200" s="70">
        <f t="shared" si="121"/>
        <v>1</v>
      </c>
      <c r="J200" s="77" t="str">
        <f t="shared" si="121"/>
        <v>Lactuca</v>
      </c>
      <c r="K200" s="77" t="str">
        <f t="shared" si="121"/>
        <v>inermis</v>
      </c>
      <c r="L200" s="78">
        <f t="shared" si="121"/>
        <v>7</v>
      </c>
      <c r="M200" s="78">
        <f t="shared" si="121"/>
        <v>3</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2017</v>
      </c>
      <c r="B201" s="73" t="str">
        <f t="shared" si="96"/>
        <v>Nov</v>
      </c>
      <c r="C201" s="74">
        <f t="shared" si="119"/>
        <v>16</v>
      </c>
      <c r="D201" s="75">
        <f t="shared" si="97"/>
        <v>11</v>
      </c>
      <c r="E201" s="76">
        <f t="shared" si="98"/>
        <v>36</v>
      </c>
      <c r="F201" s="80"/>
      <c r="G201" s="83"/>
      <c r="H201" s="69" t="str">
        <f t="shared" si="120"/>
        <v>Lacine7_20171116_11_00</v>
      </c>
      <c r="I201" s="70">
        <f t="shared" si="121"/>
        <v>1</v>
      </c>
      <c r="J201" s="77" t="str">
        <f t="shared" si="121"/>
        <v>Lactuca</v>
      </c>
      <c r="K201" s="77" t="str">
        <f t="shared" si="121"/>
        <v>inermis</v>
      </c>
      <c r="L201" s="78">
        <f t="shared" si="121"/>
        <v>7</v>
      </c>
      <c r="M201" s="78">
        <f t="shared" si="121"/>
        <v>3</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2017</v>
      </c>
      <c r="B202" s="73" t="str">
        <f t="shared" si="96"/>
        <v>Nov</v>
      </c>
      <c r="C202" s="74">
        <f t="shared" si="119"/>
        <v>16</v>
      </c>
      <c r="D202" s="75">
        <f t="shared" si="97"/>
        <v>11</v>
      </c>
      <c r="E202" s="76">
        <f t="shared" si="98"/>
        <v>37</v>
      </c>
      <c r="F202" s="80"/>
      <c r="G202" s="83"/>
      <c r="H202" s="69" t="str">
        <f t="shared" si="120"/>
        <v>Lacine7_20171116_11_00</v>
      </c>
      <c r="I202" s="70">
        <f t="shared" si="121"/>
        <v>1</v>
      </c>
      <c r="J202" s="77" t="str">
        <f t="shared" si="121"/>
        <v>Lactuca</v>
      </c>
      <c r="K202" s="77" t="str">
        <f t="shared" si="121"/>
        <v>inermis</v>
      </c>
      <c r="L202" s="78">
        <f t="shared" si="121"/>
        <v>7</v>
      </c>
      <c r="M202" s="78">
        <f t="shared" si="121"/>
        <v>3</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2017</v>
      </c>
      <c r="B203" s="73" t="str">
        <f t="shared" si="96"/>
        <v>Nov</v>
      </c>
      <c r="C203" s="74">
        <f t="shared" si="119"/>
        <v>16</v>
      </c>
      <c r="D203" s="75">
        <f t="shared" si="97"/>
        <v>11</v>
      </c>
      <c r="E203" s="76">
        <f t="shared" si="98"/>
        <v>38</v>
      </c>
      <c r="F203" s="80"/>
      <c r="G203" s="83"/>
      <c r="H203" s="69" t="str">
        <f t="shared" si="120"/>
        <v>Lacine7_20171116_11_00</v>
      </c>
      <c r="I203" s="70">
        <f t="shared" si="121"/>
        <v>1</v>
      </c>
      <c r="J203" s="77" t="str">
        <f t="shared" si="121"/>
        <v>Lactuca</v>
      </c>
      <c r="K203" s="77" t="str">
        <f t="shared" si="121"/>
        <v>inermis</v>
      </c>
      <c r="L203" s="78">
        <f t="shared" si="121"/>
        <v>7</v>
      </c>
      <c r="M203" s="78">
        <f t="shared" si="121"/>
        <v>3</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2017</v>
      </c>
      <c r="B204" s="73" t="str">
        <f t="shared" si="96"/>
        <v>Nov</v>
      </c>
      <c r="C204" s="74">
        <f t="shared" si="119"/>
        <v>16</v>
      </c>
      <c r="D204" s="75">
        <f t="shared" si="97"/>
        <v>11</v>
      </c>
      <c r="E204" s="76">
        <f t="shared" si="98"/>
        <v>39</v>
      </c>
      <c r="F204" s="80"/>
      <c r="G204" s="83"/>
      <c r="H204" s="69" t="str">
        <f t="shared" si="120"/>
        <v>Lacine7_20171116_11_00</v>
      </c>
      <c r="I204" s="70">
        <f t="shared" si="121"/>
        <v>1</v>
      </c>
      <c r="J204" s="77" t="str">
        <f t="shared" si="121"/>
        <v>Lactuca</v>
      </c>
      <c r="K204" s="77" t="str">
        <f t="shared" si="121"/>
        <v>inermis</v>
      </c>
      <c r="L204" s="78">
        <f t="shared" si="121"/>
        <v>7</v>
      </c>
      <c r="M204" s="78">
        <f t="shared" si="121"/>
        <v>3</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2017</v>
      </c>
      <c r="B205" s="73" t="str">
        <f t="shared" si="96"/>
        <v>Nov</v>
      </c>
      <c r="C205" s="74">
        <f t="shared" si="119"/>
        <v>16</v>
      </c>
      <c r="D205" s="75">
        <f t="shared" si="97"/>
        <v>11</v>
      </c>
      <c r="E205" s="76">
        <f t="shared" si="98"/>
        <v>40</v>
      </c>
      <c r="F205" s="80"/>
      <c r="G205" s="83"/>
      <c r="H205" s="69" t="str">
        <f t="shared" si="120"/>
        <v>Lacine7_20171116_11_00</v>
      </c>
      <c r="I205" s="70">
        <f t="shared" si="121"/>
        <v>1</v>
      </c>
      <c r="J205" s="77" t="str">
        <f t="shared" si="121"/>
        <v>Lactuca</v>
      </c>
      <c r="K205" s="77" t="str">
        <f t="shared" si="121"/>
        <v>inermis</v>
      </c>
      <c r="L205" s="78">
        <f t="shared" si="121"/>
        <v>7</v>
      </c>
      <c r="M205" s="78">
        <f t="shared" si="121"/>
        <v>3</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2017</v>
      </c>
      <c r="B206" s="73" t="str">
        <f t="shared" si="96"/>
        <v>Nov</v>
      </c>
      <c r="C206" s="74">
        <f t="shared" si="119"/>
        <v>16</v>
      </c>
      <c r="D206" s="75">
        <f t="shared" si="97"/>
        <v>11</v>
      </c>
      <c r="E206" s="76">
        <f t="shared" si="98"/>
        <v>41</v>
      </c>
      <c r="F206" s="80"/>
      <c r="G206" s="83"/>
      <c r="H206" s="69" t="str">
        <f t="shared" si="120"/>
        <v>Lacine7_20171116_11_00</v>
      </c>
      <c r="I206" s="70">
        <f t="shared" si="121"/>
        <v>1</v>
      </c>
      <c r="J206" s="77" t="str">
        <f t="shared" si="121"/>
        <v>Lactuca</v>
      </c>
      <c r="K206" s="77" t="str">
        <f t="shared" si="121"/>
        <v>inermis</v>
      </c>
      <c r="L206" s="78">
        <f t="shared" si="121"/>
        <v>7</v>
      </c>
      <c r="M206" s="78">
        <f t="shared" si="121"/>
        <v>3</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2017</v>
      </c>
      <c r="B207" s="73" t="str">
        <f t="shared" si="96"/>
        <v>Nov</v>
      </c>
      <c r="C207" s="74">
        <f t="shared" si="119"/>
        <v>16</v>
      </c>
      <c r="D207" s="75">
        <f t="shared" si="97"/>
        <v>11</v>
      </c>
      <c r="E207" s="76">
        <f t="shared" si="98"/>
        <v>42</v>
      </c>
      <c r="F207" s="80"/>
      <c r="G207" s="83"/>
      <c r="H207" s="69" t="str">
        <f t="shared" si="120"/>
        <v>Lacine7_20171116_11_00</v>
      </c>
      <c r="I207" s="70">
        <f t="shared" si="121"/>
        <v>1</v>
      </c>
      <c r="J207" s="77" t="str">
        <f t="shared" si="121"/>
        <v>Lactuca</v>
      </c>
      <c r="K207" s="77" t="str">
        <f t="shared" si="121"/>
        <v>inermis</v>
      </c>
      <c r="L207" s="78">
        <f t="shared" si="121"/>
        <v>7</v>
      </c>
      <c r="M207" s="78">
        <f t="shared" si="121"/>
        <v>3</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2017</v>
      </c>
      <c r="B208" s="73" t="str">
        <f t="shared" si="96"/>
        <v>Nov</v>
      </c>
      <c r="C208" s="74">
        <f t="shared" si="119"/>
        <v>16</v>
      </c>
      <c r="D208" s="75">
        <f t="shared" si="97"/>
        <v>11</v>
      </c>
      <c r="E208" s="76">
        <f t="shared" si="98"/>
        <v>43</v>
      </c>
      <c r="F208" s="80"/>
      <c r="G208" s="83"/>
      <c r="H208" s="69" t="str">
        <f t="shared" si="120"/>
        <v>Lacine7_20171116_11_00</v>
      </c>
      <c r="I208" s="70">
        <f t="shared" si="121"/>
        <v>1</v>
      </c>
      <c r="J208" s="77" t="str">
        <f t="shared" si="121"/>
        <v>Lactuca</v>
      </c>
      <c r="K208" s="77" t="str">
        <f t="shared" si="121"/>
        <v>inermis</v>
      </c>
      <c r="L208" s="78">
        <f t="shared" si="121"/>
        <v>7</v>
      </c>
      <c r="M208" s="78">
        <f t="shared" si="121"/>
        <v>3</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2017</v>
      </c>
      <c r="B209" s="73" t="str">
        <f t="shared" si="96"/>
        <v>Nov</v>
      </c>
      <c r="C209" s="74">
        <f t="shared" si="119"/>
        <v>16</v>
      </c>
      <c r="D209" s="75">
        <f t="shared" si="97"/>
        <v>11</v>
      </c>
      <c r="E209" s="76">
        <f t="shared" si="98"/>
        <v>44</v>
      </c>
      <c r="F209" s="80"/>
      <c r="G209" s="83"/>
      <c r="H209" s="69" t="str">
        <f t="shared" si="120"/>
        <v>Lacine7_20171116_11_00</v>
      </c>
      <c r="I209" s="70">
        <f t="shared" si="121"/>
        <v>1</v>
      </c>
      <c r="J209" s="77" t="str">
        <f t="shared" si="121"/>
        <v>Lactuca</v>
      </c>
      <c r="K209" s="77" t="str">
        <f t="shared" si="121"/>
        <v>inermis</v>
      </c>
      <c r="L209" s="78">
        <f t="shared" si="121"/>
        <v>7</v>
      </c>
      <c r="M209" s="78">
        <f t="shared" si="121"/>
        <v>3</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2017</v>
      </c>
      <c r="B210" s="73" t="str">
        <f t="shared" si="96"/>
        <v>Nov</v>
      </c>
      <c r="C210" s="74">
        <f t="shared" si="119"/>
        <v>16</v>
      </c>
      <c r="D210" s="75">
        <f t="shared" si="97"/>
        <v>11</v>
      </c>
      <c r="E210" s="76">
        <f t="shared" si="98"/>
        <v>45</v>
      </c>
      <c r="F210" s="80"/>
      <c r="G210" s="83"/>
      <c r="H210" s="69" t="str">
        <f t="shared" si="120"/>
        <v>Lacine7_20171116_11_00</v>
      </c>
      <c r="I210" s="70">
        <f t="shared" si="121"/>
        <v>1</v>
      </c>
      <c r="J210" s="77" t="str">
        <f t="shared" si="121"/>
        <v>Lactuca</v>
      </c>
      <c r="K210" s="77" t="str">
        <f t="shared" si="121"/>
        <v>inermis</v>
      </c>
      <c r="L210" s="78">
        <f t="shared" si="121"/>
        <v>7</v>
      </c>
      <c r="M210" s="78">
        <f t="shared" si="121"/>
        <v>3</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2017</v>
      </c>
      <c r="B211" s="73" t="str">
        <f t="shared" si="96"/>
        <v>Nov</v>
      </c>
      <c r="C211" s="74">
        <f t="shared" si="119"/>
        <v>16</v>
      </c>
      <c r="D211" s="75">
        <f t="shared" si="97"/>
        <v>11</v>
      </c>
      <c r="E211" s="76">
        <f t="shared" si="98"/>
        <v>46</v>
      </c>
      <c r="F211" s="80"/>
      <c r="G211" s="83"/>
      <c r="H211" s="69" t="str">
        <f t="shared" si="120"/>
        <v>Lacine7_20171116_11_00</v>
      </c>
      <c r="I211" s="70">
        <f t="shared" si="121"/>
        <v>1</v>
      </c>
      <c r="J211" s="77" t="str">
        <f t="shared" si="121"/>
        <v>Lactuca</v>
      </c>
      <c r="K211" s="77" t="str">
        <f t="shared" si="121"/>
        <v>inermis</v>
      </c>
      <c r="L211" s="78">
        <f t="shared" si="121"/>
        <v>7</v>
      </c>
      <c r="M211" s="78">
        <f t="shared" si="121"/>
        <v>3</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x14ac:dyDescent="0.35">
      <c r="A212" s="73">
        <f t="shared" si="95"/>
        <v>2017</v>
      </c>
      <c r="B212" s="73" t="str">
        <f t="shared" si="96"/>
        <v>Nov</v>
      </c>
      <c r="C212" s="74">
        <f t="shared" si="119"/>
        <v>16</v>
      </c>
      <c r="D212" s="75">
        <f t="shared" si="97"/>
        <v>11</v>
      </c>
      <c r="E212" s="76">
        <f t="shared" si="98"/>
        <v>47</v>
      </c>
      <c r="F212" s="80">
        <v>49</v>
      </c>
      <c r="G212" s="83"/>
      <c r="H212" s="69" t="str">
        <f t="shared" si="120"/>
        <v>Lacine7_20171116_11_00</v>
      </c>
      <c r="I212" s="70">
        <f t="shared" si="121"/>
        <v>1</v>
      </c>
      <c r="J212" s="77" t="str">
        <f t="shared" si="121"/>
        <v>Lactuca</v>
      </c>
      <c r="K212" s="77" t="str">
        <f t="shared" si="121"/>
        <v>inermis</v>
      </c>
      <c r="L212" s="78">
        <f t="shared" si="121"/>
        <v>7</v>
      </c>
      <c r="M212" s="78">
        <f t="shared" si="121"/>
        <v>3</v>
      </c>
      <c r="N212" s="72">
        <f t="shared" si="121"/>
        <v>0</v>
      </c>
      <c r="O212" s="45"/>
      <c r="P212" s="46">
        <f t="shared" si="99"/>
        <v>1</v>
      </c>
      <c r="Q212" s="47" t="str">
        <f t="shared" si="100"/>
        <v>11:47:49</v>
      </c>
      <c r="R212" s="48" t="str">
        <f t="shared" si="101"/>
        <v>47:49</v>
      </c>
      <c r="S212" s="49">
        <f t="shared" si="94"/>
        <v>66</v>
      </c>
      <c r="T212" s="48" t="str">
        <f t="shared" si="102"/>
        <v>11</v>
      </c>
      <c r="U212" s="50">
        <v>48</v>
      </c>
      <c r="V212" s="51">
        <v>55</v>
      </c>
      <c r="W212" s="52" t="str">
        <f t="shared" si="103"/>
        <v>48:55</v>
      </c>
      <c r="X212" s="53" t="s">
        <v>62</v>
      </c>
      <c r="Y212" s="126" t="s">
        <v>68</v>
      </c>
      <c r="Z212" s="126"/>
      <c r="AA212" s="48" t="s">
        <v>63</v>
      </c>
      <c r="AB212" s="48" t="str">
        <f t="shared" si="104"/>
        <v>NA</v>
      </c>
      <c r="AC212" s="54">
        <f t="shared" si="105"/>
        <v>0</v>
      </c>
      <c r="AD212" s="55">
        <v>2</v>
      </c>
      <c r="AE212" s="55"/>
      <c r="AF212" s="55"/>
      <c r="AG212" s="56">
        <v>1</v>
      </c>
      <c r="AH212" s="57">
        <v>40</v>
      </c>
      <c r="AI212" s="56"/>
      <c r="AJ212" s="57" t="str">
        <f t="shared" si="109"/>
        <v/>
      </c>
      <c r="AK212" s="56"/>
      <c r="AL212" s="57" t="str">
        <f t="shared" si="110"/>
        <v/>
      </c>
      <c r="AM212" s="56">
        <v>1</v>
      </c>
      <c r="AN212" s="57">
        <v>26</v>
      </c>
      <c r="AO212" s="56"/>
      <c r="AP212" s="57" t="str">
        <f t="shared" si="112"/>
        <v/>
      </c>
      <c r="AQ212" s="56"/>
      <c r="AR212" s="57" t="str">
        <f t="shared" si="113"/>
        <v/>
      </c>
      <c r="AS212" s="56"/>
      <c r="AT212" s="57" t="str">
        <f t="shared" si="114"/>
        <v/>
      </c>
      <c r="AU212" s="58"/>
      <c r="AV212" s="59"/>
      <c r="AW212" s="59"/>
      <c r="AX212" s="60"/>
      <c r="AY212" s="61">
        <v>1</v>
      </c>
      <c r="AZ212" s="62">
        <f t="shared" si="116"/>
        <v>2</v>
      </c>
      <c r="BA212" s="61">
        <v>1</v>
      </c>
      <c r="BB212" s="62">
        <f t="shared" si="118"/>
        <v>2</v>
      </c>
    </row>
    <row r="213" spans="1:54" s="3" customFormat="1" hidden="1" x14ac:dyDescent="0.35">
      <c r="A213" s="73">
        <f t="shared" si="95"/>
        <v>2017</v>
      </c>
      <c r="B213" s="73" t="str">
        <f t="shared" si="96"/>
        <v>Nov</v>
      </c>
      <c r="C213" s="74">
        <f t="shared" si="119"/>
        <v>16</v>
      </c>
      <c r="D213" s="75">
        <f t="shared" si="97"/>
        <v>11</v>
      </c>
      <c r="E213" s="76">
        <f t="shared" si="98"/>
        <v>48</v>
      </c>
      <c r="F213" s="80"/>
      <c r="G213" s="83"/>
      <c r="H213" s="69" t="str">
        <f t="shared" si="120"/>
        <v>Lacine7_20171116_11_00</v>
      </c>
      <c r="I213" s="70">
        <f t="shared" ref="I213:N228" si="122">I212</f>
        <v>1</v>
      </c>
      <c r="J213" s="77" t="str">
        <f t="shared" si="122"/>
        <v>Lactuca</v>
      </c>
      <c r="K213" s="77" t="str">
        <f t="shared" si="122"/>
        <v>inermis</v>
      </c>
      <c r="L213" s="78">
        <f t="shared" si="122"/>
        <v>7</v>
      </c>
      <c r="M213" s="78">
        <f t="shared" si="122"/>
        <v>3</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2017</v>
      </c>
      <c r="B214" s="73" t="str">
        <f t="shared" si="96"/>
        <v>Nov</v>
      </c>
      <c r="C214" s="74">
        <f t="shared" si="119"/>
        <v>16</v>
      </c>
      <c r="D214" s="75">
        <f t="shared" si="97"/>
        <v>11</v>
      </c>
      <c r="E214" s="76">
        <f t="shared" si="98"/>
        <v>49</v>
      </c>
      <c r="F214" s="80"/>
      <c r="G214" s="83"/>
      <c r="H214" s="69" t="str">
        <f t="shared" si="120"/>
        <v>Lacine7_20171116_11_00</v>
      </c>
      <c r="I214" s="70">
        <f t="shared" si="122"/>
        <v>1</v>
      </c>
      <c r="J214" s="77" t="str">
        <f t="shared" si="122"/>
        <v>Lactuca</v>
      </c>
      <c r="K214" s="77" t="str">
        <f t="shared" si="122"/>
        <v>inermis</v>
      </c>
      <c r="L214" s="78">
        <f t="shared" si="122"/>
        <v>7</v>
      </c>
      <c r="M214" s="78">
        <f t="shared" si="122"/>
        <v>3</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2017</v>
      </c>
      <c r="B215" s="73" t="str">
        <f t="shared" si="96"/>
        <v>Nov</v>
      </c>
      <c r="C215" s="74">
        <f t="shared" si="119"/>
        <v>16</v>
      </c>
      <c r="D215" s="75">
        <f t="shared" si="97"/>
        <v>11</v>
      </c>
      <c r="E215" s="76">
        <f t="shared" si="98"/>
        <v>50</v>
      </c>
      <c r="F215" s="80"/>
      <c r="G215" s="83"/>
      <c r="H215" s="69" t="str">
        <f t="shared" si="120"/>
        <v>Lacine7_20171116_11_00</v>
      </c>
      <c r="I215" s="70">
        <f t="shared" si="122"/>
        <v>1</v>
      </c>
      <c r="J215" s="77" t="str">
        <f t="shared" si="122"/>
        <v>Lactuca</v>
      </c>
      <c r="K215" s="77" t="str">
        <f t="shared" si="122"/>
        <v>inermis</v>
      </c>
      <c r="L215" s="78">
        <f t="shared" si="122"/>
        <v>7</v>
      </c>
      <c r="M215" s="78">
        <f t="shared" si="122"/>
        <v>3</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2017</v>
      </c>
      <c r="B216" s="73" t="str">
        <f t="shared" si="96"/>
        <v>Nov</v>
      </c>
      <c r="C216" s="74">
        <f t="shared" si="119"/>
        <v>16</v>
      </c>
      <c r="D216" s="75">
        <f t="shared" si="97"/>
        <v>11</v>
      </c>
      <c r="E216" s="76">
        <f t="shared" si="98"/>
        <v>51</v>
      </c>
      <c r="F216" s="80"/>
      <c r="G216" s="83"/>
      <c r="H216" s="69" t="str">
        <f t="shared" si="120"/>
        <v>Lacine7_20171116_11_00</v>
      </c>
      <c r="I216" s="70">
        <f t="shared" si="122"/>
        <v>1</v>
      </c>
      <c r="J216" s="77" t="str">
        <f t="shared" si="122"/>
        <v>Lactuca</v>
      </c>
      <c r="K216" s="77" t="str">
        <f t="shared" si="122"/>
        <v>inermis</v>
      </c>
      <c r="L216" s="78">
        <f t="shared" si="122"/>
        <v>7</v>
      </c>
      <c r="M216" s="78">
        <f t="shared" si="122"/>
        <v>3</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2017</v>
      </c>
      <c r="B217" s="73" t="str">
        <f t="shared" si="96"/>
        <v>Nov</v>
      </c>
      <c r="C217" s="74">
        <f t="shared" si="119"/>
        <v>16</v>
      </c>
      <c r="D217" s="75">
        <f t="shared" si="97"/>
        <v>11</v>
      </c>
      <c r="E217" s="76">
        <f t="shared" si="98"/>
        <v>52</v>
      </c>
      <c r="F217" s="80"/>
      <c r="G217" s="83"/>
      <c r="H217" s="69" t="str">
        <f t="shared" si="120"/>
        <v>Lacine7_20171116_11_00</v>
      </c>
      <c r="I217" s="70">
        <f t="shared" si="122"/>
        <v>1</v>
      </c>
      <c r="J217" s="77" t="str">
        <f t="shared" si="122"/>
        <v>Lactuca</v>
      </c>
      <c r="K217" s="77" t="str">
        <f t="shared" si="122"/>
        <v>inermis</v>
      </c>
      <c r="L217" s="78">
        <f t="shared" si="122"/>
        <v>7</v>
      </c>
      <c r="M217" s="78">
        <f t="shared" si="122"/>
        <v>3</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2017</v>
      </c>
      <c r="B218" s="73" t="str">
        <f t="shared" si="96"/>
        <v>Nov</v>
      </c>
      <c r="C218" s="74">
        <f t="shared" si="119"/>
        <v>16</v>
      </c>
      <c r="D218" s="75">
        <f t="shared" si="97"/>
        <v>11</v>
      </c>
      <c r="E218" s="76">
        <f t="shared" si="98"/>
        <v>53</v>
      </c>
      <c r="F218" s="80"/>
      <c r="G218" s="83"/>
      <c r="H218" s="69" t="str">
        <f t="shared" si="120"/>
        <v>Lacine7_20171116_11_00</v>
      </c>
      <c r="I218" s="70">
        <f t="shared" si="122"/>
        <v>1</v>
      </c>
      <c r="J218" s="77" t="str">
        <f t="shared" si="122"/>
        <v>Lactuca</v>
      </c>
      <c r="K218" s="77" t="str">
        <f t="shared" si="122"/>
        <v>inermis</v>
      </c>
      <c r="L218" s="78">
        <f t="shared" si="122"/>
        <v>7</v>
      </c>
      <c r="M218" s="78">
        <f t="shared" si="122"/>
        <v>3</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2017</v>
      </c>
      <c r="B219" s="73" t="str">
        <f t="shared" si="96"/>
        <v>Nov</v>
      </c>
      <c r="C219" s="74">
        <f t="shared" si="119"/>
        <v>16</v>
      </c>
      <c r="D219" s="75">
        <f t="shared" si="97"/>
        <v>11</v>
      </c>
      <c r="E219" s="76">
        <f t="shared" si="98"/>
        <v>54</v>
      </c>
      <c r="F219" s="80"/>
      <c r="G219" s="83"/>
      <c r="H219" s="69" t="str">
        <f t="shared" si="120"/>
        <v>Lacine7_20171116_11_00</v>
      </c>
      <c r="I219" s="70">
        <f t="shared" si="122"/>
        <v>1</v>
      </c>
      <c r="J219" s="77" t="str">
        <f t="shared" si="122"/>
        <v>Lactuca</v>
      </c>
      <c r="K219" s="77" t="str">
        <f t="shared" si="122"/>
        <v>inermis</v>
      </c>
      <c r="L219" s="78">
        <f t="shared" si="122"/>
        <v>7</v>
      </c>
      <c r="M219" s="78">
        <f t="shared" si="122"/>
        <v>3</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2017</v>
      </c>
      <c r="B220" s="73" t="str">
        <f t="shared" si="96"/>
        <v>Nov</v>
      </c>
      <c r="C220" s="74">
        <f t="shared" si="119"/>
        <v>16</v>
      </c>
      <c r="D220" s="75">
        <f t="shared" si="97"/>
        <v>11</v>
      </c>
      <c r="E220" s="76">
        <f t="shared" si="98"/>
        <v>55</v>
      </c>
      <c r="F220" s="80"/>
      <c r="G220" s="83"/>
      <c r="H220" s="69" t="str">
        <f t="shared" si="120"/>
        <v>Lacine7_20171116_11_00</v>
      </c>
      <c r="I220" s="70">
        <f t="shared" si="122"/>
        <v>1</v>
      </c>
      <c r="J220" s="77" t="str">
        <f t="shared" si="122"/>
        <v>Lactuca</v>
      </c>
      <c r="K220" s="77" t="str">
        <f t="shared" si="122"/>
        <v>inermis</v>
      </c>
      <c r="L220" s="78">
        <f t="shared" si="122"/>
        <v>7</v>
      </c>
      <c r="M220" s="78">
        <f t="shared" si="122"/>
        <v>3</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2017</v>
      </c>
      <c r="B221" s="73" t="str">
        <f t="shared" si="96"/>
        <v>Nov</v>
      </c>
      <c r="C221" s="74">
        <f t="shared" si="119"/>
        <v>16</v>
      </c>
      <c r="D221" s="75">
        <f t="shared" si="97"/>
        <v>11</v>
      </c>
      <c r="E221" s="76">
        <f t="shared" si="98"/>
        <v>56</v>
      </c>
      <c r="F221" s="80"/>
      <c r="G221" s="83"/>
      <c r="H221" s="69" t="str">
        <f t="shared" si="120"/>
        <v>Lacine7_20171116_11_00</v>
      </c>
      <c r="I221" s="70">
        <f t="shared" si="122"/>
        <v>1</v>
      </c>
      <c r="J221" s="77" t="str">
        <f t="shared" si="122"/>
        <v>Lactuca</v>
      </c>
      <c r="K221" s="77" t="str">
        <f t="shared" si="122"/>
        <v>inermis</v>
      </c>
      <c r="L221" s="78">
        <f t="shared" si="122"/>
        <v>7</v>
      </c>
      <c r="M221" s="78">
        <f t="shared" si="122"/>
        <v>3</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2017</v>
      </c>
      <c r="B222" s="73" t="str">
        <f t="shared" si="96"/>
        <v>Nov</v>
      </c>
      <c r="C222" s="74">
        <f t="shared" si="119"/>
        <v>16</v>
      </c>
      <c r="D222" s="75">
        <f t="shared" si="97"/>
        <v>11</v>
      </c>
      <c r="E222" s="76">
        <f t="shared" si="98"/>
        <v>57</v>
      </c>
      <c r="F222" s="80"/>
      <c r="G222" s="83"/>
      <c r="H222" s="69" t="str">
        <f t="shared" si="120"/>
        <v>Lacine7_20171116_11_00</v>
      </c>
      <c r="I222" s="70">
        <f t="shared" si="122"/>
        <v>1</v>
      </c>
      <c r="J222" s="77" t="str">
        <f t="shared" si="122"/>
        <v>Lactuca</v>
      </c>
      <c r="K222" s="77" t="str">
        <f t="shared" si="122"/>
        <v>inermis</v>
      </c>
      <c r="L222" s="78">
        <f t="shared" si="122"/>
        <v>7</v>
      </c>
      <c r="M222" s="78">
        <f t="shared" si="122"/>
        <v>3</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2017</v>
      </c>
      <c r="B223" s="73" t="str">
        <f t="shared" si="96"/>
        <v>Nov</v>
      </c>
      <c r="C223" s="74">
        <f t="shared" si="119"/>
        <v>16</v>
      </c>
      <c r="D223" s="75">
        <f t="shared" si="97"/>
        <v>11</v>
      </c>
      <c r="E223" s="76">
        <f t="shared" si="98"/>
        <v>58</v>
      </c>
      <c r="F223" s="80"/>
      <c r="G223" s="83"/>
      <c r="H223" s="69" t="str">
        <f t="shared" si="120"/>
        <v>Lacine7_20171116_11_00</v>
      </c>
      <c r="I223" s="70">
        <f t="shared" si="122"/>
        <v>1</v>
      </c>
      <c r="J223" s="77" t="str">
        <f t="shared" si="122"/>
        <v>Lactuca</v>
      </c>
      <c r="K223" s="77" t="str">
        <f t="shared" si="122"/>
        <v>inermis</v>
      </c>
      <c r="L223" s="78">
        <f t="shared" si="122"/>
        <v>7</v>
      </c>
      <c r="M223" s="78">
        <f t="shared" si="122"/>
        <v>3</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2017</v>
      </c>
      <c r="B224" s="73" t="str">
        <f t="shared" si="96"/>
        <v>Nov</v>
      </c>
      <c r="C224" s="74">
        <f t="shared" si="119"/>
        <v>16</v>
      </c>
      <c r="D224" s="75">
        <f t="shared" si="97"/>
        <v>11</v>
      </c>
      <c r="E224" s="76">
        <f t="shared" si="98"/>
        <v>59</v>
      </c>
      <c r="F224" s="80"/>
      <c r="G224" s="83"/>
      <c r="H224" s="69" t="str">
        <f t="shared" si="120"/>
        <v>Lacine7_20171116_11_00</v>
      </c>
      <c r="I224" s="70">
        <f t="shared" si="122"/>
        <v>1</v>
      </c>
      <c r="J224" s="77" t="str">
        <f t="shared" si="122"/>
        <v>Lactuca</v>
      </c>
      <c r="K224" s="77" t="str">
        <f t="shared" si="122"/>
        <v>inermis</v>
      </c>
      <c r="L224" s="78">
        <f t="shared" si="122"/>
        <v>7</v>
      </c>
      <c r="M224" s="78">
        <f t="shared" si="122"/>
        <v>3</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2017</v>
      </c>
      <c r="B225" s="73" t="str">
        <f t="shared" si="96"/>
        <v>Nov</v>
      </c>
      <c r="C225" s="74">
        <f t="shared" si="119"/>
        <v>16</v>
      </c>
      <c r="D225" s="75">
        <f t="shared" si="97"/>
        <v>12</v>
      </c>
      <c r="E225" s="76">
        <f t="shared" si="98"/>
        <v>0</v>
      </c>
      <c r="F225" s="80"/>
      <c r="G225" s="83"/>
      <c r="H225" s="69" t="str">
        <f t="shared" si="120"/>
        <v>Lacine7_20171116_12_00</v>
      </c>
      <c r="I225" s="70">
        <f t="shared" si="122"/>
        <v>1</v>
      </c>
      <c r="J225" s="77" t="str">
        <f t="shared" si="122"/>
        <v>Lactuca</v>
      </c>
      <c r="K225" s="77" t="str">
        <f t="shared" si="122"/>
        <v>inermis</v>
      </c>
      <c r="L225" s="78">
        <f t="shared" si="122"/>
        <v>7</v>
      </c>
      <c r="M225" s="78">
        <f t="shared" si="122"/>
        <v>3</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2017</v>
      </c>
      <c r="B226" s="73" t="str">
        <f t="shared" si="96"/>
        <v>Nov</v>
      </c>
      <c r="C226" s="74">
        <f t="shared" si="119"/>
        <v>16</v>
      </c>
      <c r="D226" s="75">
        <f t="shared" si="97"/>
        <v>12</v>
      </c>
      <c r="E226" s="76">
        <f t="shared" si="98"/>
        <v>1</v>
      </c>
      <c r="F226" s="80"/>
      <c r="G226" s="83"/>
      <c r="H226" s="69" t="str">
        <f t="shared" si="120"/>
        <v>Lacine7_20171116_12_00</v>
      </c>
      <c r="I226" s="70">
        <f t="shared" si="122"/>
        <v>1</v>
      </c>
      <c r="J226" s="77" t="str">
        <f t="shared" si="122"/>
        <v>Lactuca</v>
      </c>
      <c r="K226" s="77" t="str">
        <f t="shared" si="122"/>
        <v>inermis</v>
      </c>
      <c r="L226" s="78">
        <f t="shared" si="122"/>
        <v>7</v>
      </c>
      <c r="M226" s="78">
        <f t="shared" si="122"/>
        <v>3</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2017</v>
      </c>
      <c r="B227" s="73" t="str">
        <f t="shared" si="96"/>
        <v>Nov</v>
      </c>
      <c r="C227" s="74">
        <f t="shared" si="119"/>
        <v>16</v>
      </c>
      <c r="D227" s="75">
        <f t="shared" si="97"/>
        <v>12</v>
      </c>
      <c r="E227" s="76">
        <f t="shared" si="98"/>
        <v>2</v>
      </c>
      <c r="F227" s="80"/>
      <c r="G227" s="83"/>
      <c r="H227" s="69" t="str">
        <f t="shared" si="120"/>
        <v>Lacine7_20171116_12_00</v>
      </c>
      <c r="I227" s="70">
        <f t="shared" si="122"/>
        <v>1</v>
      </c>
      <c r="J227" s="77" t="str">
        <f t="shared" si="122"/>
        <v>Lactuca</v>
      </c>
      <c r="K227" s="77" t="str">
        <f t="shared" si="122"/>
        <v>inermis</v>
      </c>
      <c r="L227" s="78">
        <f t="shared" si="122"/>
        <v>7</v>
      </c>
      <c r="M227" s="78">
        <f t="shared" si="122"/>
        <v>3</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2017</v>
      </c>
      <c r="B228" s="73" t="str">
        <f t="shared" si="96"/>
        <v>Nov</v>
      </c>
      <c r="C228" s="74">
        <f t="shared" si="119"/>
        <v>16</v>
      </c>
      <c r="D228" s="75">
        <f t="shared" si="97"/>
        <v>12</v>
      </c>
      <c r="E228" s="76">
        <f t="shared" si="98"/>
        <v>3</v>
      </c>
      <c r="F228" s="80"/>
      <c r="G228" s="83"/>
      <c r="H228" s="69" t="str">
        <f t="shared" si="120"/>
        <v>Lacine7_20171116_12_00</v>
      </c>
      <c r="I228" s="70">
        <f t="shared" si="122"/>
        <v>1</v>
      </c>
      <c r="J228" s="77" t="str">
        <f t="shared" si="122"/>
        <v>Lactuca</v>
      </c>
      <c r="K228" s="77" t="str">
        <f t="shared" si="122"/>
        <v>inermis</v>
      </c>
      <c r="L228" s="78">
        <f t="shared" si="122"/>
        <v>7</v>
      </c>
      <c r="M228" s="78">
        <f t="shared" si="122"/>
        <v>3</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2017</v>
      </c>
      <c r="B229" s="73" t="str">
        <f t="shared" si="96"/>
        <v>Nov</v>
      </c>
      <c r="C229" s="74">
        <f t="shared" si="119"/>
        <v>16</v>
      </c>
      <c r="D229" s="75">
        <f t="shared" si="97"/>
        <v>12</v>
      </c>
      <c r="E229" s="76">
        <f t="shared" si="98"/>
        <v>4</v>
      </c>
      <c r="F229" s="80"/>
      <c r="G229" s="83"/>
      <c r="H229" s="69" t="str">
        <f t="shared" si="120"/>
        <v>Lacine7_20171116_12_00</v>
      </c>
      <c r="I229" s="70">
        <f t="shared" ref="I229:N244" si="123">I228</f>
        <v>1</v>
      </c>
      <c r="J229" s="77" t="str">
        <f t="shared" si="123"/>
        <v>Lactuca</v>
      </c>
      <c r="K229" s="77" t="str">
        <f t="shared" si="123"/>
        <v>inermis</v>
      </c>
      <c r="L229" s="78">
        <f t="shared" si="123"/>
        <v>7</v>
      </c>
      <c r="M229" s="78">
        <f t="shared" si="123"/>
        <v>3</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2017</v>
      </c>
      <c r="B230" s="73" t="str">
        <f t="shared" si="96"/>
        <v>Nov</v>
      </c>
      <c r="C230" s="74">
        <f t="shared" si="119"/>
        <v>16</v>
      </c>
      <c r="D230" s="75">
        <f t="shared" si="97"/>
        <v>12</v>
      </c>
      <c r="E230" s="76">
        <f t="shared" si="98"/>
        <v>5</v>
      </c>
      <c r="F230" s="80"/>
      <c r="G230" s="83"/>
      <c r="H230" s="69" t="str">
        <f t="shared" si="120"/>
        <v>Lacine7_20171116_12_00</v>
      </c>
      <c r="I230" s="70">
        <f t="shared" si="123"/>
        <v>1</v>
      </c>
      <c r="J230" s="77" t="str">
        <f t="shared" si="123"/>
        <v>Lactuca</v>
      </c>
      <c r="K230" s="77" t="str">
        <f t="shared" si="123"/>
        <v>inermis</v>
      </c>
      <c r="L230" s="78">
        <f t="shared" si="123"/>
        <v>7</v>
      </c>
      <c r="M230" s="78">
        <f t="shared" si="123"/>
        <v>3</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x14ac:dyDescent="0.35">
      <c r="A231" s="73">
        <f t="shared" si="95"/>
        <v>2017</v>
      </c>
      <c r="B231" s="73" t="str">
        <f t="shared" si="96"/>
        <v>Nov</v>
      </c>
      <c r="C231" s="74">
        <f t="shared" si="119"/>
        <v>16</v>
      </c>
      <c r="D231" s="75">
        <f t="shared" si="97"/>
        <v>12</v>
      </c>
      <c r="E231" s="76">
        <f t="shared" si="98"/>
        <v>6</v>
      </c>
      <c r="F231" s="80">
        <v>41</v>
      </c>
      <c r="G231" s="83"/>
      <c r="H231" s="69" t="str">
        <f t="shared" si="120"/>
        <v>Lacine7_20171116_12_00</v>
      </c>
      <c r="I231" s="70">
        <f t="shared" si="123"/>
        <v>1</v>
      </c>
      <c r="J231" s="77" t="str">
        <f t="shared" si="123"/>
        <v>Lactuca</v>
      </c>
      <c r="K231" s="77" t="str">
        <f t="shared" si="123"/>
        <v>inermis</v>
      </c>
      <c r="L231" s="78">
        <f t="shared" si="123"/>
        <v>7</v>
      </c>
      <c r="M231" s="78">
        <f t="shared" si="123"/>
        <v>3</v>
      </c>
      <c r="N231" s="72">
        <f t="shared" si="123"/>
        <v>0</v>
      </c>
      <c r="O231" s="45"/>
      <c r="P231" s="46">
        <f t="shared" si="99"/>
        <v>1</v>
      </c>
      <c r="Q231" s="47" t="str">
        <f t="shared" si="100"/>
        <v>12:06:41</v>
      </c>
      <c r="R231" s="48" t="str">
        <f t="shared" si="101"/>
        <v>06:41</v>
      </c>
      <c r="S231" s="49">
        <f t="shared" si="94"/>
        <v>4</v>
      </c>
      <c r="T231" s="48" t="str">
        <f t="shared" si="102"/>
        <v>12</v>
      </c>
      <c r="U231" s="50">
        <v>6</v>
      </c>
      <c r="V231" s="51">
        <v>45</v>
      </c>
      <c r="W231" s="52" t="str">
        <f t="shared" si="103"/>
        <v>06:45</v>
      </c>
      <c r="X231" s="53" t="s">
        <v>62</v>
      </c>
      <c r="Y231" s="126" t="s">
        <v>72</v>
      </c>
      <c r="Z231" s="126" t="s">
        <v>70</v>
      </c>
      <c r="AA231" s="48" t="s">
        <v>63</v>
      </c>
      <c r="AB231" s="48" t="str">
        <f t="shared" si="104"/>
        <v>NA</v>
      </c>
      <c r="AC231" s="54">
        <f t="shared" si="105"/>
        <v>0</v>
      </c>
      <c r="AD231" s="55">
        <f t="shared" si="106"/>
        <v>1</v>
      </c>
      <c r="AE231" s="55"/>
      <c r="AF231" s="55"/>
      <c r="AG231" s="56">
        <v>1</v>
      </c>
      <c r="AH231" s="57">
        <f t="shared" si="108"/>
        <v>4</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f t="shared" si="115"/>
        <v>0</v>
      </c>
      <c r="AZ231" s="62" t="str">
        <f t="shared" si="116"/>
        <v/>
      </c>
      <c r="BA231" s="61">
        <f t="shared" si="117"/>
        <v>0</v>
      </c>
      <c r="BB231" s="62" t="str">
        <f t="shared" si="118"/>
        <v/>
      </c>
    </row>
    <row r="232" spans="1:54" s="3" customFormat="1" hidden="1" x14ac:dyDescent="0.35">
      <c r="A232" s="73">
        <f t="shared" si="95"/>
        <v>2017</v>
      </c>
      <c r="B232" s="73" t="str">
        <f t="shared" si="96"/>
        <v>Nov</v>
      </c>
      <c r="C232" s="74">
        <f t="shared" si="119"/>
        <v>16</v>
      </c>
      <c r="D232" s="75">
        <f t="shared" si="97"/>
        <v>12</v>
      </c>
      <c r="E232" s="76">
        <f t="shared" si="98"/>
        <v>7</v>
      </c>
      <c r="F232" s="80"/>
      <c r="G232" s="83"/>
      <c r="H232" s="69" t="str">
        <f t="shared" si="120"/>
        <v>Lacine7_20171116_12_00</v>
      </c>
      <c r="I232" s="70">
        <f t="shared" si="123"/>
        <v>1</v>
      </c>
      <c r="J232" s="77" t="str">
        <f t="shared" si="123"/>
        <v>Lactuca</v>
      </c>
      <c r="K232" s="77" t="str">
        <f t="shared" si="123"/>
        <v>inermis</v>
      </c>
      <c r="L232" s="78">
        <f t="shared" si="123"/>
        <v>7</v>
      </c>
      <c r="M232" s="78">
        <f t="shared" si="123"/>
        <v>3</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2017</v>
      </c>
      <c r="B233" s="73" t="str">
        <f t="shared" si="96"/>
        <v>Nov</v>
      </c>
      <c r="C233" s="74">
        <f t="shared" si="119"/>
        <v>16</v>
      </c>
      <c r="D233" s="75">
        <f t="shared" si="97"/>
        <v>12</v>
      </c>
      <c r="E233" s="76">
        <f t="shared" si="98"/>
        <v>8</v>
      </c>
      <c r="F233" s="80"/>
      <c r="G233" s="83"/>
      <c r="H233" s="69" t="str">
        <f t="shared" si="120"/>
        <v>Lacine7_20171116_12_00</v>
      </c>
      <c r="I233" s="70">
        <f t="shared" si="123"/>
        <v>1</v>
      </c>
      <c r="J233" s="77" t="str">
        <f t="shared" si="123"/>
        <v>Lactuca</v>
      </c>
      <c r="K233" s="77" t="str">
        <f t="shared" si="123"/>
        <v>inermis</v>
      </c>
      <c r="L233" s="78">
        <f t="shared" si="123"/>
        <v>7</v>
      </c>
      <c r="M233" s="78">
        <f t="shared" si="123"/>
        <v>3</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2017</v>
      </c>
      <c r="B234" s="73" t="str">
        <f t="shared" si="96"/>
        <v>Nov</v>
      </c>
      <c r="C234" s="74">
        <f t="shared" si="119"/>
        <v>16</v>
      </c>
      <c r="D234" s="75">
        <f t="shared" si="97"/>
        <v>12</v>
      </c>
      <c r="E234" s="76">
        <f t="shared" si="98"/>
        <v>9</v>
      </c>
      <c r="F234" s="80"/>
      <c r="G234" s="83"/>
      <c r="H234" s="69" t="str">
        <f t="shared" si="120"/>
        <v>Lacine7_20171116_12_00</v>
      </c>
      <c r="I234" s="70">
        <f t="shared" si="123"/>
        <v>1</v>
      </c>
      <c r="J234" s="77" t="str">
        <f t="shared" si="123"/>
        <v>Lactuca</v>
      </c>
      <c r="K234" s="77" t="str">
        <f t="shared" si="123"/>
        <v>inermis</v>
      </c>
      <c r="L234" s="78">
        <f t="shared" si="123"/>
        <v>7</v>
      </c>
      <c r="M234" s="78">
        <f t="shared" si="123"/>
        <v>3</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2017</v>
      </c>
      <c r="B235" s="73" t="str">
        <f t="shared" si="96"/>
        <v>Nov</v>
      </c>
      <c r="C235" s="74">
        <f t="shared" si="119"/>
        <v>16</v>
      </c>
      <c r="D235" s="75">
        <f t="shared" si="97"/>
        <v>12</v>
      </c>
      <c r="E235" s="76">
        <f t="shared" si="98"/>
        <v>10</v>
      </c>
      <c r="F235" s="80"/>
      <c r="G235" s="83"/>
      <c r="H235" s="69" t="str">
        <f t="shared" si="120"/>
        <v>Lacine7_20171116_12_00</v>
      </c>
      <c r="I235" s="70">
        <f t="shared" si="123"/>
        <v>1</v>
      </c>
      <c r="J235" s="77" t="str">
        <f t="shared" si="123"/>
        <v>Lactuca</v>
      </c>
      <c r="K235" s="77" t="str">
        <f t="shared" si="123"/>
        <v>inermis</v>
      </c>
      <c r="L235" s="78">
        <f t="shared" si="123"/>
        <v>7</v>
      </c>
      <c r="M235" s="78">
        <f t="shared" si="123"/>
        <v>3</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2017</v>
      </c>
      <c r="B236" s="73" t="str">
        <f t="shared" si="96"/>
        <v>Nov</v>
      </c>
      <c r="C236" s="74">
        <f t="shared" si="119"/>
        <v>16</v>
      </c>
      <c r="D236" s="75">
        <f t="shared" si="97"/>
        <v>12</v>
      </c>
      <c r="E236" s="76">
        <f t="shared" si="98"/>
        <v>11</v>
      </c>
      <c r="F236" s="80"/>
      <c r="G236" s="83"/>
      <c r="H236" s="69" t="str">
        <f t="shared" si="120"/>
        <v>Lacine7_20171116_12_00</v>
      </c>
      <c r="I236" s="70">
        <f t="shared" si="123"/>
        <v>1</v>
      </c>
      <c r="J236" s="77" t="str">
        <f t="shared" si="123"/>
        <v>Lactuca</v>
      </c>
      <c r="K236" s="77" t="str">
        <f t="shared" si="123"/>
        <v>inermis</v>
      </c>
      <c r="L236" s="78">
        <f t="shared" si="123"/>
        <v>7</v>
      </c>
      <c r="M236" s="78">
        <f t="shared" si="123"/>
        <v>3</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x14ac:dyDescent="0.35">
      <c r="A237" s="73">
        <f t="shared" si="95"/>
        <v>2017</v>
      </c>
      <c r="B237" s="73" t="str">
        <f t="shared" si="96"/>
        <v>Nov</v>
      </c>
      <c r="C237" s="74">
        <f t="shared" si="119"/>
        <v>16</v>
      </c>
      <c r="D237" s="75">
        <f t="shared" si="97"/>
        <v>12</v>
      </c>
      <c r="E237" s="76">
        <f t="shared" si="98"/>
        <v>12</v>
      </c>
      <c r="F237" s="80">
        <v>14</v>
      </c>
      <c r="G237" s="83"/>
      <c r="H237" s="69" t="str">
        <f t="shared" si="120"/>
        <v>Lacine7_20171116_12_00</v>
      </c>
      <c r="I237" s="70">
        <f t="shared" si="123"/>
        <v>1</v>
      </c>
      <c r="J237" s="77" t="str">
        <f t="shared" si="123"/>
        <v>Lactuca</v>
      </c>
      <c r="K237" s="77" t="str">
        <f t="shared" si="123"/>
        <v>inermis</v>
      </c>
      <c r="L237" s="78">
        <f t="shared" si="123"/>
        <v>7</v>
      </c>
      <c r="M237" s="78">
        <f t="shared" si="123"/>
        <v>3</v>
      </c>
      <c r="N237" s="72">
        <f t="shared" si="123"/>
        <v>0</v>
      </c>
      <c r="O237" s="45"/>
      <c r="P237" s="46">
        <f t="shared" si="99"/>
        <v>1</v>
      </c>
      <c r="Q237" s="47" t="str">
        <f t="shared" si="100"/>
        <v>12:12:14</v>
      </c>
      <c r="R237" s="48" t="str">
        <f t="shared" si="101"/>
        <v>12:14</v>
      </c>
      <c r="S237" s="49">
        <f t="shared" si="94"/>
        <v>205</v>
      </c>
      <c r="T237" s="48" t="str">
        <f t="shared" si="102"/>
        <v>12</v>
      </c>
      <c r="U237" s="50">
        <v>15</v>
      </c>
      <c r="V237" s="51">
        <v>39</v>
      </c>
      <c r="W237" s="52" t="str">
        <f t="shared" si="103"/>
        <v>15:39</v>
      </c>
      <c r="X237" s="53" t="s">
        <v>59</v>
      </c>
      <c r="Y237" s="126" t="s">
        <v>67</v>
      </c>
      <c r="Z237" s="126"/>
      <c r="AA237" s="48" t="s">
        <v>60</v>
      </c>
      <c r="AB237" s="48" t="str">
        <f t="shared" si="104"/>
        <v>NA</v>
      </c>
      <c r="AC237" s="54">
        <f t="shared" si="105"/>
        <v>0</v>
      </c>
      <c r="AD237" s="55">
        <v>2</v>
      </c>
      <c r="AE237" s="55"/>
      <c r="AF237" s="55"/>
      <c r="AG237" s="56">
        <v>1</v>
      </c>
      <c r="AH237" s="57">
        <v>90</v>
      </c>
      <c r="AI237" s="56"/>
      <c r="AJ237" s="57" t="str">
        <f t="shared" si="109"/>
        <v/>
      </c>
      <c r="AK237" s="56">
        <v>1</v>
      </c>
      <c r="AL237" s="57">
        <v>40</v>
      </c>
      <c r="AM237" s="56">
        <v>1</v>
      </c>
      <c r="AN237" s="57">
        <v>75</v>
      </c>
      <c r="AO237" s="56"/>
      <c r="AP237" s="57" t="str">
        <f t="shared" si="112"/>
        <v/>
      </c>
      <c r="AQ237" s="56"/>
      <c r="AR237" s="57" t="str">
        <f t="shared" si="113"/>
        <v/>
      </c>
      <c r="AS237" s="56"/>
      <c r="AT237" s="57" t="str">
        <f t="shared" si="114"/>
        <v/>
      </c>
      <c r="AU237" s="58"/>
      <c r="AV237" s="59"/>
      <c r="AW237" s="59"/>
      <c r="AX237" s="60"/>
      <c r="AY237" s="61">
        <v>1</v>
      </c>
      <c r="AZ237" s="62">
        <f t="shared" si="116"/>
        <v>2</v>
      </c>
      <c r="BA237" s="61">
        <v>1</v>
      </c>
      <c r="BB237" s="62">
        <f t="shared" si="118"/>
        <v>2</v>
      </c>
    </row>
    <row r="238" spans="1:54" s="3" customFormat="1" hidden="1" x14ac:dyDescent="0.35">
      <c r="A238" s="73">
        <f t="shared" si="95"/>
        <v>2017</v>
      </c>
      <c r="B238" s="73" t="str">
        <f t="shared" si="96"/>
        <v>Nov</v>
      </c>
      <c r="C238" s="74">
        <f t="shared" si="119"/>
        <v>16</v>
      </c>
      <c r="D238" s="75">
        <f t="shared" si="97"/>
        <v>12</v>
      </c>
      <c r="E238" s="76">
        <f t="shared" si="98"/>
        <v>13</v>
      </c>
      <c r="F238" s="80"/>
      <c r="G238" s="83"/>
      <c r="H238" s="69" t="str">
        <f t="shared" si="120"/>
        <v>Lacine7_20171116_12_00</v>
      </c>
      <c r="I238" s="70">
        <f t="shared" si="123"/>
        <v>1</v>
      </c>
      <c r="J238" s="77" t="str">
        <f t="shared" si="123"/>
        <v>Lactuca</v>
      </c>
      <c r="K238" s="77" t="str">
        <f t="shared" si="123"/>
        <v>inermis</v>
      </c>
      <c r="L238" s="78">
        <f t="shared" si="123"/>
        <v>7</v>
      </c>
      <c r="M238" s="78">
        <f t="shared" si="123"/>
        <v>3</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2017</v>
      </c>
      <c r="B239" s="73" t="str">
        <f t="shared" si="96"/>
        <v>Nov</v>
      </c>
      <c r="C239" s="74">
        <f t="shared" si="119"/>
        <v>16</v>
      </c>
      <c r="D239" s="75">
        <f t="shared" si="97"/>
        <v>12</v>
      </c>
      <c r="E239" s="76">
        <f t="shared" si="98"/>
        <v>14</v>
      </c>
      <c r="F239" s="80"/>
      <c r="G239" s="83"/>
      <c r="H239" s="69" t="str">
        <f t="shared" si="120"/>
        <v>Lacine7_20171116_12_00</v>
      </c>
      <c r="I239" s="70">
        <f t="shared" si="123"/>
        <v>1</v>
      </c>
      <c r="J239" s="77" t="str">
        <f t="shared" si="123"/>
        <v>Lactuca</v>
      </c>
      <c r="K239" s="77" t="str">
        <f t="shared" si="123"/>
        <v>inermis</v>
      </c>
      <c r="L239" s="78">
        <f t="shared" si="123"/>
        <v>7</v>
      </c>
      <c r="M239" s="78">
        <f t="shared" si="123"/>
        <v>3</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2017</v>
      </c>
      <c r="B240" s="73" t="str">
        <f t="shared" si="96"/>
        <v>Nov</v>
      </c>
      <c r="C240" s="74">
        <f t="shared" si="119"/>
        <v>16</v>
      </c>
      <c r="D240" s="75">
        <f t="shared" si="97"/>
        <v>12</v>
      </c>
      <c r="E240" s="76">
        <f t="shared" si="98"/>
        <v>15</v>
      </c>
      <c r="F240" s="80"/>
      <c r="G240" s="83"/>
      <c r="H240" s="69" t="str">
        <f t="shared" si="120"/>
        <v>Lacine7_20171116_12_00</v>
      </c>
      <c r="I240" s="70">
        <f t="shared" si="123"/>
        <v>1</v>
      </c>
      <c r="J240" s="77" t="str">
        <f t="shared" si="123"/>
        <v>Lactuca</v>
      </c>
      <c r="K240" s="77" t="str">
        <f t="shared" si="123"/>
        <v>inermis</v>
      </c>
      <c r="L240" s="78">
        <f t="shared" si="123"/>
        <v>7</v>
      </c>
      <c r="M240" s="78">
        <f t="shared" si="123"/>
        <v>3</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2017</v>
      </c>
      <c r="B241" s="73" t="str">
        <f t="shared" si="96"/>
        <v>Nov</v>
      </c>
      <c r="C241" s="74">
        <f t="shared" si="119"/>
        <v>16</v>
      </c>
      <c r="D241" s="75">
        <f t="shared" si="97"/>
        <v>12</v>
      </c>
      <c r="E241" s="76">
        <f t="shared" si="98"/>
        <v>16</v>
      </c>
      <c r="F241" s="80"/>
      <c r="G241" s="83"/>
      <c r="H241" s="69" t="str">
        <f t="shared" si="120"/>
        <v>Lacine7_20171116_12_00</v>
      </c>
      <c r="I241" s="70">
        <f t="shared" si="123"/>
        <v>1</v>
      </c>
      <c r="J241" s="77" t="str">
        <f t="shared" si="123"/>
        <v>Lactuca</v>
      </c>
      <c r="K241" s="77" t="str">
        <f t="shared" si="123"/>
        <v>inermis</v>
      </c>
      <c r="L241" s="78">
        <f t="shared" si="123"/>
        <v>7</v>
      </c>
      <c r="M241" s="78">
        <f t="shared" si="123"/>
        <v>3</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2017</v>
      </c>
      <c r="B242" s="73" t="str">
        <f t="shared" si="96"/>
        <v>Nov</v>
      </c>
      <c r="C242" s="74">
        <f t="shared" si="119"/>
        <v>16</v>
      </c>
      <c r="D242" s="75">
        <f t="shared" si="97"/>
        <v>12</v>
      </c>
      <c r="E242" s="76">
        <f t="shared" si="98"/>
        <v>17</v>
      </c>
      <c r="F242" s="80"/>
      <c r="G242" s="83"/>
      <c r="H242" s="69" t="str">
        <f t="shared" si="120"/>
        <v>Lacine7_20171116_12_00</v>
      </c>
      <c r="I242" s="70">
        <f t="shared" si="123"/>
        <v>1</v>
      </c>
      <c r="J242" s="77" t="str">
        <f t="shared" si="123"/>
        <v>Lactuca</v>
      </c>
      <c r="K242" s="77" t="str">
        <f t="shared" si="123"/>
        <v>inermis</v>
      </c>
      <c r="L242" s="78">
        <f t="shared" si="123"/>
        <v>7</v>
      </c>
      <c r="M242" s="78">
        <f t="shared" si="123"/>
        <v>3</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2017</v>
      </c>
      <c r="B243" s="73" t="str">
        <f t="shared" si="96"/>
        <v>Nov</v>
      </c>
      <c r="C243" s="74">
        <f t="shared" si="119"/>
        <v>16</v>
      </c>
      <c r="D243" s="75">
        <f t="shared" si="97"/>
        <v>12</v>
      </c>
      <c r="E243" s="76">
        <f t="shared" si="98"/>
        <v>18</v>
      </c>
      <c r="F243" s="80"/>
      <c r="G243" s="83"/>
      <c r="H243" s="69" t="str">
        <f t="shared" si="120"/>
        <v>Lacine7_20171116_12_00</v>
      </c>
      <c r="I243" s="70">
        <f t="shared" si="123"/>
        <v>1</v>
      </c>
      <c r="J243" s="77" t="str">
        <f t="shared" si="123"/>
        <v>Lactuca</v>
      </c>
      <c r="K243" s="77" t="str">
        <f t="shared" si="123"/>
        <v>inermis</v>
      </c>
      <c r="L243" s="78">
        <f t="shared" si="123"/>
        <v>7</v>
      </c>
      <c r="M243" s="78">
        <f t="shared" si="123"/>
        <v>3</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2017</v>
      </c>
      <c r="B244" s="73" t="str">
        <f t="shared" si="96"/>
        <v>Nov</v>
      </c>
      <c r="C244" s="74">
        <f t="shared" si="119"/>
        <v>16</v>
      </c>
      <c r="D244" s="75">
        <f t="shared" si="97"/>
        <v>12</v>
      </c>
      <c r="E244" s="76">
        <f t="shared" si="98"/>
        <v>19</v>
      </c>
      <c r="F244" s="80"/>
      <c r="G244" s="83"/>
      <c r="H244" s="69" t="str">
        <f t="shared" si="120"/>
        <v>Lacine7_20171116_12_00</v>
      </c>
      <c r="I244" s="70">
        <f t="shared" si="123"/>
        <v>1</v>
      </c>
      <c r="J244" s="77" t="str">
        <f t="shared" si="123"/>
        <v>Lactuca</v>
      </c>
      <c r="K244" s="77" t="str">
        <f t="shared" si="123"/>
        <v>inermis</v>
      </c>
      <c r="L244" s="78">
        <f t="shared" si="123"/>
        <v>7</v>
      </c>
      <c r="M244" s="78">
        <f t="shared" si="123"/>
        <v>3</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2017</v>
      </c>
      <c r="B245" s="73" t="str">
        <f t="shared" si="96"/>
        <v>Nov</v>
      </c>
      <c r="C245" s="74">
        <f t="shared" si="119"/>
        <v>16</v>
      </c>
      <c r="D245" s="75">
        <f t="shared" si="97"/>
        <v>12</v>
      </c>
      <c r="E245" s="76">
        <f t="shared" si="98"/>
        <v>20</v>
      </c>
      <c r="F245" s="80"/>
      <c r="G245" s="83"/>
      <c r="H245" s="69" t="str">
        <f t="shared" si="120"/>
        <v>Lacine7_20171116_12_00</v>
      </c>
      <c r="I245" s="70">
        <f t="shared" ref="I245:N260" si="124">I244</f>
        <v>1</v>
      </c>
      <c r="J245" s="77" t="str">
        <f t="shared" si="124"/>
        <v>Lactuca</v>
      </c>
      <c r="K245" s="77" t="str">
        <f t="shared" si="124"/>
        <v>inermis</v>
      </c>
      <c r="L245" s="78">
        <f t="shared" si="124"/>
        <v>7</v>
      </c>
      <c r="M245" s="78">
        <f t="shared" si="124"/>
        <v>3</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2017</v>
      </c>
      <c r="B246" s="73" t="str">
        <f t="shared" si="96"/>
        <v>Nov</v>
      </c>
      <c r="C246" s="74">
        <f t="shared" si="119"/>
        <v>16</v>
      </c>
      <c r="D246" s="75">
        <f t="shared" si="97"/>
        <v>12</v>
      </c>
      <c r="E246" s="76">
        <f t="shared" si="98"/>
        <v>21</v>
      </c>
      <c r="F246" s="80"/>
      <c r="G246" s="83"/>
      <c r="H246" s="69" t="str">
        <f t="shared" si="120"/>
        <v>Lacine7_20171116_12_00</v>
      </c>
      <c r="I246" s="70">
        <f t="shared" si="124"/>
        <v>1</v>
      </c>
      <c r="J246" s="77" t="str">
        <f t="shared" si="124"/>
        <v>Lactuca</v>
      </c>
      <c r="K246" s="77" t="str">
        <f t="shared" si="124"/>
        <v>inermis</v>
      </c>
      <c r="L246" s="78">
        <f t="shared" si="124"/>
        <v>7</v>
      </c>
      <c r="M246" s="78">
        <f t="shared" si="124"/>
        <v>3</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2017</v>
      </c>
      <c r="B247" s="73" t="str">
        <f t="shared" si="96"/>
        <v>Nov</v>
      </c>
      <c r="C247" s="74">
        <f t="shared" si="119"/>
        <v>16</v>
      </c>
      <c r="D247" s="75">
        <f t="shared" si="97"/>
        <v>12</v>
      </c>
      <c r="E247" s="76">
        <f t="shared" si="98"/>
        <v>22</v>
      </c>
      <c r="F247" s="80"/>
      <c r="G247" s="83"/>
      <c r="H247" s="69" t="str">
        <f t="shared" si="120"/>
        <v>Lacine7_20171116_12_00</v>
      </c>
      <c r="I247" s="70">
        <f t="shared" si="124"/>
        <v>1</v>
      </c>
      <c r="J247" s="77" t="str">
        <f t="shared" si="124"/>
        <v>Lactuca</v>
      </c>
      <c r="K247" s="77" t="str">
        <f t="shared" si="124"/>
        <v>inermis</v>
      </c>
      <c r="L247" s="78">
        <f t="shared" si="124"/>
        <v>7</v>
      </c>
      <c r="M247" s="78">
        <f t="shared" si="124"/>
        <v>3</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2017</v>
      </c>
      <c r="B248" s="73" t="str">
        <f t="shared" si="96"/>
        <v>Nov</v>
      </c>
      <c r="C248" s="74">
        <f t="shared" si="119"/>
        <v>16</v>
      </c>
      <c r="D248" s="75">
        <f t="shared" si="97"/>
        <v>12</v>
      </c>
      <c r="E248" s="76">
        <f t="shared" si="98"/>
        <v>23</v>
      </c>
      <c r="F248" s="80"/>
      <c r="G248" s="83"/>
      <c r="H248" s="69" t="str">
        <f t="shared" si="120"/>
        <v>Lacine7_20171116_12_00</v>
      </c>
      <c r="I248" s="70">
        <f t="shared" si="124"/>
        <v>1</v>
      </c>
      <c r="J248" s="77" t="str">
        <f t="shared" si="124"/>
        <v>Lactuca</v>
      </c>
      <c r="K248" s="77" t="str">
        <f t="shared" si="124"/>
        <v>inermis</v>
      </c>
      <c r="L248" s="78">
        <f t="shared" si="124"/>
        <v>7</v>
      </c>
      <c r="M248" s="78">
        <f t="shared" si="124"/>
        <v>3</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2017</v>
      </c>
      <c r="B249" s="73" t="str">
        <f t="shared" si="96"/>
        <v>Nov</v>
      </c>
      <c r="C249" s="74">
        <f t="shared" si="119"/>
        <v>16</v>
      </c>
      <c r="D249" s="75">
        <f t="shared" si="97"/>
        <v>12</v>
      </c>
      <c r="E249" s="76">
        <f t="shared" si="98"/>
        <v>24</v>
      </c>
      <c r="F249" s="80"/>
      <c r="G249" s="83"/>
      <c r="H249" s="69" t="str">
        <f t="shared" si="120"/>
        <v>Lacine7_20171116_12_00</v>
      </c>
      <c r="I249" s="70">
        <f t="shared" si="124"/>
        <v>1</v>
      </c>
      <c r="J249" s="77" t="str">
        <f t="shared" si="124"/>
        <v>Lactuca</v>
      </c>
      <c r="K249" s="77" t="str">
        <f t="shared" si="124"/>
        <v>inermis</v>
      </c>
      <c r="L249" s="78">
        <f t="shared" si="124"/>
        <v>7</v>
      </c>
      <c r="M249" s="78">
        <f t="shared" si="124"/>
        <v>3</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2017</v>
      </c>
      <c r="B250" s="73" t="str">
        <f t="shared" si="96"/>
        <v>Nov</v>
      </c>
      <c r="C250" s="74">
        <f t="shared" si="119"/>
        <v>16</v>
      </c>
      <c r="D250" s="75">
        <f t="shared" si="97"/>
        <v>12</v>
      </c>
      <c r="E250" s="76">
        <f t="shared" si="98"/>
        <v>25</v>
      </c>
      <c r="F250" s="80"/>
      <c r="G250" s="83"/>
      <c r="H250" s="69" t="str">
        <f t="shared" si="120"/>
        <v>Lacine7_20171116_12_00</v>
      </c>
      <c r="I250" s="70">
        <f t="shared" si="124"/>
        <v>1</v>
      </c>
      <c r="J250" s="77" t="str">
        <f t="shared" si="124"/>
        <v>Lactuca</v>
      </c>
      <c r="K250" s="77" t="str">
        <f t="shared" si="124"/>
        <v>inermis</v>
      </c>
      <c r="L250" s="78">
        <f t="shared" si="124"/>
        <v>7</v>
      </c>
      <c r="M250" s="78">
        <f t="shared" si="124"/>
        <v>3</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2017</v>
      </c>
      <c r="B251" s="73" t="str">
        <f t="shared" si="96"/>
        <v>Nov</v>
      </c>
      <c r="C251" s="74">
        <f t="shared" si="119"/>
        <v>16</v>
      </c>
      <c r="D251" s="75">
        <f t="shared" si="97"/>
        <v>12</v>
      </c>
      <c r="E251" s="76">
        <f t="shared" si="98"/>
        <v>26</v>
      </c>
      <c r="F251" s="80"/>
      <c r="G251" s="83"/>
      <c r="H251" s="69" t="str">
        <f t="shared" si="120"/>
        <v>Lacine7_20171116_12_00</v>
      </c>
      <c r="I251" s="70">
        <f t="shared" si="124"/>
        <v>1</v>
      </c>
      <c r="J251" s="77" t="str">
        <f t="shared" si="124"/>
        <v>Lactuca</v>
      </c>
      <c r="K251" s="77" t="str">
        <f t="shared" si="124"/>
        <v>inermis</v>
      </c>
      <c r="L251" s="78">
        <f t="shared" si="124"/>
        <v>7</v>
      </c>
      <c r="M251" s="78">
        <f t="shared" si="124"/>
        <v>3</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2017</v>
      </c>
      <c r="B252" s="73" t="str">
        <f t="shared" si="96"/>
        <v>Nov</v>
      </c>
      <c r="C252" s="74">
        <f t="shared" si="119"/>
        <v>16</v>
      </c>
      <c r="D252" s="75">
        <f t="shared" si="97"/>
        <v>12</v>
      </c>
      <c r="E252" s="76">
        <f t="shared" si="98"/>
        <v>27</v>
      </c>
      <c r="F252" s="80"/>
      <c r="G252" s="83"/>
      <c r="H252" s="69" t="str">
        <f t="shared" si="120"/>
        <v>Lacine7_20171116_12_00</v>
      </c>
      <c r="I252" s="70">
        <f t="shared" si="124"/>
        <v>1</v>
      </c>
      <c r="J252" s="77" t="str">
        <f t="shared" si="124"/>
        <v>Lactuca</v>
      </c>
      <c r="K252" s="77" t="str">
        <f t="shared" si="124"/>
        <v>inermis</v>
      </c>
      <c r="L252" s="78">
        <f t="shared" si="124"/>
        <v>7</v>
      </c>
      <c r="M252" s="78">
        <f t="shared" si="124"/>
        <v>3</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2017</v>
      </c>
      <c r="B253" s="73" t="str">
        <f t="shared" si="96"/>
        <v>Nov</v>
      </c>
      <c r="C253" s="74">
        <f t="shared" si="119"/>
        <v>16</v>
      </c>
      <c r="D253" s="75">
        <f t="shared" si="97"/>
        <v>12</v>
      </c>
      <c r="E253" s="76">
        <f t="shared" si="98"/>
        <v>28</v>
      </c>
      <c r="F253" s="80"/>
      <c r="G253" s="83"/>
      <c r="H253" s="69" t="str">
        <f t="shared" si="120"/>
        <v>Lacine7_20171116_12_00</v>
      </c>
      <c r="I253" s="70">
        <f t="shared" si="124"/>
        <v>1</v>
      </c>
      <c r="J253" s="77" t="str">
        <f t="shared" si="124"/>
        <v>Lactuca</v>
      </c>
      <c r="K253" s="77" t="str">
        <f t="shared" si="124"/>
        <v>inermis</v>
      </c>
      <c r="L253" s="78">
        <f t="shared" si="124"/>
        <v>7</v>
      </c>
      <c r="M253" s="78">
        <f t="shared" si="124"/>
        <v>3</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2017</v>
      </c>
      <c r="B254" s="73" t="str">
        <f t="shared" si="96"/>
        <v>Nov</v>
      </c>
      <c r="C254" s="74">
        <f t="shared" si="119"/>
        <v>16</v>
      </c>
      <c r="D254" s="75">
        <f t="shared" si="97"/>
        <v>12</v>
      </c>
      <c r="E254" s="76">
        <f t="shared" si="98"/>
        <v>29</v>
      </c>
      <c r="F254" s="80"/>
      <c r="G254" s="83"/>
      <c r="H254" s="69" t="str">
        <f t="shared" si="120"/>
        <v>Lacine7_20171116_12_00</v>
      </c>
      <c r="I254" s="70">
        <f t="shared" si="124"/>
        <v>1</v>
      </c>
      <c r="J254" s="77" t="str">
        <f t="shared" si="124"/>
        <v>Lactuca</v>
      </c>
      <c r="K254" s="77" t="str">
        <f t="shared" si="124"/>
        <v>inermis</v>
      </c>
      <c r="L254" s="78">
        <f t="shared" si="124"/>
        <v>7</v>
      </c>
      <c r="M254" s="78">
        <f t="shared" si="124"/>
        <v>3</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2017</v>
      </c>
      <c r="B255" s="73" t="str">
        <f t="shared" si="96"/>
        <v>Nov</v>
      </c>
      <c r="C255" s="74">
        <f t="shared" si="119"/>
        <v>16</v>
      </c>
      <c r="D255" s="75">
        <f t="shared" si="97"/>
        <v>12</v>
      </c>
      <c r="E255" s="76">
        <f t="shared" si="98"/>
        <v>30</v>
      </c>
      <c r="F255" s="80"/>
      <c r="G255" s="83"/>
      <c r="H255" s="69" t="str">
        <f t="shared" si="120"/>
        <v>Lacine7_20171116_12_00</v>
      </c>
      <c r="I255" s="70">
        <f t="shared" si="124"/>
        <v>1</v>
      </c>
      <c r="J255" s="77" t="str">
        <f t="shared" si="124"/>
        <v>Lactuca</v>
      </c>
      <c r="K255" s="77" t="str">
        <f t="shared" si="124"/>
        <v>inermis</v>
      </c>
      <c r="L255" s="78">
        <f t="shared" si="124"/>
        <v>7</v>
      </c>
      <c r="M255" s="78">
        <f t="shared" si="124"/>
        <v>3</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2017</v>
      </c>
      <c r="B256" s="73" t="str">
        <f t="shared" si="96"/>
        <v>Nov</v>
      </c>
      <c r="C256" s="74">
        <f t="shared" si="119"/>
        <v>16</v>
      </c>
      <c r="D256" s="75">
        <f t="shared" si="97"/>
        <v>12</v>
      </c>
      <c r="E256" s="76">
        <f t="shared" si="98"/>
        <v>31</v>
      </c>
      <c r="F256" s="80"/>
      <c r="G256" s="83"/>
      <c r="H256" s="69" t="str">
        <f t="shared" si="120"/>
        <v>Lacine7_20171116_12_00</v>
      </c>
      <c r="I256" s="70">
        <f t="shared" si="124"/>
        <v>1</v>
      </c>
      <c r="J256" s="77" t="str">
        <f t="shared" si="124"/>
        <v>Lactuca</v>
      </c>
      <c r="K256" s="77" t="str">
        <f t="shared" si="124"/>
        <v>inermis</v>
      </c>
      <c r="L256" s="78">
        <f t="shared" si="124"/>
        <v>7</v>
      </c>
      <c r="M256" s="78">
        <f t="shared" si="124"/>
        <v>3</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2017</v>
      </c>
      <c r="B257" s="73" t="str">
        <f t="shared" si="96"/>
        <v>Nov</v>
      </c>
      <c r="C257" s="74">
        <f t="shared" si="119"/>
        <v>16</v>
      </c>
      <c r="D257" s="75">
        <f t="shared" si="97"/>
        <v>12</v>
      </c>
      <c r="E257" s="76">
        <f t="shared" si="98"/>
        <v>32</v>
      </c>
      <c r="F257" s="80"/>
      <c r="G257" s="83"/>
      <c r="H257" s="69" t="str">
        <f t="shared" si="120"/>
        <v>Lacine7_20171116_12_00</v>
      </c>
      <c r="I257" s="70">
        <f t="shared" si="124"/>
        <v>1</v>
      </c>
      <c r="J257" s="77" t="str">
        <f t="shared" si="124"/>
        <v>Lactuca</v>
      </c>
      <c r="K257" s="77" t="str">
        <f t="shared" si="124"/>
        <v>inermis</v>
      </c>
      <c r="L257" s="78">
        <f t="shared" si="124"/>
        <v>7</v>
      </c>
      <c r="M257" s="78">
        <f t="shared" si="124"/>
        <v>3</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2017</v>
      </c>
      <c r="B258" s="73" t="str">
        <f t="shared" si="96"/>
        <v>Nov</v>
      </c>
      <c r="C258" s="74">
        <f t="shared" si="119"/>
        <v>16</v>
      </c>
      <c r="D258" s="75">
        <f t="shared" si="97"/>
        <v>12</v>
      </c>
      <c r="E258" s="76">
        <f t="shared" si="98"/>
        <v>33</v>
      </c>
      <c r="F258" s="80"/>
      <c r="G258" s="83"/>
      <c r="H258" s="69" t="str">
        <f t="shared" si="120"/>
        <v>Lacine7_20171116_12_00</v>
      </c>
      <c r="I258" s="70">
        <f t="shared" si="124"/>
        <v>1</v>
      </c>
      <c r="J258" s="77" t="str">
        <f t="shared" si="124"/>
        <v>Lactuca</v>
      </c>
      <c r="K258" s="77" t="str">
        <f t="shared" si="124"/>
        <v>inermis</v>
      </c>
      <c r="L258" s="78">
        <f t="shared" si="124"/>
        <v>7</v>
      </c>
      <c r="M258" s="78">
        <f t="shared" si="124"/>
        <v>3</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2017</v>
      </c>
      <c r="B259" s="73" t="str">
        <f t="shared" si="96"/>
        <v>Nov</v>
      </c>
      <c r="C259" s="74">
        <f t="shared" si="119"/>
        <v>16</v>
      </c>
      <c r="D259" s="75">
        <f t="shared" si="97"/>
        <v>12</v>
      </c>
      <c r="E259" s="76">
        <f t="shared" si="98"/>
        <v>34</v>
      </c>
      <c r="F259" s="80"/>
      <c r="G259" s="83"/>
      <c r="H259" s="69" t="str">
        <f t="shared" si="120"/>
        <v>Lacine7_20171116_12_00</v>
      </c>
      <c r="I259" s="70">
        <f t="shared" si="124"/>
        <v>1</v>
      </c>
      <c r="J259" s="77" t="str">
        <f t="shared" si="124"/>
        <v>Lactuca</v>
      </c>
      <c r="K259" s="77" t="str">
        <f t="shared" si="124"/>
        <v>inermis</v>
      </c>
      <c r="L259" s="78">
        <f t="shared" si="124"/>
        <v>7</v>
      </c>
      <c r="M259" s="78">
        <f t="shared" si="124"/>
        <v>3</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x14ac:dyDescent="0.35">
      <c r="A260" s="73">
        <f t="shared" ref="A260:A323" si="126">A259</f>
        <v>2017</v>
      </c>
      <c r="B260" s="73" t="str">
        <f t="shared" ref="B260:B323" si="127">IF(C259-C260&gt;0, TEXT(DATE(2016,(MONTH(DATEVALUE(B259&amp;"1"))+1),1),"mmm"), B259)</f>
        <v>Nov</v>
      </c>
      <c r="C260" s="74">
        <f t="shared" si="119"/>
        <v>16</v>
      </c>
      <c r="D260" s="75">
        <f t="shared" ref="D260:D323" si="128">IF(IF(E259=59,D259+1,D259)=24,0,IF(E259=59,D259+1,D259))</f>
        <v>12</v>
      </c>
      <c r="E260" s="76">
        <f t="shared" ref="E260:E323" si="129">IF(E259&lt;59,E259+1,0)</f>
        <v>35</v>
      </c>
      <c r="F260" s="80">
        <v>32</v>
      </c>
      <c r="G260" s="83"/>
      <c r="H260" s="69" t="str">
        <f t="shared" si="120"/>
        <v>Lacine7_20171116_12_00</v>
      </c>
      <c r="I260" s="70">
        <f t="shared" si="124"/>
        <v>1</v>
      </c>
      <c r="J260" s="77" t="str">
        <f t="shared" si="124"/>
        <v>Lactuca</v>
      </c>
      <c r="K260" s="77" t="str">
        <f t="shared" si="124"/>
        <v>inermis</v>
      </c>
      <c r="L260" s="78">
        <f t="shared" si="124"/>
        <v>7</v>
      </c>
      <c r="M260" s="78">
        <f t="shared" si="124"/>
        <v>3</v>
      </c>
      <c r="N260" s="72">
        <f t="shared" si="124"/>
        <v>0</v>
      </c>
      <c r="O260" s="45"/>
      <c r="P260" s="46">
        <f t="shared" ref="P260:P323" si="130">IF(F260="","",1)</f>
        <v>1</v>
      </c>
      <c r="Q260" s="47" t="str">
        <f t="shared" ref="Q260:Q323" si="131">TEXT(IF(P260=1,CONCATENATE($D260,":",$E260,":",(LEFT($F260,2))),""),"hh:mm:ss")</f>
        <v>12:35:32</v>
      </c>
      <c r="R260" s="48" t="str">
        <f t="shared" ref="R260:R323" si="132">TEXT(Q260-TIME(0,RIGHT($H260,2),$G$9)+(Q260&gt;TIME(0,RIGHT($H260,2),$G$9)),"mm:ss")</f>
        <v>35:32</v>
      </c>
      <c r="S260" s="49">
        <f t="shared" si="125"/>
        <v>191</v>
      </c>
      <c r="T260" s="48" t="str">
        <f t="shared" ref="T260:T323" si="133">TEXT(IF(P260=1,D260,""),"00")</f>
        <v>12</v>
      </c>
      <c r="U260" s="50">
        <v>38</v>
      </c>
      <c r="V260" s="51">
        <v>43</v>
      </c>
      <c r="W260" s="52" t="str">
        <f t="shared" ref="W260:W323" si="134">IF(O260=0,TEXT(TIME(T260,U260,V260)-TIME(D260,E260,RIGHT(F260,2))+TIME(0,LEFT(R260,2),RIGHT(R260,2)),"mm:ss"),TEXT(TIME(T260,U260,V260)-TIME(D260,E260,RIGHT(F260,2))+TIME(0,LEFT(R260,2),RIGHT(R260,2))-TIME(0,($G$10*O260),0),"mm:ss"))</f>
        <v>38:43</v>
      </c>
      <c r="X260" s="53" t="s">
        <v>61</v>
      </c>
      <c r="Y260" s="126" t="s">
        <v>68</v>
      </c>
      <c r="Z260" s="126"/>
      <c r="AA260" s="48" t="s">
        <v>63</v>
      </c>
      <c r="AB260" s="48" t="str">
        <f t="shared" ref="AB260:AB323" si="135">IF(AA260&lt;&gt;0,"NA","")</f>
        <v>NA</v>
      </c>
      <c r="AC260" s="54">
        <f t="shared" ref="AC260:AC323" si="136">IF(SUM(AH260,AJ260,AL260,AN260,AP260,AR260,AT260)=S260,,"")</f>
        <v>0</v>
      </c>
      <c r="AD260" s="55">
        <f t="shared" ref="AD260:AD323" si="137">IF(P260=1,1,"")</f>
        <v>1</v>
      </c>
      <c r="AE260" s="55"/>
      <c r="AF260" s="55"/>
      <c r="AG260" s="56">
        <v>1</v>
      </c>
      <c r="AH260" s="57">
        <f t="shared" ref="AH260:AH323" si="138">IF(AG260=1,$S260,"")</f>
        <v>191</v>
      </c>
      <c r="AI260" s="56"/>
      <c r="AJ260" s="57" t="str">
        <f t="shared" ref="AJ260:AJ323" si="139">IF(AI260=1,$S260,"")</f>
        <v/>
      </c>
      <c r="AK260" s="56"/>
      <c r="AL260" s="57" t="str">
        <f t="shared" ref="AL260:AL323" si="140">IF(AK260=1,$S260,"")</f>
        <v/>
      </c>
      <c r="AM260" s="56"/>
      <c r="AN260" s="57" t="str">
        <f t="shared" ref="AN260:AN323" si="141">IF(AM260=1,$S260,"")</f>
        <v/>
      </c>
      <c r="AO260" s="56"/>
      <c r="AP260" s="57" t="str">
        <f t="shared" ref="AP260:AP323" si="142">IF(AO260=1,$S260,"")</f>
        <v/>
      </c>
      <c r="AQ260" s="56"/>
      <c r="AR260" s="57" t="str">
        <f t="shared" ref="AR260:AR323" si="143">IF(AQ260=1,$S260,"")</f>
        <v/>
      </c>
      <c r="AS260" s="56"/>
      <c r="AT260" s="57" t="str">
        <f t="shared" ref="AT260:AT323" si="144">IF(AS260=1,$S260,"")</f>
        <v/>
      </c>
      <c r="AU260" s="58"/>
      <c r="AV260" s="59"/>
      <c r="AW260" s="59"/>
      <c r="AX260" s="60"/>
      <c r="AY260" s="61">
        <f t="shared" ref="AY260:AY323" si="145">IF(P260=1,0,"")</f>
        <v>0</v>
      </c>
      <c r="AZ260" s="62" t="str">
        <f t="shared" ref="AZ260:AZ323" si="146">IF(AY260=1,AD260,"")</f>
        <v/>
      </c>
      <c r="BA260" s="61">
        <f t="shared" ref="BA260:BA323" si="147">IF(P260=1,0,"")</f>
        <v>0</v>
      </c>
      <c r="BB260" s="62" t="str">
        <f t="shared" ref="BB260:BB323" si="148">IF(BA260=1,AD260,"")</f>
        <v/>
      </c>
    </row>
    <row r="261" spans="1:54" s="3" customFormat="1" hidden="1" x14ac:dyDescent="0.35">
      <c r="A261" s="73">
        <f t="shared" si="126"/>
        <v>2017</v>
      </c>
      <c r="B261" s="73" t="str">
        <f t="shared" si="127"/>
        <v>Nov</v>
      </c>
      <c r="C261" s="74">
        <f t="shared" ref="C261:C324" si="149">IF(AND(D261=0, E261=0), IF(TEXT(C260,"dd")=TEXT(EOMONTH(DATE(A260,MONTH(DATEVALUE(B260&amp;"1")),C260),0), "dd"), 1, C260+1), C260)</f>
        <v>16</v>
      </c>
      <c r="D261" s="75">
        <f t="shared" si="128"/>
        <v>12</v>
      </c>
      <c r="E261" s="76">
        <f t="shared" si="129"/>
        <v>36</v>
      </c>
      <c r="F261" s="80"/>
      <c r="G261" s="83"/>
      <c r="H261" s="69" t="str">
        <f t="shared" ref="H261:H324" si="150">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Lacine7_20171116_12_00</v>
      </c>
      <c r="I261" s="70">
        <f t="shared" ref="I261:N276" si="151">I260</f>
        <v>1</v>
      </c>
      <c r="J261" s="77" t="str">
        <f t="shared" si="151"/>
        <v>Lactuca</v>
      </c>
      <c r="K261" s="77" t="str">
        <f t="shared" si="151"/>
        <v>inermis</v>
      </c>
      <c r="L261" s="78">
        <f t="shared" si="151"/>
        <v>7</v>
      </c>
      <c r="M261" s="78">
        <f t="shared" si="151"/>
        <v>3</v>
      </c>
      <c r="N261" s="72">
        <f t="shared" si="151"/>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ref="AG261:AG323" si="152">IF(OR(X261="Something small"),1,"")</f>
        <v/>
      </c>
      <c r="AH261" s="57" t="str">
        <f t="shared" si="138"/>
        <v/>
      </c>
      <c r="AI261" s="56"/>
      <c r="AJ261" s="57" t="str">
        <f t="shared" si="139"/>
        <v/>
      </c>
      <c r="AK261" s="56"/>
      <c r="AL261" s="57" t="str">
        <f t="shared" si="140"/>
        <v/>
      </c>
      <c r="AM261" s="56"/>
      <c r="AN261" s="57" t="str">
        <f t="shared" si="141"/>
        <v/>
      </c>
      <c r="AO261" s="56"/>
      <c r="AP261" s="57" t="str">
        <f t="shared" si="142"/>
        <v/>
      </c>
      <c r="AQ261" s="56"/>
      <c r="AR261" s="57" t="str">
        <f t="shared" si="143"/>
        <v/>
      </c>
      <c r="AS261" s="56"/>
      <c r="AT261" s="57" t="str">
        <f t="shared" si="144"/>
        <v/>
      </c>
      <c r="AU261" s="58"/>
      <c r="AV261" s="59"/>
      <c r="AW261" s="59"/>
      <c r="AX261" s="60"/>
      <c r="AY261" s="61" t="str">
        <f t="shared" si="145"/>
        <v/>
      </c>
      <c r="AZ261" s="62" t="str">
        <f t="shared" si="146"/>
        <v/>
      </c>
      <c r="BA261" s="61" t="str">
        <f t="shared" si="147"/>
        <v/>
      </c>
      <c r="BB261" s="62" t="str">
        <f t="shared" si="148"/>
        <v/>
      </c>
    </row>
    <row r="262" spans="1:54" s="3" customFormat="1" hidden="1" x14ac:dyDescent="0.35">
      <c r="A262" s="73">
        <f t="shared" si="126"/>
        <v>2017</v>
      </c>
      <c r="B262" s="73" t="str">
        <f t="shared" si="127"/>
        <v>Nov</v>
      </c>
      <c r="C262" s="74">
        <f t="shared" si="149"/>
        <v>16</v>
      </c>
      <c r="D262" s="75">
        <f t="shared" si="128"/>
        <v>12</v>
      </c>
      <c r="E262" s="76">
        <f t="shared" si="129"/>
        <v>37</v>
      </c>
      <c r="F262" s="80"/>
      <c r="G262" s="83"/>
      <c r="H262" s="69" t="str">
        <f t="shared" si="150"/>
        <v>Lacine7_20171116_12_00</v>
      </c>
      <c r="I262" s="70">
        <f t="shared" si="151"/>
        <v>1</v>
      </c>
      <c r="J262" s="77" t="str">
        <f t="shared" si="151"/>
        <v>Lactuca</v>
      </c>
      <c r="K262" s="77" t="str">
        <f t="shared" si="151"/>
        <v>inermis</v>
      </c>
      <c r="L262" s="78">
        <f t="shared" si="151"/>
        <v>7</v>
      </c>
      <c r="M262" s="78">
        <f t="shared" si="151"/>
        <v>3</v>
      </c>
      <c r="N262" s="72">
        <f t="shared" si="151"/>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52"/>
        <v/>
      </c>
      <c r="AH262" s="57" t="str">
        <f t="shared" si="138"/>
        <v/>
      </c>
      <c r="AI262" s="56"/>
      <c r="AJ262" s="57" t="str">
        <f t="shared" si="139"/>
        <v/>
      </c>
      <c r="AK262" s="56"/>
      <c r="AL262" s="57" t="str">
        <f t="shared" si="140"/>
        <v/>
      </c>
      <c r="AM262" s="56"/>
      <c r="AN262" s="57" t="str">
        <f t="shared" si="141"/>
        <v/>
      </c>
      <c r="AO262" s="56"/>
      <c r="AP262" s="57" t="str">
        <f t="shared" si="142"/>
        <v/>
      </c>
      <c r="AQ262" s="56"/>
      <c r="AR262" s="57" t="str">
        <f t="shared" si="143"/>
        <v/>
      </c>
      <c r="AS262" s="56"/>
      <c r="AT262" s="57" t="str">
        <f t="shared" si="144"/>
        <v/>
      </c>
      <c r="AU262" s="58"/>
      <c r="AV262" s="59"/>
      <c r="AW262" s="59"/>
      <c r="AX262" s="60"/>
      <c r="AY262" s="61" t="str">
        <f t="shared" si="145"/>
        <v/>
      </c>
      <c r="AZ262" s="62" t="str">
        <f t="shared" si="146"/>
        <v/>
      </c>
      <c r="BA262" s="61" t="str">
        <f t="shared" si="147"/>
        <v/>
      </c>
      <c r="BB262" s="62" t="str">
        <f t="shared" si="148"/>
        <v/>
      </c>
    </row>
    <row r="263" spans="1:54" s="3" customFormat="1" hidden="1" x14ac:dyDescent="0.35">
      <c r="A263" s="73">
        <f t="shared" si="126"/>
        <v>2017</v>
      </c>
      <c r="B263" s="73" t="str">
        <f t="shared" si="127"/>
        <v>Nov</v>
      </c>
      <c r="C263" s="74">
        <f t="shared" si="149"/>
        <v>16</v>
      </c>
      <c r="D263" s="75">
        <f t="shared" si="128"/>
        <v>12</v>
      </c>
      <c r="E263" s="76">
        <f t="shared" si="129"/>
        <v>38</v>
      </c>
      <c r="F263" s="80"/>
      <c r="G263" s="83"/>
      <c r="H263" s="69" t="str">
        <f t="shared" si="150"/>
        <v>Lacine7_20171116_12_00</v>
      </c>
      <c r="I263" s="70">
        <f t="shared" si="151"/>
        <v>1</v>
      </c>
      <c r="J263" s="77" t="str">
        <f t="shared" si="151"/>
        <v>Lactuca</v>
      </c>
      <c r="K263" s="77" t="str">
        <f t="shared" si="151"/>
        <v>inermis</v>
      </c>
      <c r="L263" s="78">
        <f t="shared" si="151"/>
        <v>7</v>
      </c>
      <c r="M263" s="78">
        <f t="shared" si="151"/>
        <v>3</v>
      </c>
      <c r="N263" s="72">
        <f t="shared" si="151"/>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52"/>
        <v/>
      </c>
      <c r="AH263" s="57" t="str">
        <f t="shared" si="138"/>
        <v/>
      </c>
      <c r="AI263" s="56"/>
      <c r="AJ263" s="57" t="str">
        <f t="shared" si="139"/>
        <v/>
      </c>
      <c r="AK263" s="56"/>
      <c r="AL263" s="57" t="str">
        <f t="shared" si="140"/>
        <v/>
      </c>
      <c r="AM263" s="56"/>
      <c r="AN263" s="57" t="str">
        <f t="shared" si="141"/>
        <v/>
      </c>
      <c r="AO263" s="56"/>
      <c r="AP263" s="57" t="str">
        <f t="shared" si="142"/>
        <v/>
      </c>
      <c r="AQ263" s="56"/>
      <c r="AR263" s="57" t="str">
        <f t="shared" si="143"/>
        <v/>
      </c>
      <c r="AS263" s="56"/>
      <c r="AT263" s="57" t="str">
        <f t="shared" si="144"/>
        <v/>
      </c>
      <c r="AU263" s="58"/>
      <c r="AV263" s="59"/>
      <c r="AW263" s="59"/>
      <c r="AX263" s="60"/>
      <c r="AY263" s="61" t="str">
        <f t="shared" si="145"/>
        <v/>
      </c>
      <c r="AZ263" s="62" t="str">
        <f t="shared" si="146"/>
        <v/>
      </c>
      <c r="BA263" s="61" t="str">
        <f t="shared" si="147"/>
        <v/>
      </c>
      <c r="BB263" s="62" t="str">
        <f t="shared" si="148"/>
        <v/>
      </c>
    </row>
    <row r="264" spans="1:54" s="3" customFormat="1" hidden="1" x14ac:dyDescent="0.35">
      <c r="A264" s="73">
        <f t="shared" si="126"/>
        <v>2017</v>
      </c>
      <c r="B264" s="73" t="str">
        <f t="shared" si="127"/>
        <v>Nov</v>
      </c>
      <c r="C264" s="74">
        <f t="shared" si="149"/>
        <v>16</v>
      </c>
      <c r="D264" s="75">
        <f t="shared" si="128"/>
        <v>12</v>
      </c>
      <c r="E264" s="76">
        <f t="shared" si="129"/>
        <v>39</v>
      </c>
      <c r="F264" s="80"/>
      <c r="G264" s="83"/>
      <c r="H264" s="69" t="str">
        <f t="shared" si="150"/>
        <v>Lacine7_20171116_12_00</v>
      </c>
      <c r="I264" s="70">
        <f t="shared" si="151"/>
        <v>1</v>
      </c>
      <c r="J264" s="77" t="str">
        <f t="shared" si="151"/>
        <v>Lactuca</v>
      </c>
      <c r="K264" s="77" t="str">
        <f t="shared" si="151"/>
        <v>inermis</v>
      </c>
      <c r="L264" s="78">
        <f t="shared" si="151"/>
        <v>7</v>
      </c>
      <c r="M264" s="78">
        <f t="shared" si="151"/>
        <v>3</v>
      </c>
      <c r="N264" s="72">
        <f t="shared" si="151"/>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52"/>
        <v/>
      </c>
      <c r="AH264" s="57" t="str">
        <f t="shared" si="138"/>
        <v/>
      </c>
      <c r="AI264" s="56"/>
      <c r="AJ264" s="57" t="str">
        <f t="shared" si="139"/>
        <v/>
      </c>
      <c r="AK264" s="56"/>
      <c r="AL264" s="57" t="str">
        <f t="shared" si="140"/>
        <v/>
      </c>
      <c r="AM264" s="56"/>
      <c r="AN264" s="57" t="str">
        <f t="shared" si="141"/>
        <v/>
      </c>
      <c r="AO264" s="56"/>
      <c r="AP264" s="57" t="str">
        <f t="shared" si="142"/>
        <v/>
      </c>
      <c r="AQ264" s="56"/>
      <c r="AR264" s="57" t="str">
        <f t="shared" si="143"/>
        <v/>
      </c>
      <c r="AS264" s="56"/>
      <c r="AT264" s="57" t="str">
        <f t="shared" si="144"/>
        <v/>
      </c>
      <c r="AU264" s="58"/>
      <c r="AV264" s="59"/>
      <c r="AW264" s="59"/>
      <c r="AX264" s="60"/>
      <c r="AY264" s="61" t="str">
        <f t="shared" si="145"/>
        <v/>
      </c>
      <c r="AZ264" s="62" t="str">
        <f t="shared" si="146"/>
        <v/>
      </c>
      <c r="BA264" s="61" t="str">
        <f t="shared" si="147"/>
        <v/>
      </c>
      <c r="BB264" s="62" t="str">
        <f t="shared" si="148"/>
        <v/>
      </c>
    </row>
    <row r="265" spans="1:54" s="3" customFormat="1" hidden="1" x14ac:dyDescent="0.35">
      <c r="A265" s="73">
        <f t="shared" si="126"/>
        <v>2017</v>
      </c>
      <c r="B265" s="73" t="str">
        <f t="shared" si="127"/>
        <v>Nov</v>
      </c>
      <c r="C265" s="74">
        <f t="shared" si="149"/>
        <v>16</v>
      </c>
      <c r="D265" s="75">
        <f t="shared" si="128"/>
        <v>12</v>
      </c>
      <c r="E265" s="76">
        <f t="shared" si="129"/>
        <v>40</v>
      </c>
      <c r="F265" s="80"/>
      <c r="G265" s="83"/>
      <c r="H265" s="69" t="str">
        <f t="shared" si="150"/>
        <v>Lacine7_20171116_12_00</v>
      </c>
      <c r="I265" s="70">
        <f t="shared" si="151"/>
        <v>1</v>
      </c>
      <c r="J265" s="77" t="str">
        <f t="shared" si="151"/>
        <v>Lactuca</v>
      </c>
      <c r="K265" s="77" t="str">
        <f t="shared" si="151"/>
        <v>inermis</v>
      </c>
      <c r="L265" s="78">
        <f t="shared" si="151"/>
        <v>7</v>
      </c>
      <c r="M265" s="78">
        <f t="shared" si="151"/>
        <v>3</v>
      </c>
      <c r="N265" s="72">
        <f t="shared" si="151"/>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52"/>
        <v/>
      </c>
      <c r="AH265" s="57" t="str">
        <f t="shared" si="138"/>
        <v/>
      </c>
      <c r="AI265" s="56"/>
      <c r="AJ265" s="57" t="str">
        <f t="shared" si="139"/>
        <v/>
      </c>
      <c r="AK265" s="56"/>
      <c r="AL265" s="57" t="str">
        <f t="shared" si="140"/>
        <v/>
      </c>
      <c r="AM265" s="56"/>
      <c r="AN265" s="57" t="str">
        <f t="shared" si="141"/>
        <v/>
      </c>
      <c r="AO265" s="56"/>
      <c r="AP265" s="57" t="str">
        <f t="shared" si="142"/>
        <v/>
      </c>
      <c r="AQ265" s="56"/>
      <c r="AR265" s="57" t="str">
        <f t="shared" si="143"/>
        <v/>
      </c>
      <c r="AS265" s="56"/>
      <c r="AT265" s="57" t="str">
        <f t="shared" si="144"/>
        <v/>
      </c>
      <c r="AU265" s="58"/>
      <c r="AV265" s="59"/>
      <c r="AW265" s="59"/>
      <c r="AX265" s="60"/>
      <c r="AY265" s="61" t="str">
        <f t="shared" si="145"/>
        <v/>
      </c>
      <c r="AZ265" s="62" t="str">
        <f t="shared" si="146"/>
        <v/>
      </c>
      <c r="BA265" s="61" t="str">
        <f t="shared" si="147"/>
        <v/>
      </c>
      <c r="BB265" s="62" t="str">
        <f t="shared" si="148"/>
        <v/>
      </c>
    </row>
    <row r="266" spans="1:54" s="3" customFormat="1" hidden="1" x14ac:dyDescent="0.35">
      <c r="A266" s="73">
        <f t="shared" si="126"/>
        <v>2017</v>
      </c>
      <c r="B266" s="73" t="str">
        <f t="shared" si="127"/>
        <v>Nov</v>
      </c>
      <c r="C266" s="74">
        <f t="shared" si="149"/>
        <v>16</v>
      </c>
      <c r="D266" s="75">
        <f t="shared" si="128"/>
        <v>12</v>
      </c>
      <c r="E266" s="76">
        <f t="shared" si="129"/>
        <v>41</v>
      </c>
      <c r="F266" s="80"/>
      <c r="G266" s="83"/>
      <c r="H266" s="69" t="str">
        <f t="shared" si="150"/>
        <v>Lacine7_20171116_12_00</v>
      </c>
      <c r="I266" s="70">
        <f t="shared" si="151"/>
        <v>1</v>
      </c>
      <c r="J266" s="77" t="str">
        <f t="shared" si="151"/>
        <v>Lactuca</v>
      </c>
      <c r="K266" s="77" t="str">
        <f t="shared" si="151"/>
        <v>inermis</v>
      </c>
      <c r="L266" s="78">
        <f t="shared" si="151"/>
        <v>7</v>
      </c>
      <c r="M266" s="78">
        <f t="shared" si="151"/>
        <v>3</v>
      </c>
      <c r="N266" s="72">
        <f t="shared" si="151"/>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52"/>
        <v/>
      </c>
      <c r="AH266" s="57" t="str">
        <f t="shared" si="138"/>
        <v/>
      </c>
      <c r="AI266" s="56"/>
      <c r="AJ266" s="57" t="str">
        <f t="shared" si="139"/>
        <v/>
      </c>
      <c r="AK266" s="56"/>
      <c r="AL266" s="57" t="str">
        <f t="shared" si="140"/>
        <v/>
      </c>
      <c r="AM266" s="56"/>
      <c r="AN266" s="57" t="str">
        <f t="shared" si="141"/>
        <v/>
      </c>
      <c r="AO266" s="56"/>
      <c r="AP266" s="57" t="str">
        <f t="shared" si="142"/>
        <v/>
      </c>
      <c r="AQ266" s="56"/>
      <c r="AR266" s="57" t="str">
        <f t="shared" si="143"/>
        <v/>
      </c>
      <c r="AS266" s="56"/>
      <c r="AT266" s="57" t="str">
        <f t="shared" si="144"/>
        <v/>
      </c>
      <c r="AU266" s="58"/>
      <c r="AV266" s="59"/>
      <c r="AW266" s="59"/>
      <c r="AX266" s="60"/>
      <c r="AY266" s="61" t="str">
        <f t="shared" si="145"/>
        <v/>
      </c>
      <c r="AZ266" s="62" t="str">
        <f t="shared" si="146"/>
        <v/>
      </c>
      <c r="BA266" s="61" t="str">
        <f t="shared" si="147"/>
        <v/>
      </c>
      <c r="BB266" s="62" t="str">
        <f t="shared" si="148"/>
        <v/>
      </c>
    </row>
    <row r="267" spans="1:54" s="3" customFormat="1" hidden="1" x14ac:dyDescent="0.35">
      <c r="A267" s="73">
        <f t="shared" si="126"/>
        <v>2017</v>
      </c>
      <c r="B267" s="73" t="str">
        <f t="shared" si="127"/>
        <v>Nov</v>
      </c>
      <c r="C267" s="74">
        <f t="shared" si="149"/>
        <v>16</v>
      </c>
      <c r="D267" s="75">
        <f t="shared" si="128"/>
        <v>12</v>
      </c>
      <c r="E267" s="76">
        <f t="shared" si="129"/>
        <v>42</v>
      </c>
      <c r="F267" s="80"/>
      <c r="G267" s="83"/>
      <c r="H267" s="69" t="str">
        <f t="shared" si="150"/>
        <v>Lacine7_20171116_12_00</v>
      </c>
      <c r="I267" s="70">
        <f t="shared" si="151"/>
        <v>1</v>
      </c>
      <c r="J267" s="77" t="str">
        <f t="shared" si="151"/>
        <v>Lactuca</v>
      </c>
      <c r="K267" s="77" t="str">
        <f t="shared" si="151"/>
        <v>inermis</v>
      </c>
      <c r="L267" s="78">
        <f t="shared" si="151"/>
        <v>7</v>
      </c>
      <c r="M267" s="78">
        <f t="shared" si="151"/>
        <v>3</v>
      </c>
      <c r="N267" s="72">
        <f t="shared" si="151"/>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52"/>
        <v/>
      </c>
      <c r="AH267" s="57" t="str">
        <f t="shared" si="138"/>
        <v/>
      </c>
      <c r="AI267" s="56"/>
      <c r="AJ267" s="57" t="str">
        <f t="shared" si="139"/>
        <v/>
      </c>
      <c r="AK267" s="56"/>
      <c r="AL267" s="57" t="str">
        <f t="shared" si="140"/>
        <v/>
      </c>
      <c r="AM267" s="56"/>
      <c r="AN267" s="57" t="str">
        <f t="shared" si="141"/>
        <v/>
      </c>
      <c r="AO267" s="56"/>
      <c r="AP267" s="57" t="str">
        <f t="shared" si="142"/>
        <v/>
      </c>
      <c r="AQ267" s="56"/>
      <c r="AR267" s="57" t="str">
        <f t="shared" si="143"/>
        <v/>
      </c>
      <c r="AS267" s="56"/>
      <c r="AT267" s="57" t="str">
        <f t="shared" si="144"/>
        <v/>
      </c>
      <c r="AU267" s="58"/>
      <c r="AV267" s="59"/>
      <c r="AW267" s="59"/>
      <c r="AX267" s="60"/>
      <c r="AY267" s="61" t="str">
        <f t="shared" si="145"/>
        <v/>
      </c>
      <c r="AZ267" s="62" t="str">
        <f t="shared" si="146"/>
        <v/>
      </c>
      <c r="BA267" s="61" t="str">
        <f t="shared" si="147"/>
        <v/>
      </c>
      <c r="BB267" s="62" t="str">
        <f t="shared" si="148"/>
        <v/>
      </c>
    </row>
    <row r="268" spans="1:54" s="3" customFormat="1" hidden="1" x14ac:dyDescent="0.35">
      <c r="A268" s="73">
        <f t="shared" si="126"/>
        <v>2017</v>
      </c>
      <c r="B268" s="73" t="str">
        <f t="shared" si="127"/>
        <v>Nov</v>
      </c>
      <c r="C268" s="74">
        <f t="shared" si="149"/>
        <v>16</v>
      </c>
      <c r="D268" s="75">
        <f t="shared" si="128"/>
        <v>12</v>
      </c>
      <c r="E268" s="76">
        <f t="shared" si="129"/>
        <v>43</v>
      </c>
      <c r="F268" s="80"/>
      <c r="G268" s="83"/>
      <c r="H268" s="69" t="str">
        <f t="shared" si="150"/>
        <v>Lacine7_20171116_12_00</v>
      </c>
      <c r="I268" s="70">
        <f t="shared" si="151"/>
        <v>1</v>
      </c>
      <c r="J268" s="77" t="str">
        <f t="shared" si="151"/>
        <v>Lactuca</v>
      </c>
      <c r="K268" s="77" t="str">
        <f t="shared" si="151"/>
        <v>inermis</v>
      </c>
      <c r="L268" s="78">
        <f t="shared" si="151"/>
        <v>7</v>
      </c>
      <c r="M268" s="78">
        <f t="shared" si="151"/>
        <v>3</v>
      </c>
      <c r="N268" s="72">
        <f t="shared" si="151"/>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52"/>
        <v/>
      </c>
      <c r="AH268" s="57" t="str">
        <f t="shared" si="138"/>
        <v/>
      </c>
      <c r="AI268" s="56"/>
      <c r="AJ268" s="57" t="str">
        <f t="shared" si="139"/>
        <v/>
      </c>
      <c r="AK268" s="56"/>
      <c r="AL268" s="57" t="str">
        <f t="shared" si="140"/>
        <v/>
      </c>
      <c r="AM268" s="56"/>
      <c r="AN268" s="57" t="str">
        <f t="shared" si="141"/>
        <v/>
      </c>
      <c r="AO268" s="56"/>
      <c r="AP268" s="57" t="str">
        <f t="shared" si="142"/>
        <v/>
      </c>
      <c r="AQ268" s="56"/>
      <c r="AR268" s="57" t="str">
        <f t="shared" si="143"/>
        <v/>
      </c>
      <c r="AS268" s="56"/>
      <c r="AT268" s="57" t="str">
        <f t="shared" si="144"/>
        <v/>
      </c>
      <c r="AU268" s="58"/>
      <c r="AV268" s="59"/>
      <c r="AW268" s="59"/>
      <c r="AX268" s="60"/>
      <c r="AY268" s="61" t="str">
        <f t="shared" si="145"/>
        <v/>
      </c>
      <c r="AZ268" s="62" t="str">
        <f t="shared" si="146"/>
        <v/>
      </c>
      <c r="BA268" s="61" t="str">
        <f t="shared" si="147"/>
        <v/>
      </c>
      <c r="BB268" s="62" t="str">
        <f t="shared" si="148"/>
        <v/>
      </c>
    </row>
    <row r="269" spans="1:54" s="3" customFormat="1" hidden="1" x14ac:dyDescent="0.35">
      <c r="A269" s="73">
        <f t="shared" si="126"/>
        <v>2017</v>
      </c>
      <c r="B269" s="73" t="str">
        <f t="shared" si="127"/>
        <v>Nov</v>
      </c>
      <c r="C269" s="74">
        <f t="shared" si="149"/>
        <v>16</v>
      </c>
      <c r="D269" s="75">
        <f t="shared" si="128"/>
        <v>12</v>
      </c>
      <c r="E269" s="76">
        <f t="shared" si="129"/>
        <v>44</v>
      </c>
      <c r="F269" s="80"/>
      <c r="G269" s="83"/>
      <c r="H269" s="69" t="str">
        <f t="shared" si="150"/>
        <v>Lacine7_20171116_12_00</v>
      </c>
      <c r="I269" s="70">
        <f t="shared" si="151"/>
        <v>1</v>
      </c>
      <c r="J269" s="77" t="str">
        <f t="shared" si="151"/>
        <v>Lactuca</v>
      </c>
      <c r="K269" s="77" t="str">
        <f t="shared" si="151"/>
        <v>inermis</v>
      </c>
      <c r="L269" s="78">
        <f t="shared" si="151"/>
        <v>7</v>
      </c>
      <c r="M269" s="78">
        <f t="shared" si="151"/>
        <v>3</v>
      </c>
      <c r="N269" s="72">
        <f t="shared" si="151"/>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52"/>
        <v/>
      </c>
      <c r="AH269" s="57" t="str">
        <f t="shared" si="138"/>
        <v/>
      </c>
      <c r="AI269" s="56"/>
      <c r="AJ269" s="57" t="str">
        <f t="shared" si="139"/>
        <v/>
      </c>
      <c r="AK269" s="56"/>
      <c r="AL269" s="57" t="str">
        <f t="shared" si="140"/>
        <v/>
      </c>
      <c r="AM269" s="56"/>
      <c r="AN269" s="57" t="str">
        <f t="shared" si="141"/>
        <v/>
      </c>
      <c r="AO269" s="56"/>
      <c r="AP269" s="57" t="str">
        <f t="shared" si="142"/>
        <v/>
      </c>
      <c r="AQ269" s="56"/>
      <c r="AR269" s="57" t="str">
        <f t="shared" si="143"/>
        <v/>
      </c>
      <c r="AS269" s="56"/>
      <c r="AT269" s="57" t="str">
        <f t="shared" si="144"/>
        <v/>
      </c>
      <c r="AU269" s="58"/>
      <c r="AV269" s="59"/>
      <c r="AW269" s="59"/>
      <c r="AX269" s="60"/>
      <c r="AY269" s="61" t="str">
        <f t="shared" si="145"/>
        <v/>
      </c>
      <c r="AZ269" s="62" t="str">
        <f t="shared" si="146"/>
        <v/>
      </c>
      <c r="BA269" s="61" t="str">
        <f t="shared" si="147"/>
        <v/>
      </c>
      <c r="BB269" s="62" t="str">
        <f t="shared" si="148"/>
        <v/>
      </c>
    </row>
    <row r="270" spans="1:54" s="3" customFormat="1" hidden="1" x14ac:dyDescent="0.35">
      <c r="A270" s="73">
        <f t="shared" si="126"/>
        <v>2017</v>
      </c>
      <c r="B270" s="73" t="str">
        <f t="shared" si="127"/>
        <v>Nov</v>
      </c>
      <c r="C270" s="74">
        <f t="shared" si="149"/>
        <v>16</v>
      </c>
      <c r="D270" s="75">
        <f t="shared" si="128"/>
        <v>12</v>
      </c>
      <c r="E270" s="76">
        <f t="shared" si="129"/>
        <v>45</v>
      </c>
      <c r="F270" s="80"/>
      <c r="G270" s="83"/>
      <c r="H270" s="69" t="str">
        <f t="shared" si="150"/>
        <v>Lacine7_20171116_12_00</v>
      </c>
      <c r="I270" s="70">
        <f t="shared" si="151"/>
        <v>1</v>
      </c>
      <c r="J270" s="77" t="str">
        <f t="shared" si="151"/>
        <v>Lactuca</v>
      </c>
      <c r="K270" s="77" t="str">
        <f t="shared" si="151"/>
        <v>inermis</v>
      </c>
      <c r="L270" s="78">
        <f t="shared" si="151"/>
        <v>7</v>
      </c>
      <c r="M270" s="78">
        <f t="shared" si="151"/>
        <v>3</v>
      </c>
      <c r="N270" s="72">
        <f t="shared" si="151"/>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52"/>
        <v/>
      </c>
      <c r="AH270" s="57" t="str">
        <f t="shared" si="138"/>
        <v/>
      </c>
      <c r="AI270" s="56"/>
      <c r="AJ270" s="57" t="str">
        <f t="shared" si="139"/>
        <v/>
      </c>
      <c r="AK270" s="56"/>
      <c r="AL270" s="57" t="str">
        <f t="shared" si="140"/>
        <v/>
      </c>
      <c r="AM270" s="56"/>
      <c r="AN270" s="57" t="str">
        <f t="shared" si="141"/>
        <v/>
      </c>
      <c r="AO270" s="56"/>
      <c r="AP270" s="57" t="str">
        <f t="shared" si="142"/>
        <v/>
      </c>
      <c r="AQ270" s="56"/>
      <c r="AR270" s="57" t="str">
        <f t="shared" si="143"/>
        <v/>
      </c>
      <c r="AS270" s="56"/>
      <c r="AT270" s="57" t="str">
        <f t="shared" si="144"/>
        <v/>
      </c>
      <c r="AU270" s="58"/>
      <c r="AV270" s="59"/>
      <c r="AW270" s="59"/>
      <c r="AX270" s="60"/>
      <c r="AY270" s="61" t="str">
        <f t="shared" si="145"/>
        <v/>
      </c>
      <c r="AZ270" s="62" t="str">
        <f t="shared" si="146"/>
        <v/>
      </c>
      <c r="BA270" s="61" t="str">
        <f t="shared" si="147"/>
        <v/>
      </c>
      <c r="BB270" s="62" t="str">
        <f t="shared" si="148"/>
        <v/>
      </c>
    </row>
    <row r="271" spans="1:54" s="3" customFormat="1" hidden="1" x14ac:dyDescent="0.35">
      <c r="A271" s="73">
        <f t="shared" si="126"/>
        <v>2017</v>
      </c>
      <c r="B271" s="73" t="str">
        <f t="shared" si="127"/>
        <v>Nov</v>
      </c>
      <c r="C271" s="74">
        <f t="shared" si="149"/>
        <v>16</v>
      </c>
      <c r="D271" s="75">
        <f t="shared" si="128"/>
        <v>12</v>
      </c>
      <c r="E271" s="76">
        <f t="shared" si="129"/>
        <v>46</v>
      </c>
      <c r="F271" s="80"/>
      <c r="G271" s="83"/>
      <c r="H271" s="69" t="str">
        <f t="shared" si="150"/>
        <v>Lacine7_20171116_12_00</v>
      </c>
      <c r="I271" s="70">
        <f t="shared" si="151"/>
        <v>1</v>
      </c>
      <c r="J271" s="77" t="str">
        <f t="shared" si="151"/>
        <v>Lactuca</v>
      </c>
      <c r="K271" s="77" t="str">
        <f t="shared" si="151"/>
        <v>inermis</v>
      </c>
      <c r="L271" s="78">
        <f t="shared" si="151"/>
        <v>7</v>
      </c>
      <c r="M271" s="78">
        <f t="shared" si="151"/>
        <v>3</v>
      </c>
      <c r="N271" s="72">
        <f t="shared" si="151"/>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52"/>
        <v/>
      </c>
      <c r="AH271" s="57" t="str">
        <f t="shared" si="138"/>
        <v/>
      </c>
      <c r="AI271" s="56"/>
      <c r="AJ271" s="57" t="str">
        <f t="shared" si="139"/>
        <v/>
      </c>
      <c r="AK271" s="56"/>
      <c r="AL271" s="57" t="str">
        <f t="shared" si="140"/>
        <v/>
      </c>
      <c r="AM271" s="56"/>
      <c r="AN271" s="57" t="str">
        <f t="shared" si="141"/>
        <v/>
      </c>
      <c r="AO271" s="56"/>
      <c r="AP271" s="57" t="str">
        <f t="shared" si="142"/>
        <v/>
      </c>
      <c r="AQ271" s="56"/>
      <c r="AR271" s="57" t="str">
        <f t="shared" si="143"/>
        <v/>
      </c>
      <c r="AS271" s="56"/>
      <c r="AT271" s="57" t="str">
        <f t="shared" si="144"/>
        <v/>
      </c>
      <c r="AU271" s="58"/>
      <c r="AV271" s="59"/>
      <c r="AW271" s="59"/>
      <c r="AX271" s="60"/>
      <c r="AY271" s="61" t="str">
        <f t="shared" si="145"/>
        <v/>
      </c>
      <c r="AZ271" s="62" t="str">
        <f t="shared" si="146"/>
        <v/>
      </c>
      <c r="BA271" s="61" t="str">
        <f t="shared" si="147"/>
        <v/>
      </c>
      <c r="BB271" s="62" t="str">
        <f t="shared" si="148"/>
        <v/>
      </c>
    </row>
    <row r="272" spans="1:54" s="3" customFormat="1" hidden="1" x14ac:dyDescent="0.35">
      <c r="A272" s="73">
        <f t="shared" si="126"/>
        <v>2017</v>
      </c>
      <c r="B272" s="73" t="str">
        <f t="shared" si="127"/>
        <v>Nov</v>
      </c>
      <c r="C272" s="74">
        <f t="shared" si="149"/>
        <v>16</v>
      </c>
      <c r="D272" s="75">
        <f t="shared" si="128"/>
        <v>12</v>
      </c>
      <c r="E272" s="76">
        <f t="shared" si="129"/>
        <v>47</v>
      </c>
      <c r="F272" s="80"/>
      <c r="G272" s="83"/>
      <c r="H272" s="69" t="str">
        <f t="shared" si="150"/>
        <v>Lacine7_20171116_12_00</v>
      </c>
      <c r="I272" s="70">
        <f t="shared" si="151"/>
        <v>1</v>
      </c>
      <c r="J272" s="77" t="str">
        <f t="shared" si="151"/>
        <v>Lactuca</v>
      </c>
      <c r="K272" s="77" t="str">
        <f t="shared" si="151"/>
        <v>inermis</v>
      </c>
      <c r="L272" s="78">
        <f t="shared" si="151"/>
        <v>7</v>
      </c>
      <c r="M272" s="78">
        <f t="shared" si="151"/>
        <v>3</v>
      </c>
      <c r="N272" s="72">
        <f t="shared" si="151"/>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52"/>
        <v/>
      </c>
      <c r="AH272" s="57" t="str">
        <f t="shared" si="138"/>
        <v/>
      </c>
      <c r="AI272" s="56"/>
      <c r="AJ272" s="57" t="str">
        <f t="shared" si="139"/>
        <v/>
      </c>
      <c r="AK272" s="56"/>
      <c r="AL272" s="57" t="str">
        <f t="shared" si="140"/>
        <v/>
      </c>
      <c r="AM272" s="56"/>
      <c r="AN272" s="57" t="str">
        <f t="shared" si="141"/>
        <v/>
      </c>
      <c r="AO272" s="56"/>
      <c r="AP272" s="57" t="str">
        <f t="shared" si="142"/>
        <v/>
      </c>
      <c r="AQ272" s="56"/>
      <c r="AR272" s="57" t="str">
        <f t="shared" si="143"/>
        <v/>
      </c>
      <c r="AS272" s="56"/>
      <c r="AT272" s="57" t="str">
        <f t="shared" si="144"/>
        <v/>
      </c>
      <c r="AU272" s="58"/>
      <c r="AV272" s="59"/>
      <c r="AW272" s="59"/>
      <c r="AX272" s="60"/>
      <c r="AY272" s="61" t="str">
        <f t="shared" si="145"/>
        <v/>
      </c>
      <c r="AZ272" s="62" t="str">
        <f t="shared" si="146"/>
        <v/>
      </c>
      <c r="BA272" s="61" t="str">
        <f t="shared" si="147"/>
        <v/>
      </c>
      <c r="BB272" s="62" t="str">
        <f t="shared" si="148"/>
        <v/>
      </c>
    </row>
    <row r="273" spans="1:54" s="3" customFormat="1" hidden="1" x14ac:dyDescent="0.35">
      <c r="A273" s="73">
        <f t="shared" si="126"/>
        <v>2017</v>
      </c>
      <c r="B273" s="73" t="str">
        <f t="shared" si="127"/>
        <v>Nov</v>
      </c>
      <c r="C273" s="74">
        <f t="shared" si="149"/>
        <v>16</v>
      </c>
      <c r="D273" s="75">
        <f t="shared" si="128"/>
        <v>12</v>
      </c>
      <c r="E273" s="76">
        <f t="shared" si="129"/>
        <v>48</v>
      </c>
      <c r="F273" s="80"/>
      <c r="G273" s="83"/>
      <c r="H273" s="69" t="str">
        <f t="shared" si="150"/>
        <v>Lacine7_20171116_12_00</v>
      </c>
      <c r="I273" s="70">
        <f t="shared" si="151"/>
        <v>1</v>
      </c>
      <c r="J273" s="77" t="str">
        <f t="shared" si="151"/>
        <v>Lactuca</v>
      </c>
      <c r="K273" s="77" t="str">
        <f t="shared" si="151"/>
        <v>inermis</v>
      </c>
      <c r="L273" s="78">
        <f t="shared" si="151"/>
        <v>7</v>
      </c>
      <c r="M273" s="78">
        <f t="shared" si="151"/>
        <v>3</v>
      </c>
      <c r="N273" s="72">
        <f t="shared" si="151"/>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52"/>
        <v/>
      </c>
      <c r="AH273" s="57" t="str">
        <f t="shared" si="138"/>
        <v/>
      </c>
      <c r="AI273" s="56"/>
      <c r="AJ273" s="57" t="str">
        <f t="shared" si="139"/>
        <v/>
      </c>
      <c r="AK273" s="56"/>
      <c r="AL273" s="57" t="str">
        <f t="shared" si="140"/>
        <v/>
      </c>
      <c r="AM273" s="56"/>
      <c r="AN273" s="57" t="str">
        <f t="shared" si="141"/>
        <v/>
      </c>
      <c r="AO273" s="56"/>
      <c r="AP273" s="57" t="str">
        <f t="shared" si="142"/>
        <v/>
      </c>
      <c r="AQ273" s="56"/>
      <c r="AR273" s="57" t="str">
        <f t="shared" si="143"/>
        <v/>
      </c>
      <c r="AS273" s="56"/>
      <c r="AT273" s="57" t="str">
        <f t="shared" si="144"/>
        <v/>
      </c>
      <c r="AU273" s="58"/>
      <c r="AV273" s="59"/>
      <c r="AW273" s="59"/>
      <c r="AX273" s="60"/>
      <c r="AY273" s="61" t="str">
        <f t="shared" si="145"/>
        <v/>
      </c>
      <c r="AZ273" s="62" t="str">
        <f t="shared" si="146"/>
        <v/>
      </c>
      <c r="BA273" s="61" t="str">
        <f t="shared" si="147"/>
        <v/>
      </c>
      <c r="BB273" s="62" t="str">
        <f t="shared" si="148"/>
        <v/>
      </c>
    </row>
    <row r="274" spans="1:54" s="3" customFormat="1" hidden="1" x14ac:dyDescent="0.35">
      <c r="A274" s="73">
        <f t="shared" si="126"/>
        <v>2017</v>
      </c>
      <c r="B274" s="73" t="str">
        <f t="shared" si="127"/>
        <v>Nov</v>
      </c>
      <c r="C274" s="74">
        <f t="shared" si="149"/>
        <v>16</v>
      </c>
      <c r="D274" s="75">
        <f t="shared" si="128"/>
        <v>12</v>
      </c>
      <c r="E274" s="76">
        <f t="shared" si="129"/>
        <v>49</v>
      </c>
      <c r="F274" s="80"/>
      <c r="G274" s="83"/>
      <c r="H274" s="69" t="str">
        <f t="shared" si="150"/>
        <v>Lacine7_20171116_12_00</v>
      </c>
      <c r="I274" s="70">
        <f t="shared" si="151"/>
        <v>1</v>
      </c>
      <c r="J274" s="77" t="str">
        <f t="shared" si="151"/>
        <v>Lactuca</v>
      </c>
      <c r="K274" s="77" t="str">
        <f t="shared" si="151"/>
        <v>inermis</v>
      </c>
      <c r="L274" s="78">
        <f t="shared" si="151"/>
        <v>7</v>
      </c>
      <c r="M274" s="78">
        <f t="shared" si="151"/>
        <v>3</v>
      </c>
      <c r="N274" s="72">
        <f t="shared" si="151"/>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52"/>
        <v/>
      </c>
      <c r="AH274" s="57" t="str">
        <f t="shared" si="138"/>
        <v/>
      </c>
      <c r="AI274" s="56"/>
      <c r="AJ274" s="57" t="str">
        <f t="shared" si="139"/>
        <v/>
      </c>
      <c r="AK274" s="56"/>
      <c r="AL274" s="57" t="str">
        <f t="shared" si="140"/>
        <v/>
      </c>
      <c r="AM274" s="56"/>
      <c r="AN274" s="57" t="str">
        <f t="shared" si="141"/>
        <v/>
      </c>
      <c r="AO274" s="56"/>
      <c r="AP274" s="57" t="str">
        <f t="shared" si="142"/>
        <v/>
      </c>
      <c r="AQ274" s="56"/>
      <c r="AR274" s="57" t="str">
        <f t="shared" si="143"/>
        <v/>
      </c>
      <c r="AS274" s="56"/>
      <c r="AT274" s="57" t="str">
        <f t="shared" si="144"/>
        <v/>
      </c>
      <c r="AU274" s="58"/>
      <c r="AV274" s="59"/>
      <c r="AW274" s="59"/>
      <c r="AX274" s="60"/>
      <c r="AY274" s="61" t="str">
        <f t="shared" si="145"/>
        <v/>
      </c>
      <c r="AZ274" s="62" t="str">
        <f t="shared" si="146"/>
        <v/>
      </c>
      <c r="BA274" s="61" t="str">
        <f t="shared" si="147"/>
        <v/>
      </c>
      <c r="BB274" s="62" t="str">
        <f t="shared" si="148"/>
        <v/>
      </c>
    </row>
    <row r="275" spans="1:54" s="3" customFormat="1" hidden="1" x14ac:dyDescent="0.35">
      <c r="A275" s="73">
        <f t="shared" si="126"/>
        <v>2017</v>
      </c>
      <c r="B275" s="73" t="str">
        <f t="shared" si="127"/>
        <v>Nov</v>
      </c>
      <c r="C275" s="74">
        <f t="shared" si="149"/>
        <v>16</v>
      </c>
      <c r="D275" s="75">
        <f t="shared" si="128"/>
        <v>12</v>
      </c>
      <c r="E275" s="76">
        <f t="shared" si="129"/>
        <v>50</v>
      </c>
      <c r="F275" s="80"/>
      <c r="G275" s="83"/>
      <c r="H275" s="69" t="str">
        <f t="shared" si="150"/>
        <v>Lacine7_20171116_12_00</v>
      </c>
      <c r="I275" s="70">
        <f t="shared" si="151"/>
        <v>1</v>
      </c>
      <c r="J275" s="77" t="str">
        <f t="shared" si="151"/>
        <v>Lactuca</v>
      </c>
      <c r="K275" s="77" t="str">
        <f t="shared" si="151"/>
        <v>inermis</v>
      </c>
      <c r="L275" s="78">
        <f t="shared" si="151"/>
        <v>7</v>
      </c>
      <c r="M275" s="78">
        <f t="shared" si="151"/>
        <v>3</v>
      </c>
      <c r="N275" s="72">
        <f t="shared" si="151"/>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52"/>
        <v/>
      </c>
      <c r="AH275" s="57" t="str">
        <f t="shared" si="138"/>
        <v/>
      </c>
      <c r="AI275" s="56"/>
      <c r="AJ275" s="57" t="str">
        <f t="shared" si="139"/>
        <v/>
      </c>
      <c r="AK275" s="56"/>
      <c r="AL275" s="57" t="str">
        <f t="shared" si="140"/>
        <v/>
      </c>
      <c r="AM275" s="56"/>
      <c r="AN275" s="57" t="str">
        <f t="shared" si="141"/>
        <v/>
      </c>
      <c r="AO275" s="56"/>
      <c r="AP275" s="57" t="str">
        <f t="shared" si="142"/>
        <v/>
      </c>
      <c r="AQ275" s="56"/>
      <c r="AR275" s="57" t="str">
        <f t="shared" si="143"/>
        <v/>
      </c>
      <c r="AS275" s="56"/>
      <c r="AT275" s="57" t="str">
        <f t="shared" si="144"/>
        <v/>
      </c>
      <c r="AU275" s="58"/>
      <c r="AV275" s="59"/>
      <c r="AW275" s="59"/>
      <c r="AX275" s="60"/>
      <c r="AY275" s="61" t="str">
        <f t="shared" si="145"/>
        <v/>
      </c>
      <c r="AZ275" s="62" t="str">
        <f t="shared" si="146"/>
        <v/>
      </c>
      <c r="BA275" s="61" t="str">
        <f t="shared" si="147"/>
        <v/>
      </c>
      <c r="BB275" s="62" t="str">
        <f t="shared" si="148"/>
        <v/>
      </c>
    </row>
    <row r="276" spans="1:54" s="3" customFormat="1" hidden="1" x14ac:dyDescent="0.35">
      <c r="A276" s="73">
        <f t="shared" si="126"/>
        <v>2017</v>
      </c>
      <c r="B276" s="73" t="str">
        <f t="shared" si="127"/>
        <v>Nov</v>
      </c>
      <c r="C276" s="74">
        <f t="shared" si="149"/>
        <v>16</v>
      </c>
      <c r="D276" s="75">
        <f t="shared" si="128"/>
        <v>12</v>
      </c>
      <c r="E276" s="76">
        <f t="shared" si="129"/>
        <v>51</v>
      </c>
      <c r="F276" s="80"/>
      <c r="G276" s="83"/>
      <c r="H276" s="69" t="str">
        <f t="shared" si="150"/>
        <v>Lacine7_20171116_12_00</v>
      </c>
      <c r="I276" s="70">
        <f t="shared" si="151"/>
        <v>1</v>
      </c>
      <c r="J276" s="77" t="str">
        <f t="shared" si="151"/>
        <v>Lactuca</v>
      </c>
      <c r="K276" s="77" t="str">
        <f t="shared" si="151"/>
        <v>inermis</v>
      </c>
      <c r="L276" s="78">
        <f t="shared" si="151"/>
        <v>7</v>
      </c>
      <c r="M276" s="78">
        <f t="shared" si="151"/>
        <v>3</v>
      </c>
      <c r="N276" s="72">
        <f t="shared" si="151"/>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52"/>
        <v/>
      </c>
      <c r="AH276" s="57" t="str">
        <f t="shared" si="138"/>
        <v/>
      </c>
      <c r="AI276" s="56"/>
      <c r="AJ276" s="57" t="str">
        <f t="shared" si="139"/>
        <v/>
      </c>
      <c r="AK276" s="56"/>
      <c r="AL276" s="57" t="str">
        <f t="shared" si="140"/>
        <v/>
      </c>
      <c r="AM276" s="56"/>
      <c r="AN276" s="57" t="str">
        <f t="shared" si="141"/>
        <v/>
      </c>
      <c r="AO276" s="56"/>
      <c r="AP276" s="57" t="str">
        <f t="shared" si="142"/>
        <v/>
      </c>
      <c r="AQ276" s="56"/>
      <c r="AR276" s="57" t="str">
        <f t="shared" si="143"/>
        <v/>
      </c>
      <c r="AS276" s="56"/>
      <c r="AT276" s="57" t="str">
        <f t="shared" si="144"/>
        <v/>
      </c>
      <c r="AU276" s="58"/>
      <c r="AV276" s="59"/>
      <c r="AW276" s="59"/>
      <c r="AX276" s="60"/>
      <c r="AY276" s="61" t="str">
        <f t="shared" si="145"/>
        <v/>
      </c>
      <c r="AZ276" s="62" t="str">
        <f t="shared" si="146"/>
        <v/>
      </c>
      <c r="BA276" s="61" t="str">
        <f t="shared" si="147"/>
        <v/>
      </c>
      <c r="BB276" s="62" t="str">
        <f t="shared" si="148"/>
        <v/>
      </c>
    </row>
    <row r="277" spans="1:54" s="3" customFormat="1" hidden="1" x14ac:dyDescent="0.35">
      <c r="A277" s="73">
        <f t="shared" si="126"/>
        <v>2017</v>
      </c>
      <c r="B277" s="73" t="str">
        <f t="shared" si="127"/>
        <v>Nov</v>
      </c>
      <c r="C277" s="74">
        <f t="shared" si="149"/>
        <v>16</v>
      </c>
      <c r="D277" s="75">
        <f t="shared" si="128"/>
        <v>12</v>
      </c>
      <c r="E277" s="76">
        <f t="shared" si="129"/>
        <v>52</v>
      </c>
      <c r="F277" s="80"/>
      <c r="G277" s="83"/>
      <c r="H277" s="69" t="str">
        <f t="shared" si="150"/>
        <v>Lacine7_20171116_12_00</v>
      </c>
      <c r="I277" s="70">
        <f t="shared" ref="I277:N292" si="153">I276</f>
        <v>1</v>
      </c>
      <c r="J277" s="77" t="str">
        <f t="shared" si="153"/>
        <v>Lactuca</v>
      </c>
      <c r="K277" s="77" t="str">
        <f t="shared" si="153"/>
        <v>inermis</v>
      </c>
      <c r="L277" s="78">
        <f t="shared" si="153"/>
        <v>7</v>
      </c>
      <c r="M277" s="78">
        <f t="shared" si="153"/>
        <v>3</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52"/>
        <v/>
      </c>
      <c r="AH277" s="57" t="str">
        <f t="shared" si="138"/>
        <v/>
      </c>
      <c r="AI277" s="56"/>
      <c r="AJ277" s="57" t="str">
        <f t="shared" si="139"/>
        <v/>
      </c>
      <c r="AK277" s="56"/>
      <c r="AL277" s="57" t="str">
        <f t="shared" si="140"/>
        <v/>
      </c>
      <c r="AM277" s="56"/>
      <c r="AN277" s="57" t="str">
        <f t="shared" si="141"/>
        <v/>
      </c>
      <c r="AO277" s="56"/>
      <c r="AP277" s="57" t="str">
        <f t="shared" si="142"/>
        <v/>
      </c>
      <c r="AQ277" s="56"/>
      <c r="AR277" s="57" t="str">
        <f t="shared" si="143"/>
        <v/>
      </c>
      <c r="AS277" s="56"/>
      <c r="AT277" s="57" t="str">
        <f t="shared" si="144"/>
        <v/>
      </c>
      <c r="AU277" s="58"/>
      <c r="AV277" s="59"/>
      <c r="AW277" s="59"/>
      <c r="AX277" s="60"/>
      <c r="AY277" s="61" t="str">
        <f t="shared" si="145"/>
        <v/>
      </c>
      <c r="AZ277" s="62" t="str">
        <f t="shared" si="146"/>
        <v/>
      </c>
      <c r="BA277" s="61" t="str">
        <f t="shared" si="147"/>
        <v/>
      </c>
      <c r="BB277" s="62" t="str">
        <f t="shared" si="148"/>
        <v/>
      </c>
    </row>
    <row r="278" spans="1:54" s="3" customFormat="1" hidden="1" x14ac:dyDescent="0.35">
      <c r="A278" s="73">
        <f t="shared" si="126"/>
        <v>2017</v>
      </c>
      <c r="B278" s="73" t="str">
        <f t="shared" si="127"/>
        <v>Nov</v>
      </c>
      <c r="C278" s="74">
        <f t="shared" si="149"/>
        <v>16</v>
      </c>
      <c r="D278" s="75">
        <f t="shared" si="128"/>
        <v>12</v>
      </c>
      <c r="E278" s="76">
        <f t="shared" si="129"/>
        <v>53</v>
      </c>
      <c r="F278" s="80"/>
      <c r="G278" s="83"/>
      <c r="H278" s="69" t="str">
        <f t="shared" si="150"/>
        <v>Lacine7_20171116_12_00</v>
      </c>
      <c r="I278" s="70">
        <f t="shared" si="153"/>
        <v>1</v>
      </c>
      <c r="J278" s="77" t="str">
        <f t="shared" si="153"/>
        <v>Lactuca</v>
      </c>
      <c r="K278" s="77" t="str">
        <f t="shared" si="153"/>
        <v>inermis</v>
      </c>
      <c r="L278" s="78">
        <f t="shared" si="153"/>
        <v>7</v>
      </c>
      <c r="M278" s="78">
        <f t="shared" si="153"/>
        <v>3</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52"/>
        <v/>
      </c>
      <c r="AH278" s="57" t="str">
        <f t="shared" si="138"/>
        <v/>
      </c>
      <c r="AI278" s="56"/>
      <c r="AJ278" s="57" t="str">
        <f t="shared" si="139"/>
        <v/>
      </c>
      <c r="AK278" s="56"/>
      <c r="AL278" s="57" t="str">
        <f t="shared" si="140"/>
        <v/>
      </c>
      <c r="AM278" s="56"/>
      <c r="AN278" s="57" t="str">
        <f t="shared" si="141"/>
        <v/>
      </c>
      <c r="AO278" s="56"/>
      <c r="AP278" s="57" t="str">
        <f t="shared" si="142"/>
        <v/>
      </c>
      <c r="AQ278" s="56"/>
      <c r="AR278" s="57" t="str">
        <f t="shared" si="143"/>
        <v/>
      </c>
      <c r="AS278" s="56"/>
      <c r="AT278" s="57" t="str">
        <f t="shared" si="144"/>
        <v/>
      </c>
      <c r="AU278" s="58"/>
      <c r="AV278" s="59"/>
      <c r="AW278" s="59"/>
      <c r="AX278" s="60"/>
      <c r="AY278" s="61" t="str">
        <f t="shared" si="145"/>
        <v/>
      </c>
      <c r="AZ278" s="62" t="str">
        <f t="shared" si="146"/>
        <v/>
      </c>
      <c r="BA278" s="61" t="str">
        <f t="shared" si="147"/>
        <v/>
      </c>
      <c r="BB278" s="62" t="str">
        <f t="shared" si="148"/>
        <v/>
      </c>
    </row>
    <row r="279" spans="1:54" s="3" customFormat="1" hidden="1" x14ac:dyDescent="0.35">
      <c r="A279" s="73">
        <f t="shared" si="126"/>
        <v>2017</v>
      </c>
      <c r="B279" s="73" t="str">
        <f t="shared" si="127"/>
        <v>Nov</v>
      </c>
      <c r="C279" s="74">
        <f t="shared" si="149"/>
        <v>16</v>
      </c>
      <c r="D279" s="75">
        <f t="shared" si="128"/>
        <v>12</v>
      </c>
      <c r="E279" s="76">
        <f t="shared" si="129"/>
        <v>54</v>
      </c>
      <c r="F279" s="80"/>
      <c r="G279" s="83"/>
      <c r="H279" s="69" t="str">
        <f t="shared" si="150"/>
        <v>Lacine7_20171116_12_00</v>
      </c>
      <c r="I279" s="70">
        <f t="shared" si="153"/>
        <v>1</v>
      </c>
      <c r="J279" s="77" t="str">
        <f t="shared" si="153"/>
        <v>Lactuca</v>
      </c>
      <c r="K279" s="77" t="str">
        <f t="shared" si="153"/>
        <v>inermis</v>
      </c>
      <c r="L279" s="78">
        <f t="shared" si="153"/>
        <v>7</v>
      </c>
      <c r="M279" s="78">
        <f t="shared" si="153"/>
        <v>3</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52"/>
        <v/>
      </c>
      <c r="AH279" s="57" t="str">
        <f t="shared" si="138"/>
        <v/>
      </c>
      <c r="AI279" s="56"/>
      <c r="AJ279" s="57" t="str">
        <f t="shared" si="139"/>
        <v/>
      </c>
      <c r="AK279" s="56"/>
      <c r="AL279" s="57" t="str">
        <f t="shared" si="140"/>
        <v/>
      </c>
      <c r="AM279" s="56"/>
      <c r="AN279" s="57" t="str">
        <f t="shared" si="141"/>
        <v/>
      </c>
      <c r="AO279" s="56"/>
      <c r="AP279" s="57" t="str">
        <f t="shared" si="142"/>
        <v/>
      </c>
      <c r="AQ279" s="56"/>
      <c r="AR279" s="57" t="str">
        <f t="shared" si="143"/>
        <v/>
      </c>
      <c r="AS279" s="56"/>
      <c r="AT279" s="57" t="str">
        <f t="shared" si="144"/>
        <v/>
      </c>
      <c r="AU279" s="58"/>
      <c r="AV279" s="59"/>
      <c r="AW279" s="59"/>
      <c r="AX279" s="60"/>
      <c r="AY279" s="61" t="str">
        <f t="shared" si="145"/>
        <v/>
      </c>
      <c r="AZ279" s="62" t="str">
        <f t="shared" si="146"/>
        <v/>
      </c>
      <c r="BA279" s="61" t="str">
        <f t="shared" si="147"/>
        <v/>
      </c>
      <c r="BB279" s="62" t="str">
        <f t="shared" si="148"/>
        <v/>
      </c>
    </row>
    <row r="280" spans="1:54" s="3" customFormat="1" hidden="1" x14ac:dyDescent="0.35">
      <c r="A280" s="73">
        <f t="shared" si="126"/>
        <v>2017</v>
      </c>
      <c r="B280" s="73" t="str">
        <f t="shared" si="127"/>
        <v>Nov</v>
      </c>
      <c r="C280" s="74">
        <f t="shared" si="149"/>
        <v>16</v>
      </c>
      <c r="D280" s="75">
        <f t="shared" si="128"/>
        <v>12</v>
      </c>
      <c r="E280" s="76">
        <f t="shared" si="129"/>
        <v>55</v>
      </c>
      <c r="F280" s="80"/>
      <c r="G280" s="83"/>
      <c r="H280" s="69" t="str">
        <f t="shared" si="150"/>
        <v>Lacine7_20171116_12_00</v>
      </c>
      <c r="I280" s="70">
        <f t="shared" si="153"/>
        <v>1</v>
      </c>
      <c r="J280" s="77" t="str">
        <f t="shared" si="153"/>
        <v>Lactuca</v>
      </c>
      <c r="K280" s="77" t="str">
        <f t="shared" si="153"/>
        <v>inermis</v>
      </c>
      <c r="L280" s="78">
        <f t="shared" si="153"/>
        <v>7</v>
      </c>
      <c r="M280" s="78">
        <f t="shared" si="153"/>
        <v>3</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52"/>
        <v/>
      </c>
      <c r="AH280" s="57" t="str">
        <f t="shared" si="138"/>
        <v/>
      </c>
      <c r="AI280" s="56"/>
      <c r="AJ280" s="57" t="str">
        <f t="shared" si="139"/>
        <v/>
      </c>
      <c r="AK280" s="56"/>
      <c r="AL280" s="57" t="str">
        <f t="shared" si="140"/>
        <v/>
      </c>
      <c r="AM280" s="56"/>
      <c r="AN280" s="57" t="str">
        <f t="shared" si="141"/>
        <v/>
      </c>
      <c r="AO280" s="56"/>
      <c r="AP280" s="57" t="str">
        <f t="shared" si="142"/>
        <v/>
      </c>
      <c r="AQ280" s="56"/>
      <c r="AR280" s="57" t="str">
        <f t="shared" si="143"/>
        <v/>
      </c>
      <c r="AS280" s="56"/>
      <c r="AT280" s="57" t="str">
        <f t="shared" si="144"/>
        <v/>
      </c>
      <c r="AU280" s="58"/>
      <c r="AV280" s="59"/>
      <c r="AW280" s="59"/>
      <c r="AX280" s="60"/>
      <c r="AY280" s="61" t="str">
        <f t="shared" si="145"/>
        <v/>
      </c>
      <c r="AZ280" s="62" t="str">
        <f t="shared" si="146"/>
        <v/>
      </c>
      <c r="BA280" s="61" t="str">
        <f t="shared" si="147"/>
        <v/>
      </c>
      <c r="BB280" s="62" t="str">
        <f t="shared" si="148"/>
        <v/>
      </c>
    </row>
    <row r="281" spans="1:54" s="3" customFormat="1" hidden="1" x14ac:dyDescent="0.35">
      <c r="A281" s="73">
        <f t="shared" si="126"/>
        <v>2017</v>
      </c>
      <c r="B281" s="73" t="str">
        <f t="shared" si="127"/>
        <v>Nov</v>
      </c>
      <c r="C281" s="74">
        <f t="shared" si="149"/>
        <v>16</v>
      </c>
      <c r="D281" s="75">
        <f t="shared" si="128"/>
        <v>12</v>
      </c>
      <c r="E281" s="76">
        <f t="shared" si="129"/>
        <v>56</v>
      </c>
      <c r="F281" s="80"/>
      <c r="G281" s="83"/>
      <c r="H281" s="69" t="str">
        <f t="shared" si="150"/>
        <v>Lacine7_20171116_12_00</v>
      </c>
      <c r="I281" s="70">
        <f t="shared" si="153"/>
        <v>1</v>
      </c>
      <c r="J281" s="77" t="str">
        <f t="shared" si="153"/>
        <v>Lactuca</v>
      </c>
      <c r="K281" s="77" t="str">
        <f t="shared" si="153"/>
        <v>inermis</v>
      </c>
      <c r="L281" s="78">
        <f t="shared" si="153"/>
        <v>7</v>
      </c>
      <c r="M281" s="78">
        <f t="shared" si="153"/>
        <v>3</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52"/>
        <v/>
      </c>
      <c r="AH281" s="57" t="str">
        <f t="shared" si="138"/>
        <v/>
      </c>
      <c r="AI281" s="56"/>
      <c r="AJ281" s="57" t="str">
        <f t="shared" si="139"/>
        <v/>
      </c>
      <c r="AK281" s="56"/>
      <c r="AL281" s="57" t="str">
        <f t="shared" si="140"/>
        <v/>
      </c>
      <c r="AM281" s="56"/>
      <c r="AN281" s="57" t="str">
        <f t="shared" si="141"/>
        <v/>
      </c>
      <c r="AO281" s="56"/>
      <c r="AP281" s="57" t="str">
        <f t="shared" si="142"/>
        <v/>
      </c>
      <c r="AQ281" s="56"/>
      <c r="AR281" s="57" t="str">
        <f t="shared" si="143"/>
        <v/>
      </c>
      <c r="AS281" s="56"/>
      <c r="AT281" s="57" t="str">
        <f t="shared" si="144"/>
        <v/>
      </c>
      <c r="AU281" s="58"/>
      <c r="AV281" s="59"/>
      <c r="AW281" s="59"/>
      <c r="AX281" s="60"/>
      <c r="AY281" s="61" t="str">
        <f t="shared" si="145"/>
        <v/>
      </c>
      <c r="AZ281" s="62" t="str">
        <f t="shared" si="146"/>
        <v/>
      </c>
      <c r="BA281" s="61" t="str">
        <f t="shared" si="147"/>
        <v/>
      </c>
      <c r="BB281" s="62" t="str">
        <f t="shared" si="148"/>
        <v/>
      </c>
    </row>
    <row r="282" spans="1:54" s="3" customFormat="1" hidden="1" x14ac:dyDescent="0.35">
      <c r="A282" s="73">
        <f t="shared" si="126"/>
        <v>2017</v>
      </c>
      <c r="B282" s="73" t="str">
        <f t="shared" si="127"/>
        <v>Nov</v>
      </c>
      <c r="C282" s="74">
        <f t="shared" si="149"/>
        <v>16</v>
      </c>
      <c r="D282" s="75">
        <f t="shared" si="128"/>
        <v>12</v>
      </c>
      <c r="E282" s="76">
        <f t="shared" si="129"/>
        <v>57</v>
      </c>
      <c r="F282" s="80"/>
      <c r="G282" s="83"/>
      <c r="H282" s="69" t="str">
        <f t="shared" si="150"/>
        <v>Lacine7_20171116_12_00</v>
      </c>
      <c r="I282" s="70">
        <f t="shared" si="153"/>
        <v>1</v>
      </c>
      <c r="J282" s="77" t="str">
        <f t="shared" si="153"/>
        <v>Lactuca</v>
      </c>
      <c r="K282" s="77" t="str">
        <f t="shared" si="153"/>
        <v>inermis</v>
      </c>
      <c r="L282" s="78">
        <f t="shared" si="153"/>
        <v>7</v>
      </c>
      <c r="M282" s="78">
        <f t="shared" si="153"/>
        <v>3</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52"/>
        <v/>
      </c>
      <c r="AH282" s="57" t="str">
        <f t="shared" si="138"/>
        <v/>
      </c>
      <c r="AI282" s="56"/>
      <c r="AJ282" s="57" t="str">
        <f t="shared" si="139"/>
        <v/>
      </c>
      <c r="AK282" s="56"/>
      <c r="AL282" s="57" t="str">
        <f t="shared" si="140"/>
        <v/>
      </c>
      <c r="AM282" s="56"/>
      <c r="AN282" s="57" t="str">
        <f t="shared" si="141"/>
        <v/>
      </c>
      <c r="AO282" s="56"/>
      <c r="AP282" s="57" t="str">
        <f t="shared" si="142"/>
        <v/>
      </c>
      <c r="AQ282" s="56"/>
      <c r="AR282" s="57" t="str">
        <f t="shared" si="143"/>
        <v/>
      </c>
      <c r="AS282" s="56"/>
      <c r="AT282" s="57" t="str">
        <f t="shared" si="144"/>
        <v/>
      </c>
      <c r="AU282" s="58"/>
      <c r="AV282" s="59"/>
      <c r="AW282" s="59"/>
      <c r="AX282" s="60"/>
      <c r="AY282" s="61" t="str">
        <f t="shared" si="145"/>
        <v/>
      </c>
      <c r="AZ282" s="62" t="str">
        <f t="shared" si="146"/>
        <v/>
      </c>
      <c r="BA282" s="61" t="str">
        <f t="shared" si="147"/>
        <v/>
      </c>
      <c r="BB282" s="62" t="str">
        <f t="shared" si="148"/>
        <v/>
      </c>
    </row>
    <row r="283" spans="1:54" s="3" customFormat="1" hidden="1" x14ac:dyDescent="0.35">
      <c r="A283" s="73">
        <f t="shared" si="126"/>
        <v>2017</v>
      </c>
      <c r="B283" s="73" t="str">
        <f t="shared" si="127"/>
        <v>Nov</v>
      </c>
      <c r="C283" s="74">
        <f t="shared" si="149"/>
        <v>16</v>
      </c>
      <c r="D283" s="75">
        <f t="shared" si="128"/>
        <v>12</v>
      </c>
      <c r="E283" s="76">
        <f t="shared" si="129"/>
        <v>58</v>
      </c>
      <c r="F283" s="80"/>
      <c r="G283" s="83"/>
      <c r="H283" s="69" t="str">
        <f t="shared" si="150"/>
        <v>Lacine7_20171116_12_00</v>
      </c>
      <c r="I283" s="70">
        <f t="shared" si="153"/>
        <v>1</v>
      </c>
      <c r="J283" s="77" t="str">
        <f t="shared" si="153"/>
        <v>Lactuca</v>
      </c>
      <c r="K283" s="77" t="str">
        <f t="shared" si="153"/>
        <v>inermis</v>
      </c>
      <c r="L283" s="78">
        <f t="shared" si="153"/>
        <v>7</v>
      </c>
      <c r="M283" s="78">
        <f t="shared" si="153"/>
        <v>3</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52"/>
        <v/>
      </c>
      <c r="AH283" s="57" t="str">
        <f t="shared" si="138"/>
        <v/>
      </c>
      <c r="AI283" s="56"/>
      <c r="AJ283" s="57" t="str">
        <f t="shared" si="139"/>
        <v/>
      </c>
      <c r="AK283" s="56"/>
      <c r="AL283" s="57" t="str">
        <f t="shared" si="140"/>
        <v/>
      </c>
      <c r="AM283" s="56"/>
      <c r="AN283" s="57" t="str">
        <f t="shared" si="141"/>
        <v/>
      </c>
      <c r="AO283" s="56"/>
      <c r="AP283" s="57" t="str">
        <f t="shared" si="142"/>
        <v/>
      </c>
      <c r="AQ283" s="56"/>
      <c r="AR283" s="57" t="str">
        <f t="shared" si="143"/>
        <v/>
      </c>
      <c r="AS283" s="56"/>
      <c r="AT283" s="57" t="str">
        <f t="shared" si="144"/>
        <v/>
      </c>
      <c r="AU283" s="58"/>
      <c r="AV283" s="59"/>
      <c r="AW283" s="59"/>
      <c r="AX283" s="60"/>
      <c r="AY283" s="61" t="str">
        <f t="shared" si="145"/>
        <v/>
      </c>
      <c r="AZ283" s="62" t="str">
        <f t="shared" si="146"/>
        <v/>
      </c>
      <c r="BA283" s="61" t="str">
        <f t="shared" si="147"/>
        <v/>
      </c>
      <c r="BB283" s="62" t="str">
        <f t="shared" si="148"/>
        <v/>
      </c>
    </row>
    <row r="284" spans="1:54" s="3" customFormat="1" hidden="1" x14ac:dyDescent="0.35">
      <c r="A284" s="73">
        <f t="shared" si="126"/>
        <v>2017</v>
      </c>
      <c r="B284" s="73" t="str">
        <f t="shared" si="127"/>
        <v>Nov</v>
      </c>
      <c r="C284" s="74">
        <f t="shared" si="149"/>
        <v>16</v>
      </c>
      <c r="D284" s="75">
        <f t="shared" si="128"/>
        <v>12</v>
      </c>
      <c r="E284" s="76">
        <f t="shared" si="129"/>
        <v>59</v>
      </c>
      <c r="F284" s="80"/>
      <c r="G284" s="83"/>
      <c r="H284" s="69" t="str">
        <f t="shared" si="150"/>
        <v>Lacine7_20171116_12_00</v>
      </c>
      <c r="I284" s="70">
        <f t="shared" si="153"/>
        <v>1</v>
      </c>
      <c r="J284" s="77" t="str">
        <f t="shared" si="153"/>
        <v>Lactuca</v>
      </c>
      <c r="K284" s="77" t="str">
        <f t="shared" si="153"/>
        <v>inermis</v>
      </c>
      <c r="L284" s="78">
        <f t="shared" si="153"/>
        <v>7</v>
      </c>
      <c r="M284" s="78">
        <f t="shared" si="153"/>
        <v>3</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52"/>
        <v/>
      </c>
      <c r="AH284" s="57" t="str">
        <f t="shared" si="138"/>
        <v/>
      </c>
      <c r="AI284" s="56"/>
      <c r="AJ284" s="57" t="str">
        <f t="shared" si="139"/>
        <v/>
      </c>
      <c r="AK284" s="56"/>
      <c r="AL284" s="57" t="str">
        <f t="shared" si="140"/>
        <v/>
      </c>
      <c r="AM284" s="56"/>
      <c r="AN284" s="57" t="str">
        <f t="shared" si="141"/>
        <v/>
      </c>
      <c r="AO284" s="56"/>
      <c r="AP284" s="57" t="str">
        <f t="shared" si="142"/>
        <v/>
      </c>
      <c r="AQ284" s="56"/>
      <c r="AR284" s="57" t="str">
        <f t="shared" si="143"/>
        <v/>
      </c>
      <c r="AS284" s="56"/>
      <c r="AT284" s="57" t="str">
        <f t="shared" si="144"/>
        <v/>
      </c>
      <c r="AU284" s="58"/>
      <c r="AV284" s="59"/>
      <c r="AW284" s="59"/>
      <c r="AX284" s="60"/>
      <c r="AY284" s="61" t="str">
        <f t="shared" si="145"/>
        <v/>
      </c>
      <c r="AZ284" s="62" t="str">
        <f t="shared" si="146"/>
        <v/>
      </c>
      <c r="BA284" s="61" t="str">
        <f t="shared" si="147"/>
        <v/>
      </c>
      <c r="BB284" s="62" t="str">
        <f t="shared" si="148"/>
        <v/>
      </c>
    </row>
    <row r="285" spans="1:54" s="3" customFormat="1" hidden="1" x14ac:dyDescent="0.35">
      <c r="A285" s="73">
        <f t="shared" si="126"/>
        <v>2017</v>
      </c>
      <c r="B285" s="73" t="str">
        <f t="shared" si="127"/>
        <v>Nov</v>
      </c>
      <c r="C285" s="74">
        <f t="shared" si="149"/>
        <v>16</v>
      </c>
      <c r="D285" s="75">
        <f t="shared" si="128"/>
        <v>13</v>
      </c>
      <c r="E285" s="76">
        <f t="shared" si="129"/>
        <v>0</v>
      </c>
      <c r="F285" s="80"/>
      <c r="G285" s="83"/>
      <c r="H285" s="69" t="str">
        <f t="shared" si="150"/>
        <v>Lacine7_20171116_13_00</v>
      </c>
      <c r="I285" s="70">
        <f t="shared" si="153"/>
        <v>1</v>
      </c>
      <c r="J285" s="77" t="str">
        <f t="shared" si="153"/>
        <v>Lactuca</v>
      </c>
      <c r="K285" s="77" t="str">
        <f t="shared" si="153"/>
        <v>inermis</v>
      </c>
      <c r="L285" s="78">
        <f t="shared" si="153"/>
        <v>7</v>
      </c>
      <c r="M285" s="78">
        <f t="shared" si="153"/>
        <v>3</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52"/>
        <v/>
      </c>
      <c r="AH285" s="57" t="str">
        <f t="shared" si="138"/>
        <v/>
      </c>
      <c r="AI285" s="56"/>
      <c r="AJ285" s="57" t="str">
        <f t="shared" si="139"/>
        <v/>
      </c>
      <c r="AK285" s="56"/>
      <c r="AL285" s="57" t="str">
        <f t="shared" si="140"/>
        <v/>
      </c>
      <c r="AM285" s="56"/>
      <c r="AN285" s="57" t="str">
        <f t="shared" si="141"/>
        <v/>
      </c>
      <c r="AO285" s="56"/>
      <c r="AP285" s="57" t="str">
        <f t="shared" si="142"/>
        <v/>
      </c>
      <c r="AQ285" s="56"/>
      <c r="AR285" s="57" t="str">
        <f t="shared" si="143"/>
        <v/>
      </c>
      <c r="AS285" s="56"/>
      <c r="AT285" s="57" t="str">
        <f t="shared" si="144"/>
        <v/>
      </c>
      <c r="AU285" s="58"/>
      <c r="AV285" s="59"/>
      <c r="AW285" s="59"/>
      <c r="AX285" s="60"/>
      <c r="AY285" s="61" t="str">
        <f t="shared" si="145"/>
        <v/>
      </c>
      <c r="AZ285" s="62" t="str">
        <f t="shared" si="146"/>
        <v/>
      </c>
      <c r="BA285" s="61" t="str">
        <f t="shared" si="147"/>
        <v/>
      </c>
      <c r="BB285" s="62" t="str">
        <f t="shared" si="148"/>
        <v/>
      </c>
    </row>
    <row r="286" spans="1:54" s="3" customFormat="1" hidden="1" x14ac:dyDescent="0.35">
      <c r="A286" s="73">
        <f t="shared" si="126"/>
        <v>2017</v>
      </c>
      <c r="B286" s="73" t="str">
        <f t="shared" si="127"/>
        <v>Nov</v>
      </c>
      <c r="C286" s="74">
        <f t="shared" si="149"/>
        <v>16</v>
      </c>
      <c r="D286" s="75">
        <f t="shared" si="128"/>
        <v>13</v>
      </c>
      <c r="E286" s="76">
        <f t="shared" si="129"/>
        <v>1</v>
      </c>
      <c r="F286" s="80"/>
      <c r="G286" s="83"/>
      <c r="H286" s="69" t="str">
        <f t="shared" si="150"/>
        <v>Lacine7_20171116_13_00</v>
      </c>
      <c r="I286" s="70">
        <f t="shared" si="153"/>
        <v>1</v>
      </c>
      <c r="J286" s="77" t="str">
        <f t="shared" si="153"/>
        <v>Lactuca</v>
      </c>
      <c r="K286" s="77" t="str">
        <f t="shared" si="153"/>
        <v>inermis</v>
      </c>
      <c r="L286" s="78">
        <f t="shared" si="153"/>
        <v>7</v>
      </c>
      <c r="M286" s="78">
        <f t="shared" si="153"/>
        <v>3</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52"/>
        <v/>
      </c>
      <c r="AH286" s="57" t="str">
        <f t="shared" si="138"/>
        <v/>
      </c>
      <c r="AI286" s="56"/>
      <c r="AJ286" s="57" t="str">
        <f t="shared" si="139"/>
        <v/>
      </c>
      <c r="AK286" s="56"/>
      <c r="AL286" s="57" t="str">
        <f t="shared" si="140"/>
        <v/>
      </c>
      <c r="AM286" s="56"/>
      <c r="AN286" s="57" t="str">
        <f t="shared" si="141"/>
        <v/>
      </c>
      <c r="AO286" s="56"/>
      <c r="AP286" s="57" t="str">
        <f t="shared" si="142"/>
        <v/>
      </c>
      <c r="AQ286" s="56"/>
      <c r="AR286" s="57" t="str">
        <f t="shared" si="143"/>
        <v/>
      </c>
      <c r="AS286" s="56"/>
      <c r="AT286" s="57" t="str">
        <f t="shared" si="144"/>
        <v/>
      </c>
      <c r="AU286" s="58"/>
      <c r="AV286" s="59"/>
      <c r="AW286" s="59"/>
      <c r="AX286" s="60"/>
      <c r="AY286" s="61" t="str">
        <f t="shared" si="145"/>
        <v/>
      </c>
      <c r="AZ286" s="62" t="str">
        <f t="shared" si="146"/>
        <v/>
      </c>
      <c r="BA286" s="61" t="str">
        <f t="shared" si="147"/>
        <v/>
      </c>
      <c r="BB286" s="62" t="str">
        <f t="shared" si="148"/>
        <v/>
      </c>
    </row>
    <row r="287" spans="1:54" s="3" customFormat="1" hidden="1" x14ac:dyDescent="0.35">
      <c r="A287" s="73">
        <f t="shared" si="126"/>
        <v>2017</v>
      </c>
      <c r="B287" s="73" t="str">
        <f t="shared" si="127"/>
        <v>Nov</v>
      </c>
      <c r="C287" s="74">
        <f t="shared" si="149"/>
        <v>16</v>
      </c>
      <c r="D287" s="75">
        <f t="shared" si="128"/>
        <v>13</v>
      </c>
      <c r="E287" s="76">
        <f t="shared" si="129"/>
        <v>2</v>
      </c>
      <c r="F287" s="80"/>
      <c r="G287" s="83"/>
      <c r="H287" s="69" t="str">
        <f t="shared" si="150"/>
        <v>Lacine7_20171116_13_00</v>
      </c>
      <c r="I287" s="70">
        <f t="shared" si="153"/>
        <v>1</v>
      </c>
      <c r="J287" s="77" t="str">
        <f t="shared" si="153"/>
        <v>Lactuca</v>
      </c>
      <c r="K287" s="77" t="str">
        <f t="shared" si="153"/>
        <v>inermis</v>
      </c>
      <c r="L287" s="78">
        <f t="shared" si="153"/>
        <v>7</v>
      </c>
      <c r="M287" s="78">
        <f t="shared" si="153"/>
        <v>3</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52"/>
        <v/>
      </c>
      <c r="AH287" s="57" t="str">
        <f t="shared" si="138"/>
        <v/>
      </c>
      <c r="AI287" s="56"/>
      <c r="AJ287" s="57" t="str">
        <f t="shared" si="139"/>
        <v/>
      </c>
      <c r="AK287" s="56"/>
      <c r="AL287" s="57" t="str">
        <f t="shared" si="140"/>
        <v/>
      </c>
      <c r="AM287" s="56"/>
      <c r="AN287" s="57" t="str">
        <f t="shared" si="141"/>
        <v/>
      </c>
      <c r="AO287" s="56"/>
      <c r="AP287" s="57" t="str">
        <f t="shared" si="142"/>
        <v/>
      </c>
      <c r="AQ287" s="56"/>
      <c r="AR287" s="57" t="str">
        <f t="shared" si="143"/>
        <v/>
      </c>
      <c r="AS287" s="56"/>
      <c r="AT287" s="57" t="str">
        <f t="shared" si="144"/>
        <v/>
      </c>
      <c r="AU287" s="58"/>
      <c r="AV287" s="59"/>
      <c r="AW287" s="59"/>
      <c r="AX287" s="60"/>
      <c r="AY287" s="61" t="str">
        <f t="shared" si="145"/>
        <v/>
      </c>
      <c r="AZ287" s="62" t="str">
        <f t="shared" si="146"/>
        <v/>
      </c>
      <c r="BA287" s="61" t="str">
        <f t="shared" si="147"/>
        <v/>
      </c>
      <c r="BB287" s="62" t="str">
        <f t="shared" si="148"/>
        <v/>
      </c>
    </row>
    <row r="288" spans="1:54" s="3" customFormat="1" hidden="1" x14ac:dyDescent="0.35">
      <c r="A288" s="73">
        <f t="shared" si="126"/>
        <v>2017</v>
      </c>
      <c r="B288" s="73" t="str">
        <f t="shared" si="127"/>
        <v>Nov</v>
      </c>
      <c r="C288" s="74">
        <f t="shared" si="149"/>
        <v>16</v>
      </c>
      <c r="D288" s="75">
        <f t="shared" si="128"/>
        <v>13</v>
      </c>
      <c r="E288" s="76">
        <f t="shared" si="129"/>
        <v>3</v>
      </c>
      <c r="F288" s="80"/>
      <c r="G288" s="83"/>
      <c r="H288" s="69" t="str">
        <f t="shared" si="150"/>
        <v>Lacine7_20171116_13_00</v>
      </c>
      <c r="I288" s="70">
        <f t="shared" si="153"/>
        <v>1</v>
      </c>
      <c r="J288" s="77" t="str">
        <f t="shared" si="153"/>
        <v>Lactuca</v>
      </c>
      <c r="K288" s="77" t="str">
        <f t="shared" si="153"/>
        <v>inermis</v>
      </c>
      <c r="L288" s="78">
        <f t="shared" si="153"/>
        <v>7</v>
      </c>
      <c r="M288" s="78">
        <f t="shared" si="153"/>
        <v>3</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52"/>
        <v/>
      </c>
      <c r="AH288" s="57" t="str">
        <f t="shared" si="138"/>
        <v/>
      </c>
      <c r="AI288" s="56"/>
      <c r="AJ288" s="57" t="str">
        <f t="shared" si="139"/>
        <v/>
      </c>
      <c r="AK288" s="56"/>
      <c r="AL288" s="57" t="str">
        <f t="shared" si="140"/>
        <v/>
      </c>
      <c r="AM288" s="56"/>
      <c r="AN288" s="57" t="str">
        <f t="shared" si="141"/>
        <v/>
      </c>
      <c r="AO288" s="56"/>
      <c r="AP288" s="57" t="str">
        <f t="shared" si="142"/>
        <v/>
      </c>
      <c r="AQ288" s="56"/>
      <c r="AR288" s="57" t="str">
        <f t="shared" si="143"/>
        <v/>
      </c>
      <c r="AS288" s="56"/>
      <c r="AT288" s="57" t="str">
        <f t="shared" si="144"/>
        <v/>
      </c>
      <c r="AU288" s="58"/>
      <c r="AV288" s="59"/>
      <c r="AW288" s="59"/>
      <c r="AX288" s="60"/>
      <c r="AY288" s="61" t="str">
        <f t="shared" si="145"/>
        <v/>
      </c>
      <c r="AZ288" s="62" t="str">
        <f t="shared" si="146"/>
        <v/>
      </c>
      <c r="BA288" s="61" t="str">
        <f t="shared" si="147"/>
        <v/>
      </c>
      <c r="BB288" s="62" t="str">
        <f t="shared" si="148"/>
        <v/>
      </c>
    </row>
    <row r="289" spans="1:54" s="3" customFormat="1" hidden="1" x14ac:dyDescent="0.35">
      <c r="A289" s="73">
        <f t="shared" si="126"/>
        <v>2017</v>
      </c>
      <c r="B289" s="73" t="str">
        <f t="shared" si="127"/>
        <v>Nov</v>
      </c>
      <c r="C289" s="74">
        <f t="shared" si="149"/>
        <v>16</v>
      </c>
      <c r="D289" s="75">
        <f t="shared" si="128"/>
        <v>13</v>
      </c>
      <c r="E289" s="76">
        <f t="shared" si="129"/>
        <v>4</v>
      </c>
      <c r="F289" s="80"/>
      <c r="G289" s="83"/>
      <c r="H289" s="69" t="str">
        <f t="shared" si="150"/>
        <v>Lacine7_20171116_13_00</v>
      </c>
      <c r="I289" s="70">
        <f t="shared" si="153"/>
        <v>1</v>
      </c>
      <c r="J289" s="77" t="str">
        <f t="shared" si="153"/>
        <v>Lactuca</v>
      </c>
      <c r="K289" s="77" t="str">
        <f t="shared" si="153"/>
        <v>inermis</v>
      </c>
      <c r="L289" s="78">
        <f t="shared" si="153"/>
        <v>7</v>
      </c>
      <c r="M289" s="78">
        <f t="shared" si="153"/>
        <v>3</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52"/>
        <v/>
      </c>
      <c r="AH289" s="57" t="str">
        <f t="shared" si="138"/>
        <v/>
      </c>
      <c r="AI289" s="56"/>
      <c r="AJ289" s="57" t="str">
        <f t="shared" si="139"/>
        <v/>
      </c>
      <c r="AK289" s="56"/>
      <c r="AL289" s="57" t="str">
        <f t="shared" si="140"/>
        <v/>
      </c>
      <c r="AM289" s="56"/>
      <c r="AN289" s="57" t="str">
        <f t="shared" si="141"/>
        <v/>
      </c>
      <c r="AO289" s="56"/>
      <c r="AP289" s="57" t="str">
        <f t="shared" si="142"/>
        <v/>
      </c>
      <c r="AQ289" s="56"/>
      <c r="AR289" s="57" t="str">
        <f t="shared" si="143"/>
        <v/>
      </c>
      <c r="AS289" s="56"/>
      <c r="AT289" s="57" t="str">
        <f t="shared" si="144"/>
        <v/>
      </c>
      <c r="AU289" s="58"/>
      <c r="AV289" s="59"/>
      <c r="AW289" s="59"/>
      <c r="AX289" s="60"/>
      <c r="AY289" s="61" t="str">
        <f t="shared" si="145"/>
        <v/>
      </c>
      <c r="AZ289" s="62" t="str">
        <f t="shared" si="146"/>
        <v/>
      </c>
      <c r="BA289" s="61" t="str">
        <f t="shared" si="147"/>
        <v/>
      </c>
      <c r="BB289" s="62" t="str">
        <f t="shared" si="148"/>
        <v/>
      </c>
    </row>
    <row r="290" spans="1:54" s="3" customFormat="1" hidden="1" x14ac:dyDescent="0.35">
      <c r="A290" s="73">
        <f t="shared" si="126"/>
        <v>2017</v>
      </c>
      <c r="B290" s="73" t="str">
        <f t="shared" si="127"/>
        <v>Nov</v>
      </c>
      <c r="C290" s="74">
        <f t="shared" si="149"/>
        <v>16</v>
      </c>
      <c r="D290" s="75">
        <f t="shared" si="128"/>
        <v>13</v>
      </c>
      <c r="E290" s="76">
        <f t="shared" si="129"/>
        <v>5</v>
      </c>
      <c r="F290" s="80"/>
      <c r="G290" s="83"/>
      <c r="H290" s="69" t="str">
        <f t="shared" si="150"/>
        <v>Lacine7_20171116_13_00</v>
      </c>
      <c r="I290" s="70">
        <f t="shared" si="153"/>
        <v>1</v>
      </c>
      <c r="J290" s="77" t="str">
        <f t="shared" si="153"/>
        <v>Lactuca</v>
      </c>
      <c r="K290" s="77" t="str">
        <f t="shared" si="153"/>
        <v>inermis</v>
      </c>
      <c r="L290" s="78">
        <f t="shared" si="153"/>
        <v>7</v>
      </c>
      <c r="M290" s="78">
        <f t="shared" si="153"/>
        <v>3</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52"/>
        <v/>
      </c>
      <c r="AH290" s="57" t="str">
        <f t="shared" si="138"/>
        <v/>
      </c>
      <c r="AI290" s="56"/>
      <c r="AJ290" s="57" t="str">
        <f t="shared" si="139"/>
        <v/>
      </c>
      <c r="AK290" s="56"/>
      <c r="AL290" s="57" t="str">
        <f t="shared" si="140"/>
        <v/>
      </c>
      <c r="AM290" s="56"/>
      <c r="AN290" s="57" t="str">
        <f t="shared" si="141"/>
        <v/>
      </c>
      <c r="AO290" s="56"/>
      <c r="AP290" s="57" t="str">
        <f t="shared" si="142"/>
        <v/>
      </c>
      <c r="AQ290" s="56"/>
      <c r="AR290" s="57" t="str">
        <f t="shared" si="143"/>
        <v/>
      </c>
      <c r="AS290" s="56"/>
      <c r="AT290" s="57" t="str">
        <f t="shared" si="144"/>
        <v/>
      </c>
      <c r="AU290" s="58"/>
      <c r="AV290" s="59"/>
      <c r="AW290" s="59"/>
      <c r="AX290" s="60"/>
      <c r="AY290" s="61" t="str">
        <f t="shared" si="145"/>
        <v/>
      </c>
      <c r="AZ290" s="62" t="str">
        <f t="shared" si="146"/>
        <v/>
      </c>
      <c r="BA290" s="61" t="str">
        <f t="shared" si="147"/>
        <v/>
      </c>
      <c r="BB290" s="62" t="str">
        <f t="shared" si="148"/>
        <v/>
      </c>
    </row>
    <row r="291" spans="1:54" s="3" customFormat="1" hidden="1" x14ac:dyDescent="0.35">
      <c r="A291" s="73">
        <f t="shared" si="126"/>
        <v>2017</v>
      </c>
      <c r="B291" s="73" t="str">
        <f t="shared" si="127"/>
        <v>Nov</v>
      </c>
      <c r="C291" s="74">
        <f t="shared" si="149"/>
        <v>16</v>
      </c>
      <c r="D291" s="75">
        <f t="shared" si="128"/>
        <v>13</v>
      </c>
      <c r="E291" s="76">
        <f t="shared" si="129"/>
        <v>6</v>
      </c>
      <c r="F291" s="80"/>
      <c r="G291" s="83"/>
      <c r="H291" s="69" t="str">
        <f t="shared" si="150"/>
        <v>Lacine7_20171116_13_00</v>
      </c>
      <c r="I291" s="70">
        <f t="shared" si="153"/>
        <v>1</v>
      </c>
      <c r="J291" s="77" t="str">
        <f t="shared" si="153"/>
        <v>Lactuca</v>
      </c>
      <c r="K291" s="77" t="str">
        <f t="shared" si="153"/>
        <v>inermis</v>
      </c>
      <c r="L291" s="78">
        <f t="shared" si="153"/>
        <v>7</v>
      </c>
      <c r="M291" s="78">
        <f t="shared" si="153"/>
        <v>3</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52"/>
        <v/>
      </c>
      <c r="AH291" s="57" t="str">
        <f t="shared" si="138"/>
        <v/>
      </c>
      <c r="AI291" s="56"/>
      <c r="AJ291" s="57" t="str">
        <f t="shared" si="139"/>
        <v/>
      </c>
      <c r="AK291" s="56"/>
      <c r="AL291" s="57" t="str">
        <f t="shared" si="140"/>
        <v/>
      </c>
      <c r="AM291" s="56"/>
      <c r="AN291" s="57" t="str">
        <f t="shared" si="141"/>
        <v/>
      </c>
      <c r="AO291" s="56"/>
      <c r="AP291" s="57" t="str">
        <f t="shared" si="142"/>
        <v/>
      </c>
      <c r="AQ291" s="56"/>
      <c r="AR291" s="57" t="str">
        <f t="shared" si="143"/>
        <v/>
      </c>
      <c r="AS291" s="56"/>
      <c r="AT291" s="57" t="str">
        <f t="shared" si="144"/>
        <v/>
      </c>
      <c r="AU291" s="58"/>
      <c r="AV291" s="59"/>
      <c r="AW291" s="59"/>
      <c r="AX291" s="60"/>
      <c r="AY291" s="61" t="str">
        <f t="shared" si="145"/>
        <v/>
      </c>
      <c r="AZ291" s="62" t="str">
        <f t="shared" si="146"/>
        <v/>
      </c>
      <c r="BA291" s="61" t="str">
        <f t="shared" si="147"/>
        <v/>
      </c>
      <c r="BB291" s="62" t="str">
        <f t="shared" si="148"/>
        <v/>
      </c>
    </row>
    <row r="292" spans="1:54" s="3" customFormat="1" hidden="1" x14ac:dyDescent="0.35">
      <c r="A292" s="73">
        <f t="shared" si="126"/>
        <v>2017</v>
      </c>
      <c r="B292" s="73" t="str">
        <f t="shared" si="127"/>
        <v>Nov</v>
      </c>
      <c r="C292" s="74">
        <f t="shared" si="149"/>
        <v>16</v>
      </c>
      <c r="D292" s="75">
        <f t="shared" si="128"/>
        <v>13</v>
      </c>
      <c r="E292" s="76">
        <f t="shared" si="129"/>
        <v>7</v>
      </c>
      <c r="F292" s="80"/>
      <c r="G292" s="83"/>
      <c r="H292" s="69" t="str">
        <f t="shared" si="150"/>
        <v>Lacine7_20171116_13_00</v>
      </c>
      <c r="I292" s="70">
        <f t="shared" si="153"/>
        <v>1</v>
      </c>
      <c r="J292" s="77" t="str">
        <f t="shared" si="153"/>
        <v>Lactuca</v>
      </c>
      <c r="K292" s="77" t="str">
        <f t="shared" si="153"/>
        <v>inermis</v>
      </c>
      <c r="L292" s="78">
        <f t="shared" si="153"/>
        <v>7</v>
      </c>
      <c r="M292" s="78">
        <f t="shared" si="153"/>
        <v>3</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52"/>
        <v/>
      </c>
      <c r="AH292" s="57" t="str">
        <f t="shared" si="138"/>
        <v/>
      </c>
      <c r="AI292" s="56"/>
      <c r="AJ292" s="57" t="str">
        <f t="shared" si="139"/>
        <v/>
      </c>
      <c r="AK292" s="56"/>
      <c r="AL292" s="57" t="str">
        <f t="shared" si="140"/>
        <v/>
      </c>
      <c r="AM292" s="56"/>
      <c r="AN292" s="57" t="str">
        <f t="shared" si="141"/>
        <v/>
      </c>
      <c r="AO292" s="56"/>
      <c r="AP292" s="57" t="str">
        <f t="shared" si="142"/>
        <v/>
      </c>
      <c r="AQ292" s="56"/>
      <c r="AR292" s="57" t="str">
        <f t="shared" si="143"/>
        <v/>
      </c>
      <c r="AS292" s="56"/>
      <c r="AT292" s="57" t="str">
        <f t="shared" si="144"/>
        <v/>
      </c>
      <c r="AU292" s="58"/>
      <c r="AV292" s="59"/>
      <c r="AW292" s="59"/>
      <c r="AX292" s="60"/>
      <c r="AY292" s="61" t="str">
        <f t="shared" si="145"/>
        <v/>
      </c>
      <c r="AZ292" s="62" t="str">
        <f t="shared" si="146"/>
        <v/>
      </c>
      <c r="BA292" s="61" t="str">
        <f t="shared" si="147"/>
        <v/>
      </c>
      <c r="BB292" s="62" t="str">
        <f t="shared" si="148"/>
        <v/>
      </c>
    </row>
    <row r="293" spans="1:54" s="3" customFormat="1" hidden="1" x14ac:dyDescent="0.35">
      <c r="A293" s="73">
        <f t="shared" si="126"/>
        <v>2017</v>
      </c>
      <c r="B293" s="73" t="str">
        <f t="shared" si="127"/>
        <v>Nov</v>
      </c>
      <c r="C293" s="74">
        <f t="shared" si="149"/>
        <v>16</v>
      </c>
      <c r="D293" s="75">
        <f t="shared" si="128"/>
        <v>13</v>
      </c>
      <c r="E293" s="76">
        <f t="shared" si="129"/>
        <v>8</v>
      </c>
      <c r="F293" s="80"/>
      <c r="G293" s="83"/>
      <c r="H293" s="69" t="str">
        <f t="shared" si="150"/>
        <v>Lacine7_20171116_13_00</v>
      </c>
      <c r="I293" s="70">
        <f t="shared" ref="I293:N308" si="154">I292</f>
        <v>1</v>
      </c>
      <c r="J293" s="77" t="str">
        <f t="shared" si="154"/>
        <v>Lactuca</v>
      </c>
      <c r="K293" s="77" t="str">
        <f t="shared" si="154"/>
        <v>inermis</v>
      </c>
      <c r="L293" s="78">
        <f t="shared" si="154"/>
        <v>7</v>
      </c>
      <c r="M293" s="78">
        <f t="shared" si="154"/>
        <v>3</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52"/>
        <v/>
      </c>
      <c r="AH293" s="57" t="str">
        <f t="shared" si="138"/>
        <v/>
      </c>
      <c r="AI293" s="56"/>
      <c r="AJ293" s="57" t="str">
        <f t="shared" si="139"/>
        <v/>
      </c>
      <c r="AK293" s="56"/>
      <c r="AL293" s="57" t="str">
        <f t="shared" si="140"/>
        <v/>
      </c>
      <c r="AM293" s="56"/>
      <c r="AN293" s="57" t="str">
        <f t="shared" si="141"/>
        <v/>
      </c>
      <c r="AO293" s="56"/>
      <c r="AP293" s="57" t="str">
        <f t="shared" si="142"/>
        <v/>
      </c>
      <c r="AQ293" s="56"/>
      <c r="AR293" s="57" t="str">
        <f t="shared" si="143"/>
        <v/>
      </c>
      <c r="AS293" s="56"/>
      <c r="AT293" s="57" t="str">
        <f t="shared" si="144"/>
        <v/>
      </c>
      <c r="AU293" s="58"/>
      <c r="AV293" s="59"/>
      <c r="AW293" s="59"/>
      <c r="AX293" s="60"/>
      <c r="AY293" s="61" t="str">
        <f t="shared" si="145"/>
        <v/>
      </c>
      <c r="AZ293" s="62" t="str">
        <f t="shared" si="146"/>
        <v/>
      </c>
      <c r="BA293" s="61" t="str">
        <f t="shared" si="147"/>
        <v/>
      </c>
      <c r="BB293" s="62" t="str">
        <f t="shared" si="148"/>
        <v/>
      </c>
    </row>
    <row r="294" spans="1:54" s="3" customFormat="1" hidden="1" x14ac:dyDescent="0.35">
      <c r="A294" s="73">
        <f t="shared" si="126"/>
        <v>2017</v>
      </c>
      <c r="B294" s="73" t="str">
        <f t="shared" si="127"/>
        <v>Nov</v>
      </c>
      <c r="C294" s="74">
        <f t="shared" si="149"/>
        <v>16</v>
      </c>
      <c r="D294" s="75">
        <f t="shared" si="128"/>
        <v>13</v>
      </c>
      <c r="E294" s="76">
        <f t="shared" si="129"/>
        <v>9</v>
      </c>
      <c r="F294" s="80"/>
      <c r="G294" s="83"/>
      <c r="H294" s="69" t="str">
        <f t="shared" si="150"/>
        <v>Lacine7_20171116_13_00</v>
      </c>
      <c r="I294" s="70">
        <f t="shared" si="154"/>
        <v>1</v>
      </c>
      <c r="J294" s="77" t="str">
        <f t="shared" si="154"/>
        <v>Lactuca</v>
      </c>
      <c r="K294" s="77" t="str">
        <f t="shared" si="154"/>
        <v>inermis</v>
      </c>
      <c r="L294" s="78">
        <f t="shared" si="154"/>
        <v>7</v>
      </c>
      <c r="M294" s="78">
        <f t="shared" si="154"/>
        <v>3</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52"/>
        <v/>
      </c>
      <c r="AH294" s="57" t="str">
        <f t="shared" si="138"/>
        <v/>
      </c>
      <c r="AI294" s="56"/>
      <c r="AJ294" s="57" t="str">
        <f t="shared" si="139"/>
        <v/>
      </c>
      <c r="AK294" s="56"/>
      <c r="AL294" s="57" t="str">
        <f t="shared" si="140"/>
        <v/>
      </c>
      <c r="AM294" s="56"/>
      <c r="AN294" s="57" t="str">
        <f t="shared" si="141"/>
        <v/>
      </c>
      <c r="AO294" s="56"/>
      <c r="AP294" s="57" t="str">
        <f t="shared" si="142"/>
        <v/>
      </c>
      <c r="AQ294" s="56"/>
      <c r="AR294" s="57" t="str">
        <f t="shared" si="143"/>
        <v/>
      </c>
      <c r="AS294" s="56"/>
      <c r="AT294" s="57" t="str">
        <f t="shared" si="144"/>
        <v/>
      </c>
      <c r="AU294" s="58"/>
      <c r="AV294" s="59"/>
      <c r="AW294" s="59"/>
      <c r="AX294" s="60"/>
      <c r="AY294" s="61" t="str">
        <f t="shared" si="145"/>
        <v/>
      </c>
      <c r="AZ294" s="62" t="str">
        <f t="shared" si="146"/>
        <v/>
      </c>
      <c r="BA294" s="61" t="str">
        <f t="shared" si="147"/>
        <v/>
      </c>
      <c r="BB294" s="62" t="str">
        <f t="shared" si="148"/>
        <v/>
      </c>
    </row>
    <row r="295" spans="1:54" s="3" customFormat="1" hidden="1" x14ac:dyDescent="0.35">
      <c r="A295" s="73">
        <f t="shared" si="126"/>
        <v>2017</v>
      </c>
      <c r="B295" s="73" t="str">
        <f t="shared" si="127"/>
        <v>Nov</v>
      </c>
      <c r="C295" s="74">
        <f t="shared" si="149"/>
        <v>16</v>
      </c>
      <c r="D295" s="75">
        <f t="shared" si="128"/>
        <v>13</v>
      </c>
      <c r="E295" s="76">
        <f t="shared" si="129"/>
        <v>10</v>
      </c>
      <c r="F295" s="80"/>
      <c r="G295" s="83"/>
      <c r="H295" s="69" t="str">
        <f t="shared" si="150"/>
        <v>Lacine7_20171116_13_00</v>
      </c>
      <c r="I295" s="70">
        <f t="shared" si="154"/>
        <v>1</v>
      </c>
      <c r="J295" s="77" t="str">
        <f t="shared" si="154"/>
        <v>Lactuca</v>
      </c>
      <c r="K295" s="77" t="str">
        <f t="shared" si="154"/>
        <v>inermis</v>
      </c>
      <c r="L295" s="78">
        <f t="shared" si="154"/>
        <v>7</v>
      </c>
      <c r="M295" s="78">
        <f t="shared" si="154"/>
        <v>3</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52"/>
        <v/>
      </c>
      <c r="AH295" s="57" t="str">
        <f t="shared" si="138"/>
        <v/>
      </c>
      <c r="AI295" s="56"/>
      <c r="AJ295" s="57" t="str">
        <f t="shared" si="139"/>
        <v/>
      </c>
      <c r="AK295" s="56"/>
      <c r="AL295" s="57" t="str">
        <f t="shared" si="140"/>
        <v/>
      </c>
      <c r="AM295" s="56"/>
      <c r="AN295" s="57" t="str">
        <f t="shared" si="141"/>
        <v/>
      </c>
      <c r="AO295" s="56"/>
      <c r="AP295" s="57" t="str">
        <f t="shared" si="142"/>
        <v/>
      </c>
      <c r="AQ295" s="56"/>
      <c r="AR295" s="57" t="str">
        <f t="shared" si="143"/>
        <v/>
      </c>
      <c r="AS295" s="56"/>
      <c r="AT295" s="57" t="str">
        <f t="shared" si="144"/>
        <v/>
      </c>
      <c r="AU295" s="58"/>
      <c r="AV295" s="59"/>
      <c r="AW295" s="59"/>
      <c r="AX295" s="60"/>
      <c r="AY295" s="61" t="str">
        <f t="shared" si="145"/>
        <v/>
      </c>
      <c r="AZ295" s="62" t="str">
        <f t="shared" si="146"/>
        <v/>
      </c>
      <c r="BA295" s="61" t="str">
        <f t="shared" si="147"/>
        <v/>
      </c>
      <c r="BB295" s="62" t="str">
        <f t="shared" si="148"/>
        <v/>
      </c>
    </row>
    <row r="296" spans="1:54" s="3" customFormat="1" hidden="1" x14ac:dyDescent="0.35">
      <c r="A296" s="73">
        <f t="shared" si="126"/>
        <v>2017</v>
      </c>
      <c r="B296" s="73" t="str">
        <f t="shared" si="127"/>
        <v>Nov</v>
      </c>
      <c r="C296" s="74">
        <f t="shared" si="149"/>
        <v>16</v>
      </c>
      <c r="D296" s="75">
        <f t="shared" si="128"/>
        <v>13</v>
      </c>
      <c r="E296" s="76">
        <f t="shared" si="129"/>
        <v>11</v>
      </c>
      <c r="F296" s="80"/>
      <c r="G296" s="83"/>
      <c r="H296" s="69" t="str">
        <f t="shared" si="150"/>
        <v>Lacine7_20171116_13_00</v>
      </c>
      <c r="I296" s="70">
        <f t="shared" si="154"/>
        <v>1</v>
      </c>
      <c r="J296" s="77" t="str">
        <f t="shared" si="154"/>
        <v>Lactuca</v>
      </c>
      <c r="K296" s="77" t="str">
        <f t="shared" si="154"/>
        <v>inermis</v>
      </c>
      <c r="L296" s="78">
        <f t="shared" si="154"/>
        <v>7</v>
      </c>
      <c r="M296" s="78">
        <f t="shared" si="154"/>
        <v>3</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52"/>
        <v/>
      </c>
      <c r="AH296" s="57" t="str">
        <f t="shared" si="138"/>
        <v/>
      </c>
      <c r="AI296" s="56"/>
      <c r="AJ296" s="57" t="str">
        <f t="shared" si="139"/>
        <v/>
      </c>
      <c r="AK296" s="56"/>
      <c r="AL296" s="57" t="str">
        <f t="shared" si="140"/>
        <v/>
      </c>
      <c r="AM296" s="56"/>
      <c r="AN296" s="57" t="str">
        <f t="shared" si="141"/>
        <v/>
      </c>
      <c r="AO296" s="56"/>
      <c r="AP296" s="57" t="str">
        <f t="shared" si="142"/>
        <v/>
      </c>
      <c r="AQ296" s="56"/>
      <c r="AR296" s="57" t="str">
        <f t="shared" si="143"/>
        <v/>
      </c>
      <c r="AS296" s="56"/>
      <c r="AT296" s="57" t="str">
        <f t="shared" si="144"/>
        <v/>
      </c>
      <c r="AU296" s="58"/>
      <c r="AV296" s="59"/>
      <c r="AW296" s="59"/>
      <c r="AX296" s="60"/>
      <c r="AY296" s="61" t="str">
        <f t="shared" si="145"/>
        <v/>
      </c>
      <c r="AZ296" s="62" t="str">
        <f t="shared" si="146"/>
        <v/>
      </c>
      <c r="BA296" s="61" t="str">
        <f t="shared" si="147"/>
        <v/>
      </c>
      <c r="BB296" s="62" t="str">
        <f t="shared" si="148"/>
        <v/>
      </c>
    </row>
    <row r="297" spans="1:54" s="3" customFormat="1" hidden="1" x14ac:dyDescent="0.35">
      <c r="A297" s="73">
        <f t="shared" si="126"/>
        <v>2017</v>
      </c>
      <c r="B297" s="73" t="str">
        <f t="shared" si="127"/>
        <v>Nov</v>
      </c>
      <c r="C297" s="74">
        <f t="shared" si="149"/>
        <v>16</v>
      </c>
      <c r="D297" s="75">
        <f t="shared" si="128"/>
        <v>13</v>
      </c>
      <c r="E297" s="76">
        <f t="shared" si="129"/>
        <v>12</v>
      </c>
      <c r="F297" s="80"/>
      <c r="G297" s="83"/>
      <c r="H297" s="69" t="str">
        <f t="shared" si="150"/>
        <v>Lacine7_20171116_13_00</v>
      </c>
      <c r="I297" s="70">
        <f t="shared" si="154"/>
        <v>1</v>
      </c>
      <c r="J297" s="77" t="str">
        <f t="shared" si="154"/>
        <v>Lactuca</v>
      </c>
      <c r="K297" s="77" t="str">
        <f t="shared" si="154"/>
        <v>inermis</v>
      </c>
      <c r="L297" s="78">
        <f t="shared" si="154"/>
        <v>7</v>
      </c>
      <c r="M297" s="78">
        <f t="shared" si="154"/>
        <v>3</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52"/>
        <v/>
      </c>
      <c r="AH297" s="57" t="str">
        <f t="shared" si="138"/>
        <v/>
      </c>
      <c r="AI297" s="56"/>
      <c r="AJ297" s="57" t="str">
        <f t="shared" si="139"/>
        <v/>
      </c>
      <c r="AK297" s="56"/>
      <c r="AL297" s="57" t="str">
        <f t="shared" si="140"/>
        <v/>
      </c>
      <c r="AM297" s="56"/>
      <c r="AN297" s="57" t="str">
        <f t="shared" si="141"/>
        <v/>
      </c>
      <c r="AO297" s="56"/>
      <c r="AP297" s="57" t="str">
        <f t="shared" si="142"/>
        <v/>
      </c>
      <c r="AQ297" s="56"/>
      <c r="AR297" s="57" t="str">
        <f t="shared" si="143"/>
        <v/>
      </c>
      <c r="AS297" s="56"/>
      <c r="AT297" s="57" t="str">
        <f t="shared" si="144"/>
        <v/>
      </c>
      <c r="AU297" s="58"/>
      <c r="AV297" s="59"/>
      <c r="AW297" s="59"/>
      <c r="AX297" s="60"/>
      <c r="AY297" s="61" t="str">
        <f t="shared" si="145"/>
        <v/>
      </c>
      <c r="AZ297" s="62" t="str">
        <f t="shared" si="146"/>
        <v/>
      </c>
      <c r="BA297" s="61" t="str">
        <f t="shared" si="147"/>
        <v/>
      </c>
      <c r="BB297" s="62" t="str">
        <f t="shared" si="148"/>
        <v/>
      </c>
    </row>
    <row r="298" spans="1:54" s="3" customFormat="1" hidden="1" x14ac:dyDescent="0.35">
      <c r="A298" s="73">
        <f t="shared" si="126"/>
        <v>2017</v>
      </c>
      <c r="B298" s="73" t="str">
        <f t="shared" si="127"/>
        <v>Nov</v>
      </c>
      <c r="C298" s="74">
        <f t="shared" si="149"/>
        <v>16</v>
      </c>
      <c r="D298" s="75">
        <f t="shared" si="128"/>
        <v>13</v>
      </c>
      <c r="E298" s="76">
        <f t="shared" si="129"/>
        <v>13</v>
      </c>
      <c r="F298" s="80"/>
      <c r="G298" s="83"/>
      <c r="H298" s="69" t="str">
        <f t="shared" si="150"/>
        <v>Lacine7_20171116_13_00</v>
      </c>
      <c r="I298" s="70">
        <f t="shared" si="154"/>
        <v>1</v>
      </c>
      <c r="J298" s="77" t="str">
        <f t="shared" si="154"/>
        <v>Lactuca</v>
      </c>
      <c r="K298" s="77" t="str">
        <f t="shared" si="154"/>
        <v>inermis</v>
      </c>
      <c r="L298" s="78">
        <f t="shared" si="154"/>
        <v>7</v>
      </c>
      <c r="M298" s="78">
        <f t="shared" si="154"/>
        <v>3</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52"/>
        <v/>
      </c>
      <c r="AH298" s="57" t="str">
        <f t="shared" si="138"/>
        <v/>
      </c>
      <c r="AI298" s="56"/>
      <c r="AJ298" s="57" t="str">
        <f t="shared" si="139"/>
        <v/>
      </c>
      <c r="AK298" s="56"/>
      <c r="AL298" s="57" t="str">
        <f t="shared" si="140"/>
        <v/>
      </c>
      <c r="AM298" s="56"/>
      <c r="AN298" s="57" t="str">
        <f t="shared" si="141"/>
        <v/>
      </c>
      <c r="AO298" s="56"/>
      <c r="AP298" s="57" t="str">
        <f t="shared" si="142"/>
        <v/>
      </c>
      <c r="AQ298" s="56"/>
      <c r="AR298" s="57" t="str">
        <f t="shared" si="143"/>
        <v/>
      </c>
      <c r="AS298" s="56"/>
      <c r="AT298" s="57" t="str">
        <f t="shared" si="144"/>
        <v/>
      </c>
      <c r="AU298" s="58"/>
      <c r="AV298" s="59"/>
      <c r="AW298" s="59"/>
      <c r="AX298" s="60"/>
      <c r="AY298" s="61" t="str">
        <f t="shared" si="145"/>
        <v/>
      </c>
      <c r="AZ298" s="62" t="str">
        <f t="shared" si="146"/>
        <v/>
      </c>
      <c r="BA298" s="61" t="str">
        <f t="shared" si="147"/>
        <v/>
      </c>
      <c r="BB298" s="62" t="str">
        <f t="shared" si="148"/>
        <v/>
      </c>
    </row>
    <row r="299" spans="1:54" s="3" customFormat="1" hidden="1" x14ac:dyDescent="0.35">
      <c r="A299" s="73">
        <f t="shared" si="126"/>
        <v>2017</v>
      </c>
      <c r="B299" s="73" t="str">
        <f t="shared" si="127"/>
        <v>Nov</v>
      </c>
      <c r="C299" s="74">
        <f t="shared" si="149"/>
        <v>16</v>
      </c>
      <c r="D299" s="75">
        <f t="shared" si="128"/>
        <v>13</v>
      </c>
      <c r="E299" s="76">
        <f t="shared" si="129"/>
        <v>14</v>
      </c>
      <c r="F299" s="80"/>
      <c r="G299" s="83"/>
      <c r="H299" s="69" t="str">
        <f t="shared" si="150"/>
        <v>Lacine7_20171116_13_00</v>
      </c>
      <c r="I299" s="70">
        <f t="shared" si="154"/>
        <v>1</v>
      </c>
      <c r="J299" s="77" t="str">
        <f t="shared" si="154"/>
        <v>Lactuca</v>
      </c>
      <c r="K299" s="77" t="str">
        <f t="shared" si="154"/>
        <v>inermis</v>
      </c>
      <c r="L299" s="78">
        <f t="shared" si="154"/>
        <v>7</v>
      </c>
      <c r="M299" s="78">
        <f t="shared" si="154"/>
        <v>3</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52"/>
        <v/>
      </c>
      <c r="AH299" s="57" t="str">
        <f t="shared" si="138"/>
        <v/>
      </c>
      <c r="AI299" s="56"/>
      <c r="AJ299" s="57" t="str">
        <f t="shared" si="139"/>
        <v/>
      </c>
      <c r="AK299" s="56"/>
      <c r="AL299" s="57" t="str">
        <f t="shared" si="140"/>
        <v/>
      </c>
      <c r="AM299" s="56"/>
      <c r="AN299" s="57" t="str">
        <f t="shared" si="141"/>
        <v/>
      </c>
      <c r="AO299" s="56"/>
      <c r="AP299" s="57" t="str">
        <f t="shared" si="142"/>
        <v/>
      </c>
      <c r="AQ299" s="56"/>
      <c r="AR299" s="57" t="str">
        <f t="shared" si="143"/>
        <v/>
      </c>
      <c r="AS299" s="56"/>
      <c r="AT299" s="57" t="str">
        <f t="shared" si="144"/>
        <v/>
      </c>
      <c r="AU299" s="58"/>
      <c r="AV299" s="59"/>
      <c r="AW299" s="59"/>
      <c r="AX299" s="60"/>
      <c r="AY299" s="61" t="str">
        <f t="shared" si="145"/>
        <v/>
      </c>
      <c r="AZ299" s="62" t="str">
        <f t="shared" si="146"/>
        <v/>
      </c>
      <c r="BA299" s="61" t="str">
        <f t="shared" si="147"/>
        <v/>
      </c>
      <c r="BB299" s="62" t="str">
        <f t="shared" si="148"/>
        <v/>
      </c>
    </row>
    <row r="300" spans="1:54" s="3" customFormat="1" hidden="1" x14ac:dyDescent="0.35">
      <c r="A300" s="73">
        <f t="shared" si="126"/>
        <v>2017</v>
      </c>
      <c r="B300" s="73" t="str">
        <f t="shared" si="127"/>
        <v>Nov</v>
      </c>
      <c r="C300" s="74">
        <f t="shared" si="149"/>
        <v>16</v>
      </c>
      <c r="D300" s="75">
        <f t="shared" si="128"/>
        <v>13</v>
      </c>
      <c r="E300" s="76">
        <f t="shared" si="129"/>
        <v>15</v>
      </c>
      <c r="F300" s="80"/>
      <c r="G300" s="83"/>
      <c r="H300" s="69" t="str">
        <f t="shared" si="150"/>
        <v>Lacine7_20171116_13_00</v>
      </c>
      <c r="I300" s="70">
        <f t="shared" si="154"/>
        <v>1</v>
      </c>
      <c r="J300" s="77" t="str">
        <f t="shared" si="154"/>
        <v>Lactuca</v>
      </c>
      <c r="K300" s="77" t="str">
        <f t="shared" si="154"/>
        <v>inermis</v>
      </c>
      <c r="L300" s="78">
        <f t="shared" si="154"/>
        <v>7</v>
      </c>
      <c r="M300" s="78">
        <v>3</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52"/>
        <v/>
      </c>
      <c r="AH300" s="57" t="str">
        <f t="shared" si="138"/>
        <v/>
      </c>
      <c r="AI300" s="56"/>
      <c r="AJ300" s="57" t="str">
        <f t="shared" si="139"/>
        <v/>
      </c>
      <c r="AK300" s="56"/>
      <c r="AL300" s="57" t="str">
        <f t="shared" si="140"/>
        <v/>
      </c>
      <c r="AM300" s="56"/>
      <c r="AN300" s="57" t="str">
        <f t="shared" si="141"/>
        <v/>
      </c>
      <c r="AO300" s="56"/>
      <c r="AP300" s="57" t="str">
        <f t="shared" si="142"/>
        <v/>
      </c>
      <c r="AQ300" s="56"/>
      <c r="AR300" s="57" t="str">
        <f t="shared" si="143"/>
        <v/>
      </c>
      <c r="AS300" s="56"/>
      <c r="AT300" s="57" t="str">
        <f t="shared" si="144"/>
        <v/>
      </c>
      <c r="AU300" s="58"/>
      <c r="AV300" s="59"/>
      <c r="AW300" s="59"/>
      <c r="AX300" s="60"/>
      <c r="AY300" s="61" t="str">
        <f t="shared" si="145"/>
        <v/>
      </c>
      <c r="AZ300" s="62" t="str">
        <f t="shared" si="146"/>
        <v/>
      </c>
      <c r="BA300" s="61" t="str">
        <f t="shared" si="147"/>
        <v/>
      </c>
      <c r="BB300" s="62" t="str">
        <f t="shared" si="148"/>
        <v/>
      </c>
    </row>
    <row r="301" spans="1:54" s="3" customFormat="1" hidden="1" x14ac:dyDescent="0.35">
      <c r="A301" s="73">
        <f t="shared" si="126"/>
        <v>2017</v>
      </c>
      <c r="B301" s="73" t="str">
        <f t="shared" si="127"/>
        <v>Nov</v>
      </c>
      <c r="C301" s="74">
        <f t="shared" si="149"/>
        <v>16</v>
      </c>
      <c r="D301" s="75">
        <f t="shared" si="128"/>
        <v>13</v>
      </c>
      <c r="E301" s="76">
        <f t="shared" si="129"/>
        <v>16</v>
      </c>
      <c r="F301" s="80"/>
      <c r="G301" s="83"/>
      <c r="H301" s="69" t="str">
        <f t="shared" si="150"/>
        <v>Lacine7_20171116_13_00</v>
      </c>
      <c r="I301" s="70">
        <f t="shared" si="154"/>
        <v>1</v>
      </c>
      <c r="J301" s="77" t="str">
        <f t="shared" si="154"/>
        <v>Lactuca</v>
      </c>
      <c r="K301" s="77" t="str">
        <f t="shared" si="154"/>
        <v>inermis</v>
      </c>
      <c r="L301" s="78">
        <f t="shared" si="154"/>
        <v>7</v>
      </c>
      <c r="M301" s="78">
        <f t="shared" si="154"/>
        <v>3</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52"/>
        <v/>
      </c>
      <c r="AH301" s="57" t="str">
        <f t="shared" si="138"/>
        <v/>
      </c>
      <c r="AI301" s="56"/>
      <c r="AJ301" s="57" t="str">
        <f t="shared" si="139"/>
        <v/>
      </c>
      <c r="AK301" s="56"/>
      <c r="AL301" s="57" t="str">
        <f t="shared" si="140"/>
        <v/>
      </c>
      <c r="AM301" s="56"/>
      <c r="AN301" s="57" t="str">
        <f t="shared" si="141"/>
        <v/>
      </c>
      <c r="AO301" s="56"/>
      <c r="AP301" s="57" t="str">
        <f t="shared" si="142"/>
        <v/>
      </c>
      <c r="AQ301" s="56"/>
      <c r="AR301" s="57" t="str">
        <f t="shared" si="143"/>
        <v/>
      </c>
      <c r="AS301" s="56"/>
      <c r="AT301" s="57" t="str">
        <f t="shared" si="144"/>
        <v/>
      </c>
      <c r="AU301" s="58"/>
      <c r="AV301" s="59"/>
      <c r="AW301" s="59"/>
      <c r="AX301" s="60"/>
      <c r="AY301" s="61" t="str">
        <f t="shared" si="145"/>
        <v/>
      </c>
      <c r="AZ301" s="62" t="str">
        <f t="shared" si="146"/>
        <v/>
      </c>
      <c r="BA301" s="61" t="str">
        <f t="shared" si="147"/>
        <v/>
      </c>
      <c r="BB301" s="62" t="str">
        <f t="shared" si="148"/>
        <v/>
      </c>
    </row>
    <row r="302" spans="1:54" s="3" customFormat="1" hidden="1" x14ac:dyDescent="0.35">
      <c r="A302" s="73">
        <f t="shared" si="126"/>
        <v>2017</v>
      </c>
      <c r="B302" s="73" t="str">
        <f t="shared" si="127"/>
        <v>Nov</v>
      </c>
      <c r="C302" s="74">
        <f t="shared" si="149"/>
        <v>16</v>
      </c>
      <c r="D302" s="75">
        <f t="shared" si="128"/>
        <v>13</v>
      </c>
      <c r="E302" s="76">
        <f t="shared" si="129"/>
        <v>17</v>
      </c>
      <c r="F302" s="80"/>
      <c r="G302" s="83"/>
      <c r="H302" s="69" t="str">
        <f t="shared" si="150"/>
        <v>Lacine7_20171116_13_00</v>
      </c>
      <c r="I302" s="70">
        <f t="shared" si="154"/>
        <v>1</v>
      </c>
      <c r="J302" s="77" t="str">
        <f t="shared" si="154"/>
        <v>Lactuca</v>
      </c>
      <c r="K302" s="77" t="str">
        <f t="shared" si="154"/>
        <v>inermis</v>
      </c>
      <c r="L302" s="78">
        <f t="shared" si="154"/>
        <v>7</v>
      </c>
      <c r="M302" s="78">
        <f t="shared" si="154"/>
        <v>3</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52"/>
        <v/>
      </c>
      <c r="AH302" s="57" t="str">
        <f t="shared" si="138"/>
        <v/>
      </c>
      <c r="AI302" s="56"/>
      <c r="AJ302" s="57" t="str">
        <f t="shared" si="139"/>
        <v/>
      </c>
      <c r="AK302" s="56"/>
      <c r="AL302" s="57" t="str">
        <f t="shared" si="140"/>
        <v/>
      </c>
      <c r="AM302" s="56"/>
      <c r="AN302" s="57" t="str">
        <f t="shared" si="141"/>
        <v/>
      </c>
      <c r="AO302" s="56"/>
      <c r="AP302" s="57" t="str">
        <f t="shared" si="142"/>
        <v/>
      </c>
      <c r="AQ302" s="56"/>
      <c r="AR302" s="57" t="str">
        <f t="shared" si="143"/>
        <v/>
      </c>
      <c r="AS302" s="56"/>
      <c r="AT302" s="57" t="str">
        <f t="shared" si="144"/>
        <v/>
      </c>
      <c r="AU302" s="58"/>
      <c r="AV302" s="59"/>
      <c r="AW302" s="59"/>
      <c r="AX302" s="60"/>
      <c r="AY302" s="61" t="str">
        <f t="shared" si="145"/>
        <v/>
      </c>
      <c r="AZ302" s="62" t="str">
        <f t="shared" si="146"/>
        <v/>
      </c>
      <c r="BA302" s="61" t="str">
        <f t="shared" si="147"/>
        <v/>
      </c>
      <c r="BB302" s="62" t="str">
        <f t="shared" si="148"/>
        <v/>
      </c>
    </row>
    <row r="303" spans="1:54" s="3" customFormat="1" hidden="1" x14ac:dyDescent="0.35">
      <c r="A303" s="73">
        <f t="shared" si="126"/>
        <v>2017</v>
      </c>
      <c r="B303" s="73" t="str">
        <f t="shared" si="127"/>
        <v>Nov</v>
      </c>
      <c r="C303" s="74">
        <f t="shared" si="149"/>
        <v>16</v>
      </c>
      <c r="D303" s="75">
        <f t="shared" si="128"/>
        <v>13</v>
      </c>
      <c r="E303" s="76">
        <f t="shared" si="129"/>
        <v>18</v>
      </c>
      <c r="F303" s="80"/>
      <c r="G303" s="83"/>
      <c r="H303" s="69" t="str">
        <f t="shared" si="150"/>
        <v>Lacine7_20171116_13_00</v>
      </c>
      <c r="I303" s="70">
        <f t="shared" si="154"/>
        <v>1</v>
      </c>
      <c r="J303" s="77" t="str">
        <f t="shared" si="154"/>
        <v>Lactuca</v>
      </c>
      <c r="K303" s="77" t="str">
        <f t="shared" si="154"/>
        <v>inermis</v>
      </c>
      <c r="L303" s="78">
        <f t="shared" si="154"/>
        <v>7</v>
      </c>
      <c r="M303" s="78">
        <f t="shared" si="154"/>
        <v>3</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52"/>
        <v/>
      </c>
      <c r="AH303" s="57" t="str">
        <f t="shared" si="138"/>
        <v/>
      </c>
      <c r="AI303" s="56"/>
      <c r="AJ303" s="57" t="str">
        <f t="shared" si="139"/>
        <v/>
      </c>
      <c r="AK303" s="56"/>
      <c r="AL303" s="57" t="str">
        <f t="shared" si="140"/>
        <v/>
      </c>
      <c r="AM303" s="56"/>
      <c r="AN303" s="57" t="str">
        <f t="shared" si="141"/>
        <v/>
      </c>
      <c r="AO303" s="56"/>
      <c r="AP303" s="57" t="str">
        <f t="shared" si="142"/>
        <v/>
      </c>
      <c r="AQ303" s="56"/>
      <c r="AR303" s="57" t="str">
        <f t="shared" si="143"/>
        <v/>
      </c>
      <c r="AS303" s="56"/>
      <c r="AT303" s="57" t="str">
        <f t="shared" si="144"/>
        <v/>
      </c>
      <c r="AU303" s="58"/>
      <c r="AV303" s="59"/>
      <c r="AW303" s="59"/>
      <c r="AX303" s="60"/>
      <c r="AY303" s="61" t="str">
        <f t="shared" si="145"/>
        <v/>
      </c>
      <c r="AZ303" s="62" t="str">
        <f t="shared" si="146"/>
        <v/>
      </c>
      <c r="BA303" s="61" t="str">
        <f t="shared" si="147"/>
        <v/>
      </c>
      <c r="BB303" s="62" t="str">
        <f t="shared" si="148"/>
        <v/>
      </c>
    </row>
    <row r="304" spans="1:54" s="3" customFormat="1" hidden="1" x14ac:dyDescent="0.35">
      <c r="A304" s="73">
        <f t="shared" si="126"/>
        <v>2017</v>
      </c>
      <c r="B304" s="73" t="str">
        <f t="shared" si="127"/>
        <v>Nov</v>
      </c>
      <c r="C304" s="74">
        <f t="shared" si="149"/>
        <v>16</v>
      </c>
      <c r="D304" s="75">
        <f t="shared" si="128"/>
        <v>13</v>
      </c>
      <c r="E304" s="76">
        <f t="shared" si="129"/>
        <v>19</v>
      </c>
      <c r="F304" s="80"/>
      <c r="G304" s="83"/>
      <c r="H304" s="69" t="str">
        <f t="shared" si="150"/>
        <v>Lacine7_20171116_13_00</v>
      </c>
      <c r="I304" s="70">
        <f t="shared" si="154"/>
        <v>1</v>
      </c>
      <c r="J304" s="77" t="str">
        <f t="shared" si="154"/>
        <v>Lactuca</v>
      </c>
      <c r="K304" s="77" t="str">
        <f t="shared" si="154"/>
        <v>inermis</v>
      </c>
      <c r="L304" s="78">
        <f t="shared" si="154"/>
        <v>7</v>
      </c>
      <c r="M304" s="78">
        <f t="shared" si="154"/>
        <v>3</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52"/>
        <v/>
      </c>
      <c r="AH304" s="57" t="str">
        <f t="shared" si="138"/>
        <v/>
      </c>
      <c r="AI304" s="56"/>
      <c r="AJ304" s="57" t="str">
        <f t="shared" si="139"/>
        <v/>
      </c>
      <c r="AK304" s="56"/>
      <c r="AL304" s="57" t="str">
        <f t="shared" si="140"/>
        <v/>
      </c>
      <c r="AM304" s="56"/>
      <c r="AN304" s="57" t="str">
        <f t="shared" si="141"/>
        <v/>
      </c>
      <c r="AO304" s="56"/>
      <c r="AP304" s="57" t="str">
        <f t="shared" si="142"/>
        <v/>
      </c>
      <c r="AQ304" s="56"/>
      <c r="AR304" s="57" t="str">
        <f t="shared" si="143"/>
        <v/>
      </c>
      <c r="AS304" s="56"/>
      <c r="AT304" s="57" t="str">
        <f t="shared" si="144"/>
        <v/>
      </c>
      <c r="AU304" s="58"/>
      <c r="AV304" s="59"/>
      <c r="AW304" s="59"/>
      <c r="AX304" s="60"/>
      <c r="AY304" s="61" t="str">
        <f t="shared" si="145"/>
        <v/>
      </c>
      <c r="AZ304" s="62" t="str">
        <f t="shared" si="146"/>
        <v/>
      </c>
      <c r="BA304" s="61" t="str">
        <f t="shared" si="147"/>
        <v/>
      </c>
      <c r="BB304" s="62" t="str">
        <f t="shared" si="148"/>
        <v/>
      </c>
    </row>
    <row r="305" spans="1:54" s="3" customFormat="1" hidden="1" x14ac:dyDescent="0.35">
      <c r="A305" s="73">
        <f t="shared" si="126"/>
        <v>2017</v>
      </c>
      <c r="B305" s="73" t="str">
        <f t="shared" si="127"/>
        <v>Nov</v>
      </c>
      <c r="C305" s="74">
        <f t="shared" si="149"/>
        <v>16</v>
      </c>
      <c r="D305" s="75">
        <f t="shared" si="128"/>
        <v>13</v>
      </c>
      <c r="E305" s="76">
        <f t="shared" si="129"/>
        <v>20</v>
      </c>
      <c r="F305" s="80"/>
      <c r="G305" s="83"/>
      <c r="H305" s="69" t="str">
        <f t="shared" si="150"/>
        <v>Lacine7_20171116_13_00</v>
      </c>
      <c r="I305" s="70">
        <f t="shared" si="154"/>
        <v>1</v>
      </c>
      <c r="J305" s="77" t="str">
        <f t="shared" si="154"/>
        <v>Lactuca</v>
      </c>
      <c r="K305" s="77" t="str">
        <f t="shared" si="154"/>
        <v>inermis</v>
      </c>
      <c r="L305" s="78">
        <f t="shared" si="154"/>
        <v>7</v>
      </c>
      <c r="M305" s="78">
        <f t="shared" si="154"/>
        <v>3</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52"/>
        <v/>
      </c>
      <c r="AH305" s="57" t="str">
        <f t="shared" si="138"/>
        <v/>
      </c>
      <c r="AI305" s="56"/>
      <c r="AJ305" s="57" t="str">
        <f t="shared" si="139"/>
        <v/>
      </c>
      <c r="AK305" s="56"/>
      <c r="AL305" s="57" t="str">
        <f t="shared" si="140"/>
        <v/>
      </c>
      <c r="AM305" s="56"/>
      <c r="AN305" s="57" t="str">
        <f t="shared" si="141"/>
        <v/>
      </c>
      <c r="AO305" s="56"/>
      <c r="AP305" s="57" t="str">
        <f t="shared" si="142"/>
        <v/>
      </c>
      <c r="AQ305" s="56"/>
      <c r="AR305" s="57" t="str">
        <f t="shared" si="143"/>
        <v/>
      </c>
      <c r="AS305" s="56"/>
      <c r="AT305" s="57" t="str">
        <f t="shared" si="144"/>
        <v/>
      </c>
      <c r="AU305" s="58"/>
      <c r="AV305" s="59"/>
      <c r="AW305" s="59"/>
      <c r="AX305" s="60"/>
      <c r="AY305" s="61" t="str">
        <f t="shared" si="145"/>
        <v/>
      </c>
      <c r="AZ305" s="62" t="str">
        <f t="shared" si="146"/>
        <v/>
      </c>
      <c r="BA305" s="61" t="str">
        <f t="shared" si="147"/>
        <v/>
      </c>
      <c r="BB305" s="62" t="str">
        <f t="shared" si="148"/>
        <v/>
      </c>
    </row>
    <row r="306" spans="1:54" s="3" customFormat="1" hidden="1" x14ac:dyDescent="0.35">
      <c r="A306" s="73">
        <f t="shared" si="126"/>
        <v>2017</v>
      </c>
      <c r="B306" s="73" t="str">
        <f t="shared" si="127"/>
        <v>Nov</v>
      </c>
      <c r="C306" s="74">
        <f t="shared" si="149"/>
        <v>16</v>
      </c>
      <c r="D306" s="75">
        <f t="shared" si="128"/>
        <v>13</v>
      </c>
      <c r="E306" s="76">
        <f t="shared" si="129"/>
        <v>21</v>
      </c>
      <c r="F306" s="80"/>
      <c r="G306" s="83"/>
      <c r="H306" s="69" t="str">
        <f t="shared" si="150"/>
        <v>Lacine7_20171116_13_00</v>
      </c>
      <c r="I306" s="70">
        <f t="shared" si="154"/>
        <v>1</v>
      </c>
      <c r="J306" s="77" t="str">
        <f t="shared" si="154"/>
        <v>Lactuca</v>
      </c>
      <c r="K306" s="77" t="str">
        <f t="shared" si="154"/>
        <v>inermis</v>
      </c>
      <c r="L306" s="78">
        <f t="shared" si="154"/>
        <v>7</v>
      </c>
      <c r="M306" s="78">
        <f t="shared" si="154"/>
        <v>3</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52"/>
        <v/>
      </c>
      <c r="AH306" s="57" t="str">
        <f t="shared" si="138"/>
        <v/>
      </c>
      <c r="AI306" s="56"/>
      <c r="AJ306" s="57" t="str">
        <f t="shared" si="139"/>
        <v/>
      </c>
      <c r="AK306" s="56"/>
      <c r="AL306" s="57" t="str">
        <f t="shared" si="140"/>
        <v/>
      </c>
      <c r="AM306" s="56"/>
      <c r="AN306" s="57" t="str">
        <f t="shared" si="141"/>
        <v/>
      </c>
      <c r="AO306" s="56"/>
      <c r="AP306" s="57" t="str">
        <f t="shared" si="142"/>
        <v/>
      </c>
      <c r="AQ306" s="56"/>
      <c r="AR306" s="57" t="str">
        <f t="shared" si="143"/>
        <v/>
      </c>
      <c r="AS306" s="56"/>
      <c r="AT306" s="57" t="str">
        <f t="shared" si="144"/>
        <v/>
      </c>
      <c r="AU306" s="58"/>
      <c r="AV306" s="59"/>
      <c r="AW306" s="59"/>
      <c r="AX306" s="60"/>
      <c r="AY306" s="61" t="str">
        <f t="shared" si="145"/>
        <v/>
      </c>
      <c r="AZ306" s="62" t="str">
        <f t="shared" si="146"/>
        <v/>
      </c>
      <c r="BA306" s="61" t="str">
        <f t="shared" si="147"/>
        <v/>
      </c>
      <c r="BB306" s="62" t="str">
        <f t="shared" si="148"/>
        <v/>
      </c>
    </row>
    <row r="307" spans="1:54" s="3" customFormat="1" hidden="1" x14ac:dyDescent="0.35">
      <c r="A307" s="73">
        <f t="shared" si="126"/>
        <v>2017</v>
      </c>
      <c r="B307" s="73" t="str">
        <f t="shared" si="127"/>
        <v>Nov</v>
      </c>
      <c r="C307" s="74">
        <f t="shared" si="149"/>
        <v>16</v>
      </c>
      <c r="D307" s="75">
        <f t="shared" si="128"/>
        <v>13</v>
      </c>
      <c r="E307" s="76">
        <f t="shared" si="129"/>
        <v>22</v>
      </c>
      <c r="F307" s="80"/>
      <c r="G307" s="83"/>
      <c r="H307" s="69" t="str">
        <f t="shared" si="150"/>
        <v>Lacine7_20171116_13_00</v>
      </c>
      <c r="I307" s="70">
        <f t="shared" si="154"/>
        <v>1</v>
      </c>
      <c r="J307" s="77" t="str">
        <f t="shared" si="154"/>
        <v>Lactuca</v>
      </c>
      <c r="K307" s="77" t="str">
        <f t="shared" si="154"/>
        <v>inermis</v>
      </c>
      <c r="L307" s="78">
        <f t="shared" si="154"/>
        <v>7</v>
      </c>
      <c r="M307" s="78">
        <f t="shared" si="154"/>
        <v>3</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52"/>
        <v/>
      </c>
      <c r="AH307" s="57" t="str">
        <f t="shared" si="138"/>
        <v/>
      </c>
      <c r="AI307" s="56"/>
      <c r="AJ307" s="57" t="str">
        <f t="shared" si="139"/>
        <v/>
      </c>
      <c r="AK307" s="56"/>
      <c r="AL307" s="57" t="str">
        <f t="shared" si="140"/>
        <v/>
      </c>
      <c r="AM307" s="56"/>
      <c r="AN307" s="57" t="str">
        <f t="shared" si="141"/>
        <v/>
      </c>
      <c r="AO307" s="56"/>
      <c r="AP307" s="57" t="str">
        <f t="shared" si="142"/>
        <v/>
      </c>
      <c r="AQ307" s="56"/>
      <c r="AR307" s="57" t="str">
        <f t="shared" si="143"/>
        <v/>
      </c>
      <c r="AS307" s="56"/>
      <c r="AT307" s="57" t="str">
        <f t="shared" si="144"/>
        <v/>
      </c>
      <c r="AU307" s="58"/>
      <c r="AV307" s="59"/>
      <c r="AW307" s="59"/>
      <c r="AX307" s="60"/>
      <c r="AY307" s="61" t="str">
        <f t="shared" si="145"/>
        <v/>
      </c>
      <c r="AZ307" s="62" t="str">
        <f t="shared" si="146"/>
        <v/>
      </c>
      <c r="BA307" s="61" t="str">
        <f t="shared" si="147"/>
        <v/>
      </c>
      <c r="BB307" s="62" t="str">
        <f t="shared" si="148"/>
        <v/>
      </c>
    </row>
    <row r="308" spans="1:54" s="3" customFormat="1" hidden="1" x14ac:dyDescent="0.35">
      <c r="A308" s="73">
        <f t="shared" si="126"/>
        <v>2017</v>
      </c>
      <c r="B308" s="73" t="str">
        <f t="shared" si="127"/>
        <v>Nov</v>
      </c>
      <c r="C308" s="74">
        <f t="shared" si="149"/>
        <v>16</v>
      </c>
      <c r="D308" s="75">
        <f t="shared" si="128"/>
        <v>13</v>
      </c>
      <c r="E308" s="76">
        <f t="shared" si="129"/>
        <v>23</v>
      </c>
      <c r="F308" s="80"/>
      <c r="G308" s="83"/>
      <c r="H308" s="69" t="str">
        <f t="shared" si="150"/>
        <v>Lacine7_20171116_13_00</v>
      </c>
      <c r="I308" s="70">
        <f t="shared" si="154"/>
        <v>1</v>
      </c>
      <c r="J308" s="77" t="str">
        <f t="shared" si="154"/>
        <v>Lactuca</v>
      </c>
      <c r="K308" s="77" t="str">
        <f t="shared" si="154"/>
        <v>inermis</v>
      </c>
      <c r="L308" s="78">
        <f t="shared" si="154"/>
        <v>7</v>
      </c>
      <c r="M308" s="78">
        <f t="shared" si="154"/>
        <v>3</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52"/>
        <v/>
      </c>
      <c r="AH308" s="57" t="str">
        <f t="shared" si="138"/>
        <v/>
      </c>
      <c r="AI308" s="56"/>
      <c r="AJ308" s="57" t="str">
        <f t="shared" si="139"/>
        <v/>
      </c>
      <c r="AK308" s="56"/>
      <c r="AL308" s="57" t="str">
        <f t="shared" si="140"/>
        <v/>
      </c>
      <c r="AM308" s="56"/>
      <c r="AN308" s="57" t="str">
        <f t="shared" si="141"/>
        <v/>
      </c>
      <c r="AO308" s="56"/>
      <c r="AP308" s="57" t="str">
        <f t="shared" si="142"/>
        <v/>
      </c>
      <c r="AQ308" s="56"/>
      <c r="AR308" s="57" t="str">
        <f t="shared" si="143"/>
        <v/>
      </c>
      <c r="AS308" s="56"/>
      <c r="AT308" s="57" t="str">
        <f t="shared" si="144"/>
        <v/>
      </c>
      <c r="AU308" s="58"/>
      <c r="AV308" s="59"/>
      <c r="AW308" s="59"/>
      <c r="AX308" s="60"/>
      <c r="AY308" s="61" t="str">
        <f t="shared" si="145"/>
        <v/>
      </c>
      <c r="AZ308" s="62" t="str">
        <f t="shared" si="146"/>
        <v/>
      </c>
      <c r="BA308" s="61" t="str">
        <f t="shared" si="147"/>
        <v/>
      </c>
      <c r="BB308" s="62" t="str">
        <f t="shared" si="148"/>
        <v/>
      </c>
    </row>
    <row r="309" spans="1:54" s="3" customFormat="1" hidden="1" x14ac:dyDescent="0.35">
      <c r="A309" s="73">
        <f t="shared" si="126"/>
        <v>2017</v>
      </c>
      <c r="B309" s="73" t="str">
        <f t="shared" si="127"/>
        <v>Nov</v>
      </c>
      <c r="C309" s="74">
        <f t="shared" si="149"/>
        <v>16</v>
      </c>
      <c r="D309" s="75">
        <f t="shared" si="128"/>
        <v>13</v>
      </c>
      <c r="E309" s="76">
        <f t="shared" si="129"/>
        <v>24</v>
      </c>
      <c r="F309" s="80"/>
      <c r="G309" s="83"/>
      <c r="H309" s="69" t="str">
        <f t="shared" si="150"/>
        <v>Lacine7_20171116_13_00</v>
      </c>
      <c r="I309" s="70">
        <f t="shared" ref="I309:N324" si="155">I308</f>
        <v>1</v>
      </c>
      <c r="J309" s="77" t="str">
        <f t="shared" si="155"/>
        <v>Lactuca</v>
      </c>
      <c r="K309" s="77" t="str">
        <f t="shared" si="155"/>
        <v>inermis</v>
      </c>
      <c r="L309" s="78">
        <f t="shared" si="155"/>
        <v>7</v>
      </c>
      <c r="M309" s="78">
        <f t="shared" si="155"/>
        <v>3</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52"/>
        <v/>
      </c>
      <c r="AH309" s="57" t="str">
        <f t="shared" si="138"/>
        <v/>
      </c>
      <c r="AI309" s="56"/>
      <c r="AJ309" s="57" t="str">
        <f t="shared" si="139"/>
        <v/>
      </c>
      <c r="AK309" s="56"/>
      <c r="AL309" s="57" t="str">
        <f t="shared" si="140"/>
        <v/>
      </c>
      <c r="AM309" s="56"/>
      <c r="AN309" s="57" t="str">
        <f t="shared" si="141"/>
        <v/>
      </c>
      <c r="AO309" s="56"/>
      <c r="AP309" s="57" t="str">
        <f t="shared" si="142"/>
        <v/>
      </c>
      <c r="AQ309" s="56"/>
      <c r="AR309" s="57" t="str">
        <f t="shared" si="143"/>
        <v/>
      </c>
      <c r="AS309" s="56"/>
      <c r="AT309" s="57" t="str">
        <f t="shared" si="144"/>
        <v/>
      </c>
      <c r="AU309" s="58"/>
      <c r="AV309" s="59"/>
      <c r="AW309" s="59"/>
      <c r="AX309" s="60"/>
      <c r="AY309" s="61" t="str">
        <f t="shared" si="145"/>
        <v/>
      </c>
      <c r="AZ309" s="62" t="str">
        <f t="shared" si="146"/>
        <v/>
      </c>
      <c r="BA309" s="61" t="str">
        <f t="shared" si="147"/>
        <v/>
      </c>
      <c r="BB309" s="62" t="str">
        <f t="shared" si="148"/>
        <v/>
      </c>
    </row>
    <row r="310" spans="1:54" s="3" customFormat="1" hidden="1" x14ac:dyDescent="0.35">
      <c r="A310" s="73">
        <f t="shared" si="126"/>
        <v>2017</v>
      </c>
      <c r="B310" s="73" t="str">
        <f t="shared" si="127"/>
        <v>Nov</v>
      </c>
      <c r="C310" s="74">
        <f t="shared" si="149"/>
        <v>16</v>
      </c>
      <c r="D310" s="75">
        <f t="shared" si="128"/>
        <v>13</v>
      </c>
      <c r="E310" s="76">
        <f t="shared" si="129"/>
        <v>25</v>
      </c>
      <c r="F310" s="80"/>
      <c r="G310" s="83"/>
      <c r="H310" s="69" t="str">
        <f t="shared" si="150"/>
        <v>Lacine7_20171116_13_00</v>
      </c>
      <c r="I310" s="70">
        <f t="shared" si="155"/>
        <v>1</v>
      </c>
      <c r="J310" s="77" t="str">
        <f t="shared" si="155"/>
        <v>Lactuca</v>
      </c>
      <c r="K310" s="77" t="str">
        <f t="shared" si="155"/>
        <v>inermis</v>
      </c>
      <c r="L310" s="78">
        <f t="shared" si="155"/>
        <v>7</v>
      </c>
      <c r="M310" s="78">
        <f t="shared" si="155"/>
        <v>3</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52"/>
        <v/>
      </c>
      <c r="AH310" s="57" t="str">
        <f t="shared" si="138"/>
        <v/>
      </c>
      <c r="AI310" s="56"/>
      <c r="AJ310" s="57" t="str">
        <f t="shared" si="139"/>
        <v/>
      </c>
      <c r="AK310" s="56"/>
      <c r="AL310" s="57" t="str">
        <f t="shared" si="140"/>
        <v/>
      </c>
      <c r="AM310" s="56"/>
      <c r="AN310" s="57" t="str">
        <f t="shared" si="141"/>
        <v/>
      </c>
      <c r="AO310" s="56"/>
      <c r="AP310" s="57" t="str">
        <f t="shared" si="142"/>
        <v/>
      </c>
      <c r="AQ310" s="56"/>
      <c r="AR310" s="57" t="str">
        <f t="shared" si="143"/>
        <v/>
      </c>
      <c r="AS310" s="56"/>
      <c r="AT310" s="57" t="str">
        <f t="shared" si="144"/>
        <v/>
      </c>
      <c r="AU310" s="58"/>
      <c r="AV310" s="59"/>
      <c r="AW310" s="59"/>
      <c r="AX310" s="60"/>
      <c r="AY310" s="61" t="str">
        <f t="shared" si="145"/>
        <v/>
      </c>
      <c r="AZ310" s="62" t="str">
        <f t="shared" si="146"/>
        <v/>
      </c>
      <c r="BA310" s="61" t="str">
        <f t="shared" si="147"/>
        <v/>
      </c>
      <c r="BB310" s="62" t="str">
        <f t="shared" si="148"/>
        <v/>
      </c>
    </row>
    <row r="311" spans="1:54" s="3" customFormat="1" hidden="1" x14ac:dyDescent="0.35">
      <c r="A311" s="73">
        <f t="shared" si="126"/>
        <v>2017</v>
      </c>
      <c r="B311" s="73" t="str">
        <f t="shared" si="127"/>
        <v>Nov</v>
      </c>
      <c r="C311" s="74">
        <f t="shared" si="149"/>
        <v>16</v>
      </c>
      <c r="D311" s="75">
        <f t="shared" si="128"/>
        <v>13</v>
      </c>
      <c r="E311" s="76">
        <f t="shared" si="129"/>
        <v>26</v>
      </c>
      <c r="F311" s="80"/>
      <c r="G311" s="83"/>
      <c r="H311" s="69" t="str">
        <f t="shared" si="150"/>
        <v>Lacine7_20171116_13_00</v>
      </c>
      <c r="I311" s="70">
        <f t="shared" si="155"/>
        <v>1</v>
      </c>
      <c r="J311" s="77" t="str">
        <f t="shared" si="155"/>
        <v>Lactuca</v>
      </c>
      <c r="K311" s="77" t="str">
        <f t="shared" si="155"/>
        <v>inermis</v>
      </c>
      <c r="L311" s="78">
        <f t="shared" si="155"/>
        <v>7</v>
      </c>
      <c r="M311" s="78">
        <f t="shared" si="155"/>
        <v>3</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52"/>
        <v/>
      </c>
      <c r="AH311" s="57" t="str">
        <f t="shared" si="138"/>
        <v/>
      </c>
      <c r="AI311" s="56"/>
      <c r="AJ311" s="57" t="str">
        <f t="shared" si="139"/>
        <v/>
      </c>
      <c r="AK311" s="56"/>
      <c r="AL311" s="57" t="str">
        <f t="shared" si="140"/>
        <v/>
      </c>
      <c r="AM311" s="56"/>
      <c r="AN311" s="57" t="str">
        <f t="shared" si="141"/>
        <v/>
      </c>
      <c r="AO311" s="56"/>
      <c r="AP311" s="57" t="str">
        <f t="shared" si="142"/>
        <v/>
      </c>
      <c r="AQ311" s="56"/>
      <c r="AR311" s="57" t="str">
        <f t="shared" si="143"/>
        <v/>
      </c>
      <c r="AS311" s="56"/>
      <c r="AT311" s="57" t="str">
        <f t="shared" si="144"/>
        <v/>
      </c>
      <c r="AU311" s="58"/>
      <c r="AV311" s="59"/>
      <c r="AW311" s="59"/>
      <c r="AX311" s="60"/>
      <c r="AY311" s="61" t="str">
        <f t="shared" si="145"/>
        <v/>
      </c>
      <c r="AZ311" s="62" t="str">
        <f t="shared" si="146"/>
        <v/>
      </c>
      <c r="BA311" s="61" t="str">
        <f t="shared" si="147"/>
        <v/>
      </c>
      <c r="BB311" s="62" t="str">
        <f t="shared" si="148"/>
        <v/>
      </c>
    </row>
    <row r="312" spans="1:54" s="3" customFormat="1" hidden="1" x14ac:dyDescent="0.35">
      <c r="A312" s="73">
        <f t="shared" si="126"/>
        <v>2017</v>
      </c>
      <c r="B312" s="73" t="str">
        <f t="shared" si="127"/>
        <v>Nov</v>
      </c>
      <c r="C312" s="74">
        <f t="shared" si="149"/>
        <v>16</v>
      </c>
      <c r="D312" s="75">
        <f t="shared" si="128"/>
        <v>13</v>
      </c>
      <c r="E312" s="76">
        <f t="shared" si="129"/>
        <v>27</v>
      </c>
      <c r="F312" s="80"/>
      <c r="G312" s="83"/>
      <c r="H312" s="69" t="str">
        <f t="shared" si="150"/>
        <v>Lacine7_20171116_13_00</v>
      </c>
      <c r="I312" s="70">
        <f t="shared" si="155"/>
        <v>1</v>
      </c>
      <c r="J312" s="77" t="str">
        <f t="shared" si="155"/>
        <v>Lactuca</v>
      </c>
      <c r="K312" s="77" t="str">
        <f t="shared" si="155"/>
        <v>inermis</v>
      </c>
      <c r="L312" s="78">
        <f t="shared" si="155"/>
        <v>7</v>
      </c>
      <c r="M312" s="78">
        <f t="shared" si="155"/>
        <v>3</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52"/>
        <v/>
      </c>
      <c r="AH312" s="57" t="str">
        <f t="shared" si="138"/>
        <v/>
      </c>
      <c r="AI312" s="56"/>
      <c r="AJ312" s="57" t="str">
        <f t="shared" si="139"/>
        <v/>
      </c>
      <c r="AK312" s="56"/>
      <c r="AL312" s="57" t="str">
        <f t="shared" si="140"/>
        <v/>
      </c>
      <c r="AM312" s="56"/>
      <c r="AN312" s="57" t="str">
        <f t="shared" si="141"/>
        <v/>
      </c>
      <c r="AO312" s="56"/>
      <c r="AP312" s="57" t="str">
        <f t="shared" si="142"/>
        <v/>
      </c>
      <c r="AQ312" s="56"/>
      <c r="AR312" s="57" t="str">
        <f t="shared" si="143"/>
        <v/>
      </c>
      <c r="AS312" s="56"/>
      <c r="AT312" s="57" t="str">
        <f t="shared" si="144"/>
        <v/>
      </c>
      <c r="AU312" s="58"/>
      <c r="AV312" s="59"/>
      <c r="AW312" s="59"/>
      <c r="AX312" s="60"/>
      <c r="AY312" s="61" t="str">
        <f t="shared" si="145"/>
        <v/>
      </c>
      <c r="AZ312" s="62" t="str">
        <f t="shared" si="146"/>
        <v/>
      </c>
      <c r="BA312" s="61" t="str">
        <f t="shared" si="147"/>
        <v/>
      </c>
      <c r="BB312" s="62" t="str">
        <f t="shared" si="148"/>
        <v/>
      </c>
    </row>
    <row r="313" spans="1:54" s="3" customFormat="1" hidden="1" x14ac:dyDescent="0.35">
      <c r="A313" s="73">
        <f t="shared" si="126"/>
        <v>2017</v>
      </c>
      <c r="B313" s="73" t="str">
        <f t="shared" si="127"/>
        <v>Nov</v>
      </c>
      <c r="C313" s="74">
        <f t="shared" si="149"/>
        <v>16</v>
      </c>
      <c r="D313" s="75">
        <f t="shared" si="128"/>
        <v>13</v>
      </c>
      <c r="E313" s="76">
        <f t="shared" si="129"/>
        <v>28</v>
      </c>
      <c r="F313" s="80"/>
      <c r="G313" s="83"/>
      <c r="H313" s="69" t="str">
        <f t="shared" si="150"/>
        <v>Lacine7_20171116_13_00</v>
      </c>
      <c r="I313" s="70">
        <f t="shared" si="155"/>
        <v>1</v>
      </c>
      <c r="J313" s="77" t="str">
        <f t="shared" si="155"/>
        <v>Lactuca</v>
      </c>
      <c r="K313" s="77" t="str">
        <f t="shared" si="155"/>
        <v>inermis</v>
      </c>
      <c r="L313" s="78">
        <f t="shared" si="155"/>
        <v>7</v>
      </c>
      <c r="M313" s="78">
        <f t="shared" si="155"/>
        <v>3</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52"/>
        <v/>
      </c>
      <c r="AH313" s="57" t="str">
        <f t="shared" si="138"/>
        <v/>
      </c>
      <c r="AI313" s="56"/>
      <c r="AJ313" s="57" t="str">
        <f t="shared" si="139"/>
        <v/>
      </c>
      <c r="AK313" s="56"/>
      <c r="AL313" s="57" t="str">
        <f t="shared" si="140"/>
        <v/>
      </c>
      <c r="AM313" s="56"/>
      <c r="AN313" s="57" t="str">
        <f t="shared" si="141"/>
        <v/>
      </c>
      <c r="AO313" s="56"/>
      <c r="AP313" s="57" t="str">
        <f t="shared" si="142"/>
        <v/>
      </c>
      <c r="AQ313" s="56"/>
      <c r="AR313" s="57" t="str">
        <f t="shared" si="143"/>
        <v/>
      </c>
      <c r="AS313" s="56"/>
      <c r="AT313" s="57" t="str">
        <f t="shared" si="144"/>
        <v/>
      </c>
      <c r="AU313" s="58"/>
      <c r="AV313" s="59"/>
      <c r="AW313" s="59"/>
      <c r="AX313" s="60"/>
      <c r="AY313" s="61" t="str">
        <f t="shared" si="145"/>
        <v/>
      </c>
      <c r="AZ313" s="62" t="str">
        <f t="shared" si="146"/>
        <v/>
      </c>
      <c r="BA313" s="61" t="str">
        <f t="shared" si="147"/>
        <v/>
      </c>
      <c r="BB313" s="62" t="str">
        <f t="shared" si="148"/>
        <v/>
      </c>
    </row>
    <row r="314" spans="1:54" s="3" customFormat="1" hidden="1" x14ac:dyDescent="0.35">
      <c r="A314" s="73">
        <f t="shared" si="126"/>
        <v>2017</v>
      </c>
      <c r="B314" s="73" t="str">
        <f t="shared" si="127"/>
        <v>Nov</v>
      </c>
      <c r="C314" s="74">
        <f t="shared" si="149"/>
        <v>16</v>
      </c>
      <c r="D314" s="75">
        <f t="shared" si="128"/>
        <v>13</v>
      </c>
      <c r="E314" s="76">
        <f t="shared" si="129"/>
        <v>29</v>
      </c>
      <c r="F314" s="80"/>
      <c r="G314" s="83"/>
      <c r="H314" s="69" t="str">
        <f t="shared" si="150"/>
        <v>Lacine7_20171116_13_00</v>
      </c>
      <c r="I314" s="70">
        <f t="shared" si="155"/>
        <v>1</v>
      </c>
      <c r="J314" s="77" t="str">
        <f t="shared" si="155"/>
        <v>Lactuca</v>
      </c>
      <c r="K314" s="77" t="str">
        <f t="shared" si="155"/>
        <v>inermis</v>
      </c>
      <c r="L314" s="78">
        <f t="shared" si="155"/>
        <v>7</v>
      </c>
      <c r="M314" s="78">
        <f t="shared" si="155"/>
        <v>3</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52"/>
        <v/>
      </c>
      <c r="AH314" s="57" t="str">
        <f t="shared" si="138"/>
        <v/>
      </c>
      <c r="AI314" s="56"/>
      <c r="AJ314" s="57" t="str">
        <f t="shared" si="139"/>
        <v/>
      </c>
      <c r="AK314" s="56"/>
      <c r="AL314" s="57" t="str">
        <f t="shared" si="140"/>
        <v/>
      </c>
      <c r="AM314" s="56"/>
      <c r="AN314" s="57" t="str">
        <f t="shared" si="141"/>
        <v/>
      </c>
      <c r="AO314" s="56"/>
      <c r="AP314" s="57" t="str">
        <f t="shared" si="142"/>
        <v/>
      </c>
      <c r="AQ314" s="56"/>
      <c r="AR314" s="57" t="str">
        <f t="shared" si="143"/>
        <v/>
      </c>
      <c r="AS314" s="56"/>
      <c r="AT314" s="57" t="str">
        <f t="shared" si="144"/>
        <v/>
      </c>
      <c r="AU314" s="58"/>
      <c r="AV314" s="59"/>
      <c r="AW314" s="59"/>
      <c r="AX314" s="60"/>
      <c r="AY314" s="61" t="str">
        <f t="shared" si="145"/>
        <v/>
      </c>
      <c r="AZ314" s="62" t="str">
        <f t="shared" si="146"/>
        <v/>
      </c>
      <c r="BA314" s="61" t="str">
        <f t="shared" si="147"/>
        <v/>
      </c>
      <c r="BB314" s="62" t="str">
        <f t="shared" si="148"/>
        <v/>
      </c>
    </row>
    <row r="315" spans="1:54" s="3" customFormat="1" hidden="1" x14ac:dyDescent="0.35">
      <c r="A315" s="73">
        <f t="shared" si="126"/>
        <v>2017</v>
      </c>
      <c r="B315" s="73" t="str">
        <f t="shared" si="127"/>
        <v>Nov</v>
      </c>
      <c r="C315" s="74">
        <f t="shared" si="149"/>
        <v>16</v>
      </c>
      <c r="D315" s="75">
        <f t="shared" si="128"/>
        <v>13</v>
      </c>
      <c r="E315" s="76">
        <f t="shared" si="129"/>
        <v>30</v>
      </c>
      <c r="F315" s="80"/>
      <c r="G315" s="83"/>
      <c r="H315" s="69" t="str">
        <f t="shared" si="150"/>
        <v>Lacine7_20171116_13_00</v>
      </c>
      <c r="I315" s="70">
        <f t="shared" si="155"/>
        <v>1</v>
      </c>
      <c r="J315" s="77" t="str">
        <f t="shared" si="155"/>
        <v>Lactuca</v>
      </c>
      <c r="K315" s="77" t="str">
        <f t="shared" si="155"/>
        <v>inermis</v>
      </c>
      <c r="L315" s="78">
        <f t="shared" si="155"/>
        <v>7</v>
      </c>
      <c r="M315" s="78">
        <f t="shared" si="155"/>
        <v>3</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52"/>
        <v/>
      </c>
      <c r="AH315" s="57" t="str">
        <f t="shared" si="138"/>
        <v/>
      </c>
      <c r="AI315" s="56"/>
      <c r="AJ315" s="57" t="str">
        <f t="shared" si="139"/>
        <v/>
      </c>
      <c r="AK315" s="56"/>
      <c r="AL315" s="57" t="str">
        <f t="shared" si="140"/>
        <v/>
      </c>
      <c r="AM315" s="56"/>
      <c r="AN315" s="57" t="str">
        <f t="shared" si="141"/>
        <v/>
      </c>
      <c r="AO315" s="56"/>
      <c r="AP315" s="57" t="str">
        <f t="shared" si="142"/>
        <v/>
      </c>
      <c r="AQ315" s="56"/>
      <c r="AR315" s="57" t="str">
        <f t="shared" si="143"/>
        <v/>
      </c>
      <c r="AS315" s="56"/>
      <c r="AT315" s="57" t="str">
        <f t="shared" si="144"/>
        <v/>
      </c>
      <c r="AU315" s="58"/>
      <c r="AV315" s="59"/>
      <c r="AW315" s="59"/>
      <c r="AX315" s="60"/>
      <c r="AY315" s="61" t="str">
        <f t="shared" si="145"/>
        <v/>
      </c>
      <c r="AZ315" s="62" t="str">
        <f t="shared" si="146"/>
        <v/>
      </c>
      <c r="BA315" s="61" t="str">
        <f t="shared" si="147"/>
        <v/>
      </c>
      <c r="BB315" s="62" t="str">
        <f t="shared" si="148"/>
        <v/>
      </c>
    </row>
    <row r="316" spans="1:54" s="3" customFormat="1" hidden="1" x14ac:dyDescent="0.35">
      <c r="A316" s="73">
        <f t="shared" si="126"/>
        <v>2017</v>
      </c>
      <c r="B316" s="73" t="str">
        <f t="shared" si="127"/>
        <v>Nov</v>
      </c>
      <c r="C316" s="74">
        <f t="shared" si="149"/>
        <v>16</v>
      </c>
      <c r="D316" s="75">
        <f t="shared" si="128"/>
        <v>13</v>
      </c>
      <c r="E316" s="76">
        <f t="shared" si="129"/>
        <v>31</v>
      </c>
      <c r="F316" s="80"/>
      <c r="G316" s="83"/>
      <c r="H316" s="69" t="str">
        <f t="shared" si="150"/>
        <v>Lacine7_20171116_13_00</v>
      </c>
      <c r="I316" s="70">
        <f t="shared" si="155"/>
        <v>1</v>
      </c>
      <c r="J316" s="77" t="str">
        <f t="shared" si="155"/>
        <v>Lactuca</v>
      </c>
      <c r="K316" s="77" t="str">
        <f t="shared" si="155"/>
        <v>inermis</v>
      </c>
      <c r="L316" s="78">
        <f t="shared" si="155"/>
        <v>7</v>
      </c>
      <c r="M316" s="78">
        <f t="shared" si="155"/>
        <v>3</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52"/>
        <v/>
      </c>
      <c r="AH316" s="57" t="str">
        <f t="shared" si="138"/>
        <v/>
      </c>
      <c r="AI316" s="56"/>
      <c r="AJ316" s="57" t="str">
        <f t="shared" si="139"/>
        <v/>
      </c>
      <c r="AK316" s="56"/>
      <c r="AL316" s="57" t="str">
        <f t="shared" si="140"/>
        <v/>
      </c>
      <c r="AM316" s="56"/>
      <c r="AN316" s="57" t="str">
        <f t="shared" si="141"/>
        <v/>
      </c>
      <c r="AO316" s="56"/>
      <c r="AP316" s="57" t="str">
        <f t="shared" si="142"/>
        <v/>
      </c>
      <c r="AQ316" s="56"/>
      <c r="AR316" s="57" t="str">
        <f t="shared" si="143"/>
        <v/>
      </c>
      <c r="AS316" s="56"/>
      <c r="AT316" s="57" t="str">
        <f t="shared" si="144"/>
        <v/>
      </c>
      <c r="AU316" s="58"/>
      <c r="AV316" s="59"/>
      <c r="AW316" s="59"/>
      <c r="AX316" s="60"/>
      <c r="AY316" s="61" t="str">
        <f t="shared" si="145"/>
        <v/>
      </c>
      <c r="AZ316" s="62" t="str">
        <f t="shared" si="146"/>
        <v/>
      </c>
      <c r="BA316" s="61" t="str">
        <f t="shared" si="147"/>
        <v/>
      </c>
      <c r="BB316" s="62" t="str">
        <f t="shared" si="148"/>
        <v/>
      </c>
    </row>
    <row r="317" spans="1:54" s="3" customFormat="1" hidden="1" x14ac:dyDescent="0.35">
      <c r="A317" s="73">
        <f t="shared" si="126"/>
        <v>2017</v>
      </c>
      <c r="B317" s="73" t="str">
        <f t="shared" si="127"/>
        <v>Nov</v>
      </c>
      <c r="C317" s="74">
        <f t="shared" si="149"/>
        <v>16</v>
      </c>
      <c r="D317" s="75">
        <f t="shared" si="128"/>
        <v>13</v>
      </c>
      <c r="E317" s="76">
        <f t="shared" si="129"/>
        <v>32</v>
      </c>
      <c r="F317" s="80"/>
      <c r="G317" s="83"/>
      <c r="H317" s="69" t="str">
        <f t="shared" si="150"/>
        <v>Lacine7_20171116_13_00</v>
      </c>
      <c r="I317" s="70">
        <f t="shared" si="155"/>
        <v>1</v>
      </c>
      <c r="J317" s="77" t="str">
        <f t="shared" si="155"/>
        <v>Lactuca</v>
      </c>
      <c r="K317" s="77" t="str">
        <f t="shared" si="155"/>
        <v>inermis</v>
      </c>
      <c r="L317" s="78">
        <f t="shared" si="155"/>
        <v>7</v>
      </c>
      <c r="M317" s="78">
        <f t="shared" si="155"/>
        <v>3</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52"/>
        <v/>
      </c>
      <c r="AH317" s="57" t="str">
        <f t="shared" si="138"/>
        <v/>
      </c>
      <c r="AI317" s="56"/>
      <c r="AJ317" s="57" t="str">
        <f t="shared" si="139"/>
        <v/>
      </c>
      <c r="AK317" s="56"/>
      <c r="AL317" s="57" t="str">
        <f t="shared" si="140"/>
        <v/>
      </c>
      <c r="AM317" s="56"/>
      <c r="AN317" s="57" t="str">
        <f t="shared" si="141"/>
        <v/>
      </c>
      <c r="AO317" s="56"/>
      <c r="AP317" s="57" t="str">
        <f t="shared" si="142"/>
        <v/>
      </c>
      <c r="AQ317" s="56"/>
      <c r="AR317" s="57" t="str">
        <f t="shared" si="143"/>
        <v/>
      </c>
      <c r="AS317" s="56"/>
      <c r="AT317" s="57" t="str">
        <f t="shared" si="144"/>
        <v/>
      </c>
      <c r="AU317" s="58"/>
      <c r="AV317" s="59"/>
      <c r="AW317" s="59"/>
      <c r="AX317" s="60"/>
      <c r="AY317" s="61" t="str">
        <f t="shared" si="145"/>
        <v/>
      </c>
      <c r="AZ317" s="62" t="str">
        <f t="shared" si="146"/>
        <v/>
      </c>
      <c r="BA317" s="61" t="str">
        <f t="shared" si="147"/>
        <v/>
      </c>
      <c r="BB317" s="62" t="str">
        <f t="shared" si="148"/>
        <v/>
      </c>
    </row>
    <row r="318" spans="1:54" s="3" customFormat="1" hidden="1" x14ac:dyDescent="0.35">
      <c r="A318" s="73">
        <f t="shared" si="126"/>
        <v>2017</v>
      </c>
      <c r="B318" s="73" t="str">
        <f t="shared" si="127"/>
        <v>Nov</v>
      </c>
      <c r="C318" s="74">
        <f t="shared" si="149"/>
        <v>16</v>
      </c>
      <c r="D318" s="75">
        <f t="shared" si="128"/>
        <v>13</v>
      </c>
      <c r="E318" s="76">
        <f t="shared" si="129"/>
        <v>33</v>
      </c>
      <c r="F318" s="80"/>
      <c r="G318" s="83"/>
      <c r="H318" s="69" t="str">
        <f t="shared" si="150"/>
        <v>Lacine7_20171116_13_00</v>
      </c>
      <c r="I318" s="70">
        <f t="shared" si="155"/>
        <v>1</v>
      </c>
      <c r="J318" s="77" t="str">
        <f t="shared" si="155"/>
        <v>Lactuca</v>
      </c>
      <c r="K318" s="77" t="str">
        <f t="shared" si="155"/>
        <v>inermis</v>
      </c>
      <c r="L318" s="78">
        <f t="shared" si="155"/>
        <v>7</v>
      </c>
      <c r="M318" s="78">
        <f t="shared" si="155"/>
        <v>3</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52"/>
        <v/>
      </c>
      <c r="AH318" s="57" t="str">
        <f t="shared" si="138"/>
        <v/>
      </c>
      <c r="AI318" s="56"/>
      <c r="AJ318" s="57" t="str">
        <f t="shared" si="139"/>
        <v/>
      </c>
      <c r="AK318" s="56"/>
      <c r="AL318" s="57" t="str">
        <f t="shared" si="140"/>
        <v/>
      </c>
      <c r="AM318" s="56"/>
      <c r="AN318" s="57" t="str">
        <f t="shared" si="141"/>
        <v/>
      </c>
      <c r="AO318" s="56"/>
      <c r="AP318" s="57" t="str">
        <f t="shared" si="142"/>
        <v/>
      </c>
      <c r="AQ318" s="56"/>
      <c r="AR318" s="57" t="str">
        <f t="shared" si="143"/>
        <v/>
      </c>
      <c r="AS318" s="56"/>
      <c r="AT318" s="57" t="str">
        <f t="shared" si="144"/>
        <v/>
      </c>
      <c r="AU318" s="58"/>
      <c r="AV318" s="59"/>
      <c r="AW318" s="59"/>
      <c r="AX318" s="60"/>
      <c r="AY318" s="61" t="str">
        <f t="shared" si="145"/>
        <v/>
      </c>
      <c r="AZ318" s="62" t="str">
        <f t="shared" si="146"/>
        <v/>
      </c>
      <c r="BA318" s="61" t="str">
        <f t="shared" si="147"/>
        <v/>
      </c>
      <c r="BB318" s="62" t="str">
        <f t="shared" si="148"/>
        <v/>
      </c>
    </row>
    <row r="319" spans="1:54" s="3" customFormat="1" hidden="1" x14ac:dyDescent="0.35">
      <c r="A319" s="73">
        <f t="shared" si="126"/>
        <v>2017</v>
      </c>
      <c r="B319" s="73" t="str">
        <f t="shared" si="127"/>
        <v>Nov</v>
      </c>
      <c r="C319" s="74">
        <f t="shared" si="149"/>
        <v>16</v>
      </c>
      <c r="D319" s="75">
        <f t="shared" si="128"/>
        <v>13</v>
      </c>
      <c r="E319" s="76">
        <f t="shared" si="129"/>
        <v>34</v>
      </c>
      <c r="F319" s="80"/>
      <c r="G319" s="83"/>
      <c r="H319" s="69" t="str">
        <f t="shared" si="150"/>
        <v>Lacine7_20171116_13_00</v>
      </c>
      <c r="I319" s="70">
        <f t="shared" si="155"/>
        <v>1</v>
      </c>
      <c r="J319" s="77" t="str">
        <f t="shared" si="155"/>
        <v>Lactuca</v>
      </c>
      <c r="K319" s="77" t="str">
        <f t="shared" si="155"/>
        <v>inermis</v>
      </c>
      <c r="L319" s="78">
        <f t="shared" si="155"/>
        <v>7</v>
      </c>
      <c r="M319" s="78">
        <f t="shared" si="155"/>
        <v>3</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52"/>
        <v/>
      </c>
      <c r="AH319" s="57" t="str">
        <f t="shared" si="138"/>
        <v/>
      </c>
      <c r="AI319" s="56"/>
      <c r="AJ319" s="57" t="str">
        <f t="shared" si="139"/>
        <v/>
      </c>
      <c r="AK319" s="56"/>
      <c r="AL319" s="57" t="str">
        <f t="shared" si="140"/>
        <v/>
      </c>
      <c r="AM319" s="56"/>
      <c r="AN319" s="57" t="str">
        <f t="shared" si="141"/>
        <v/>
      </c>
      <c r="AO319" s="56"/>
      <c r="AP319" s="57" t="str">
        <f t="shared" si="142"/>
        <v/>
      </c>
      <c r="AQ319" s="56"/>
      <c r="AR319" s="57" t="str">
        <f t="shared" si="143"/>
        <v/>
      </c>
      <c r="AS319" s="56"/>
      <c r="AT319" s="57" t="str">
        <f t="shared" si="144"/>
        <v/>
      </c>
      <c r="AU319" s="58"/>
      <c r="AV319" s="59"/>
      <c r="AW319" s="59"/>
      <c r="AX319" s="60"/>
      <c r="AY319" s="61" t="str">
        <f t="shared" si="145"/>
        <v/>
      </c>
      <c r="AZ319" s="62" t="str">
        <f t="shared" si="146"/>
        <v/>
      </c>
      <c r="BA319" s="61" t="str">
        <f t="shared" si="147"/>
        <v/>
      </c>
      <c r="BB319" s="62" t="str">
        <f t="shared" si="148"/>
        <v/>
      </c>
    </row>
    <row r="320" spans="1:54" s="3" customFormat="1" hidden="1" x14ac:dyDescent="0.35">
      <c r="A320" s="73">
        <f t="shared" si="126"/>
        <v>2017</v>
      </c>
      <c r="B320" s="73" t="str">
        <f t="shared" si="127"/>
        <v>Nov</v>
      </c>
      <c r="C320" s="74">
        <f t="shared" si="149"/>
        <v>16</v>
      </c>
      <c r="D320" s="75">
        <f t="shared" si="128"/>
        <v>13</v>
      </c>
      <c r="E320" s="76">
        <f t="shared" si="129"/>
        <v>35</v>
      </c>
      <c r="F320" s="80"/>
      <c r="G320" s="83"/>
      <c r="H320" s="69" t="str">
        <f t="shared" si="150"/>
        <v>Lacine7_20171116_13_00</v>
      </c>
      <c r="I320" s="70">
        <f t="shared" si="155"/>
        <v>1</v>
      </c>
      <c r="J320" s="77" t="str">
        <f t="shared" si="155"/>
        <v>Lactuca</v>
      </c>
      <c r="K320" s="77" t="str">
        <f t="shared" si="155"/>
        <v>inermis</v>
      </c>
      <c r="L320" s="78">
        <f t="shared" si="155"/>
        <v>7</v>
      </c>
      <c r="M320" s="78">
        <f t="shared" si="155"/>
        <v>3</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52"/>
        <v/>
      </c>
      <c r="AH320" s="57" t="str">
        <f t="shared" si="138"/>
        <v/>
      </c>
      <c r="AI320" s="56"/>
      <c r="AJ320" s="57" t="str">
        <f t="shared" si="139"/>
        <v/>
      </c>
      <c r="AK320" s="56"/>
      <c r="AL320" s="57" t="str">
        <f t="shared" si="140"/>
        <v/>
      </c>
      <c r="AM320" s="56"/>
      <c r="AN320" s="57" t="str">
        <f t="shared" si="141"/>
        <v/>
      </c>
      <c r="AO320" s="56"/>
      <c r="AP320" s="57" t="str">
        <f t="shared" si="142"/>
        <v/>
      </c>
      <c r="AQ320" s="56"/>
      <c r="AR320" s="57" t="str">
        <f t="shared" si="143"/>
        <v/>
      </c>
      <c r="AS320" s="56"/>
      <c r="AT320" s="57" t="str">
        <f t="shared" si="144"/>
        <v/>
      </c>
      <c r="AU320" s="58"/>
      <c r="AV320" s="59"/>
      <c r="AW320" s="59"/>
      <c r="AX320" s="60"/>
      <c r="AY320" s="61" t="str">
        <f t="shared" si="145"/>
        <v/>
      </c>
      <c r="AZ320" s="62" t="str">
        <f t="shared" si="146"/>
        <v/>
      </c>
      <c r="BA320" s="61" t="str">
        <f t="shared" si="147"/>
        <v/>
      </c>
      <c r="BB320" s="62" t="str">
        <f t="shared" si="148"/>
        <v/>
      </c>
    </row>
    <row r="321" spans="1:54" s="3" customFormat="1" hidden="1" x14ac:dyDescent="0.35">
      <c r="A321" s="73">
        <f t="shared" si="126"/>
        <v>2017</v>
      </c>
      <c r="B321" s="73" t="str">
        <f t="shared" si="127"/>
        <v>Nov</v>
      </c>
      <c r="C321" s="74">
        <f t="shared" si="149"/>
        <v>16</v>
      </c>
      <c r="D321" s="75">
        <f t="shared" si="128"/>
        <v>13</v>
      </c>
      <c r="E321" s="76">
        <f t="shared" si="129"/>
        <v>36</v>
      </c>
      <c r="F321" s="80"/>
      <c r="G321" s="83"/>
      <c r="H321" s="69" t="str">
        <f t="shared" si="150"/>
        <v>Lacine7_20171116_13_00</v>
      </c>
      <c r="I321" s="70">
        <f t="shared" si="155"/>
        <v>1</v>
      </c>
      <c r="J321" s="77" t="str">
        <f t="shared" si="155"/>
        <v>Lactuca</v>
      </c>
      <c r="K321" s="77" t="str">
        <f t="shared" si="155"/>
        <v>inermis</v>
      </c>
      <c r="L321" s="78">
        <f t="shared" si="155"/>
        <v>7</v>
      </c>
      <c r="M321" s="78">
        <f t="shared" si="155"/>
        <v>3</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52"/>
        <v/>
      </c>
      <c r="AH321" s="57" t="str">
        <f t="shared" si="138"/>
        <v/>
      </c>
      <c r="AI321" s="56"/>
      <c r="AJ321" s="57" t="str">
        <f t="shared" si="139"/>
        <v/>
      </c>
      <c r="AK321" s="56"/>
      <c r="AL321" s="57" t="str">
        <f t="shared" si="140"/>
        <v/>
      </c>
      <c r="AM321" s="56"/>
      <c r="AN321" s="57" t="str">
        <f t="shared" si="141"/>
        <v/>
      </c>
      <c r="AO321" s="56"/>
      <c r="AP321" s="57" t="str">
        <f t="shared" si="142"/>
        <v/>
      </c>
      <c r="AQ321" s="56"/>
      <c r="AR321" s="57" t="str">
        <f t="shared" si="143"/>
        <v/>
      </c>
      <c r="AS321" s="56"/>
      <c r="AT321" s="57" t="str">
        <f t="shared" si="144"/>
        <v/>
      </c>
      <c r="AU321" s="58"/>
      <c r="AV321" s="59"/>
      <c r="AW321" s="59"/>
      <c r="AX321" s="60"/>
      <c r="AY321" s="61" t="str">
        <f t="shared" si="145"/>
        <v/>
      </c>
      <c r="AZ321" s="62" t="str">
        <f t="shared" si="146"/>
        <v/>
      </c>
      <c r="BA321" s="61" t="str">
        <f t="shared" si="147"/>
        <v/>
      </c>
      <c r="BB321" s="62" t="str">
        <f t="shared" si="148"/>
        <v/>
      </c>
    </row>
    <row r="322" spans="1:54" s="3" customFormat="1" hidden="1" x14ac:dyDescent="0.35">
      <c r="A322" s="73">
        <f t="shared" si="126"/>
        <v>2017</v>
      </c>
      <c r="B322" s="73" t="str">
        <f t="shared" si="127"/>
        <v>Nov</v>
      </c>
      <c r="C322" s="74">
        <f t="shared" si="149"/>
        <v>16</v>
      </c>
      <c r="D322" s="75">
        <f t="shared" si="128"/>
        <v>13</v>
      </c>
      <c r="E322" s="76">
        <f t="shared" si="129"/>
        <v>37</v>
      </c>
      <c r="F322" s="80"/>
      <c r="G322" s="83"/>
      <c r="H322" s="69" t="str">
        <f t="shared" si="150"/>
        <v>Lacine7_20171116_13_00</v>
      </c>
      <c r="I322" s="70">
        <f t="shared" si="155"/>
        <v>1</v>
      </c>
      <c r="J322" s="77" t="str">
        <f t="shared" si="155"/>
        <v>Lactuca</v>
      </c>
      <c r="K322" s="77" t="str">
        <f t="shared" si="155"/>
        <v>inermis</v>
      </c>
      <c r="L322" s="78">
        <f t="shared" si="155"/>
        <v>7</v>
      </c>
      <c r="M322" s="78">
        <f t="shared" si="155"/>
        <v>3</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52"/>
        <v/>
      </c>
      <c r="AH322" s="57" t="str">
        <f t="shared" si="138"/>
        <v/>
      </c>
      <c r="AI322" s="56"/>
      <c r="AJ322" s="57" t="str">
        <f t="shared" si="139"/>
        <v/>
      </c>
      <c r="AK322" s="56"/>
      <c r="AL322" s="57" t="str">
        <f t="shared" si="140"/>
        <v/>
      </c>
      <c r="AM322" s="56"/>
      <c r="AN322" s="57" t="str">
        <f t="shared" si="141"/>
        <v/>
      </c>
      <c r="AO322" s="56"/>
      <c r="AP322" s="57" t="str">
        <f t="shared" si="142"/>
        <v/>
      </c>
      <c r="AQ322" s="56"/>
      <c r="AR322" s="57" t="str">
        <f t="shared" si="143"/>
        <v/>
      </c>
      <c r="AS322" s="56"/>
      <c r="AT322" s="57" t="str">
        <f t="shared" si="144"/>
        <v/>
      </c>
      <c r="AU322" s="58"/>
      <c r="AV322" s="59"/>
      <c r="AW322" s="59"/>
      <c r="AX322" s="60"/>
      <c r="AY322" s="61" t="str">
        <f t="shared" si="145"/>
        <v/>
      </c>
      <c r="AZ322" s="62" t="str">
        <f t="shared" si="146"/>
        <v/>
      </c>
      <c r="BA322" s="61" t="str">
        <f t="shared" si="147"/>
        <v/>
      </c>
      <c r="BB322" s="62" t="str">
        <f t="shared" si="148"/>
        <v/>
      </c>
    </row>
    <row r="323" spans="1:54" s="3" customFormat="1" hidden="1" x14ac:dyDescent="0.35">
      <c r="A323" s="73">
        <f t="shared" si="126"/>
        <v>2017</v>
      </c>
      <c r="B323" s="73" t="str">
        <f t="shared" si="127"/>
        <v>Nov</v>
      </c>
      <c r="C323" s="74">
        <f t="shared" si="149"/>
        <v>16</v>
      </c>
      <c r="D323" s="75">
        <f t="shared" si="128"/>
        <v>13</v>
      </c>
      <c r="E323" s="76">
        <f t="shared" si="129"/>
        <v>38</v>
      </c>
      <c r="F323" s="80"/>
      <c r="G323" s="83"/>
      <c r="H323" s="69" t="str">
        <f t="shared" si="150"/>
        <v>Lacine7_20171116_13_00</v>
      </c>
      <c r="I323" s="70">
        <f t="shared" si="155"/>
        <v>1</v>
      </c>
      <c r="J323" s="77" t="str">
        <f t="shared" si="155"/>
        <v>Lactuca</v>
      </c>
      <c r="K323" s="77" t="str">
        <f t="shared" si="155"/>
        <v>inermis</v>
      </c>
      <c r="L323" s="78">
        <f t="shared" si="155"/>
        <v>7</v>
      </c>
      <c r="M323" s="78">
        <f t="shared" si="155"/>
        <v>3</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52"/>
        <v/>
      </c>
      <c r="AH323" s="57" t="str">
        <f t="shared" si="138"/>
        <v/>
      </c>
      <c r="AI323" s="56"/>
      <c r="AJ323" s="57" t="str">
        <f t="shared" si="139"/>
        <v/>
      </c>
      <c r="AK323" s="56"/>
      <c r="AL323" s="57" t="str">
        <f t="shared" si="140"/>
        <v/>
      </c>
      <c r="AM323" s="56"/>
      <c r="AN323" s="57" t="str">
        <f t="shared" si="141"/>
        <v/>
      </c>
      <c r="AO323" s="56"/>
      <c r="AP323" s="57" t="str">
        <f t="shared" si="142"/>
        <v/>
      </c>
      <c r="AQ323" s="56"/>
      <c r="AR323" s="57" t="str">
        <f t="shared" si="143"/>
        <v/>
      </c>
      <c r="AS323" s="56"/>
      <c r="AT323" s="57" t="str">
        <f t="shared" si="144"/>
        <v/>
      </c>
      <c r="AU323" s="58"/>
      <c r="AV323" s="59"/>
      <c r="AW323" s="59"/>
      <c r="AX323" s="60"/>
      <c r="AY323" s="61" t="str">
        <f t="shared" si="145"/>
        <v/>
      </c>
      <c r="AZ323" s="62" t="str">
        <f t="shared" si="146"/>
        <v/>
      </c>
      <c r="BA323" s="61" t="str">
        <f t="shared" si="147"/>
        <v/>
      </c>
      <c r="BB323" s="62" t="str">
        <f t="shared" si="148"/>
        <v/>
      </c>
    </row>
    <row r="324" spans="1:54" s="3" customFormat="1" hidden="1" x14ac:dyDescent="0.35">
      <c r="A324" s="73">
        <f t="shared" ref="A324:A387" si="157">A323</f>
        <v>2017</v>
      </c>
      <c r="B324" s="73" t="str">
        <f t="shared" ref="B324:B387" si="158">IF(C323-C324&gt;0, TEXT(DATE(2016,(MONTH(DATEVALUE(B323&amp;"1"))+1),1),"mmm"), B323)</f>
        <v>Nov</v>
      </c>
      <c r="C324" s="74">
        <f t="shared" si="149"/>
        <v>16</v>
      </c>
      <c r="D324" s="75">
        <f t="shared" ref="D324:D387" si="159">IF(IF(E323=59,D323+1,D323)=24,0,IF(E323=59,D323+1,D323))</f>
        <v>13</v>
      </c>
      <c r="E324" s="76">
        <f t="shared" ref="E324:E387" si="160">IF(E323&lt;59,E323+1,0)</f>
        <v>39</v>
      </c>
      <c r="F324" s="80"/>
      <c r="G324" s="83"/>
      <c r="H324" s="69" t="str">
        <f t="shared" si="150"/>
        <v>Lacine7_20171116_13_00</v>
      </c>
      <c r="I324" s="70">
        <f t="shared" si="155"/>
        <v>1</v>
      </c>
      <c r="J324" s="77" t="str">
        <f t="shared" si="155"/>
        <v>Lactuca</v>
      </c>
      <c r="K324" s="77" t="str">
        <f t="shared" si="155"/>
        <v>inermis</v>
      </c>
      <c r="L324" s="78">
        <f t="shared" si="155"/>
        <v>7</v>
      </c>
      <c r="M324" s="78">
        <f t="shared" si="155"/>
        <v>3</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2017</v>
      </c>
      <c r="B325" s="73" t="str">
        <f t="shared" si="158"/>
        <v>Nov</v>
      </c>
      <c r="C325" s="74">
        <f t="shared" ref="C325:C388" si="181">IF(AND(D325=0, E325=0), IF(TEXT(C324,"dd")=TEXT(EOMONTH(DATE(A324,MONTH(DATEVALUE(B324&amp;"1")),C324),0), "dd"), 1, C324+1), C324)</f>
        <v>16</v>
      </c>
      <c r="D325" s="75">
        <f t="shared" si="159"/>
        <v>13</v>
      </c>
      <c r="E325" s="76">
        <f t="shared" si="160"/>
        <v>40</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Lacine7_20171116_13_00</v>
      </c>
      <c r="I325" s="70">
        <f t="shared" ref="I325:N340" si="183">I324</f>
        <v>1</v>
      </c>
      <c r="J325" s="77" t="str">
        <f t="shared" si="183"/>
        <v>Lactuca</v>
      </c>
      <c r="K325" s="77" t="str">
        <f t="shared" si="183"/>
        <v>inermis</v>
      </c>
      <c r="L325" s="78">
        <f t="shared" si="183"/>
        <v>7</v>
      </c>
      <c r="M325" s="78">
        <f t="shared" si="183"/>
        <v>3</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2017</v>
      </c>
      <c r="B326" s="73" t="str">
        <f t="shared" si="158"/>
        <v>Nov</v>
      </c>
      <c r="C326" s="74">
        <f t="shared" si="181"/>
        <v>16</v>
      </c>
      <c r="D326" s="75">
        <f t="shared" si="159"/>
        <v>13</v>
      </c>
      <c r="E326" s="76">
        <f t="shared" si="160"/>
        <v>41</v>
      </c>
      <c r="F326" s="80"/>
      <c r="G326" s="83"/>
      <c r="H326" s="69" t="str">
        <f t="shared" si="182"/>
        <v>Lacine7_20171116_13_00</v>
      </c>
      <c r="I326" s="70">
        <f t="shared" si="183"/>
        <v>1</v>
      </c>
      <c r="J326" s="77" t="str">
        <f t="shared" si="183"/>
        <v>Lactuca</v>
      </c>
      <c r="K326" s="77" t="str">
        <f t="shared" si="183"/>
        <v>inermis</v>
      </c>
      <c r="L326" s="78">
        <f t="shared" si="183"/>
        <v>7</v>
      </c>
      <c r="M326" s="78">
        <f t="shared" si="183"/>
        <v>3</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2017</v>
      </c>
      <c r="B327" s="73" t="str">
        <f t="shared" si="158"/>
        <v>Nov</v>
      </c>
      <c r="C327" s="74">
        <f t="shared" si="181"/>
        <v>16</v>
      </c>
      <c r="D327" s="75">
        <f t="shared" si="159"/>
        <v>13</v>
      </c>
      <c r="E327" s="76">
        <f t="shared" si="160"/>
        <v>42</v>
      </c>
      <c r="F327" s="80"/>
      <c r="G327" s="83"/>
      <c r="H327" s="69" t="str">
        <f t="shared" si="182"/>
        <v>Lacine7_20171116_13_00</v>
      </c>
      <c r="I327" s="70">
        <f t="shared" si="183"/>
        <v>1</v>
      </c>
      <c r="J327" s="77" t="str">
        <f t="shared" si="183"/>
        <v>Lactuca</v>
      </c>
      <c r="K327" s="77" t="str">
        <f t="shared" si="183"/>
        <v>inermis</v>
      </c>
      <c r="L327" s="78">
        <f t="shared" si="183"/>
        <v>7</v>
      </c>
      <c r="M327" s="78">
        <f t="shared" si="183"/>
        <v>3</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2017</v>
      </c>
      <c r="B328" s="73" t="str">
        <f t="shared" si="158"/>
        <v>Nov</v>
      </c>
      <c r="C328" s="74">
        <f t="shared" si="181"/>
        <v>16</v>
      </c>
      <c r="D328" s="75">
        <f t="shared" si="159"/>
        <v>13</v>
      </c>
      <c r="E328" s="76">
        <f t="shared" si="160"/>
        <v>43</v>
      </c>
      <c r="F328" s="80"/>
      <c r="G328" s="83"/>
      <c r="H328" s="69" t="str">
        <f t="shared" si="182"/>
        <v>Lacine7_20171116_13_00</v>
      </c>
      <c r="I328" s="70">
        <f t="shared" si="183"/>
        <v>1</v>
      </c>
      <c r="J328" s="77" t="str">
        <f t="shared" si="183"/>
        <v>Lactuca</v>
      </c>
      <c r="K328" s="77" t="str">
        <f t="shared" si="183"/>
        <v>inermis</v>
      </c>
      <c r="L328" s="78">
        <f t="shared" si="183"/>
        <v>7</v>
      </c>
      <c r="M328" s="78">
        <f t="shared" si="183"/>
        <v>3</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2017</v>
      </c>
      <c r="B329" s="73" t="str">
        <f t="shared" si="158"/>
        <v>Nov</v>
      </c>
      <c r="C329" s="74">
        <f t="shared" si="181"/>
        <v>16</v>
      </c>
      <c r="D329" s="75">
        <f t="shared" si="159"/>
        <v>13</v>
      </c>
      <c r="E329" s="76">
        <f t="shared" si="160"/>
        <v>44</v>
      </c>
      <c r="F329" s="80"/>
      <c r="G329" s="83"/>
      <c r="H329" s="69" t="str">
        <f t="shared" si="182"/>
        <v>Lacine7_20171116_13_00</v>
      </c>
      <c r="I329" s="70">
        <f t="shared" si="183"/>
        <v>1</v>
      </c>
      <c r="J329" s="77" t="str">
        <f t="shared" si="183"/>
        <v>Lactuca</v>
      </c>
      <c r="K329" s="77" t="str">
        <f t="shared" si="183"/>
        <v>inermis</v>
      </c>
      <c r="L329" s="78">
        <f t="shared" si="183"/>
        <v>7</v>
      </c>
      <c r="M329" s="78">
        <f t="shared" si="183"/>
        <v>3</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2017</v>
      </c>
      <c r="B330" s="73" t="str">
        <f t="shared" si="158"/>
        <v>Nov</v>
      </c>
      <c r="C330" s="74">
        <f t="shared" si="181"/>
        <v>16</v>
      </c>
      <c r="D330" s="75">
        <f t="shared" si="159"/>
        <v>13</v>
      </c>
      <c r="E330" s="76">
        <f t="shared" si="160"/>
        <v>45</v>
      </c>
      <c r="F330" s="80"/>
      <c r="G330" s="83"/>
      <c r="H330" s="69" t="str">
        <f t="shared" si="182"/>
        <v>Lacine7_20171116_13_00</v>
      </c>
      <c r="I330" s="70">
        <f t="shared" si="183"/>
        <v>1</v>
      </c>
      <c r="J330" s="77" t="str">
        <f t="shared" si="183"/>
        <v>Lactuca</v>
      </c>
      <c r="K330" s="77" t="str">
        <f t="shared" si="183"/>
        <v>inermis</v>
      </c>
      <c r="L330" s="78">
        <f t="shared" si="183"/>
        <v>7</v>
      </c>
      <c r="M330" s="78">
        <f t="shared" si="183"/>
        <v>3</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2017</v>
      </c>
      <c r="B331" s="73" t="str">
        <f t="shared" si="158"/>
        <v>Nov</v>
      </c>
      <c r="C331" s="74">
        <f t="shared" si="181"/>
        <v>16</v>
      </c>
      <c r="D331" s="75">
        <f t="shared" si="159"/>
        <v>13</v>
      </c>
      <c r="E331" s="76">
        <f t="shared" si="160"/>
        <v>46</v>
      </c>
      <c r="F331" s="80"/>
      <c r="G331" s="83"/>
      <c r="H331" s="69" t="str">
        <f t="shared" si="182"/>
        <v>Lacine7_20171116_13_00</v>
      </c>
      <c r="I331" s="70">
        <f t="shared" si="183"/>
        <v>1</v>
      </c>
      <c r="J331" s="77" t="str">
        <f t="shared" si="183"/>
        <v>Lactuca</v>
      </c>
      <c r="K331" s="77" t="str">
        <f t="shared" si="183"/>
        <v>inermis</v>
      </c>
      <c r="L331" s="78">
        <f t="shared" si="183"/>
        <v>7</v>
      </c>
      <c r="M331" s="78">
        <f t="shared" si="183"/>
        <v>3</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2017</v>
      </c>
      <c r="B332" s="73" t="str">
        <f t="shared" si="158"/>
        <v>Nov</v>
      </c>
      <c r="C332" s="74">
        <f t="shared" si="181"/>
        <v>16</v>
      </c>
      <c r="D332" s="75">
        <f t="shared" si="159"/>
        <v>13</v>
      </c>
      <c r="E332" s="76">
        <f t="shared" si="160"/>
        <v>47</v>
      </c>
      <c r="F332" s="80"/>
      <c r="G332" s="83"/>
      <c r="H332" s="69" t="str">
        <f t="shared" si="182"/>
        <v>Lacine7_20171116_13_00</v>
      </c>
      <c r="I332" s="70">
        <f t="shared" si="183"/>
        <v>1</v>
      </c>
      <c r="J332" s="77" t="str">
        <f t="shared" si="183"/>
        <v>Lactuca</v>
      </c>
      <c r="K332" s="77" t="str">
        <f t="shared" si="183"/>
        <v>inermis</v>
      </c>
      <c r="L332" s="78">
        <f t="shared" si="183"/>
        <v>7</v>
      </c>
      <c r="M332" s="78">
        <f t="shared" si="183"/>
        <v>3</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2017</v>
      </c>
      <c r="B333" s="73" t="str">
        <f t="shared" si="158"/>
        <v>Nov</v>
      </c>
      <c r="C333" s="74">
        <f t="shared" si="181"/>
        <v>16</v>
      </c>
      <c r="D333" s="75">
        <f t="shared" si="159"/>
        <v>13</v>
      </c>
      <c r="E333" s="76">
        <f t="shared" si="160"/>
        <v>48</v>
      </c>
      <c r="F333" s="80"/>
      <c r="G333" s="83"/>
      <c r="H333" s="69" t="str">
        <f t="shared" si="182"/>
        <v>Lacine7_20171116_13_00</v>
      </c>
      <c r="I333" s="70">
        <f t="shared" si="183"/>
        <v>1</v>
      </c>
      <c r="J333" s="77" t="str">
        <f t="shared" si="183"/>
        <v>Lactuca</v>
      </c>
      <c r="K333" s="77" t="str">
        <f t="shared" si="183"/>
        <v>inermis</v>
      </c>
      <c r="L333" s="78">
        <f t="shared" si="183"/>
        <v>7</v>
      </c>
      <c r="M333" s="78">
        <f t="shared" si="183"/>
        <v>3</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x14ac:dyDescent="0.35">
      <c r="A334" s="73">
        <f t="shared" si="157"/>
        <v>2017</v>
      </c>
      <c r="B334" s="73" t="str">
        <f t="shared" si="158"/>
        <v>Nov</v>
      </c>
      <c r="C334" s="74">
        <f t="shared" si="181"/>
        <v>16</v>
      </c>
      <c r="D334" s="75">
        <f t="shared" si="159"/>
        <v>13</v>
      </c>
      <c r="E334" s="76">
        <f t="shared" si="160"/>
        <v>49</v>
      </c>
      <c r="F334" s="80">
        <v>45</v>
      </c>
      <c r="G334" s="83"/>
      <c r="H334" s="69" t="str">
        <f t="shared" si="182"/>
        <v>Lacine7_20171116_13_00</v>
      </c>
      <c r="I334" s="70">
        <f t="shared" si="183"/>
        <v>1</v>
      </c>
      <c r="J334" s="77" t="str">
        <f t="shared" si="183"/>
        <v>Lactuca</v>
      </c>
      <c r="K334" s="77" t="str">
        <f t="shared" si="183"/>
        <v>inermis</v>
      </c>
      <c r="L334" s="78">
        <f t="shared" si="183"/>
        <v>7</v>
      </c>
      <c r="M334" s="78">
        <f t="shared" si="183"/>
        <v>3</v>
      </c>
      <c r="N334" s="72">
        <f t="shared" si="183"/>
        <v>0</v>
      </c>
      <c r="O334" s="45"/>
      <c r="P334" s="46">
        <f t="shared" si="161"/>
        <v>1</v>
      </c>
      <c r="Q334" s="47" t="str">
        <f t="shared" si="162"/>
        <v>13:49:45</v>
      </c>
      <c r="R334" s="48" t="str">
        <f t="shared" si="163"/>
        <v>49:45</v>
      </c>
      <c r="S334" s="49">
        <f t="shared" si="156"/>
        <v>92</v>
      </c>
      <c r="T334" s="48" t="str">
        <f t="shared" si="164"/>
        <v>13</v>
      </c>
      <c r="U334" s="50">
        <v>51</v>
      </c>
      <c r="V334" s="51">
        <v>17</v>
      </c>
      <c r="W334" s="52" t="str">
        <f t="shared" si="165"/>
        <v>51:17</v>
      </c>
      <c r="X334" s="53" t="s">
        <v>59</v>
      </c>
      <c r="Y334" s="126" t="s">
        <v>67</v>
      </c>
      <c r="Z334" s="126"/>
      <c r="AA334" s="48" t="s">
        <v>60</v>
      </c>
      <c r="AB334" s="48" t="str">
        <f t="shared" si="166"/>
        <v>NA</v>
      </c>
      <c r="AC334" s="54">
        <f t="shared" si="167"/>
        <v>0</v>
      </c>
      <c r="AD334" s="55">
        <v>2</v>
      </c>
      <c r="AE334" s="55"/>
      <c r="AF334" s="55"/>
      <c r="AG334" s="56">
        <v>1</v>
      </c>
      <c r="AH334" s="57">
        <v>42</v>
      </c>
      <c r="AI334" s="56"/>
      <c r="AJ334" s="57" t="str">
        <f t="shared" si="171"/>
        <v/>
      </c>
      <c r="AK334" s="56">
        <v>1</v>
      </c>
      <c r="AL334" s="57">
        <v>20</v>
      </c>
      <c r="AM334" s="56">
        <v>1</v>
      </c>
      <c r="AN334" s="57">
        <v>30</v>
      </c>
      <c r="AO334" s="56"/>
      <c r="AP334" s="57" t="str">
        <f t="shared" si="174"/>
        <v/>
      </c>
      <c r="AQ334" s="56"/>
      <c r="AR334" s="57" t="str">
        <f t="shared" si="175"/>
        <v/>
      </c>
      <c r="AS334" s="56"/>
      <c r="AT334" s="57" t="str">
        <f t="shared" si="176"/>
        <v/>
      </c>
      <c r="AU334" s="58"/>
      <c r="AV334" s="59"/>
      <c r="AW334" s="59"/>
      <c r="AX334" s="60"/>
      <c r="AY334" s="61">
        <v>1</v>
      </c>
      <c r="AZ334" s="62">
        <v>1</v>
      </c>
      <c r="BA334" s="61">
        <v>1</v>
      </c>
      <c r="BB334" s="62">
        <v>1</v>
      </c>
    </row>
    <row r="335" spans="1:54" s="3" customFormat="1" hidden="1" x14ac:dyDescent="0.35">
      <c r="A335" s="73">
        <f t="shared" si="157"/>
        <v>2017</v>
      </c>
      <c r="B335" s="73" t="str">
        <f t="shared" si="158"/>
        <v>Nov</v>
      </c>
      <c r="C335" s="74">
        <f t="shared" si="181"/>
        <v>16</v>
      </c>
      <c r="D335" s="75">
        <f t="shared" si="159"/>
        <v>13</v>
      </c>
      <c r="E335" s="76">
        <f t="shared" si="160"/>
        <v>50</v>
      </c>
      <c r="F335" s="80"/>
      <c r="G335" s="83"/>
      <c r="H335" s="69" t="str">
        <f t="shared" si="182"/>
        <v>Lacine7_20171116_13_00</v>
      </c>
      <c r="I335" s="70">
        <f t="shared" si="183"/>
        <v>1</v>
      </c>
      <c r="J335" s="77" t="str">
        <f t="shared" si="183"/>
        <v>Lactuca</v>
      </c>
      <c r="K335" s="77" t="str">
        <f t="shared" si="183"/>
        <v>inermis</v>
      </c>
      <c r="L335" s="78">
        <f t="shared" si="183"/>
        <v>7</v>
      </c>
      <c r="M335" s="78">
        <v>2</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2017</v>
      </c>
      <c r="B336" s="73" t="str">
        <f t="shared" si="158"/>
        <v>Nov</v>
      </c>
      <c r="C336" s="74">
        <f t="shared" si="181"/>
        <v>16</v>
      </c>
      <c r="D336" s="75">
        <f t="shared" si="159"/>
        <v>13</v>
      </c>
      <c r="E336" s="76">
        <f t="shared" si="160"/>
        <v>51</v>
      </c>
      <c r="F336" s="80"/>
      <c r="G336" s="83"/>
      <c r="H336" s="69" t="str">
        <f t="shared" si="182"/>
        <v>Lacine7_20171116_13_00</v>
      </c>
      <c r="I336" s="70">
        <f t="shared" si="183"/>
        <v>1</v>
      </c>
      <c r="J336" s="77" t="str">
        <f t="shared" si="183"/>
        <v>Lactuca</v>
      </c>
      <c r="K336" s="77" t="str">
        <f t="shared" si="183"/>
        <v>inermis</v>
      </c>
      <c r="L336" s="78">
        <f t="shared" si="183"/>
        <v>7</v>
      </c>
      <c r="M336" s="78">
        <f t="shared" si="183"/>
        <v>2</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2017</v>
      </c>
      <c r="B337" s="73" t="str">
        <f t="shared" si="158"/>
        <v>Nov</v>
      </c>
      <c r="C337" s="74">
        <f t="shared" si="181"/>
        <v>16</v>
      </c>
      <c r="D337" s="75">
        <f t="shared" si="159"/>
        <v>13</v>
      </c>
      <c r="E337" s="76">
        <f t="shared" si="160"/>
        <v>52</v>
      </c>
      <c r="F337" s="80"/>
      <c r="G337" s="83"/>
      <c r="H337" s="69" t="str">
        <f t="shared" si="182"/>
        <v>Lacine7_20171116_13_00</v>
      </c>
      <c r="I337" s="70">
        <f t="shared" si="183"/>
        <v>1</v>
      </c>
      <c r="J337" s="77" t="str">
        <f t="shared" si="183"/>
        <v>Lactuca</v>
      </c>
      <c r="K337" s="77" t="str">
        <f t="shared" si="183"/>
        <v>inermis</v>
      </c>
      <c r="L337" s="78">
        <f t="shared" si="183"/>
        <v>7</v>
      </c>
      <c r="M337" s="78">
        <f t="shared" si="183"/>
        <v>2</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2017</v>
      </c>
      <c r="B338" s="73" t="str">
        <f t="shared" si="158"/>
        <v>Nov</v>
      </c>
      <c r="C338" s="74">
        <f t="shared" si="181"/>
        <v>16</v>
      </c>
      <c r="D338" s="75">
        <f t="shared" si="159"/>
        <v>13</v>
      </c>
      <c r="E338" s="76">
        <f t="shared" si="160"/>
        <v>53</v>
      </c>
      <c r="F338" s="80"/>
      <c r="G338" s="83"/>
      <c r="H338" s="69" t="str">
        <f t="shared" si="182"/>
        <v>Lacine7_20171116_13_00</v>
      </c>
      <c r="I338" s="70">
        <f t="shared" si="183"/>
        <v>1</v>
      </c>
      <c r="J338" s="77" t="str">
        <f t="shared" si="183"/>
        <v>Lactuca</v>
      </c>
      <c r="K338" s="77" t="str">
        <f t="shared" si="183"/>
        <v>inermis</v>
      </c>
      <c r="L338" s="78">
        <f t="shared" si="183"/>
        <v>7</v>
      </c>
      <c r="M338" s="78">
        <f t="shared" si="183"/>
        <v>2</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2017</v>
      </c>
      <c r="B339" s="73" t="str">
        <f t="shared" si="158"/>
        <v>Nov</v>
      </c>
      <c r="C339" s="74">
        <f t="shared" si="181"/>
        <v>16</v>
      </c>
      <c r="D339" s="75">
        <f t="shared" si="159"/>
        <v>13</v>
      </c>
      <c r="E339" s="76">
        <f t="shared" si="160"/>
        <v>54</v>
      </c>
      <c r="F339" s="80"/>
      <c r="G339" s="83"/>
      <c r="H339" s="69" t="str">
        <f t="shared" si="182"/>
        <v>Lacine7_20171116_13_00</v>
      </c>
      <c r="I339" s="70">
        <f t="shared" si="183"/>
        <v>1</v>
      </c>
      <c r="J339" s="77" t="str">
        <f t="shared" si="183"/>
        <v>Lactuca</v>
      </c>
      <c r="K339" s="77" t="str">
        <f t="shared" si="183"/>
        <v>inermis</v>
      </c>
      <c r="L339" s="78">
        <f t="shared" si="183"/>
        <v>7</v>
      </c>
      <c r="M339" s="78">
        <f t="shared" si="183"/>
        <v>2</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2017</v>
      </c>
      <c r="B340" s="73" t="str">
        <f t="shared" si="158"/>
        <v>Nov</v>
      </c>
      <c r="C340" s="74">
        <f t="shared" si="181"/>
        <v>16</v>
      </c>
      <c r="D340" s="75">
        <f t="shared" si="159"/>
        <v>13</v>
      </c>
      <c r="E340" s="76">
        <f t="shared" si="160"/>
        <v>55</v>
      </c>
      <c r="F340" s="80"/>
      <c r="G340" s="83"/>
      <c r="H340" s="69" t="str">
        <f t="shared" si="182"/>
        <v>Lacine7_20171116_13_00</v>
      </c>
      <c r="I340" s="70">
        <f t="shared" si="183"/>
        <v>1</v>
      </c>
      <c r="J340" s="77" t="str">
        <f t="shared" si="183"/>
        <v>Lactuca</v>
      </c>
      <c r="K340" s="77" t="str">
        <f t="shared" si="183"/>
        <v>inermis</v>
      </c>
      <c r="L340" s="78">
        <f t="shared" si="183"/>
        <v>7</v>
      </c>
      <c r="M340" s="78">
        <f t="shared" si="183"/>
        <v>2</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2017</v>
      </c>
      <c r="B341" s="73" t="str">
        <f t="shared" si="158"/>
        <v>Nov</v>
      </c>
      <c r="C341" s="74">
        <f t="shared" si="181"/>
        <v>16</v>
      </c>
      <c r="D341" s="75">
        <f t="shared" si="159"/>
        <v>13</v>
      </c>
      <c r="E341" s="76">
        <f t="shared" si="160"/>
        <v>56</v>
      </c>
      <c r="F341" s="80"/>
      <c r="G341" s="83"/>
      <c r="H341" s="69" t="str">
        <f t="shared" si="182"/>
        <v>Lacine7_20171116_13_00</v>
      </c>
      <c r="I341" s="70">
        <f t="shared" ref="I341:N356" si="184">I340</f>
        <v>1</v>
      </c>
      <c r="J341" s="77" t="str">
        <f t="shared" si="184"/>
        <v>Lactuca</v>
      </c>
      <c r="K341" s="77" t="str">
        <f t="shared" si="184"/>
        <v>inermis</v>
      </c>
      <c r="L341" s="78">
        <f t="shared" si="184"/>
        <v>7</v>
      </c>
      <c r="M341" s="78">
        <f t="shared" si="184"/>
        <v>2</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2017</v>
      </c>
      <c r="B342" s="73" t="str">
        <f t="shared" si="158"/>
        <v>Nov</v>
      </c>
      <c r="C342" s="74">
        <f t="shared" si="181"/>
        <v>16</v>
      </c>
      <c r="D342" s="75">
        <f t="shared" si="159"/>
        <v>13</v>
      </c>
      <c r="E342" s="76">
        <f t="shared" si="160"/>
        <v>57</v>
      </c>
      <c r="F342" s="80"/>
      <c r="G342" s="83"/>
      <c r="H342" s="69" t="str">
        <f t="shared" si="182"/>
        <v>Lacine7_20171116_13_00</v>
      </c>
      <c r="I342" s="70">
        <f t="shared" si="184"/>
        <v>1</v>
      </c>
      <c r="J342" s="77" t="str">
        <f t="shared" si="184"/>
        <v>Lactuca</v>
      </c>
      <c r="K342" s="77" t="str">
        <f t="shared" si="184"/>
        <v>inermis</v>
      </c>
      <c r="L342" s="78">
        <f t="shared" si="184"/>
        <v>7</v>
      </c>
      <c r="M342" s="78">
        <f t="shared" si="184"/>
        <v>2</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2017</v>
      </c>
      <c r="B343" s="73" t="str">
        <f t="shared" si="158"/>
        <v>Nov</v>
      </c>
      <c r="C343" s="74">
        <f t="shared" si="181"/>
        <v>16</v>
      </c>
      <c r="D343" s="75">
        <f t="shared" si="159"/>
        <v>13</v>
      </c>
      <c r="E343" s="76">
        <f t="shared" si="160"/>
        <v>58</v>
      </c>
      <c r="F343" s="80"/>
      <c r="G343" s="83"/>
      <c r="H343" s="69" t="str">
        <f t="shared" si="182"/>
        <v>Lacine7_20171116_13_00</v>
      </c>
      <c r="I343" s="70">
        <f t="shared" si="184"/>
        <v>1</v>
      </c>
      <c r="J343" s="77" t="str">
        <f t="shared" si="184"/>
        <v>Lactuca</v>
      </c>
      <c r="K343" s="77" t="str">
        <f t="shared" si="184"/>
        <v>inermis</v>
      </c>
      <c r="L343" s="78">
        <f t="shared" si="184"/>
        <v>7</v>
      </c>
      <c r="M343" s="78">
        <f t="shared" si="184"/>
        <v>2</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2017</v>
      </c>
      <c r="B344" s="73" t="str">
        <f t="shared" si="158"/>
        <v>Nov</v>
      </c>
      <c r="C344" s="74">
        <f t="shared" si="181"/>
        <v>16</v>
      </c>
      <c r="D344" s="75">
        <f t="shared" si="159"/>
        <v>13</v>
      </c>
      <c r="E344" s="76">
        <f t="shared" si="160"/>
        <v>59</v>
      </c>
      <c r="F344" s="80"/>
      <c r="G344" s="83"/>
      <c r="H344" s="69" t="str">
        <f t="shared" si="182"/>
        <v>Lacine7_20171116_13_00</v>
      </c>
      <c r="I344" s="70">
        <f t="shared" si="184"/>
        <v>1</v>
      </c>
      <c r="J344" s="77" t="str">
        <f t="shared" si="184"/>
        <v>Lactuca</v>
      </c>
      <c r="K344" s="77" t="str">
        <f t="shared" si="184"/>
        <v>inermis</v>
      </c>
      <c r="L344" s="78">
        <f t="shared" si="184"/>
        <v>7</v>
      </c>
      <c r="M344" s="78">
        <f t="shared" si="184"/>
        <v>2</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2017</v>
      </c>
      <c r="B345" s="73" t="str">
        <f t="shared" si="158"/>
        <v>Nov</v>
      </c>
      <c r="C345" s="74">
        <f t="shared" si="181"/>
        <v>16</v>
      </c>
      <c r="D345" s="75">
        <f t="shared" si="159"/>
        <v>14</v>
      </c>
      <c r="E345" s="76">
        <f t="shared" si="160"/>
        <v>0</v>
      </c>
      <c r="F345" s="80"/>
      <c r="G345" s="83"/>
      <c r="H345" s="69" t="str">
        <f t="shared" si="182"/>
        <v>Lacine7_20171116_14_00</v>
      </c>
      <c r="I345" s="70">
        <f t="shared" si="184"/>
        <v>1</v>
      </c>
      <c r="J345" s="77" t="str">
        <f t="shared" si="184"/>
        <v>Lactuca</v>
      </c>
      <c r="K345" s="77" t="str">
        <f t="shared" si="184"/>
        <v>inermis</v>
      </c>
      <c r="L345" s="78">
        <f t="shared" si="184"/>
        <v>7</v>
      </c>
      <c r="M345" s="78">
        <v>1</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2017</v>
      </c>
      <c r="B346" s="73" t="str">
        <f t="shared" si="158"/>
        <v>Nov</v>
      </c>
      <c r="C346" s="74">
        <f t="shared" si="181"/>
        <v>16</v>
      </c>
      <c r="D346" s="75">
        <f t="shared" si="159"/>
        <v>14</v>
      </c>
      <c r="E346" s="76">
        <f t="shared" si="160"/>
        <v>1</v>
      </c>
      <c r="F346" s="80"/>
      <c r="G346" s="83"/>
      <c r="H346" s="69" t="str">
        <f t="shared" si="182"/>
        <v>Lacine7_20171116_14_00</v>
      </c>
      <c r="I346" s="70">
        <f t="shared" si="184"/>
        <v>1</v>
      </c>
      <c r="J346" s="77" t="str">
        <f t="shared" si="184"/>
        <v>Lactuca</v>
      </c>
      <c r="K346" s="77" t="str">
        <f t="shared" si="184"/>
        <v>inermis</v>
      </c>
      <c r="L346" s="78">
        <f t="shared" si="184"/>
        <v>7</v>
      </c>
      <c r="M346" s="78">
        <f t="shared" si="184"/>
        <v>1</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2017</v>
      </c>
      <c r="B347" s="73" t="str">
        <f t="shared" si="158"/>
        <v>Nov</v>
      </c>
      <c r="C347" s="74">
        <f t="shared" si="181"/>
        <v>16</v>
      </c>
      <c r="D347" s="75">
        <f t="shared" si="159"/>
        <v>14</v>
      </c>
      <c r="E347" s="76">
        <f t="shared" si="160"/>
        <v>2</v>
      </c>
      <c r="F347" s="80"/>
      <c r="G347" s="83"/>
      <c r="H347" s="69" t="str">
        <f t="shared" si="182"/>
        <v>Lacine7_20171116_14_00</v>
      </c>
      <c r="I347" s="70">
        <f t="shared" si="184"/>
        <v>1</v>
      </c>
      <c r="J347" s="77" t="str">
        <f t="shared" si="184"/>
        <v>Lactuca</v>
      </c>
      <c r="K347" s="77" t="str">
        <f t="shared" si="184"/>
        <v>inermis</v>
      </c>
      <c r="L347" s="78">
        <f t="shared" si="184"/>
        <v>7</v>
      </c>
      <c r="M347" s="78">
        <f t="shared" si="184"/>
        <v>1</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2017</v>
      </c>
      <c r="B348" s="73" t="str">
        <f t="shared" si="158"/>
        <v>Nov</v>
      </c>
      <c r="C348" s="74">
        <f t="shared" si="181"/>
        <v>16</v>
      </c>
      <c r="D348" s="75">
        <f t="shared" si="159"/>
        <v>14</v>
      </c>
      <c r="E348" s="76">
        <f t="shared" si="160"/>
        <v>3</v>
      </c>
      <c r="F348" s="80"/>
      <c r="G348" s="83"/>
      <c r="H348" s="69" t="str">
        <f t="shared" si="182"/>
        <v>Lacine7_20171116_14_00</v>
      </c>
      <c r="I348" s="70">
        <f t="shared" si="184"/>
        <v>1</v>
      </c>
      <c r="J348" s="77" t="str">
        <f t="shared" si="184"/>
        <v>Lactuca</v>
      </c>
      <c r="K348" s="77" t="str">
        <f t="shared" si="184"/>
        <v>inermis</v>
      </c>
      <c r="L348" s="78">
        <f t="shared" si="184"/>
        <v>7</v>
      </c>
      <c r="M348" s="78">
        <f t="shared" si="184"/>
        <v>1</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x14ac:dyDescent="0.35">
      <c r="A349" s="73">
        <f t="shared" si="157"/>
        <v>2017</v>
      </c>
      <c r="B349" s="73" t="str">
        <f t="shared" si="158"/>
        <v>Nov</v>
      </c>
      <c r="C349" s="74">
        <f t="shared" si="181"/>
        <v>16</v>
      </c>
      <c r="D349" s="75">
        <f t="shared" si="159"/>
        <v>14</v>
      </c>
      <c r="E349" s="76">
        <f t="shared" si="160"/>
        <v>4</v>
      </c>
      <c r="F349" s="80">
        <v>17</v>
      </c>
      <c r="G349" s="83"/>
      <c r="H349" s="69" t="str">
        <f t="shared" si="182"/>
        <v>Lacine7_20171116_14_00</v>
      </c>
      <c r="I349" s="70">
        <f t="shared" si="184"/>
        <v>1</v>
      </c>
      <c r="J349" s="77" t="str">
        <f t="shared" si="184"/>
        <v>Lactuca</v>
      </c>
      <c r="K349" s="77" t="str">
        <f t="shared" si="184"/>
        <v>inermis</v>
      </c>
      <c r="L349" s="78">
        <f t="shared" si="184"/>
        <v>7</v>
      </c>
      <c r="M349" s="78">
        <f t="shared" si="184"/>
        <v>1</v>
      </c>
      <c r="N349" s="72">
        <f t="shared" si="184"/>
        <v>0</v>
      </c>
      <c r="O349" s="45"/>
      <c r="P349" s="46">
        <f t="shared" si="161"/>
        <v>1</v>
      </c>
      <c r="Q349" s="47" t="str">
        <f t="shared" si="162"/>
        <v>14:04:17</v>
      </c>
      <c r="R349" s="48" t="str">
        <f t="shared" si="163"/>
        <v>04:17</v>
      </c>
      <c r="S349" s="49">
        <f t="shared" si="156"/>
        <v>149</v>
      </c>
      <c r="T349" s="48" t="str">
        <f t="shared" si="164"/>
        <v>14</v>
      </c>
      <c r="U349" s="50">
        <v>6</v>
      </c>
      <c r="V349" s="51">
        <v>46</v>
      </c>
      <c r="W349" s="52" t="str">
        <f t="shared" si="165"/>
        <v>06:46</v>
      </c>
      <c r="X349" s="53" t="s">
        <v>61</v>
      </c>
      <c r="Y349" s="126" t="s">
        <v>68</v>
      </c>
      <c r="Z349" s="126"/>
      <c r="AA349" s="48" t="s">
        <v>63</v>
      </c>
      <c r="AB349" s="48" t="str">
        <f t="shared" si="166"/>
        <v>NA</v>
      </c>
      <c r="AC349" s="54">
        <f t="shared" si="167"/>
        <v>0</v>
      </c>
      <c r="AD349" s="55">
        <f t="shared" si="168"/>
        <v>1</v>
      </c>
      <c r="AE349" s="55"/>
      <c r="AF349" s="55"/>
      <c r="AG349" s="56">
        <v>1</v>
      </c>
      <c r="AH349" s="57">
        <f t="shared" si="170"/>
        <v>149</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f t="shared" si="177"/>
        <v>0</v>
      </c>
      <c r="AZ349" s="62" t="str">
        <f t="shared" si="178"/>
        <v/>
      </c>
      <c r="BA349" s="61">
        <f t="shared" si="179"/>
        <v>0</v>
      </c>
      <c r="BB349" s="62" t="str">
        <f t="shared" si="180"/>
        <v/>
      </c>
    </row>
    <row r="350" spans="1:54" s="3" customFormat="1" hidden="1" x14ac:dyDescent="0.35">
      <c r="A350" s="73">
        <f t="shared" si="157"/>
        <v>2017</v>
      </c>
      <c r="B350" s="73" t="str">
        <f t="shared" si="158"/>
        <v>Nov</v>
      </c>
      <c r="C350" s="74">
        <f t="shared" si="181"/>
        <v>16</v>
      </c>
      <c r="D350" s="75">
        <f t="shared" si="159"/>
        <v>14</v>
      </c>
      <c r="E350" s="76">
        <f t="shared" si="160"/>
        <v>5</v>
      </c>
      <c r="F350" s="80"/>
      <c r="G350" s="83"/>
      <c r="H350" s="69" t="str">
        <f t="shared" si="182"/>
        <v>Lacine7_20171116_14_00</v>
      </c>
      <c r="I350" s="70">
        <f t="shared" si="184"/>
        <v>1</v>
      </c>
      <c r="J350" s="77" t="str">
        <f t="shared" si="184"/>
        <v>Lactuca</v>
      </c>
      <c r="K350" s="77" t="str">
        <f t="shared" si="184"/>
        <v>inermis</v>
      </c>
      <c r="L350" s="78">
        <f t="shared" si="184"/>
        <v>7</v>
      </c>
      <c r="M350" s="78">
        <f t="shared" si="184"/>
        <v>1</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2017</v>
      </c>
      <c r="B351" s="73" t="str">
        <f t="shared" si="158"/>
        <v>Nov</v>
      </c>
      <c r="C351" s="74">
        <f t="shared" si="181"/>
        <v>16</v>
      </c>
      <c r="D351" s="75">
        <f t="shared" si="159"/>
        <v>14</v>
      </c>
      <c r="E351" s="76">
        <f t="shared" si="160"/>
        <v>6</v>
      </c>
      <c r="F351" s="80"/>
      <c r="G351" s="83"/>
      <c r="H351" s="69" t="str">
        <f t="shared" si="182"/>
        <v>Lacine7_20171116_14_00</v>
      </c>
      <c r="I351" s="70">
        <f t="shared" si="184"/>
        <v>1</v>
      </c>
      <c r="J351" s="77" t="str">
        <f t="shared" si="184"/>
        <v>Lactuca</v>
      </c>
      <c r="K351" s="77" t="str">
        <f t="shared" si="184"/>
        <v>inermis</v>
      </c>
      <c r="L351" s="78">
        <f t="shared" si="184"/>
        <v>7</v>
      </c>
      <c r="M351" s="78">
        <f t="shared" si="184"/>
        <v>1</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2017</v>
      </c>
      <c r="B352" s="73" t="str">
        <f t="shared" si="158"/>
        <v>Nov</v>
      </c>
      <c r="C352" s="74">
        <f t="shared" si="181"/>
        <v>16</v>
      </c>
      <c r="D352" s="75">
        <f t="shared" si="159"/>
        <v>14</v>
      </c>
      <c r="E352" s="76">
        <f t="shared" si="160"/>
        <v>7</v>
      </c>
      <c r="F352" s="80"/>
      <c r="G352" s="83"/>
      <c r="H352" s="69" t="str">
        <f t="shared" si="182"/>
        <v>Lacine7_20171116_14_00</v>
      </c>
      <c r="I352" s="70">
        <f t="shared" si="184"/>
        <v>1</v>
      </c>
      <c r="J352" s="77" t="str">
        <f t="shared" si="184"/>
        <v>Lactuca</v>
      </c>
      <c r="K352" s="77" t="str">
        <f t="shared" si="184"/>
        <v>inermis</v>
      </c>
      <c r="L352" s="78">
        <f t="shared" si="184"/>
        <v>7</v>
      </c>
      <c r="M352" s="78">
        <f t="shared" si="184"/>
        <v>1</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2017</v>
      </c>
      <c r="B353" s="73" t="str">
        <f t="shared" si="158"/>
        <v>Nov</v>
      </c>
      <c r="C353" s="74">
        <f t="shared" si="181"/>
        <v>16</v>
      </c>
      <c r="D353" s="75">
        <f t="shared" si="159"/>
        <v>14</v>
      </c>
      <c r="E353" s="76">
        <f t="shared" si="160"/>
        <v>8</v>
      </c>
      <c r="F353" s="80"/>
      <c r="G353" s="83"/>
      <c r="H353" s="69" t="str">
        <f t="shared" si="182"/>
        <v>Lacine7_20171116_14_00</v>
      </c>
      <c r="I353" s="70">
        <f t="shared" si="184"/>
        <v>1</v>
      </c>
      <c r="J353" s="77" t="str">
        <f t="shared" si="184"/>
        <v>Lactuca</v>
      </c>
      <c r="K353" s="77" t="str">
        <f t="shared" si="184"/>
        <v>inermis</v>
      </c>
      <c r="L353" s="78">
        <f t="shared" si="184"/>
        <v>7</v>
      </c>
      <c r="M353" s="78">
        <f t="shared" si="184"/>
        <v>1</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2017</v>
      </c>
      <c r="B354" s="73" t="str">
        <f t="shared" si="158"/>
        <v>Nov</v>
      </c>
      <c r="C354" s="74">
        <f t="shared" si="181"/>
        <v>16</v>
      </c>
      <c r="D354" s="75">
        <f t="shared" si="159"/>
        <v>14</v>
      </c>
      <c r="E354" s="76">
        <f t="shared" si="160"/>
        <v>9</v>
      </c>
      <c r="F354" s="80"/>
      <c r="G354" s="83"/>
      <c r="H354" s="69" t="str">
        <f t="shared" si="182"/>
        <v>Lacine7_20171116_14_00</v>
      </c>
      <c r="I354" s="70">
        <f t="shared" si="184"/>
        <v>1</v>
      </c>
      <c r="J354" s="77" t="str">
        <f t="shared" si="184"/>
        <v>Lactuca</v>
      </c>
      <c r="K354" s="77" t="str">
        <f t="shared" si="184"/>
        <v>inermis</v>
      </c>
      <c r="L354" s="78">
        <f t="shared" si="184"/>
        <v>7</v>
      </c>
      <c r="M354" s="78">
        <f t="shared" si="184"/>
        <v>1</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2017</v>
      </c>
      <c r="B355" s="73" t="str">
        <f t="shared" si="158"/>
        <v>Nov</v>
      </c>
      <c r="C355" s="74">
        <f t="shared" si="181"/>
        <v>16</v>
      </c>
      <c r="D355" s="75">
        <f t="shared" si="159"/>
        <v>14</v>
      </c>
      <c r="E355" s="76">
        <f t="shared" si="160"/>
        <v>10</v>
      </c>
      <c r="F355" s="80"/>
      <c r="G355" s="83"/>
      <c r="H355" s="69" t="str">
        <f t="shared" si="182"/>
        <v>Lacine7_20171116_14_00</v>
      </c>
      <c r="I355" s="70">
        <f t="shared" si="184"/>
        <v>1</v>
      </c>
      <c r="J355" s="77" t="str">
        <f t="shared" si="184"/>
        <v>Lactuca</v>
      </c>
      <c r="K355" s="77" t="str">
        <f t="shared" si="184"/>
        <v>inermis</v>
      </c>
      <c r="L355" s="78">
        <f t="shared" si="184"/>
        <v>7</v>
      </c>
      <c r="M355" s="78">
        <f t="shared" si="184"/>
        <v>1</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2017</v>
      </c>
      <c r="B356" s="73" t="str">
        <f t="shared" si="158"/>
        <v>Nov</v>
      </c>
      <c r="C356" s="74">
        <f t="shared" si="181"/>
        <v>16</v>
      </c>
      <c r="D356" s="75">
        <f t="shared" si="159"/>
        <v>14</v>
      </c>
      <c r="E356" s="76">
        <f t="shared" si="160"/>
        <v>11</v>
      </c>
      <c r="F356" s="80"/>
      <c r="G356" s="83"/>
      <c r="H356" s="69" t="str">
        <f t="shared" si="182"/>
        <v>Lacine7_20171116_14_00</v>
      </c>
      <c r="I356" s="70">
        <f t="shared" si="184"/>
        <v>1</v>
      </c>
      <c r="J356" s="77" t="str">
        <f t="shared" si="184"/>
        <v>Lactuca</v>
      </c>
      <c r="K356" s="77" t="str">
        <f t="shared" si="184"/>
        <v>inermis</v>
      </c>
      <c r="L356" s="78">
        <f t="shared" si="184"/>
        <v>7</v>
      </c>
      <c r="M356" s="78">
        <f t="shared" si="184"/>
        <v>1</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2017</v>
      </c>
      <c r="B357" s="73" t="str">
        <f t="shared" si="158"/>
        <v>Nov</v>
      </c>
      <c r="C357" s="74">
        <f t="shared" si="181"/>
        <v>16</v>
      </c>
      <c r="D357" s="75">
        <f t="shared" si="159"/>
        <v>14</v>
      </c>
      <c r="E357" s="76">
        <f t="shared" si="160"/>
        <v>12</v>
      </c>
      <c r="F357" s="80"/>
      <c r="G357" s="83"/>
      <c r="H357" s="69" t="str">
        <f t="shared" si="182"/>
        <v>Lacine7_20171116_14_00</v>
      </c>
      <c r="I357" s="70">
        <f t="shared" ref="I357:N372" si="185">I356</f>
        <v>1</v>
      </c>
      <c r="J357" s="77" t="str">
        <f t="shared" si="185"/>
        <v>Lactuca</v>
      </c>
      <c r="K357" s="77" t="str">
        <f t="shared" si="185"/>
        <v>inermis</v>
      </c>
      <c r="L357" s="78">
        <f t="shared" si="185"/>
        <v>7</v>
      </c>
      <c r="M357" s="78">
        <f t="shared" si="185"/>
        <v>1</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2017</v>
      </c>
      <c r="B358" s="73" t="str">
        <f t="shared" si="158"/>
        <v>Nov</v>
      </c>
      <c r="C358" s="74">
        <f t="shared" si="181"/>
        <v>16</v>
      </c>
      <c r="D358" s="75">
        <f t="shared" si="159"/>
        <v>14</v>
      </c>
      <c r="E358" s="76">
        <f t="shared" si="160"/>
        <v>13</v>
      </c>
      <c r="F358" s="80"/>
      <c r="G358" s="83"/>
      <c r="H358" s="69" t="str">
        <f t="shared" si="182"/>
        <v>Lacine7_20171116_14_00</v>
      </c>
      <c r="I358" s="70">
        <f t="shared" si="185"/>
        <v>1</v>
      </c>
      <c r="J358" s="77" t="str">
        <f t="shared" si="185"/>
        <v>Lactuca</v>
      </c>
      <c r="K358" s="77" t="str">
        <f t="shared" si="185"/>
        <v>inermis</v>
      </c>
      <c r="L358" s="78">
        <f t="shared" si="185"/>
        <v>7</v>
      </c>
      <c r="M358" s="78">
        <f t="shared" si="185"/>
        <v>1</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2017</v>
      </c>
      <c r="B359" s="73" t="str">
        <f t="shared" si="158"/>
        <v>Nov</v>
      </c>
      <c r="C359" s="74">
        <f t="shared" si="181"/>
        <v>16</v>
      </c>
      <c r="D359" s="75">
        <f t="shared" si="159"/>
        <v>14</v>
      </c>
      <c r="E359" s="76">
        <f t="shared" si="160"/>
        <v>14</v>
      </c>
      <c r="F359" s="80"/>
      <c r="G359" s="83"/>
      <c r="H359" s="69" t="str">
        <f t="shared" si="182"/>
        <v>Lacine7_20171116_14_00</v>
      </c>
      <c r="I359" s="70">
        <f t="shared" si="185"/>
        <v>1</v>
      </c>
      <c r="J359" s="77" t="str">
        <f t="shared" si="185"/>
        <v>Lactuca</v>
      </c>
      <c r="K359" s="77" t="str">
        <f t="shared" si="185"/>
        <v>inermis</v>
      </c>
      <c r="L359" s="78">
        <f t="shared" si="185"/>
        <v>7</v>
      </c>
      <c r="M359" s="78">
        <f t="shared" si="185"/>
        <v>1</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2017</v>
      </c>
      <c r="B360" s="73" t="str">
        <f t="shared" si="158"/>
        <v>Nov</v>
      </c>
      <c r="C360" s="74">
        <f t="shared" si="181"/>
        <v>16</v>
      </c>
      <c r="D360" s="75">
        <f t="shared" si="159"/>
        <v>14</v>
      </c>
      <c r="E360" s="76">
        <f t="shared" si="160"/>
        <v>15</v>
      </c>
      <c r="F360" s="80"/>
      <c r="G360" s="83"/>
      <c r="H360" s="69" t="str">
        <f t="shared" si="182"/>
        <v>Lacine7_20171116_14_00</v>
      </c>
      <c r="I360" s="70">
        <f t="shared" si="185"/>
        <v>1</v>
      </c>
      <c r="J360" s="77" t="str">
        <f t="shared" si="185"/>
        <v>Lactuca</v>
      </c>
      <c r="K360" s="77" t="str">
        <f t="shared" si="185"/>
        <v>inermis</v>
      </c>
      <c r="L360" s="78">
        <f t="shared" si="185"/>
        <v>7</v>
      </c>
      <c r="M360" s="78">
        <f t="shared" si="185"/>
        <v>1</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2017</v>
      </c>
      <c r="B361" s="73" t="str">
        <f t="shared" si="158"/>
        <v>Nov</v>
      </c>
      <c r="C361" s="74">
        <f t="shared" si="181"/>
        <v>16</v>
      </c>
      <c r="D361" s="75">
        <f t="shared" si="159"/>
        <v>14</v>
      </c>
      <c r="E361" s="76">
        <f t="shared" si="160"/>
        <v>16</v>
      </c>
      <c r="F361" s="80"/>
      <c r="G361" s="83"/>
      <c r="H361" s="69" t="str">
        <f t="shared" si="182"/>
        <v>Lacine7_20171116_14_00</v>
      </c>
      <c r="I361" s="70">
        <f t="shared" si="185"/>
        <v>1</v>
      </c>
      <c r="J361" s="77" t="str">
        <f t="shared" si="185"/>
        <v>Lactuca</v>
      </c>
      <c r="K361" s="77" t="str">
        <f t="shared" si="185"/>
        <v>inermis</v>
      </c>
      <c r="L361" s="78">
        <f t="shared" si="185"/>
        <v>7</v>
      </c>
      <c r="M361" s="78">
        <f t="shared" si="185"/>
        <v>1</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2017</v>
      </c>
      <c r="B362" s="73" t="str">
        <f t="shared" si="158"/>
        <v>Nov</v>
      </c>
      <c r="C362" s="74">
        <f t="shared" si="181"/>
        <v>16</v>
      </c>
      <c r="D362" s="75">
        <f t="shared" si="159"/>
        <v>14</v>
      </c>
      <c r="E362" s="76">
        <f t="shared" si="160"/>
        <v>17</v>
      </c>
      <c r="F362" s="80"/>
      <c r="G362" s="83"/>
      <c r="H362" s="69" t="str">
        <f t="shared" si="182"/>
        <v>Lacine7_20171116_14_00</v>
      </c>
      <c r="I362" s="70">
        <f t="shared" si="185"/>
        <v>1</v>
      </c>
      <c r="J362" s="77" t="str">
        <f t="shared" si="185"/>
        <v>Lactuca</v>
      </c>
      <c r="K362" s="77" t="str">
        <f t="shared" si="185"/>
        <v>inermis</v>
      </c>
      <c r="L362" s="78">
        <f t="shared" si="185"/>
        <v>7</v>
      </c>
      <c r="M362" s="78">
        <f t="shared" si="185"/>
        <v>1</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2017</v>
      </c>
      <c r="B363" s="73" t="str">
        <f t="shared" si="158"/>
        <v>Nov</v>
      </c>
      <c r="C363" s="74">
        <f t="shared" si="181"/>
        <v>16</v>
      </c>
      <c r="D363" s="75">
        <f t="shared" si="159"/>
        <v>14</v>
      </c>
      <c r="E363" s="76">
        <f t="shared" si="160"/>
        <v>18</v>
      </c>
      <c r="F363" s="80"/>
      <c r="G363" s="83"/>
      <c r="H363" s="69" t="str">
        <f t="shared" si="182"/>
        <v>Lacine7_20171116_14_00</v>
      </c>
      <c r="I363" s="70">
        <f t="shared" si="185"/>
        <v>1</v>
      </c>
      <c r="J363" s="77" t="str">
        <f t="shared" si="185"/>
        <v>Lactuca</v>
      </c>
      <c r="K363" s="77" t="str">
        <f t="shared" si="185"/>
        <v>inermis</v>
      </c>
      <c r="L363" s="78">
        <f t="shared" si="185"/>
        <v>7</v>
      </c>
      <c r="M363" s="78">
        <f t="shared" si="185"/>
        <v>1</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2017</v>
      </c>
      <c r="B364" s="73" t="str">
        <f t="shared" si="158"/>
        <v>Nov</v>
      </c>
      <c r="C364" s="74">
        <f t="shared" si="181"/>
        <v>16</v>
      </c>
      <c r="D364" s="75">
        <f t="shared" si="159"/>
        <v>14</v>
      </c>
      <c r="E364" s="76">
        <f t="shared" si="160"/>
        <v>19</v>
      </c>
      <c r="F364" s="80"/>
      <c r="G364" s="83"/>
      <c r="H364" s="69" t="str">
        <f t="shared" si="182"/>
        <v>Lacine7_20171116_14_00</v>
      </c>
      <c r="I364" s="70">
        <f t="shared" si="185"/>
        <v>1</v>
      </c>
      <c r="J364" s="77" t="str">
        <f t="shared" si="185"/>
        <v>Lactuca</v>
      </c>
      <c r="K364" s="77" t="str">
        <f t="shared" si="185"/>
        <v>inermis</v>
      </c>
      <c r="L364" s="78">
        <f t="shared" si="185"/>
        <v>7</v>
      </c>
      <c r="M364" s="78">
        <f t="shared" si="185"/>
        <v>1</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2017</v>
      </c>
      <c r="B365" s="73" t="str">
        <f t="shared" si="158"/>
        <v>Nov</v>
      </c>
      <c r="C365" s="74">
        <f t="shared" si="181"/>
        <v>16</v>
      </c>
      <c r="D365" s="75">
        <f t="shared" si="159"/>
        <v>14</v>
      </c>
      <c r="E365" s="76">
        <f t="shared" si="160"/>
        <v>20</v>
      </c>
      <c r="F365" s="80"/>
      <c r="G365" s="83"/>
      <c r="H365" s="69" t="str">
        <f t="shared" si="182"/>
        <v>Lacine7_20171116_14_00</v>
      </c>
      <c r="I365" s="70">
        <f t="shared" si="185"/>
        <v>1</v>
      </c>
      <c r="J365" s="77" t="str">
        <f t="shared" si="185"/>
        <v>Lactuca</v>
      </c>
      <c r="K365" s="77" t="str">
        <f t="shared" si="185"/>
        <v>inermis</v>
      </c>
      <c r="L365" s="78">
        <f t="shared" si="185"/>
        <v>7</v>
      </c>
      <c r="M365" s="78">
        <f t="shared" si="185"/>
        <v>1</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2017</v>
      </c>
      <c r="B366" s="73" t="str">
        <f t="shared" si="158"/>
        <v>Nov</v>
      </c>
      <c r="C366" s="74">
        <f t="shared" si="181"/>
        <v>16</v>
      </c>
      <c r="D366" s="75">
        <f t="shared" si="159"/>
        <v>14</v>
      </c>
      <c r="E366" s="76">
        <f t="shared" si="160"/>
        <v>21</v>
      </c>
      <c r="F366" s="80"/>
      <c r="G366" s="83"/>
      <c r="H366" s="69" t="str">
        <f t="shared" si="182"/>
        <v>Lacine7_20171116_14_00</v>
      </c>
      <c r="I366" s="70">
        <f t="shared" si="185"/>
        <v>1</v>
      </c>
      <c r="J366" s="77" t="str">
        <f t="shared" si="185"/>
        <v>Lactuca</v>
      </c>
      <c r="K366" s="77" t="str">
        <f t="shared" si="185"/>
        <v>inermis</v>
      </c>
      <c r="L366" s="78">
        <f t="shared" si="185"/>
        <v>7</v>
      </c>
      <c r="M366" s="78">
        <f t="shared" si="185"/>
        <v>1</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2017</v>
      </c>
      <c r="B367" s="73" t="str">
        <f t="shared" si="158"/>
        <v>Nov</v>
      </c>
      <c r="C367" s="74">
        <f t="shared" si="181"/>
        <v>16</v>
      </c>
      <c r="D367" s="75">
        <f t="shared" si="159"/>
        <v>14</v>
      </c>
      <c r="E367" s="76">
        <f t="shared" si="160"/>
        <v>22</v>
      </c>
      <c r="F367" s="80"/>
      <c r="G367" s="83"/>
      <c r="H367" s="69" t="str">
        <f t="shared" si="182"/>
        <v>Lacine7_20171116_14_00</v>
      </c>
      <c r="I367" s="70">
        <f t="shared" si="185"/>
        <v>1</v>
      </c>
      <c r="J367" s="77" t="str">
        <f t="shared" si="185"/>
        <v>Lactuca</v>
      </c>
      <c r="K367" s="77" t="str">
        <f t="shared" si="185"/>
        <v>inermis</v>
      </c>
      <c r="L367" s="78">
        <f t="shared" si="185"/>
        <v>7</v>
      </c>
      <c r="M367" s="78">
        <f t="shared" si="185"/>
        <v>1</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2017</v>
      </c>
      <c r="B368" s="73" t="str">
        <f t="shared" si="158"/>
        <v>Nov</v>
      </c>
      <c r="C368" s="74">
        <f t="shared" si="181"/>
        <v>16</v>
      </c>
      <c r="D368" s="75">
        <f t="shared" si="159"/>
        <v>14</v>
      </c>
      <c r="E368" s="76">
        <f t="shared" si="160"/>
        <v>23</v>
      </c>
      <c r="F368" s="80"/>
      <c r="G368" s="83"/>
      <c r="H368" s="69" t="str">
        <f t="shared" si="182"/>
        <v>Lacine7_20171116_14_00</v>
      </c>
      <c r="I368" s="70">
        <f t="shared" si="185"/>
        <v>1</v>
      </c>
      <c r="J368" s="77" t="str">
        <f t="shared" si="185"/>
        <v>Lactuca</v>
      </c>
      <c r="K368" s="77" t="str">
        <f t="shared" si="185"/>
        <v>inermis</v>
      </c>
      <c r="L368" s="78">
        <f t="shared" si="185"/>
        <v>7</v>
      </c>
      <c r="M368" s="78">
        <f t="shared" si="185"/>
        <v>1</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2017</v>
      </c>
      <c r="B369" s="73" t="str">
        <f t="shared" si="158"/>
        <v>Nov</v>
      </c>
      <c r="C369" s="74">
        <f t="shared" si="181"/>
        <v>16</v>
      </c>
      <c r="D369" s="75">
        <f t="shared" si="159"/>
        <v>14</v>
      </c>
      <c r="E369" s="76">
        <f t="shared" si="160"/>
        <v>24</v>
      </c>
      <c r="F369" s="80"/>
      <c r="G369" s="83"/>
      <c r="H369" s="69" t="str">
        <f t="shared" si="182"/>
        <v>Lacine7_20171116_14_00</v>
      </c>
      <c r="I369" s="70">
        <f t="shared" si="185"/>
        <v>1</v>
      </c>
      <c r="J369" s="77" t="str">
        <f t="shared" si="185"/>
        <v>Lactuca</v>
      </c>
      <c r="K369" s="77" t="str">
        <f t="shared" si="185"/>
        <v>inermis</v>
      </c>
      <c r="L369" s="78">
        <f t="shared" si="185"/>
        <v>7</v>
      </c>
      <c r="M369" s="78">
        <f t="shared" si="185"/>
        <v>1</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2017</v>
      </c>
      <c r="B370" s="73" t="str">
        <f t="shared" si="158"/>
        <v>Nov</v>
      </c>
      <c r="C370" s="74">
        <f t="shared" si="181"/>
        <v>16</v>
      </c>
      <c r="D370" s="75">
        <f t="shared" si="159"/>
        <v>14</v>
      </c>
      <c r="E370" s="76">
        <f t="shared" si="160"/>
        <v>25</v>
      </c>
      <c r="F370" s="80"/>
      <c r="G370" s="83"/>
      <c r="H370" s="69" t="str">
        <f t="shared" si="182"/>
        <v>Lacine7_20171116_14_00</v>
      </c>
      <c r="I370" s="70">
        <f t="shared" si="185"/>
        <v>1</v>
      </c>
      <c r="J370" s="77" t="str">
        <f t="shared" si="185"/>
        <v>Lactuca</v>
      </c>
      <c r="K370" s="77" t="str">
        <f t="shared" si="185"/>
        <v>inermis</v>
      </c>
      <c r="L370" s="78">
        <f t="shared" si="185"/>
        <v>7</v>
      </c>
      <c r="M370" s="78">
        <f t="shared" si="185"/>
        <v>1</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2017</v>
      </c>
      <c r="B371" s="73" t="str">
        <f t="shared" si="158"/>
        <v>Nov</v>
      </c>
      <c r="C371" s="74">
        <f t="shared" si="181"/>
        <v>16</v>
      </c>
      <c r="D371" s="75">
        <f t="shared" si="159"/>
        <v>14</v>
      </c>
      <c r="E371" s="76">
        <f t="shared" si="160"/>
        <v>26</v>
      </c>
      <c r="F371" s="80"/>
      <c r="G371" s="83"/>
      <c r="H371" s="69" t="str">
        <f t="shared" si="182"/>
        <v>Lacine7_20171116_14_00</v>
      </c>
      <c r="I371" s="70">
        <f t="shared" si="185"/>
        <v>1</v>
      </c>
      <c r="J371" s="77" t="str">
        <f t="shared" si="185"/>
        <v>Lactuca</v>
      </c>
      <c r="K371" s="77" t="str">
        <f t="shared" si="185"/>
        <v>inermis</v>
      </c>
      <c r="L371" s="78">
        <f t="shared" si="185"/>
        <v>7</v>
      </c>
      <c r="M371" s="78">
        <f t="shared" si="185"/>
        <v>1</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2017</v>
      </c>
      <c r="B372" s="73" t="str">
        <f t="shared" si="158"/>
        <v>Nov</v>
      </c>
      <c r="C372" s="74">
        <f t="shared" si="181"/>
        <v>16</v>
      </c>
      <c r="D372" s="75">
        <f t="shared" si="159"/>
        <v>14</v>
      </c>
      <c r="E372" s="76">
        <f t="shared" si="160"/>
        <v>27</v>
      </c>
      <c r="F372" s="80"/>
      <c r="G372" s="83"/>
      <c r="H372" s="69" t="str">
        <f t="shared" si="182"/>
        <v>Lacine7_20171116_14_00</v>
      </c>
      <c r="I372" s="70">
        <f t="shared" si="185"/>
        <v>1</v>
      </c>
      <c r="J372" s="77" t="str">
        <f t="shared" si="185"/>
        <v>Lactuca</v>
      </c>
      <c r="K372" s="77" t="str">
        <f t="shared" si="185"/>
        <v>inermis</v>
      </c>
      <c r="L372" s="78">
        <f t="shared" si="185"/>
        <v>7</v>
      </c>
      <c r="M372" s="78">
        <f t="shared" si="185"/>
        <v>1</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2017</v>
      </c>
      <c r="B373" s="73" t="str">
        <f t="shared" si="158"/>
        <v>Nov</v>
      </c>
      <c r="C373" s="74">
        <f t="shared" si="181"/>
        <v>16</v>
      </c>
      <c r="D373" s="75">
        <f t="shared" si="159"/>
        <v>14</v>
      </c>
      <c r="E373" s="76">
        <f t="shared" si="160"/>
        <v>28</v>
      </c>
      <c r="F373" s="80"/>
      <c r="G373" s="83"/>
      <c r="H373" s="69" t="str">
        <f t="shared" si="182"/>
        <v>Lacine7_20171116_14_00</v>
      </c>
      <c r="I373" s="70">
        <f t="shared" ref="I373:N388" si="186">I372</f>
        <v>1</v>
      </c>
      <c r="J373" s="77" t="str">
        <f t="shared" si="186"/>
        <v>Lactuca</v>
      </c>
      <c r="K373" s="77" t="str">
        <f t="shared" si="186"/>
        <v>inermis</v>
      </c>
      <c r="L373" s="78">
        <f t="shared" si="186"/>
        <v>7</v>
      </c>
      <c r="M373" s="78">
        <f t="shared" si="186"/>
        <v>1</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2017</v>
      </c>
      <c r="B374" s="73" t="str">
        <f t="shared" si="158"/>
        <v>Nov</v>
      </c>
      <c r="C374" s="74">
        <f t="shared" si="181"/>
        <v>16</v>
      </c>
      <c r="D374" s="75">
        <f t="shared" si="159"/>
        <v>14</v>
      </c>
      <c r="E374" s="76">
        <f t="shared" si="160"/>
        <v>29</v>
      </c>
      <c r="F374" s="80"/>
      <c r="G374" s="83"/>
      <c r="H374" s="69" t="str">
        <f t="shared" si="182"/>
        <v>Lacine7_20171116_14_00</v>
      </c>
      <c r="I374" s="70">
        <f t="shared" si="186"/>
        <v>1</v>
      </c>
      <c r="J374" s="77" t="str">
        <f t="shared" si="186"/>
        <v>Lactuca</v>
      </c>
      <c r="K374" s="77" t="str">
        <f t="shared" si="186"/>
        <v>inermis</v>
      </c>
      <c r="L374" s="78">
        <f t="shared" si="186"/>
        <v>7</v>
      </c>
      <c r="M374" s="78">
        <f t="shared" si="186"/>
        <v>1</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2017</v>
      </c>
      <c r="B375" s="73" t="str">
        <f t="shared" si="158"/>
        <v>Nov</v>
      </c>
      <c r="C375" s="74">
        <f t="shared" si="181"/>
        <v>16</v>
      </c>
      <c r="D375" s="75">
        <f t="shared" si="159"/>
        <v>14</v>
      </c>
      <c r="E375" s="76">
        <f t="shared" si="160"/>
        <v>30</v>
      </c>
      <c r="F375" s="80"/>
      <c r="G375" s="83"/>
      <c r="H375" s="69" t="str">
        <f t="shared" si="182"/>
        <v>Lacine7_20171116_14_00</v>
      </c>
      <c r="I375" s="70">
        <f t="shared" si="186"/>
        <v>1</v>
      </c>
      <c r="J375" s="77" t="str">
        <f t="shared" si="186"/>
        <v>Lactuca</v>
      </c>
      <c r="K375" s="77" t="str">
        <f t="shared" si="186"/>
        <v>inermis</v>
      </c>
      <c r="L375" s="78">
        <f t="shared" si="186"/>
        <v>7</v>
      </c>
      <c r="M375" s="78">
        <f t="shared" si="186"/>
        <v>1</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2017</v>
      </c>
      <c r="B376" s="73" t="str">
        <f t="shared" si="158"/>
        <v>Nov</v>
      </c>
      <c r="C376" s="74">
        <f t="shared" si="181"/>
        <v>16</v>
      </c>
      <c r="D376" s="75">
        <f t="shared" si="159"/>
        <v>14</v>
      </c>
      <c r="E376" s="76">
        <f t="shared" si="160"/>
        <v>31</v>
      </c>
      <c r="F376" s="80"/>
      <c r="G376" s="83"/>
      <c r="H376" s="69" t="str">
        <f t="shared" si="182"/>
        <v>Lacine7_20171116_14_00</v>
      </c>
      <c r="I376" s="70">
        <f t="shared" si="186"/>
        <v>1</v>
      </c>
      <c r="J376" s="77" t="str">
        <f t="shared" si="186"/>
        <v>Lactuca</v>
      </c>
      <c r="K376" s="77" t="str">
        <f t="shared" si="186"/>
        <v>inermis</v>
      </c>
      <c r="L376" s="78">
        <f t="shared" si="186"/>
        <v>7</v>
      </c>
      <c r="M376" s="78">
        <f t="shared" si="186"/>
        <v>1</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2017</v>
      </c>
      <c r="B377" s="73" t="str">
        <f t="shared" si="158"/>
        <v>Nov</v>
      </c>
      <c r="C377" s="74">
        <f t="shared" si="181"/>
        <v>16</v>
      </c>
      <c r="D377" s="75">
        <f t="shared" si="159"/>
        <v>14</v>
      </c>
      <c r="E377" s="76">
        <f t="shared" si="160"/>
        <v>32</v>
      </c>
      <c r="F377" s="80"/>
      <c r="G377" s="83"/>
      <c r="H377" s="69" t="str">
        <f t="shared" si="182"/>
        <v>Lacine7_20171116_14_00</v>
      </c>
      <c r="I377" s="70">
        <f t="shared" si="186"/>
        <v>1</v>
      </c>
      <c r="J377" s="77" t="str">
        <f t="shared" si="186"/>
        <v>Lactuca</v>
      </c>
      <c r="K377" s="77" t="str">
        <f t="shared" si="186"/>
        <v>inermis</v>
      </c>
      <c r="L377" s="78">
        <f t="shared" si="186"/>
        <v>7</v>
      </c>
      <c r="M377" s="78">
        <f t="shared" si="186"/>
        <v>1</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2017</v>
      </c>
      <c r="B378" s="73" t="str">
        <f t="shared" si="158"/>
        <v>Nov</v>
      </c>
      <c r="C378" s="74">
        <f t="shared" si="181"/>
        <v>16</v>
      </c>
      <c r="D378" s="75">
        <f t="shared" si="159"/>
        <v>14</v>
      </c>
      <c r="E378" s="76">
        <f t="shared" si="160"/>
        <v>33</v>
      </c>
      <c r="F378" s="80"/>
      <c r="G378" s="83"/>
      <c r="H378" s="69" t="str">
        <f t="shared" si="182"/>
        <v>Lacine7_20171116_14_00</v>
      </c>
      <c r="I378" s="70">
        <f t="shared" si="186"/>
        <v>1</v>
      </c>
      <c r="J378" s="77" t="str">
        <f t="shared" si="186"/>
        <v>Lactuca</v>
      </c>
      <c r="K378" s="77" t="str">
        <f t="shared" si="186"/>
        <v>inermis</v>
      </c>
      <c r="L378" s="78">
        <f t="shared" si="186"/>
        <v>7</v>
      </c>
      <c r="M378" s="78">
        <f t="shared" si="186"/>
        <v>1</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2017</v>
      </c>
      <c r="B379" s="73" t="str">
        <f t="shared" si="158"/>
        <v>Nov</v>
      </c>
      <c r="C379" s="74">
        <f t="shared" si="181"/>
        <v>16</v>
      </c>
      <c r="D379" s="75">
        <f t="shared" si="159"/>
        <v>14</v>
      </c>
      <c r="E379" s="76">
        <f t="shared" si="160"/>
        <v>34</v>
      </c>
      <c r="F379" s="80"/>
      <c r="G379" s="83"/>
      <c r="H379" s="69" t="str">
        <f t="shared" si="182"/>
        <v>Lacine7_20171116_14_00</v>
      </c>
      <c r="I379" s="70">
        <f t="shared" si="186"/>
        <v>1</v>
      </c>
      <c r="J379" s="77" t="str">
        <f t="shared" si="186"/>
        <v>Lactuca</v>
      </c>
      <c r="K379" s="77" t="str">
        <f t="shared" si="186"/>
        <v>inermis</v>
      </c>
      <c r="L379" s="78">
        <f t="shared" si="186"/>
        <v>7</v>
      </c>
      <c r="M379" s="78">
        <f t="shared" si="186"/>
        <v>1</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2017</v>
      </c>
      <c r="B380" s="73" t="str">
        <f t="shared" si="158"/>
        <v>Nov</v>
      </c>
      <c r="C380" s="74">
        <f t="shared" si="181"/>
        <v>16</v>
      </c>
      <c r="D380" s="75">
        <f t="shared" si="159"/>
        <v>14</v>
      </c>
      <c r="E380" s="76">
        <f t="shared" si="160"/>
        <v>35</v>
      </c>
      <c r="F380" s="80"/>
      <c r="G380" s="83"/>
      <c r="H380" s="69" t="str">
        <f t="shared" si="182"/>
        <v>Lacine7_20171116_14_00</v>
      </c>
      <c r="I380" s="70">
        <f t="shared" si="186"/>
        <v>1</v>
      </c>
      <c r="J380" s="77" t="str">
        <f t="shared" si="186"/>
        <v>Lactuca</v>
      </c>
      <c r="K380" s="77" t="str">
        <f t="shared" si="186"/>
        <v>inermis</v>
      </c>
      <c r="L380" s="78">
        <f t="shared" si="186"/>
        <v>7</v>
      </c>
      <c r="M380" s="78">
        <f t="shared" si="186"/>
        <v>1</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2017</v>
      </c>
      <c r="B381" s="73" t="str">
        <f t="shared" si="158"/>
        <v>Nov</v>
      </c>
      <c r="C381" s="74">
        <f t="shared" si="181"/>
        <v>16</v>
      </c>
      <c r="D381" s="75">
        <f t="shared" si="159"/>
        <v>14</v>
      </c>
      <c r="E381" s="76">
        <f t="shared" si="160"/>
        <v>36</v>
      </c>
      <c r="F381" s="80"/>
      <c r="G381" s="83"/>
      <c r="H381" s="69" t="str">
        <f t="shared" si="182"/>
        <v>Lacine7_20171116_14_00</v>
      </c>
      <c r="I381" s="70">
        <f t="shared" si="186"/>
        <v>1</v>
      </c>
      <c r="J381" s="77" t="str">
        <f t="shared" si="186"/>
        <v>Lactuca</v>
      </c>
      <c r="K381" s="77" t="str">
        <f t="shared" si="186"/>
        <v>inermis</v>
      </c>
      <c r="L381" s="78">
        <f t="shared" si="186"/>
        <v>7</v>
      </c>
      <c r="M381" s="78">
        <f t="shared" si="186"/>
        <v>1</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2017</v>
      </c>
      <c r="B382" s="73" t="str">
        <f t="shared" si="158"/>
        <v>Nov</v>
      </c>
      <c r="C382" s="74">
        <f t="shared" si="181"/>
        <v>16</v>
      </c>
      <c r="D382" s="75">
        <f t="shared" si="159"/>
        <v>14</v>
      </c>
      <c r="E382" s="76">
        <f t="shared" si="160"/>
        <v>37</v>
      </c>
      <c r="F382" s="80"/>
      <c r="G382" s="83"/>
      <c r="H382" s="69" t="str">
        <f t="shared" si="182"/>
        <v>Lacine7_20171116_14_00</v>
      </c>
      <c r="I382" s="70">
        <f t="shared" si="186"/>
        <v>1</v>
      </c>
      <c r="J382" s="77" t="str">
        <f t="shared" si="186"/>
        <v>Lactuca</v>
      </c>
      <c r="K382" s="77" t="str">
        <f t="shared" si="186"/>
        <v>inermis</v>
      </c>
      <c r="L382" s="78">
        <f t="shared" si="186"/>
        <v>7</v>
      </c>
      <c r="M382" s="78">
        <f t="shared" si="186"/>
        <v>1</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2017</v>
      </c>
      <c r="B383" s="73" t="str">
        <f t="shared" si="158"/>
        <v>Nov</v>
      </c>
      <c r="C383" s="74">
        <f t="shared" si="181"/>
        <v>16</v>
      </c>
      <c r="D383" s="75">
        <f t="shared" si="159"/>
        <v>14</v>
      </c>
      <c r="E383" s="76">
        <f t="shared" si="160"/>
        <v>38</v>
      </c>
      <c r="F383" s="80"/>
      <c r="G383" s="83"/>
      <c r="H383" s="69" t="str">
        <f t="shared" si="182"/>
        <v>Lacine7_20171116_14_00</v>
      </c>
      <c r="I383" s="70">
        <f t="shared" si="186"/>
        <v>1</v>
      </c>
      <c r="J383" s="77" t="str">
        <f t="shared" si="186"/>
        <v>Lactuca</v>
      </c>
      <c r="K383" s="77" t="str">
        <f t="shared" si="186"/>
        <v>inermis</v>
      </c>
      <c r="L383" s="78">
        <f t="shared" si="186"/>
        <v>7</v>
      </c>
      <c r="M383" s="78">
        <f t="shared" si="186"/>
        <v>1</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2017</v>
      </c>
      <c r="B384" s="73" t="str">
        <f t="shared" si="158"/>
        <v>Nov</v>
      </c>
      <c r="C384" s="74">
        <f t="shared" si="181"/>
        <v>16</v>
      </c>
      <c r="D384" s="75">
        <f t="shared" si="159"/>
        <v>14</v>
      </c>
      <c r="E384" s="76">
        <f t="shared" si="160"/>
        <v>39</v>
      </c>
      <c r="F384" s="80"/>
      <c r="G384" s="83"/>
      <c r="H384" s="69" t="str">
        <f t="shared" si="182"/>
        <v>Lacine7_20171116_14_00</v>
      </c>
      <c r="I384" s="70">
        <f t="shared" si="186"/>
        <v>1</v>
      </c>
      <c r="J384" s="77" t="str">
        <f t="shared" si="186"/>
        <v>Lactuca</v>
      </c>
      <c r="K384" s="77" t="str">
        <f t="shared" si="186"/>
        <v>inermis</v>
      </c>
      <c r="L384" s="78">
        <f t="shared" si="186"/>
        <v>7</v>
      </c>
      <c r="M384" s="78">
        <f t="shared" si="186"/>
        <v>1</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2017</v>
      </c>
      <c r="B385" s="73" t="str">
        <f t="shared" si="158"/>
        <v>Nov</v>
      </c>
      <c r="C385" s="74">
        <f t="shared" si="181"/>
        <v>16</v>
      </c>
      <c r="D385" s="75">
        <f t="shared" si="159"/>
        <v>14</v>
      </c>
      <c r="E385" s="76">
        <f t="shared" si="160"/>
        <v>40</v>
      </c>
      <c r="F385" s="80"/>
      <c r="G385" s="83"/>
      <c r="H385" s="69" t="str">
        <f t="shared" si="182"/>
        <v>Lacine7_20171116_14_00</v>
      </c>
      <c r="I385" s="70">
        <f t="shared" si="186"/>
        <v>1</v>
      </c>
      <c r="J385" s="77" t="str">
        <f t="shared" si="186"/>
        <v>Lactuca</v>
      </c>
      <c r="K385" s="77" t="str">
        <f t="shared" si="186"/>
        <v>inermis</v>
      </c>
      <c r="L385" s="78">
        <f t="shared" si="186"/>
        <v>7</v>
      </c>
      <c r="M385" s="78">
        <f t="shared" si="186"/>
        <v>1</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2017</v>
      </c>
      <c r="B386" s="73" t="str">
        <f t="shared" si="158"/>
        <v>Nov</v>
      </c>
      <c r="C386" s="74">
        <f t="shared" si="181"/>
        <v>16</v>
      </c>
      <c r="D386" s="75">
        <f t="shared" si="159"/>
        <v>14</v>
      </c>
      <c r="E386" s="76">
        <f t="shared" si="160"/>
        <v>41</v>
      </c>
      <c r="F386" s="80"/>
      <c r="G386" s="83"/>
      <c r="H386" s="69" t="str">
        <f t="shared" si="182"/>
        <v>Lacine7_20171116_14_00</v>
      </c>
      <c r="I386" s="70">
        <f t="shared" si="186"/>
        <v>1</v>
      </c>
      <c r="J386" s="77" t="str">
        <f t="shared" si="186"/>
        <v>Lactuca</v>
      </c>
      <c r="K386" s="77" t="str">
        <f t="shared" si="186"/>
        <v>inermis</v>
      </c>
      <c r="L386" s="78">
        <f t="shared" si="186"/>
        <v>7</v>
      </c>
      <c r="M386" s="78">
        <f t="shared" si="186"/>
        <v>1</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2017</v>
      </c>
      <c r="B387" s="73" t="str">
        <f t="shared" si="158"/>
        <v>Nov</v>
      </c>
      <c r="C387" s="74">
        <f t="shared" si="181"/>
        <v>16</v>
      </c>
      <c r="D387" s="75">
        <f t="shared" si="159"/>
        <v>14</v>
      </c>
      <c r="E387" s="76">
        <f t="shared" si="160"/>
        <v>42</v>
      </c>
      <c r="F387" s="80"/>
      <c r="G387" s="83"/>
      <c r="H387" s="69" t="str">
        <f t="shared" si="182"/>
        <v>Lacine7_20171116_14_00</v>
      </c>
      <c r="I387" s="70">
        <f t="shared" si="186"/>
        <v>1</v>
      </c>
      <c r="J387" s="77" t="str">
        <f t="shared" si="186"/>
        <v>Lactuca</v>
      </c>
      <c r="K387" s="77" t="str">
        <f t="shared" si="186"/>
        <v>inermis</v>
      </c>
      <c r="L387" s="78">
        <f t="shared" si="186"/>
        <v>7</v>
      </c>
      <c r="M387" s="78">
        <f t="shared" si="186"/>
        <v>1</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2017</v>
      </c>
      <c r="B388" s="73" t="str">
        <f t="shared" ref="B388:B451" si="189">IF(C387-C388&gt;0, TEXT(DATE(2016,(MONTH(DATEVALUE(B387&amp;"1"))+1),1),"mmm"), B387)</f>
        <v>Nov</v>
      </c>
      <c r="C388" s="74">
        <f t="shared" si="181"/>
        <v>16</v>
      </c>
      <c r="D388" s="75">
        <f t="shared" ref="D388:D451" si="190">IF(IF(E387=59,D387+1,D387)=24,0,IF(E387=59,D387+1,D387))</f>
        <v>14</v>
      </c>
      <c r="E388" s="76">
        <f t="shared" ref="E388:E451" si="191">IF(E387&lt;59,E387+1,0)</f>
        <v>43</v>
      </c>
      <c r="F388" s="80"/>
      <c r="G388" s="83"/>
      <c r="H388" s="69" t="str">
        <f t="shared" si="182"/>
        <v>Lacine7_20171116_14_00</v>
      </c>
      <c r="I388" s="70">
        <f t="shared" si="186"/>
        <v>1</v>
      </c>
      <c r="J388" s="77" t="str">
        <f t="shared" si="186"/>
        <v>Lactuca</v>
      </c>
      <c r="K388" s="77" t="str">
        <f t="shared" si="186"/>
        <v>inermis</v>
      </c>
      <c r="L388" s="78">
        <f t="shared" si="186"/>
        <v>7</v>
      </c>
      <c r="M388" s="78">
        <f t="shared" si="186"/>
        <v>1</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2017</v>
      </c>
      <c r="B389" s="73" t="str">
        <f t="shared" si="189"/>
        <v>Nov</v>
      </c>
      <c r="C389" s="74">
        <f t="shared" ref="C389:C452" si="212">IF(AND(D389=0, E389=0), IF(TEXT(C388,"dd")=TEXT(EOMONTH(DATE(A388,MONTH(DATEVALUE(B388&amp;"1")),C388),0), "dd"), 1, C388+1), C388)</f>
        <v>16</v>
      </c>
      <c r="D389" s="75">
        <f t="shared" si="190"/>
        <v>14</v>
      </c>
      <c r="E389" s="76">
        <f t="shared" si="191"/>
        <v>44</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Lacine7_20171116_14_00</v>
      </c>
      <c r="I389" s="70">
        <f t="shared" ref="I389:N404" si="214">I388</f>
        <v>1</v>
      </c>
      <c r="J389" s="77" t="str">
        <f t="shared" si="214"/>
        <v>Lactuca</v>
      </c>
      <c r="K389" s="77" t="str">
        <f t="shared" si="214"/>
        <v>inermis</v>
      </c>
      <c r="L389" s="78">
        <f t="shared" si="214"/>
        <v>7</v>
      </c>
      <c r="M389" s="78">
        <f t="shared" si="214"/>
        <v>1</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2017</v>
      </c>
      <c r="B390" s="73" t="str">
        <f t="shared" si="189"/>
        <v>Nov</v>
      </c>
      <c r="C390" s="74">
        <f t="shared" si="212"/>
        <v>16</v>
      </c>
      <c r="D390" s="75">
        <f t="shared" si="190"/>
        <v>14</v>
      </c>
      <c r="E390" s="76">
        <f t="shared" si="191"/>
        <v>45</v>
      </c>
      <c r="F390" s="80"/>
      <c r="G390" s="83"/>
      <c r="H390" s="69" t="str">
        <f t="shared" si="213"/>
        <v>Lacine7_20171116_14_00</v>
      </c>
      <c r="I390" s="70">
        <f t="shared" si="214"/>
        <v>1</v>
      </c>
      <c r="J390" s="77" t="str">
        <f t="shared" si="214"/>
        <v>Lactuca</v>
      </c>
      <c r="K390" s="77" t="str">
        <f t="shared" si="214"/>
        <v>inermis</v>
      </c>
      <c r="L390" s="78">
        <f t="shared" si="214"/>
        <v>7</v>
      </c>
      <c r="M390" s="78">
        <f t="shared" si="214"/>
        <v>1</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2017</v>
      </c>
      <c r="B391" s="73" t="str">
        <f t="shared" si="189"/>
        <v>Nov</v>
      </c>
      <c r="C391" s="74">
        <f t="shared" si="212"/>
        <v>16</v>
      </c>
      <c r="D391" s="75">
        <f t="shared" si="190"/>
        <v>14</v>
      </c>
      <c r="E391" s="76">
        <f t="shared" si="191"/>
        <v>46</v>
      </c>
      <c r="F391" s="80"/>
      <c r="G391" s="83"/>
      <c r="H391" s="69" t="str">
        <f t="shared" si="213"/>
        <v>Lacine7_20171116_14_00</v>
      </c>
      <c r="I391" s="70">
        <f t="shared" si="214"/>
        <v>1</v>
      </c>
      <c r="J391" s="77" t="str">
        <f t="shared" si="214"/>
        <v>Lactuca</v>
      </c>
      <c r="K391" s="77" t="str">
        <f t="shared" si="214"/>
        <v>inermis</v>
      </c>
      <c r="L391" s="78">
        <f t="shared" si="214"/>
        <v>7</v>
      </c>
      <c r="M391" s="78">
        <f t="shared" si="214"/>
        <v>1</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2017</v>
      </c>
      <c r="B392" s="73" t="str">
        <f t="shared" si="189"/>
        <v>Nov</v>
      </c>
      <c r="C392" s="74">
        <f t="shared" si="212"/>
        <v>16</v>
      </c>
      <c r="D392" s="75">
        <f t="shared" si="190"/>
        <v>14</v>
      </c>
      <c r="E392" s="76">
        <f t="shared" si="191"/>
        <v>47</v>
      </c>
      <c r="F392" s="80"/>
      <c r="G392" s="83"/>
      <c r="H392" s="69" t="str">
        <f t="shared" si="213"/>
        <v>Lacine7_20171116_14_00</v>
      </c>
      <c r="I392" s="70">
        <f t="shared" si="214"/>
        <v>1</v>
      </c>
      <c r="J392" s="77" t="str">
        <f t="shared" si="214"/>
        <v>Lactuca</v>
      </c>
      <c r="K392" s="77" t="str">
        <f t="shared" si="214"/>
        <v>inermis</v>
      </c>
      <c r="L392" s="78">
        <f t="shared" si="214"/>
        <v>7</v>
      </c>
      <c r="M392" s="78">
        <f t="shared" si="214"/>
        <v>1</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2017</v>
      </c>
      <c r="B393" s="73" t="str">
        <f t="shared" si="189"/>
        <v>Nov</v>
      </c>
      <c r="C393" s="74">
        <f t="shared" si="212"/>
        <v>16</v>
      </c>
      <c r="D393" s="75">
        <f t="shared" si="190"/>
        <v>14</v>
      </c>
      <c r="E393" s="76">
        <f t="shared" si="191"/>
        <v>48</v>
      </c>
      <c r="F393" s="80"/>
      <c r="G393" s="83"/>
      <c r="H393" s="69" t="str">
        <f t="shared" si="213"/>
        <v>Lacine7_20171116_14_00</v>
      </c>
      <c r="I393" s="70">
        <f t="shared" si="214"/>
        <v>1</v>
      </c>
      <c r="J393" s="77" t="str">
        <f t="shared" si="214"/>
        <v>Lactuca</v>
      </c>
      <c r="K393" s="77" t="str">
        <f t="shared" si="214"/>
        <v>inermis</v>
      </c>
      <c r="L393" s="78">
        <f t="shared" si="214"/>
        <v>7</v>
      </c>
      <c r="M393" s="78">
        <f t="shared" si="214"/>
        <v>1</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2017</v>
      </c>
      <c r="B394" s="73" t="str">
        <f t="shared" si="189"/>
        <v>Nov</v>
      </c>
      <c r="C394" s="74">
        <f t="shared" si="212"/>
        <v>16</v>
      </c>
      <c r="D394" s="75">
        <f t="shared" si="190"/>
        <v>14</v>
      </c>
      <c r="E394" s="76">
        <f t="shared" si="191"/>
        <v>49</v>
      </c>
      <c r="F394" s="80"/>
      <c r="G394" s="83"/>
      <c r="H394" s="69" t="str">
        <f t="shared" si="213"/>
        <v>Lacine7_20171116_14_00</v>
      </c>
      <c r="I394" s="70">
        <f t="shared" si="214"/>
        <v>1</v>
      </c>
      <c r="J394" s="77" t="str">
        <f t="shared" si="214"/>
        <v>Lactuca</v>
      </c>
      <c r="K394" s="77" t="str">
        <f t="shared" si="214"/>
        <v>inermis</v>
      </c>
      <c r="L394" s="78">
        <f t="shared" si="214"/>
        <v>7</v>
      </c>
      <c r="M394" s="78">
        <f t="shared" si="214"/>
        <v>1</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2017</v>
      </c>
      <c r="B395" s="73" t="str">
        <f t="shared" si="189"/>
        <v>Nov</v>
      </c>
      <c r="C395" s="74">
        <f t="shared" si="212"/>
        <v>16</v>
      </c>
      <c r="D395" s="75">
        <f t="shared" si="190"/>
        <v>14</v>
      </c>
      <c r="E395" s="76">
        <f t="shared" si="191"/>
        <v>50</v>
      </c>
      <c r="F395" s="80"/>
      <c r="G395" s="83"/>
      <c r="H395" s="69" t="str">
        <f t="shared" si="213"/>
        <v>Lacine7_20171116_14_00</v>
      </c>
      <c r="I395" s="70">
        <f t="shared" si="214"/>
        <v>1</v>
      </c>
      <c r="J395" s="77" t="str">
        <f t="shared" si="214"/>
        <v>Lactuca</v>
      </c>
      <c r="K395" s="77" t="str">
        <f t="shared" si="214"/>
        <v>inermis</v>
      </c>
      <c r="L395" s="78">
        <f t="shared" si="214"/>
        <v>7</v>
      </c>
      <c r="M395" s="78">
        <f t="shared" si="214"/>
        <v>1</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2017</v>
      </c>
      <c r="B396" s="73" t="str">
        <f t="shared" si="189"/>
        <v>Nov</v>
      </c>
      <c r="C396" s="74">
        <f t="shared" si="212"/>
        <v>16</v>
      </c>
      <c r="D396" s="75">
        <f t="shared" si="190"/>
        <v>14</v>
      </c>
      <c r="E396" s="76">
        <f t="shared" si="191"/>
        <v>51</v>
      </c>
      <c r="F396" s="80"/>
      <c r="G396" s="83"/>
      <c r="H396" s="69" t="str">
        <f t="shared" si="213"/>
        <v>Lacine7_20171116_14_00</v>
      </c>
      <c r="I396" s="70">
        <f t="shared" si="214"/>
        <v>1</v>
      </c>
      <c r="J396" s="77" t="str">
        <f t="shared" si="214"/>
        <v>Lactuca</v>
      </c>
      <c r="K396" s="77" t="str">
        <f t="shared" si="214"/>
        <v>inermis</v>
      </c>
      <c r="L396" s="78">
        <f t="shared" si="214"/>
        <v>7</v>
      </c>
      <c r="M396" s="78">
        <f t="shared" si="214"/>
        <v>1</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2017</v>
      </c>
      <c r="B397" s="73" t="str">
        <f t="shared" si="189"/>
        <v>Nov</v>
      </c>
      <c r="C397" s="74">
        <f t="shared" si="212"/>
        <v>16</v>
      </c>
      <c r="D397" s="75">
        <f t="shared" si="190"/>
        <v>14</v>
      </c>
      <c r="E397" s="76">
        <f t="shared" si="191"/>
        <v>52</v>
      </c>
      <c r="F397" s="80"/>
      <c r="G397" s="83"/>
      <c r="H397" s="69" t="str">
        <f t="shared" si="213"/>
        <v>Lacine7_20171116_14_00</v>
      </c>
      <c r="I397" s="70">
        <f t="shared" si="214"/>
        <v>1</v>
      </c>
      <c r="J397" s="77" t="str">
        <f t="shared" si="214"/>
        <v>Lactuca</v>
      </c>
      <c r="K397" s="77" t="str">
        <f t="shared" si="214"/>
        <v>inermis</v>
      </c>
      <c r="L397" s="78">
        <f t="shared" si="214"/>
        <v>7</v>
      </c>
      <c r="M397" s="78">
        <f t="shared" si="214"/>
        <v>1</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2017</v>
      </c>
      <c r="B398" s="73" t="str">
        <f t="shared" si="189"/>
        <v>Nov</v>
      </c>
      <c r="C398" s="74">
        <f t="shared" si="212"/>
        <v>16</v>
      </c>
      <c r="D398" s="75">
        <f t="shared" si="190"/>
        <v>14</v>
      </c>
      <c r="E398" s="76">
        <f t="shared" si="191"/>
        <v>53</v>
      </c>
      <c r="F398" s="80"/>
      <c r="G398" s="83"/>
      <c r="H398" s="69" t="str">
        <f t="shared" si="213"/>
        <v>Lacine7_20171116_14_00</v>
      </c>
      <c r="I398" s="70">
        <f t="shared" si="214"/>
        <v>1</v>
      </c>
      <c r="J398" s="77" t="str">
        <f t="shared" si="214"/>
        <v>Lactuca</v>
      </c>
      <c r="K398" s="77" t="str">
        <f t="shared" si="214"/>
        <v>inermis</v>
      </c>
      <c r="L398" s="78">
        <f t="shared" si="214"/>
        <v>7</v>
      </c>
      <c r="M398" s="78">
        <f t="shared" si="214"/>
        <v>1</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2017</v>
      </c>
      <c r="B399" s="73" t="str">
        <f t="shared" si="189"/>
        <v>Nov</v>
      </c>
      <c r="C399" s="74">
        <f t="shared" si="212"/>
        <v>16</v>
      </c>
      <c r="D399" s="75">
        <f t="shared" si="190"/>
        <v>14</v>
      </c>
      <c r="E399" s="76">
        <f t="shared" si="191"/>
        <v>54</v>
      </c>
      <c r="F399" s="80"/>
      <c r="G399" s="83"/>
      <c r="H399" s="69" t="str">
        <f t="shared" si="213"/>
        <v>Lacine7_20171116_14_00</v>
      </c>
      <c r="I399" s="70">
        <f t="shared" si="214"/>
        <v>1</v>
      </c>
      <c r="J399" s="77" t="str">
        <f t="shared" si="214"/>
        <v>Lactuca</v>
      </c>
      <c r="K399" s="77" t="str">
        <f t="shared" si="214"/>
        <v>inermis</v>
      </c>
      <c r="L399" s="78">
        <f t="shared" si="214"/>
        <v>7</v>
      </c>
      <c r="M399" s="78">
        <f t="shared" si="214"/>
        <v>1</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2017</v>
      </c>
      <c r="B400" s="73" t="str">
        <f t="shared" si="189"/>
        <v>Nov</v>
      </c>
      <c r="C400" s="74">
        <f t="shared" si="212"/>
        <v>16</v>
      </c>
      <c r="D400" s="75">
        <f t="shared" si="190"/>
        <v>14</v>
      </c>
      <c r="E400" s="76">
        <f t="shared" si="191"/>
        <v>55</v>
      </c>
      <c r="F400" s="80"/>
      <c r="G400" s="83"/>
      <c r="H400" s="69" t="str">
        <f t="shared" si="213"/>
        <v>Lacine7_20171116_14_00</v>
      </c>
      <c r="I400" s="70">
        <f t="shared" si="214"/>
        <v>1</v>
      </c>
      <c r="J400" s="77" t="str">
        <f t="shared" si="214"/>
        <v>Lactuca</v>
      </c>
      <c r="K400" s="77" t="str">
        <f t="shared" si="214"/>
        <v>inermis</v>
      </c>
      <c r="L400" s="78">
        <f t="shared" si="214"/>
        <v>7</v>
      </c>
      <c r="M400" s="78">
        <f t="shared" si="214"/>
        <v>1</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2017</v>
      </c>
      <c r="B401" s="73" t="str">
        <f t="shared" si="189"/>
        <v>Nov</v>
      </c>
      <c r="C401" s="74">
        <f t="shared" si="212"/>
        <v>16</v>
      </c>
      <c r="D401" s="75">
        <f t="shared" si="190"/>
        <v>14</v>
      </c>
      <c r="E401" s="76">
        <f t="shared" si="191"/>
        <v>56</v>
      </c>
      <c r="F401" s="80"/>
      <c r="G401" s="83"/>
      <c r="H401" s="69" t="str">
        <f t="shared" si="213"/>
        <v>Lacine7_20171116_14_00</v>
      </c>
      <c r="I401" s="70">
        <f t="shared" si="214"/>
        <v>1</v>
      </c>
      <c r="J401" s="77" t="str">
        <f t="shared" si="214"/>
        <v>Lactuca</v>
      </c>
      <c r="K401" s="77" t="str">
        <f t="shared" si="214"/>
        <v>inermis</v>
      </c>
      <c r="L401" s="78">
        <f t="shared" si="214"/>
        <v>7</v>
      </c>
      <c r="M401" s="78">
        <f t="shared" si="214"/>
        <v>1</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2017</v>
      </c>
      <c r="B402" s="73" t="str">
        <f t="shared" si="189"/>
        <v>Nov</v>
      </c>
      <c r="C402" s="74">
        <f t="shared" si="212"/>
        <v>16</v>
      </c>
      <c r="D402" s="75">
        <f t="shared" si="190"/>
        <v>14</v>
      </c>
      <c r="E402" s="76">
        <f t="shared" si="191"/>
        <v>57</v>
      </c>
      <c r="F402" s="80"/>
      <c r="G402" s="83"/>
      <c r="H402" s="69" t="str">
        <f t="shared" si="213"/>
        <v>Lacine7_20171116_14_00</v>
      </c>
      <c r="I402" s="70">
        <f t="shared" si="214"/>
        <v>1</v>
      </c>
      <c r="J402" s="77" t="str">
        <f t="shared" si="214"/>
        <v>Lactuca</v>
      </c>
      <c r="K402" s="77" t="str">
        <f t="shared" si="214"/>
        <v>inermis</v>
      </c>
      <c r="L402" s="78">
        <f t="shared" si="214"/>
        <v>7</v>
      </c>
      <c r="M402" s="78">
        <f t="shared" si="214"/>
        <v>1</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2017</v>
      </c>
      <c r="B403" s="73" t="str">
        <f t="shared" si="189"/>
        <v>Nov</v>
      </c>
      <c r="C403" s="74">
        <f t="shared" si="212"/>
        <v>16</v>
      </c>
      <c r="D403" s="75">
        <f t="shared" si="190"/>
        <v>14</v>
      </c>
      <c r="E403" s="76">
        <f t="shared" si="191"/>
        <v>58</v>
      </c>
      <c r="F403" s="80"/>
      <c r="G403" s="83"/>
      <c r="H403" s="69" t="str">
        <f t="shared" si="213"/>
        <v>Lacine7_20171116_14_00</v>
      </c>
      <c r="I403" s="70">
        <f t="shared" si="214"/>
        <v>1</v>
      </c>
      <c r="J403" s="77" t="str">
        <f t="shared" si="214"/>
        <v>Lactuca</v>
      </c>
      <c r="K403" s="77" t="str">
        <f t="shared" si="214"/>
        <v>inermis</v>
      </c>
      <c r="L403" s="78">
        <f t="shared" si="214"/>
        <v>7</v>
      </c>
      <c r="M403" s="78">
        <f t="shared" si="214"/>
        <v>1</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2017</v>
      </c>
      <c r="B404" s="73" t="str">
        <f t="shared" si="189"/>
        <v>Nov</v>
      </c>
      <c r="C404" s="74">
        <f t="shared" si="212"/>
        <v>16</v>
      </c>
      <c r="D404" s="75">
        <f t="shared" si="190"/>
        <v>14</v>
      </c>
      <c r="E404" s="76">
        <f t="shared" si="191"/>
        <v>59</v>
      </c>
      <c r="F404" s="80"/>
      <c r="G404" s="83"/>
      <c r="H404" s="69" t="str">
        <f t="shared" si="213"/>
        <v>Lacine7_20171116_14_00</v>
      </c>
      <c r="I404" s="70">
        <f t="shared" si="214"/>
        <v>1</v>
      </c>
      <c r="J404" s="77" t="str">
        <f t="shared" si="214"/>
        <v>Lactuca</v>
      </c>
      <c r="K404" s="77" t="str">
        <f t="shared" si="214"/>
        <v>inermis</v>
      </c>
      <c r="L404" s="78">
        <f t="shared" si="214"/>
        <v>7</v>
      </c>
      <c r="M404" s="78">
        <f t="shared" si="214"/>
        <v>1</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2017</v>
      </c>
      <c r="B405" s="73" t="str">
        <f t="shared" si="189"/>
        <v>Nov</v>
      </c>
      <c r="C405" s="74">
        <f t="shared" si="212"/>
        <v>16</v>
      </c>
      <c r="D405" s="75">
        <f t="shared" si="190"/>
        <v>15</v>
      </c>
      <c r="E405" s="76">
        <f t="shared" si="191"/>
        <v>0</v>
      </c>
      <c r="F405" s="80"/>
      <c r="G405" s="83"/>
      <c r="H405" s="69" t="str">
        <f t="shared" si="213"/>
        <v>Lacine7_20171116_15_00</v>
      </c>
      <c r="I405" s="70">
        <f t="shared" ref="I405:N420" si="215">I404</f>
        <v>1</v>
      </c>
      <c r="J405" s="77" t="str">
        <f t="shared" si="215"/>
        <v>Lactuca</v>
      </c>
      <c r="K405" s="77" t="str">
        <f t="shared" si="215"/>
        <v>inermis</v>
      </c>
      <c r="L405" s="78">
        <f t="shared" si="215"/>
        <v>7</v>
      </c>
      <c r="M405" s="78">
        <f t="shared" si="215"/>
        <v>1</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2017</v>
      </c>
      <c r="B406" s="73" t="str">
        <f t="shared" si="189"/>
        <v>Nov</v>
      </c>
      <c r="C406" s="74">
        <f t="shared" si="212"/>
        <v>16</v>
      </c>
      <c r="D406" s="75">
        <f t="shared" si="190"/>
        <v>15</v>
      </c>
      <c r="E406" s="76">
        <f t="shared" si="191"/>
        <v>1</v>
      </c>
      <c r="F406" s="80"/>
      <c r="G406" s="83"/>
      <c r="H406" s="69" t="str">
        <f t="shared" si="213"/>
        <v>Lacine7_20171116_15_00</v>
      </c>
      <c r="I406" s="70">
        <f t="shared" si="215"/>
        <v>1</v>
      </c>
      <c r="J406" s="77" t="str">
        <f t="shared" si="215"/>
        <v>Lactuca</v>
      </c>
      <c r="K406" s="77" t="str">
        <f t="shared" si="215"/>
        <v>inermis</v>
      </c>
      <c r="L406" s="78">
        <f t="shared" si="215"/>
        <v>7</v>
      </c>
      <c r="M406" s="78">
        <f t="shared" si="215"/>
        <v>1</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2017</v>
      </c>
      <c r="B407" s="73" t="str">
        <f t="shared" si="189"/>
        <v>Nov</v>
      </c>
      <c r="C407" s="74">
        <f t="shared" si="212"/>
        <v>16</v>
      </c>
      <c r="D407" s="75">
        <f t="shared" si="190"/>
        <v>15</v>
      </c>
      <c r="E407" s="76">
        <f t="shared" si="191"/>
        <v>2</v>
      </c>
      <c r="F407" s="80"/>
      <c r="G407" s="83"/>
      <c r="H407" s="69" t="str">
        <f t="shared" si="213"/>
        <v>Lacine7_20171116_15_00</v>
      </c>
      <c r="I407" s="70">
        <f t="shared" si="215"/>
        <v>1</v>
      </c>
      <c r="J407" s="77" t="str">
        <f t="shared" si="215"/>
        <v>Lactuca</v>
      </c>
      <c r="K407" s="77" t="str">
        <f t="shared" si="215"/>
        <v>inermis</v>
      </c>
      <c r="L407" s="78">
        <f t="shared" si="215"/>
        <v>7</v>
      </c>
      <c r="M407" s="78">
        <f t="shared" si="215"/>
        <v>1</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2017</v>
      </c>
      <c r="B408" s="73" t="str">
        <f t="shared" si="189"/>
        <v>Nov</v>
      </c>
      <c r="C408" s="74">
        <f t="shared" si="212"/>
        <v>16</v>
      </c>
      <c r="D408" s="75">
        <f t="shared" si="190"/>
        <v>15</v>
      </c>
      <c r="E408" s="76">
        <f t="shared" si="191"/>
        <v>3</v>
      </c>
      <c r="F408" s="80"/>
      <c r="G408" s="83"/>
      <c r="H408" s="69" t="str">
        <f t="shared" si="213"/>
        <v>Lacine7_20171116_15_00</v>
      </c>
      <c r="I408" s="70">
        <f t="shared" si="215"/>
        <v>1</v>
      </c>
      <c r="J408" s="77" t="str">
        <f t="shared" si="215"/>
        <v>Lactuca</v>
      </c>
      <c r="K408" s="77" t="str">
        <f t="shared" si="215"/>
        <v>inermis</v>
      </c>
      <c r="L408" s="78">
        <f t="shared" si="215"/>
        <v>7</v>
      </c>
      <c r="M408" s="78">
        <f t="shared" si="215"/>
        <v>1</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2017</v>
      </c>
      <c r="B409" s="73" t="str">
        <f t="shared" si="189"/>
        <v>Nov</v>
      </c>
      <c r="C409" s="74">
        <f t="shared" si="212"/>
        <v>16</v>
      </c>
      <c r="D409" s="75">
        <f t="shared" si="190"/>
        <v>15</v>
      </c>
      <c r="E409" s="76">
        <f t="shared" si="191"/>
        <v>4</v>
      </c>
      <c r="F409" s="80"/>
      <c r="G409" s="83"/>
      <c r="H409" s="69" t="str">
        <f t="shared" si="213"/>
        <v>Lacine7_20171116_15_00</v>
      </c>
      <c r="I409" s="70">
        <f t="shared" si="215"/>
        <v>1</v>
      </c>
      <c r="J409" s="77" t="str">
        <f t="shared" si="215"/>
        <v>Lactuca</v>
      </c>
      <c r="K409" s="77" t="str">
        <f t="shared" si="215"/>
        <v>inermis</v>
      </c>
      <c r="L409" s="78">
        <f t="shared" si="215"/>
        <v>7</v>
      </c>
      <c r="M409" s="78">
        <f t="shared" si="215"/>
        <v>1</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2017</v>
      </c>
      <c r="B410" s="73" t="str">
        <f t="shared" si="189"/>
        <v>Nov</v>
      </c>
      <c r="C410" s="74">
        <f t="shared" si="212"/>
        <v>16</v>
      </c>
      <c r="D410" s="75">
        <f t="shared" si="190"/>
        <v>15</v>
      </c>
      <c r="E410" s="76">
        <f t="shared" si="191"/>
        <v>5</v>
      </c>
      <c r="F410" s="80"/>
      <c r="G410" s="83"/>
      <c r="H410" s="69" t="str">
        <f t="shared" si="213"/>
        <v>Lacine7_20171116_15_00</v>
      </c>
      <c r="I410" s="70">
        <f t="shared" si="215"/>
        <v>1</v>
      </c>
      <c r="J410" s="77" t="str">
        <f t="shared" si="215"/>
        <v>Lactuca</v>
      </c>
      <c r="K410" s="77" t="str">
        <f t="shared" si="215"/>
        <v>inermis</v>
      </c>
      <c r="L410" s="78">
        <f t="shared" si="215"/>
        <v>7</v>
      </c>
      <c r="M410" s="78">
        <f t="shared" si="215"/>
        <v>1</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2017</v>
      </c>
      <c r="B411" s="73" t="str">
        <f t="shared" si="189"/>
        <v>Nov</v>
      </c>
      <c r="C411" s="74">
        <f t="shared" si="212"/>
        <v>16</v>
      </c>
      <c r="D411" s="75">
        <f t="shared" si="190"/>
        <v>15</v>
      </c>
      <c r="E411" s="76">
        <f t="shared" si="191"/>
        <v>6</v>
      </c>
      <c r="F411" s="80"/>
      <c r="G411" s="83"/>
      <c r="H411" s="69" t="str">
        <f t="shared" si="213"/>
        <v>Lacine7_20171116_15_00</v>
      </c>
      <c r="I411" s="70">
        <f t="shared" si="215"/>
        <v>1</v>
      </c>
      <c r="J411" s="77" t="str">
        <f t="shared" si="215"/>
        <v>Lactuca</v>
      </c>
      <c r="K411" s="77" t="str">
        <f t="shared" si="215"/>
        <v>inermis</v>
      </c>
      <c r="L411" s="78">
        <f t="shared" si="215"/>
        <v>7</v>
      </c>
      <c r="M411" s="78">
        <f t="shared" si="215"/>
        <v>1</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2017</v>
      </c>
      <c r="B412" s="73" t="str">
        <f t="shared" si="189"/>
        <v>Nov</v>
      </c>
      <c r="C412" s="74">
        <f t="shared" si="212"/>
        <v>16</v>
      </c>
      <c r="D412" s="75">
        <f t="shared" si="190"/>
        <v>15</v>
      </c>
      <c r="E412" s="76">
        <f t="shared" si="191"/>
        <v>7</v>
      </c>
      <c r="F412" s="80"/>
      <c r="G412" s="83"/>
      <c r="H412" s="69" t="str">
        <f t="shared" si="213"/>
        <v>Lacine7_20171116_15_00</v>
      </c>
      <c r="I412" s="70">
        <f t="shared" si="215"/>
        <v>1</v>
      </c>
      <c r="J412" s="77" t="str">
        <f t="shared" si="215"/>
        <v>Lactuca</v>
      </c>
      <c r="K412" s="77" t="str">
        <f t="shared" si="215"/>
        <v>inermis</v>
      </c>
      <c r="L412" s="78">
        <f t="shared" si="215"/>
        <v>7</v>
      </c>
      <c r="M412" s="78">
        <f t="shared" si="215"/>
        <v>1</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2017</v>
      </c>
      <c r="B413" s="73" t="str">
        <f t="shared" si="189"/>
        <v>Nov</v>
      </c>
      <c r="C413" s="74">
        <f t="shared" si="212"/>
        <v>16</v>
      </c>
      <c r="D413" s="75">
        <f t="shared" si="190"/>
        <v>15</v>
      </c>
      <c r="E413" s="76">
        <f t="shared" si="191"/>
        <v>8</v>
      </c>
      <c r="F413" s="80"/>
      <c r="G413" s="83"/>
      <c r="H413" s="69" t="str">
        <f t="shared" si="213"/>
        <v>Lacine7_20171116_15_00</v>
      </c>
      <c r="I413" s="70">
        <f t="shared" si="215"/>
        <v>1</v>
      </c>
      <c r="J413" s="77" t="str">
        <f t="shared" si="215"/>
        <v>Lactuca</v>
      </c>
      <c r="K413" s="77" t="str">
        <f t="shared" si="215"/>
        <v>inermis</v>
      </c>
      <c r="L413" s="78">
        <f t="shared" si="215"/>
        <v>7</v>
      </c>
      <c r="M413" s="78">
        <f t="shared" si="215"/>
        <v>1</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2017</v>
      </c>
      <c r="B414" s="73" t="str">
        <f t="shared" si="189"/>
        <v>Nov</v>
      </c>
      <c r="C414" s="74">
        <f t="shared" si="212"/>
        <v>16</v>
      </c>
      <c r="D414" s="75">
        <f t="shared" si="190"/>
        <v>15</v>
      </c>
      <c r="E414" s="76">
        <f t="shared" si="191"/>
        <v>9</v>
      </c>
      <c r="F414" s="80"/>
      <c r="G414" s="83"/>
      <c r="H414" s="69" t="str">
        <f t="shared" si="213"/>
        <v>Lacine7_20171116_15_00</v>
      </c>
      <c r="I414" s="70">
        <f t="shared" si="215"/>
        <v>1</v>
      </c>
      <c r="J414" s="77" t="str">
        <f t="shared" si="215"/>
        <v>Lactuca</v>
      </c>
      <c r="K414" s="77" t="str">
        <f t="shared" si="215"/>
        <v>inermis</v>
      </c>
      <c r="L414" s="78">
        <f t="shared" si="215"/>
        <v>7</v>
      </c>
      <c r="M414" s="78">
        <f t="shared" si="215"/>
        <v>1</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2017</v>
      </c>
      <c r="B415" s="73" t="str">
        <f t="shared" si="189"/>
        <v>Nov</v>
      </c>
      <c r="C415" s="74">
        <f t="shared" si="212"/>
        <v>16</v>
      </c>
      <c r="D415" s="75">
        <f t="shared" si="190"/>
        <v>15</v>
      </c>
      <c r="E415" s="76">
        <f t="shared" si="191"/>
        <v>10</v>
      </c>
      <c r="F415" s="80"/>
      <c r="G415" s="83"/>
      <c r="H415" s="69" t="str">
        <f t="shared" si="213"/>
        <v>Lacine7_20171116_15_00</v>
      </c>
      <c r="I415" s="70">
        <f t="shared" si="215"/>
        <v>1</v>
      </c>
      <c r="J415" s="77" t="str">
        <f t="shared" si="215"/>
        <v>Lactuca</v>
      </c>
      <c r="K415" s="77" t="str">
        <f t="shared" si="215"/>
        <v>inermis</v>
      </c>
      <c r="L415" s="78">
        <f t="shared" si="215"/>
        <v>7</v>
      </c>
      <c r="M415" s="78">
        <f t="shared" si="215"/>
        <v>1</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2017</v>
      </c>
      <c r="B416" s="73" t="str">
        <f t="shared" si="189"/>
        <v>Nov</v>
      </c>
      <c r="C416" s="74">
        <f t="shared" si="212"/>
        <v>16</v>
      </c>
      <c r="D416" s="75">
        <f t="shared" si="190"/>
        <v>15</v>
      </c>
      <c r="E416" s="76">
        <f t="shared" si="191"/>
        <v>11</v>
      </c>
      <c r="F416" s="80"/>
      <c r="G416" s="83"/>
      <c r="H416" s="69" t="str">
        <f t="shared" si="213"/>
        <v>Lacine7_20171116_15_00</v>
      </c>
      <c r="I416" s="70">
        <f t="shared" si="215"/>
        <v>1</v>
      </c>
      <c r="J416" s="77" t="str">
        <f t="shared" si="215"/>
        <v>Lactuca</v>
      </c>
      <c r="K416" s="77" t="str">
        <f t="shared" si="215"/>
        <v>inermis</v>
      </c>
      <c r="L416" s="78">
        <f t="shared" si="215"/>
        <v>7</v>
      </c>
      <c r="M416" s="78">
        <f t="shared" si="215"/>
        <v>1</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2017</v>
      </c>
      <c r="B417" s="73" t="str">
        <f t="shared" si="189"/>
        <v>Nov</v>
      </c>
      <c r="C417" s="74">
        <f t="shared" si="212"/>
        <v>16</v>
      </c>
      <c r="D417" s="75">
        <f t="shared" si="190"/>
        <v>15</v>
      </c>
      <c r="E417" s="76">
        <f t="shared" si="191"/>
        <v>12</v>
      </c>
      <c r="F417" s="80"/>
      <c r="G417" s="83"/>
      <c r="H417" s="69" t="str">
        <f t="shared" si="213"/>
        <v>Lacine7_20171116_15_00</v>
      </c>
      <c r="I417" s="70">
        <f t="shared" si="215"/>
        <v>1</v>
      </c>
      <c r="J417" s="77" t="str">
        <f t="shared" si="215"/>
        <v>Lactuca</v>
      </c>
      <c r="K417" s="77" t="str">
        <f t="shared" si="215"/>
        <v>inermis</v>
      </c>
      <c r="L417" s="78">
        <f t="shared" si="215"/>
        <v>7</v>
      </c>
      <c r="M417" s="78">
        <f t="shared" si="215"/>
        <v>1</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2017</v>
      </c>
      <c r="B418" s="73" t="str">
        <f t="shared" si="189"/>
        <v>Nov</v>
      </c>
      <c r="C418" s="74">
        <f t="shared" si="212"/>
        <v>16</v>
      </c>
      <c r="D418" s="75">
        <f t="shared" si="190"/>
        <v>15</v>
      </c>
      <c r="E418" s="76">
        <f t="shared" si="191"/>
        <v>13</v>
      </c>
      <c r="F418" s="80"/>
      <c r="G418" s="83"/>
      <c r="H418" s="69" t="str">
        <f t="shared" si="213"/>
        <v>Lacine7_20171116_15_00</v>
      </c>
      <c r="I418" s="70">
        <f t="shared" si="215"/>
        <v>1</v>
      </c>
      <c r="J418" s="77" t="str">
        <f t="shared" si="215"/>
        <v>Lactuca</v>
      </c>
      <c r="K418" s="77" t="str">
        <f t="shared" si="215"/>
        <v>inermis</v>
      </c>
      <c r="L418" s="78">
        <f t="shared" si="215"/>
        <v>7</v>
      </c>
      <c r="M418" s="78">
        <f t="shared" si="215"/>
        <v>1</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2017</v>
      </c>
      <c r="B419" s="73" t="str">
        <f t="shared" si="189"/>
        <v>Nov</v>
      </c>
      <c r="C419" s="74">
        <f t="shared" si="212"/>
        <v>16</v>
      </c>
      <c r="D419" s="75">
        <f t="shared" si="190"/>
        <v>15</v>
      </c>
      <c r="E419" s="76">
        <f t="shared" si="191"/>
        <v>14</v>
      </c>
      <c r="F419" s="80"/>
      <c r="G419" s="83"/>
      <c r="H419" s="69" t="str">
        <f t="shared" si="213"/>
        <v>Lacine7_20171116_15_00</v>
      </c>
      <c r="I419" s="70">
        <f t="shared" si="215"/>
        <v>1</v>
      </c>
      <c r="J419" s="77" t="str">
        <f t="shared" si="215"/>
        <v>Lactuca</v>
      </c>
      <c r="K419" s="77" t="str">
        <f t="shared" si="215"/>
        <v>inermis</v>
      </c>
      <c r="L419" s="78">
        <f t="shared" si="215"/>
        <v>7</v>
      </c>
      <c r="M419" s="78">
        <f t="shared" si="215"/>
        <v>1</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2017</v>
      </c>
      <c r="B420" s="73" t="str">
        <f t="shared" si="189"/>
        <v>Nov</v>
      </c>
      <c r="C420" s="74">
        <f t="shared" si="212"/>
        <v>16</v>
      </c>
      <c r="D420" s="75">
        <f t="shared" si="190"/>
        <v>15</v>
      </c>
      <c r="E420" s="76">
        <f t="shared" si="191"/>
        <v>15</v>
      </c>
      <c r="F420" s="80"/>
      <c r="G420" s="83"/>
      <c r="H420" s="69" t="str">
        <f t="shared" si="213"/>
        <v>Lacine7_20171116_15_00</v>
      </c>
      <c r="I420" s="70">
        <f t="shared" si="215"/>
        <v>1</v>
      </c>
      <c r="J420" s="77" t="str">
        <f t="shared" si="215"/>
        <v>Lactuca</v>
      </c>
      <c r="K420" s="77" t="str">
        <f t="shared" si="215"/>
        <v>inermis</v>
      </c>
      <c r="L420" s="78">
        <f t="shared" si="215"/>
        <v>7</v>
      </c>
      <c r="M420" s="78">
        <f t="shared" si="215"/>
        <v>1</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2017</v>
      </c>
      <c r="B421" s="73" t="str">
        <f t="shared" si="189"/>
        <v>Nov</v>
      </c>
      <c r="C421" s="74">
        <f t="shared" si="212"/>
        <v>16</v>
      </c>
      <c r="D421" s="75">
        <f t="shared" si="190"/>
        <v>15</v>
      </c>
      <c r="E421" s="76">
        <f t="shared" si="191"/>
        <v>16</v>
      </c>
      <c r="F421" s="80"/>
      <c r="G421" s="83"/>
      <c r="H421" s="69" t="str">
        <f t="shared" si="213"/>
        <v>Lacine7_20171116_15_00</v>
      </c>
      <c r="I421" s="70">
        <f t="shared" ref="I421:N436" si="216">I420</f>
        <v>1</v>
      </c>
      <c r="J421" s="77" t="str">
        <f t="shared" si="216"/>
        <v>Lactuca</v>
      </c>
      <c r="K421" s="77" t="str">
        <f t="shared" si="216"/>
        <v>inermis</v>
      </c>
      <c r="L421" s="78">
        <f t="shared" si="216"/>
        <v>7</v>
      </c>
      <c r="M421" s="78">
        <f t="shared" si="216"/>
        <v>1</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2017</v>
      </c>
      <c r="B422" s="73" t="str">
        <f t="shared" si="189"/>
        <v>Nov</v>
      </c>
      <c r="C422" s="74">
        <f t="shared" si="212"/>
        <v>16</v>
      </c>
      <c r="D422" s="75">
        <f t="shared" si="190"/>
        <v>15</v>
      </c>
      <c r="E422" s="76">
        <f t="shared" si="191"/>
        <v>17</v>
      </c>
      <c r="F422" s="80"/>
      <c r="G422" s="83"/>
      <c r="H422" s="69" t="str">
        <f t="shared" si="213"/>
        <v>Lacine7_20171116_15_00</v>
      </c>
      <c r="I422" s="70">
        <f t="shared" si="216"/>
        <v>1</v>
      </c>
      <c r="J422" s="77" t="str">
        <f t="shared" si="216"/>
        <v>Lactuca</v>
      </c>
      <c r="K422" s="77" t="str">
        <f t="shared" si="216"/>
        <v>inermis</v>
      </c>
      <c r="L422" s="78">
        <f t="shared" si="216"/>
        <v>7</v>
      </c>
      <c r="M422" s="78">
        <f t="shared" si="216"/>
        <v>1</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2017</v>
      </c>
      <c r="B423" s="73" t="str">
        <f t="shared" si="189"/>
        <v>Nov</v>
      </c>
      <c r="C423" s="74">
        <f t="shared" si="212"/>
        <v>16</v>
      </c>
      <c r="D423" s="75">
        <f t="shared" si="190"/>
        <v>15</v>
      </c>
      <c r="E423" s="76">
        <f t="shared" si="191"/>
        <v>18</v>
      </c>
      <c r="F423" s="80"/>
      <c r="G423" s="83"/>
      <c r="H423" s="69" t="str">
        <f t="shared" si="213"/>
        <v>Lacine7_20171116_15_00</v>
      </c>
      <c r="I423" s="70">
        <f t="shared" si="216"/>
        <v>1</v>
      </c>
      <c r="J423" s="77" t="str">
        <f t="shared" si="216"/>
        <v>Lactuca</v>
      </c>
      <c r="K423" s="77" t="str">
        <f t="shared" si="216"/>
        <v>inermis</v>
      </c>
      <c r="L423" s="78">
        <f t="shared" si="216"/>
        <v>7</v>
      </c>
      <c r="M423" s="78">
        <f t="shared" si="216"/>
        <v>1</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2017</v>
      </c>
      <c r="B424" s="73" t="str">
        <f t="shared" si="189"/>
        <v>Nov</v>
      </c>
      <c r="C424" s="74">
        <f t="shared" si="212"/>
        <v>16</v>
      </c>
      <c r="D424" s="75">
        <f t="shared" si="190"/>
        <v>15</v>
      </c>
      <c r="E424" s="76">
        <f t="shared" si="191"/>
        <v>19</v>
      </c>
      <c r="F424" s="80"/>
      <c r="G424" s="83"/>
      <c r="H424" s="69" t="str">
        <f t="shared" si="213"/>
        <v>Lacine7_20171116_15_00</v>
      </c>
      <c r="I424" s="70">
        <f t="shared" si="216"/>
        <v>1</v>
      </c>
      <c r="J424" s="77" t="str">
        <f t="shared" si="216"/>
        <v>Lactuca</v>
      </c>
      <c r="K424" s="77" t="str">
        <f t="shared" si="216"/>
        <v>inermis</v>
      </c>
      <c r="L424" s="78">
        <f t="shared" si="216"/>
        <v>7</v>
      </c>
      <c r="M424" s="78">
        <f t="shared" si="216"/>
        <v>1</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2017</v>
      </c>
      <c r="B425" s="73" t="str">
        <f t="shared" si="189"/>
        <v>Nov</v>
      </c>
      <c r="C425" s="74">
        <f t="shared" si="212"/>
        <v>16</v>
      </c>
      <c r="D425" s="75">
        <f t="shared" si="190"/>
        <v>15</v>
      </c>
      <c r="E425" s="76">
        <f t="shared" si="191"/>
        <v>20</v>
      </c>
      <c r="F425" s="80"/>
      <c r="G425" s="83"/>
      <c r="H425" s="69" t="str">
        <f t="shared" si="213"/>
        <v>Lacine7_20171116_15_00</v>
      </c>
      <c r="I425" s="70">
        <f t="shared" si="216"/>
        <v>1</v>
      </c>
      <c r="J425" s="77" t="str">
        <f t="shared" si="216"/>
        <v>Lactuca</v>
      </c>
      <c r="K425" s="77" t="str">
        <f t="shared" si="216"/>
        <v>inermis</v>
      </c>
      <c r="L425" s="78">
        <f t="shared" si="216"/>
        <v>7</v>
      </c>
      <c r="M425" s="78">
        <f t="shared" si="216"/>
        <v>1</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2017</v>
      </c>
      <c r="B426" s="73" t="str">
        <f t="shared" si="189"/>
        <v>Nov</v>
      </c>
      <c r="C426" s="74">
        <f t="shared" si="212"/>
        <v>16</v>
      </c>
      <c r="D426" s="75">
        <f t="shared" si="190"/>
        <v>15</v>
      </c>
      <c r="E426" s="76">
        <f t="shared" si="191"/>
        <v>21</v>
      </c>
      <c r="F426" s="80"/>
      <c r="G426" s="83"/>
      <c r="H426" s="69" t="str">
        <f t="shared" si="213"/>
        <v>Lacine7_20171116_15_00</v>
      </c>
      <c r="I426" s="70">
        <f t="shared" si="216"/>
        <v>1</v>
      </c>
      <c r="J426" s="77" t="str">
        <f t="shared" si="216"/>
        <v>Lactuca</v>
      </c>
      <c r="K426" s="77" t="str">
        <f t="shared" si="216"/>
        <v>inermis</v>
      </c>
      <c r="L426" s="78">
        <f t="shared" si="216"/>
        <v>7</v>
      </c>
      <c r="M426" s="78">
        <f t="shared" si="216"/>
        <v>1</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2017</v>
      </c>
      <c r="B427" s="73" t="str">
        <f t="shared" si="189"/>
        <v>Nov</v>
      </c>
      <c r="C427" s="74">
        <f t="shared" si="212"/>
        <v>16</v>
      </c>
      <c r="D427" s="75">
        <f t="shared" si="190"/>
        <v>15</v>
      </c>
      <c r="E427" s="76">
        <f t="shared" si="191"/>
        <v>22</v>
      </c>
      <c r="F427" s="80"/>
      <c r="G427" s="83"/>
      <c r="H427" s="69" t="str">
        <f t="shared" si="213"/>
        <v>Lacine7_20171116_15_00</v>
      </c>
      <c r="I427" s="70">
        <f t="shared" si="216"/>
        <v>1</v>
      </c>
      <c r="J427" s="77" t="str">
        <f t="shared" si="216"/>
        <v>Lactuca</v>
      </c>
      <c r="K427" s="77" t="str">
        <f t="shared" si="216"/>
        <v>inermis</v>
      </c>
      <c r="L427" s="78">
        <f t="shared" si="216"/>
        <v>7</v>
      </c>
      <c r="M427" s="78">
        <f t="shared" si="216"/>
        <v>1</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2017</v>
      </c>
      <c r="B428" s="73" t="str">
        <f t="shared" si="189"/>
        <v>Nov</v>
      </c>
      <c r="C428" s="74">
        <f t="shared" si="212"/>
        <v>16</v>
      </c>
      <c r="D428" s="75">
        <f t="shared" si="190"/>
        <v>15</v>
      </c>
      <c r="E428" s="76">
        <f t="shared" si="191"/>
        <v>23</v>
      </c>
      <c r="F428" s="80"/>
      <c r="G428" s="83"/>
      <c r="H428" s="69" t="str">
        <f t="shared" si="213"/>
        <v>Lacine7_20171116_15_00</v>
      </c>
      <c r="I428" s="70">
        <f t="shared" si="216"/>
        <v>1</v>
      </c>
      <c r="J428" s="77" t="str">
        <f t="shared" si="216"/>
        <v>Lactuca</v>
      </c>
      <c r="K428" s="77" t="str">
        <f t="shared" si="216"/>
        <v>inermis</v>
      </c>
      <c r="L428" s="78">
        <f t="shared" si="216"/>
        <v>7</v>
      </c>
      <c r="M428" s="78">
        <f t="shared" si="216"/>
        <v>1</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2017</v>
      </c>
      <c r="B429" s="73" t="str">
        <f t="shared" si="189"/>
        <v>Nov</v>
      </c>
      <c r="C429" s="74">
        <f t="shared" si="212"/>
        <v>16</v>
      </c>
      <c r="D429" s="75">
        <f t="shared" si="190"/>
        <v>15</v>
      </c>
      <c r="E429" s="76">
        <f t="shared" si="191"/>
        <v>24</v>
      </c>
      <c r="F429" s="80"/>
      <c r="G429" s="83"/>
      <c r="H429" s="69" t="str">
        <f t="shared" si="213"/>
        <v>Lacine7_20171116_15_00</v>
      </c>
      <c r="I429" s="70">
        <f t="shared" si="216"/>
        <v>1</v>
      </c>
      <c r="J429" s="77" t="str">
        <f t="shared" si="216"/>
        <v>Lactuca</v>
      </c>
      <c r="K429" s="77" t="str">
        <f t="shared" si="216"/>
        <v>inermis</v>
      </c>
      <c r="L429" s="78">
        <f t="shared" si="216"/>
        <v>7</v>
      </c>
      <c r="M429" s="78">
        <f t="shared" si="216"/>
        <v>1</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2017</v>
      </c>
      <c r="B430" s="73" t="str">
        <f t="shared" si="189"/>
        <v>Nov</v>
      </c>
      <c r="C430" s="74">
        <f t="shared" si="212"/>
        <v>16</v>
      </c>
      <c r="D430" s="75">
        <f t="shared" si="190"/>
        <v>15</v>
      </c>
      <c r="E430" s="76">
        <f t="shared" si="191"/>
        <v>25</v>
      </c>
      <c r="F430" s="80"/>
      <c r="G430" s="83"/>
      <c r="H430" s="69" t="str">
        <f t="shared" si="213"/>
        <v>Lacine7_20171116_15_00</v>
      </c>
      <c r="I430" s="70">
        <f t="shared" si="216"/>
        <v>1</v>
      </c>
      <c r="J430" s="77" t="str">
        <f t="shared" si="216"/>
        <v>Lactuca</v>
      </c>
      <c r="K430" s="77" t="str">
        <f t="shared" si="216"/>
        <v>inermis</v>
      </c>
      <c r="L430" s="78">
        <f t="shared" si="216"/>
        <v>7</v>
      </c>
      <c r="M430" s="78">
        <f t="shared" si="216"/>
        <v>1</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2017</v>
      </c>
      <c r="B431" s="73" t="str">
        <f t="shared" si="189"/>
        <v>Nov</v>
      </c>
      <c r="C431" s="74">
        <f t="shared" si="212"/>
        <v>16</v>
      </c>
      <c r="D431" s="75">
        <f t="shared" si="190"/>
        <v>15</v>
      </c>
      <c r="E431" s="76">
        <f t="shared" si="191"/>
        <v>26</v>
      </c>
      <c r="F431" s="80"/>
      <c r="G431" s="83"/>
      <c r="H431" s="69" t="str">
        <f t="shared" si="213"/>
        <v>Lacine7_20171116_15_00</v>
      </c>
      <c r="I431" s="70">
        <f t="shared" si="216"/>
        <v>1</v>
      </c>
      <c r="J431" s="77" t="str">
        <f t="shared" si="216"/>
        <v>Lactuca</v>
      </c>
      <c r="K431" s="77" t="str">
        <f t="shared" si="216"/>
        <v>inermis</v>
      </c>
      <c r="L431" s="78">
        <f t="shared" si="216"/>
        <v>7</v>
      </c>
      <c r="M431" s="78">
        <f t="shared" si="216"/>
        <v>1</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2017</v>
      </c>
      <c r="B432" s="73" t="str">
        <f t="shared" si="189"/>
        <v>Nov</v>
      </c>
      <c r="C432" s="74">
        <f t="shared" si="212"/>
        <v>16</v>
      </c>
      <c r="D432" s="75">
        <f t="shared" si="190"/>
        <v>15</v>
      </c>
      <c r="E432" s="76">
        <f t="shared" si="191"/>
        <v>27</v>
      </c>
      <c r="F432" s="80"/>
      <c r="G432" s="83"/>
      <c r="H432" s="69" t="str">
        <f t="shared" si="213"/>
        <v>Lacine7_20171116_15_00</v>
      </c>
      <c r="I432" s="70">
        <f t="shared" si="216"/>
        <v>1</v>
      </c>
      <c r="J432" s="77" t="str">
        <f t="shared" si="216"/>
        <v>Lactuca</v>
      </c>
      <c r="K432" s="77" t="str">
        <f t="shared" si="216"/>
        <v>inermis</v>
      </c>
      <c r="L432" s="78">
        <f t="shared" si="216"/>
        <v>7</v>
      </c>
      <c r="M432" s="78">
        <f t="shared" si="216"/>
        <v>1</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2017</v>
      </c>
      <c r="B433" s="73" t="str">
        <f t="shared" si="189"/>
        <v>Nov</v>
      </c>
      <c r="C433" s="74">
        <f t="shared" si="212"/>
        <v>16</v>
      </c>
      <c r="D433" s="75">
        <f t="shared" si="190"/>
        <v>15</v>
      </c>
      <c r="E433" s="76">
        <f t="shared" si="191"/>
        <v>28</v>
      </c>
      <c r="F433" s="80"/>
      <c r="G433" s="83"/>
      <c r="H433" s="69" t="str">
        <f t="shared" si="213"/>
        <v>Lacine7_20171116_15_00</v>
      </c>
      <c r="I433" s="70">
        <f t="shared" si="216"/>
        <v>1</v>
      </c>
      <c r="J433" s="77" t="str">
        <f t="shared" si="216"/>
        <v>Lactuca</v>
      </c>
      <c r="K433" s="77" t="str">
        <f t="shared" si="216"/>
        <v>inermis</v>
      </c>
      <c r="L433" s="78">
        <f t="shared" si="216"/>
        <v>7</v>
      </c>
      <c r="M433" s="78">
        <f t="shared" si="216"/>
        <v>1</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2017</v>
      </c>
      <c r="B434" s="73" t="str">
        <f t="shared" si="189"/>
        <v>Nov</v>
      </c>
      <c r="C434" s="74">
        <f t="shared" si="212"/>
        <v>16</v>
      </c>
      <c r="D434" s="75">
        <f t="shared" si="190"/>
        <v>15</v>
      </c>
      <c r="E434" s="76">
        <f t="shared" si="191"/>
        <v>29</v>
      </c>
      <c r="F434" s="80"/>
      <c r="G434" s="83"/>
      <c r="H434" s="69" t="str">
        <f t="shared" si="213"/>
        <v>Lacine7_20171116_15_00</v>
      </c>
      <c r="I434" s="70">
        <f t="shared" si="216"/>
        <v>1</v>
      </c>
      <c r="J434" s="77" t="str">
        <f t="shared" si="216"/>
        <v>Lactuca</v>
      </c>
      <c r="K434" s="77" t="str">
        <f t="shared" si="216"/>
        <v>inermis</v>
      </c>
      <c r="L434" s="78">
        <f t="shared" si="216"/>
        <v>7</v>
      </c>
      <c r="M434" s="78">
        <f t="shared" si="216"/>
        <v>1</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2017</v>
      </c>
      <c r="B435" s="73" t="str">
        <f t="shared" si="189"/>
        <v>Nov</v>
      </c>
      <c r="C435" s="74">
        <f t="shared" si="212"/>
        <v>16</v>
      </c>
      <c r="D435" s="75">
        <f t="shared" si="190"/>
        <v>15</v>
      </c>
      <c r="E435" s="76">
        <f t="shared" si="191"/>
        <v>30</v>
      </c>
      <c r="F435" s="80"/>
      <c r="G435" s="83"/>
      <c r="H435" s="69" t="str">
        <f t="shared" si="213"/>
        <v>Lacine7_20171116_15_00</v>
      </c>
      <c r="I435" s="70">
        <f t="shared" si="216"/>
        <v>1</v>
      </c>
      <c r="J435" s="77" t="str">
        <f t="shared" si="216"/>
        <v>Lactuca</v>
      </c>
      <c r="K435" s="77" t="str">
        <f t="shared" si="216"/>
        <v>inermis</v>
      </c>
      <c r="L435" s="78">
        <f t="shared" si="216"/>
        <v>7</v>
      </c>
      <c r="M435" s="78">
        <f t="shared" si="216"/>
        <v>1</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2017</v>
      </c>
      <c r="B436" s="73" t="str">
        <f t="shared" si="189"/>
        <v>Nov</v>
      </c>
      <c r="C436" s="74">
        <f t="shared" si="212"/>
        <v>16</v>
      </c>
      <c r="D436" s="75">
        <f t="shared" si="190"/>
        <v>15</v>
      </c>
      <c r="E436" s="76">
        <f t="shared" si="191"/>
        <v>31</v>
      </c>
      <c r="F436" s="80"/>
      <c r="G436" s="83"/>
      <c r="H436" s="69" t="str">
        <f t="shared" si="213"/>
        <v>Lacine7_20171116_15_00</v>
      </c>
      <c r="I436" s="70">
        <f t="shared" si="216"/>
        <v>1</v>
      </c>
      <c r="J436" s="77" t="str">
        <f t="shared" si="216"/>
        <v>Lactuca</v>
      </c>
      <c r="K436" s="77" t="str">
        <f t="shared" si="216"/>
        <v>inermis</v>
      </c>
      <c r="L436" s="78">
        <f t="shared" si="216"/>
        <v>7</v>
      </c>
      <c r="M436" s="78">
        <f t="shared" si="216"/>
        <v>1</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2017</v>
      </c>
      <c r="B437" s="73" t="str">
        <f t="shared" si="189"/>
        <v>Nov</v>
      </c>
      <c r="C437" s="74">
        <f t="shared" si="212"/>
        <v>16</v>
      </c>
      <c r="D437" s="75">
        <f t="shared" si="190"/>
        <v>15</v>
      </c>
      <c r="E437" s="76">
        <f t="shared" si="191"/>
        <v>32</v>
      </c>
      <c r="F437" s="80"/>
      <c r="G437" s="83"/>
      <c r="H437" s="69" t="str">
        <f t="shared" si="213"/>
        <v>Lacine7_20171116_15_00</v>
      </c>
      <c r="I437" s="70">
        <f t="shared" ref="I437:N452" si="217">I436</f>
        <v>1</v>
      </c>
      <c r="J437" s="77" t="str">
        <f t="shared" si="217"/>
        <v>Lactuca</v>
      </c>
      <c r="K437" s="77" t="str">
        <f t="shared" si="217"/>
        <v>inermis</v>
      </c>
      <c r="L437" s="78">
        <f t="shared" si="217"/>
        <v>7</v>
      </c>
      <c r="M437" s="78">
        <f t="shared" si="217"/>
        <v>1</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2017</v>
      </c>
      <c r="B438" s="73" t="str">
        <f t="shared" si="189"/>
        <v>Nov</v>
      </c>
      <c r="C438" s="74">
        <f t="shared" si="212"/>
        <v>16</v>
      </c>
      <c r="D438" s="75">
        <f t="shared" si="190"/>
        <v>15</v>
      </c>
      <c r="E438" s="76">
        <f t="shared" si="191"/>
        <v>33</v>
      </c>
      <c r="F438" s="80"/>
      <c r="G438" s="83"/>
      <c r="H438" s="69" t="str">
        <f t="shared" si="213"/>
        <v>Lacine7_20171116_15_00</v>
      </c>
      <c r="I438" s="70">
        <f t="shared" si="217"/>
        <v>1</v>
      </c>
      <c r="J438" s="77" t="str">
        <f t="shared" si="217"/>
        <v>Lactuca</v>
      </c>
      <c r="K438" s="77" t="str">
        <f t="shared" si="217"/>
        <v>inermis</v>
      </c>
      <c r="L438" s="78">
        <f t="shared" si="217"/>
        <v>7</v>
      </c>
      <c r="M438" s="78">
        <f t="shared" si="217"/>
        <v>1</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2017</v>
      </c>
      <c r="B439" s="73" t="str">
        <f t="shared" si="189"/>
        <v>Nov</v>
      </c>
      <c r="C439" s="74">
        <f t="shared" si="212"/>
        <v>16</v>
      </c>
      <c r="D439" s="75">
        <f t="shared" si="190"/>
        <v>15</v>
      </c>
      <c r="E439" s="76">
        <f t="shared" si="191"/>
        <v>34</v>
      </c>
      <c r="F439" s="80"/>
      <c r="G439" s="83"/>
      <c r="H439" s="69" t="str">
        <f t="shared" si="213"/>
        <v>Lacine7_20171116_15_00</v>
      </c>
      <c r="I439" s="70">
        <f t="shared" si="217"/>
        <v>1</v>
      </c>
      <c r="J439" s="77" t="str">
        <f t="shared" si="217"/>
        <v>Lactuca</v>
      </c>
      <c r="K439" s="77" t="str">
        <f t="shared" si="217"/>
        <v>inermis</v>
      </c>
      <c r="L439" s="78">
        <f t="shared" si="217"/>
        <v>7</v>
      </c>
      <c r="M439" s="78">
        <f t="shared" si="217"/>
        <v>1</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2017</v>
      </c>
      <c r="B440" s="73" t="str">
        <f t="shared" si="189"/>
        <v>Nov</v>
      </c>
      <c r="C440" s="74">
        <f t="shared" si="212"/>
        <v>16</v>
      </c>
      <c r="D440" s="75">
        <f t="shared" si="190"/>
        <v>15</v>
      </c>
      <c r="E440" s="76">
        <f t="shared" si="191"/>
        <v>35</v>
      </c>
      <c r="F440" s="80"/>
      <c r="G440" s="83"/>
      <c r="H440" s="69" t="str">
        <f t="shared" si="213"/>
        <v>Lacine7_20171116_15_00</v>
      </c>
      <c r="I440" s="70">
        <f t="shared" si="217"/>
        <v>1</v>
      </c>
      <c r="J440" s="77" t="str">
        <f t="shared" si="217"/>
        <v>Lactuca</v>
      </c>
      <c r="K440" s="77" t="str">
        <f t="shared" si="217"/>
        <v>inermis</v>
      </c>
      <c r="L440" s="78">
        <f t="shared" si="217"/>
        <v>7</v>
      </c>
      <c r="M440" s="78">
        <f t="shared" si="217"/>
        <v>1</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2017</v>
      </c>
      <c r="B441" s="73" t="str">
        <f t="shared" si="189"/>
        <v>Nov</v>
      </c>
      <c r="C441" s="74">
        <f t="shared" si="212"/>
        <v>16</v>
      </c>
      <c r="D441" s="75">
        <f t="shared" si="190"/>
        <v>15</v>
      </c>
      <c r="E441" s="76">
        <f t="shared" si="191"/>
        <v>36</v>
      </c>
      <c r="F441" s="80"/>
      <c r="G441" s="83"/>
      <c r="H441" s="69" t="str">
        <f t="shared" si="213"/>
        <v>Lacine7_20171116_15_00</v>
      </c>
      <c r="I441" s="70">
        <f t="shared" si="217"/>
        <v>1</v>
      </c>
      <c r="J441" s="77" t="str">
        <f t="shared" si="217"/>
        <v>Lactuca</v>
      </c>
      <c r="K441" s="77" t="str">
        <f t="shared" si="217"/>
        <v>inermis</v>
      </c>
      <c r="L441" s="78">
        <f t="shared" si="217"/>
        <v>7</v>
      </c>
      <c r="M441" s="78">
        <f t="shared" si="217"/>
        <v>1</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2017</v>
      </c>
      <c r="B442" s="73" t="str">
        <f t="shared" si="189"/>
        <v>Nov</v>
      </c>
      <c r="C442" s="74">
        <f t="shared" si="212"/>
        <v>16</v>
      </c>
      <c r="D442" s="75">
        <f t="shared" si="190"/>
        <v>15</v>
      </c>
      <c r="E442" s="76">
        <f t="shared" si="191"/>
        <v>37</v>
      </c>
      <c r="F442" s="80"/>
      <c r="G442" s="83"/>
      <c r="H442" s="69" t="str">
        <f t="shared" si="213"/>
        <v>Lacine7_20171116_15_00</v>
      </c>
      <c r="I442" s="70">
        <f t="shared" si="217"/>
        <v>1</v>
      </c>
      <c r="J442" s="77" t="str">
        <f t="shared" si="217"/>
        <v>Lactuca</v>
      </c>
      <c r="K442" s="77" t="str">
        <f t="shared" si="217"/>
        <v>inermis</v>
      </c>
      <c r="L442" s="78">
        <f t="shared" si="217"/>
        <v>7</v>
      </c>
      <c r="M442" s="78">
        <f t="shared" si="217"/>
        <v>1</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2017</v>
      </c>
      <c r="B443" s="73" t="str">
        <f t="shared" si="189"/>
        <v>Nov</v>
      </c>
      <c r="C443" s="74">
        <f t="shared" si="212"/>
        <v>16</v>
      </c>
      <c r="D443" s="75">
        <f t="shared" si="190"/>
        <v>15</v>
      </c>
      <c r="E443" s="76">
        <f t="shared" si="191"/>
        <v>38</v>
      </c>
      <c r="F443" s="80"/>
      <c r="G443" s="83"/>
      <c r="H443" s="69" t="str">
        <f t="shared" si="213"/>
        <v>Lacine7_20171116_15_00</v>
      </c>
      <c r="I443" s="70">
        <f t="shared" si="217"/>
        <v>1</v>
      </c>
      <c r="J443" s="77" t="str">
        <f t="shared" si="217"/>
        <v>Lactuca</v>
      </c>
      <c r="K443" s="77" t="str">
        <f t="shared" si="217"/>
        <v>inermis</v>
      </c>
      <c r="L443" s="78">
        <f t="shared" si="217"/>
        <v>7</v>
      </c>
      <c r="M443" s="78">
        <f t="shared" si="217"/>
        <v>1</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2017</v>
      </c>
      <c r="B444" s="73" t="str">
        <f t="shared" si="189"/>
        <v>Nov</v>
      </c>
      <c r="C444" s="74">
        <f t="shared" si="212"/>
        <v>16</v>
      </c>
      <c r="D444" s="75">
        <f t="shared" si="190"/>
        <v>15</v>
      </c>
      <c r="E444" s="76">
        <f t="shared" si="191"/>
        <v>39</v>
      </c>
      <c r="F444" s="80"/>
      <c r="G444" s="83"/>
      <c r="H444" s="69" t="str">
        <f t="shared" si="213"/>
        <v>Lacine7_20171116_15_00</v>
      </c>
      <c r="I444" s="70">
        <f t="shared" si="217"/>
        <v>1</v>
      </c>
      <c r="J444" s="77" t="str">
        <f t="shared" si="217"/>
        <v>Lactuca</v>
      </c>
      <c r="K444" s="77" t="str">
        <f t="shared" si="217"/>
        <v>inermis</v>
      </c>
      <c r="L444" s="78">
        <f t="shared" si="217"/>
        <v>7</v>
      </c>
      <c r="M444" s="78">
        <f t="shared" si="217"/>
        <v>1</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2017</v>
      </c>
      <c r="B445" s="73" t="str">
        <f t="shared" si="189"/>
        <v>Nov</v>
      </c>
      <c r="C445" s="74">
        <f t="shared" si="212"/>
        <v>16</v>
      </c>
      <c r="D445" s="75">
        <f t="shared" si="190"/>
        <v>15</v>
      </c>
      <c r="E445" s="76">
        <f t="shared" si="191"/>
        <v>40</v>
      </c>
      <c r="F445" s="80"/>
      <c r="G445" s="83"/>
      <c r="H445" s="69" t="str">
        <f t="shared" si="213"/>
        <v>Lacine7_20171116_15_00</v>
      </c>
      <c r="I445" s="70">
        <f t="shared" si="217"/>
        <v>1</v>
      </c>
      <c r="J445" s="77" t="str">
        <f t="shared" si="217"/>
        <v>Lactuca</v>
      </c>
      <c r="K445" s="77" t="str">
        <f t="shared" si="217"/>
        <v>inermis</v>
      </c>
      <c r="L445" s="78">
        <f t="shared" si="217"/>
        <v>7</v>
      </c>
      <c r="M445" s="78">
        <f t="shared" si="217"/>
        <v>1</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2017</v>
      </c>
      <c r="B446" s="73" t="str">
        <f t="shared" si="189"/>
        <v>Nov</v>
      </c>
      <c r="C446" s="74">
        <f t="shared" si="212"/>
        <v>16</v>
      </c>
      <c r="D446" s="75">
        <f t="shared" si="190"/>
        <v>15</v>
      </c>
      <c r="E446" s="76">
        <f t="shared" si="191"/>
        <v>41</v>
      </c>
      <c r="F446" s="80"/>
      <c r="G446" s="83"/>
      <c r="H446" s="69" t="str">
        <f t="shared" si="213"/>
        <v>Lacine7_20171116_15_00</v>
      </c>
      <c r="I446" s="70">
        <f t="shared" si="217"/>
        <v>1</v>
      </c>
      <c r="J446" s="77" t="str">
        <f t="shared" si="217"/>
        <v>Lactuca</v>
      </c>
      <c r="K446" s="77" t="str">
        <f t="shared" si="217"/>
        <v>inermis</v>
      </c>
      <c r="L446" s="78">
        <f t="shared" si="217"/>
        <v>7</v>
      </c>
      <c r="M446" s="78">
        <f t="shared" si="217"/>
        <v>1</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2017</v>
      </c>
      <c r="B447" s="73" t="str">
        <f t="shared" si="189"/>
        <v>Nov</v>
      </c>
      <c r="C447" s="74">
        <f t="shared" si="212"/>
        <v>16</v>
      </c>
      <c r="D447" s="75">
        <f t="shared" si="190"/>
        <v>15</v>
      </c>
      <c r="E447" s="76">
        <f t="shared" si="191"/>
        <v>42</v>
      </c>
      <c r="F447" s="80"/>
      <c r="G447" s="83"/>
      <c r="H447" s="69" t="str">
        <f t="shared" si="213"/>
        <v>Lacine7_20171116_15_00</v>
      </c>
      <c r="I447" s="70">
        <f t="shared" si="217"/>
        <v>1</v>
      </c>
      <c r="J447" s="77" t="str">
        <f t="shared" si="217"/>
        <v>Lactuca</v>
      </c>
      <c r="K447" s="77" t="str">
        <f t="shared" si="217"/>
        <v>inermis</v>
      </c>
      <c r="L447" s="78">
        <f t="shared" si="217"/>
        <v>7</v>
      </c>
      <c r="M447" s="78">
        <f t="shared" si="217"/>
        <v>1</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2017</v>
      </c>
      <c r="B448" s="73" t="str">
        <f t="shared" si="189"/>
        <v>Nov</v>
      </c>
      <c r="C448" s="74">
        <f t="shared" si="212"/>
        <v>16</v>
      </c>
      <c r="D448" s="75">
        <f t="shared" si="190"/>
        <v>15</v>
      </c>
      <c r="E448" s="76">
        <f t="shared" si="191"/>
        <v>43</v>
      </c>
      <c r="F448" s="80"/>
      <c r="G448" s="83"/>
      <c r="H448" s="69" t="str">
        <f t="shared" si="213"/>
        <v>Lacine7_20171116_15_00</v>
      </c>
      <c r="I448" s="70">
        <f t="shared" si="217"/>
        <v>1</v>
      </c>
      <c r="J448" s="77" t="str">
        <f t="shared" si="217"/>
        <v>Lactuca</v>
      </c>
      <c r="K448" s="77" t="str">
        <f t="shared" si="217"/>
        <v>inermis</v>
      </c>
      <c r="L448" s="78">
        <f t="shared" si="217"/>
        <v>7</v>
      </c>
      <c r="M448" s="78">
        <f t="shared" si="217"/>
        <v>1</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2017</v>
      </c>
      <c r="B449" s="73" t="str">
        <f t="shared" si="189"/>
        <v>Nov</v>
      </c>
      <c r="C449" s="74">
        <f t="shared" si="212"/>
        <v>16</v>
      </c>
      <c r="D449" s="75">
        <f t="shared" si="190"/>
        <v>15</v>
      </c>
      <c r="E449" s="76">
        <f t="shared" si="191"/>
        <v>44</v>
      </c>
      <c r="F449" s="80"/>
      <c r="G449" s="83"/>
      <c r="H449" s="69" t="str">
        <f t="shared" si="213"/>
        <v>Lacine7_20171116_15_00</v>
      </c>
      <c r="I449" s="70">
        <f t="shared" si="217"/>
        <v>1</v>
      </c>
      <c r="J449" s="77" t="str">
        <f t="shared" si="217"/>
        <v>Lactuca</v>
      </c>
      <c r="K449" s="77" t="str">
        <f t="shared" si="217"/>
        <v>inermis</v>
      </c>
      <c r="L449" s="78">
        <f t="shared" si="217"/>
        <v>7</v>
      </c>
      <c r="M449" s="78">
        <f t="shared" si="217"/>
        <v>1</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2017</v>
      </c>
      <c r="B450" s="73" t="str">
        <f t="shared" si="189"/>
        <v>Nov</v>
      </c>
      <c r="C450" s="74">
        <f t="shared" si="212"/>
        <v>16</v>
      </c>
      <c r="D450" s="75">
        <f t="shared" si="190"/>
        <v>15</v>
      </c>
      <c r="E450" s="76">
        <f t="shared" si="191"/>
        <v>45</v>
      </c>
      <c r="F450" s="80"/>
      <c r="G450" s="83"/>
      <c r="H450" s="69" t="str">
        <f t="shared" si="213"/>
        <v>Lacine7_20171116_15_00</v>
      </c>
      <c r="I450" s="70">
        <f t="shared" si="217"/>
        <v>1</v>
      </c>
      <c r="J450" s="77" t="str">
        <f t="shared" si="217"/>
        <v>Lactuca</v>
      </c>
      <c r="K450" s="77" t="str">
        <f t="shared" si="217"/>
        <v>inermis</v>
      </c>
      <c r="L450" s="78">
        <f t="shared" si="217"/>
        <v>7</v>
      </c>
      <c r="M450" s="78">
        <f t="shared" si="217"/>
        <v>1</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2017</v>
      </c>
      <c r="B451" s="73" t="str">
        <f t="shared" si="189"/>
        <v>Nov</v>
      </c>
      <c r="C451" s="74">
        <f t="shared" si="212"/>
        <v>16</v>
      </c>
      <c r="D451" s="75">
        <f t="shared" si="190"/>
        <v>15</v>
      </c>
      <c r="E451" s="76">
        <f t="shared" si="191"/>
        <v>46</v>
      </c>
      <c r="F451" s="80"/>
      <c r="G451" s="83"/>
      <c r="H451" s="69" t="str">
        <f t="shared" si="213"/>
        <v>Lacine7_20171116_15_00</v>
      </c>
      <c r="I451" s="70">
        <f t="shared" si="217"/>
        <v>1</v>
      </c>
      <c r="J451" s="77" t="str">
        <f t="shared" si="217"/>
        <v>Lactuca</v>
      </c>
      <c r="K451" s="77" t="str">
        <f t="shared" si="217"/>
        <v>inermis</v>
      </c>
      <c r="L451" s="78">
        <f t="shared" si="217"/>
        <v>7</v>
      </c>
      <c r="M451" s="78">
        <f t="shared" si="217"/>
        <v>1</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2017</v>
      </c>
      <c r="B452" s="73" t="str">
        <f t="shared" ref="B452:B515" si="220">IF(C451-C452&gt;0, TEXT(DATE(2016,(MONTH(DATEVALUE(B451&amp;"1"))+1),1),"mmm"), B451)</f>
        <v>Nov</v>
      </c>
      <c r="C452" s="74">
        <f t="shared" si="212"/>
        <v>16</v>
      </c>
      <c r="D452" s="75">
        <f t="shared" ref="D452:D515" si="221">IF(IF(E451=59,D451+1,D451)=24,0,IF(E451=59,D451+1,D451))</f>
        <v>15</v>
      </c>
      <c r="E452" s="76">
        <f t="shared" ref="E452:E515" si="222">IF(E451&lt;59,E451+1,0)</f>
        <v>47</v>
      </c>
      <c r="F452" s="80"/>
      <c r="G452" s="83"/>
      <c r="H452" s="69" t="str">
        <f t="shared" si="213"/>
        <v>Lacine7_20171116_15_00</v>
      </c>
      <c r="I452" s="70">
        <f t="shared" si="217"/>
        <v>1</v>
      </c>
      <c r="J452" s="77" t="str">
        <f t="shared" si="217"/>
        <v>Lactuca</v>
      </c>
      <c r="K452" s="77" t="str">
        <f t="shared" si="217"/>
        <v>inermis</v>
      </c>
      <c r="L452" s="78">
        <f t="shared" si="217"/>
        <v>7</v>
      </c>
      <c r="M452" s="78">
        <f t="shared" si="217"/>
        <v>1</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2017</v>
      </c>
      <c r="B453" s="73" t="str">
        <f t="shared" si="220"/>
        <v>Nov</v>
      </c>
      <c r="C453" s="74">
        <f t="shared" ref="C453:C516" si="243">IF(AND(D453=0, E453=0), IF(TEXT(C452,"dd")=TEXT(EOMONTH(DATE(A452,MONTH(DATEVALUE(B452&amp;"1")),C452),0), "dd"), 1, C452+1), C452)</f>
        <v>16</v>
      </c>
      <c r="D453" s="75">
        <f t="shared" si="221"/>
        <v>15</v>
      </c>
      <c r="E453" s="76">
        <f t="shared" si="222"/>
        <v>48</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Lacine7_20171116_15_00</v>
      </c>
      <c r="I453" s="70">
        <f t="shared" ref="I453:N468" si="245">I452</f>
        <v>1</v>
      </c>
      <c r="J453" s="77" t="str">
        <f t="shared" si="245"/>
        <v>Lactuca</v>
      </c>
      <c r="K453" s="77" t="str">
        <f t="shared" si="245"/>
        <v>inermis</v>
      </c>
      <c r="L453" s="78">
        <f t="shared" si="245"/>
        <v>7</v>
      </c>
      <c r="M453" s="78">
        <f t="shared" si="245"/>
        <v>1</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2017</v>
      </c>
      <c r="B454" s="73" t="str">
        <f t="shared" si="220"/>
        <v>Nov</v>
      </c>
      <c r="C454" s="74">
        <f t="shared" si="243"/>
        <v>16</v>
      </c>
      <c r="D454" s="75">
        <f t="shared" si="221"/>
        <v>15</v>
      </c>
      <c r="E454" s="76">
        <f t="shared" si="222"/>
        <v>49</v>
      </c>
      <c r="F454" s="80"/>
      <c r="G454" s="83"/>
      <c r="H454" s="69" t="str">
        <f t="shared" si="244"/>
        <v>Lacine7_20171116_15_00</v>
      </c>
      <c r="I454" s="70">
        <f t="shared" si="245"/>
        <v>1</v>
      </c>
      <c r="J454" s="77" t="str">
        <f t="shared" si="245"/>
        <v>Lactuca</v>
      </c>
      <c r="K454" s="77" t="str">
        <f t="shared" si="245"/>
        <v>inermis</v>
      </c>
      <c r="L454" s="78">
        <f t="shared" si="245"/>
        <v>7</v>
      </c>
      <c r="M454" s="78">
        <f t="shared" si="245"/>
        <v>1</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2017</v>
      </c>
      <c r="B455" s="73" t="str">
        <f t="shared" si="220"/>
        <v>Nov</v>
      </c>
      <c r="C455" s="74">
        <f t="shared" si="243"/>
        <v>16</v>
      </c>
      <c r="D455" s="75">
        <f t="shared" si="221"/>
        <v>15</v>
      </c>
      <c r="E455" s="76">
        <f t="shared" si="222"/>
        <v>50</v>
      </c>
      <c r="F455" s="80"/>
      <c r="G455" s="83"/>
      <c r="H455" s="69" t="str">
        <f t="shared" si="244"/>
        <v>Lacine7_20171116_15_00</v>
      </c>
      <c r="I455" s="70">
        <f t="shared" si="245"/>
        <v>1</v>
      </c>
      <c r="J455" s="77" t="str">
        <f t="shared" si="245"/>
        <v>Lactuca</v>
      </c>
      <c r="K455" s="77" t="str">
        <f t="shared" si="245"/>
        <v>inermis</v>
      </c>
      <c r="L455" s="78">
        <f t="shared" si="245"/>
        <v>7</v>
      </c>
      <c r="M455" s="78">
        <f t="shared" si="245"/>
        <v>1</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2017</v>
      </c>
      <c r="B456" s="73" t="str">
        <f t="shared" si="220"/>
        <v>Nov</v>
      </c>
      <c r="C456" s="74">
        <f t="shared" si="243"/>
        <v>16</v>
      </c>
      <c r="D456" s="75">
        <f t="shared" si="221"/>
        <v>15</v>
      </c>
      <c r="E456" s="76">
        <f t="shared" si="222"/>
        <v>51</v>
      </c>
      <c r="F456" s="80"/>
      <c r="G456" s="83"/>
      <c r="H456" s="69" t="str">
        <f t="shared" si="244"/>
        <v>Lacine7_20171116_15_00</v>
      </c>
      <c r="I456" s="70">
        <f t="shared" si="245"/>
        <v>1</v>
      </c>
      <c r="J456" s="77" t="str">
        <f t="shared" si="245"/>
        <v>Lactuca</v>
      </c>
      <c r="K456" s="77" t="str">
        <f t="shared" si="245"/>
        <v>inermis</v>
      </c>
      <c r="L456" s="78">
        <f t="shared" si="245"/>
        <v>7</v>
      </c>
      <c r="M456" s="78">
        <f t="shared" si="245"/>
        <v>1</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2017</v>
      </c>
      <c r="B457" s="73" t="str">
        <f t="shared" si="220"/>
        <v>Nov</v>
      </c>
      <c r="C457" s="74">
        <f t="shared" si="243"/>
        <v>16</v>
      </c>
      <c r="D457" s="75">
        <f t="shared" si="221"/>
        <v>15</v>
      </c>
      <c r="E457" s="76">
        <f t="shared" si="222"/>
        <v>52</v>
      </c>
      <c r="F457" s="80"/>
      <c r="G457" s="83"/>
      <c r="H457" s="69" t="str">
        <f t="shared" si="244"/>
        <v>Lacine7_20171116_15_00</v>
      </c>
      <c r="I457" s="70">
        <f t="shared" si="245"/>
        <v>1</v>
      </c>
      <c r="J457" s="77" t="str">
        <f t="shared" si="245"/>
        <v>Lactuca</v>
      </c>
      <c r="K457" s="77" t="str">
        <f t="shared" si="245"/>
        <v>inermis</v>
      </c>
      <c r="L457" s="78">
        <f t="shared" si="245"/>
        <v>7</v>
      </c>
      <c r="M457" s="78">
        <f t="shared" si="245"/>
        <v>1</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2017</v>
      </c>
      <c r="B458" s="73" t="str">
        <f t="shared" si="220"/>
        <v>Nov</v>
      </c>
      <c r="C458" s="74">
        <f t="shared" si="243"/>
        <v>16</v>
      </c>
      <c r="D458" s="75">
        <f t="shared" si="221"/>
        <v>15</v>
      </c>
      <c r="E458" s="76">
        <f t="shared" si="222"/>
        <v>53</v>
      </c>
      <c r="F458" s="80"/>
      <c r="G458" s="83"/>
      <c r="H458" s="69" t="str">
        <f t="shared" si="244"/>
        <v>Lacine7_20171116_15_00</v>
      </c>
      <c r="I458" s="70">
        <f t="shared" si="245"/>
        <v>1</v>
      </c>
      <c r="J458" s="77" t="str">
        <f t="shared" si="245"/>
        <v>Lactuca</v>
      </c>
      <c r="K458" s="77" t="str">
        <f t="shared" si="245"/>
        <v>inermis</v>
      </c>
      <c r="L458" s="78">
        <f t="shared" si="245"/>
        <v>7</v>
      </c>
      <c r="M458" s="78">
        <f t="shared" si="245"/>
        <v>1</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2017</v>
      </c>
      <c r="B459" s="73" t="str">
        <f t="shared" si="220"/>
        <v>Nov</v>
      </c>
      <c r="C459" s="74">
        <f t="shared" si="243"/>
        <v>16</v>
      </c>
      <c r="D459" s="75">
        <f t="shared" si="221"/>
        <v>15</v>
      </c>
      <c r="E459" s="76">
        <f t="shared" si="222"/>
        <v>54</v>
      </c>
      <c r="F459" s="80"/>
      <c r="G459" s="83"/>
      <c r="H459" s="69" t="str">
        <f t="shared" si="244"/>
        <v>Lacine7_20171116_15_00</v>
      </c>
      <c r="I459" s="70">
        <f t="shared" si="245"/>
        <v>1</v>
      </c>
      <c r="J459" s="77" t="str">
        <f t="shared" si="245"/>
        <v>Lactuca</v>
      </c>
      <c r="K459" s="77" t="str">
        <f t="shared" si="245"/>
        <v>inermis</v>
      </c>
      <c r="L459" s="78">
        <f t="shared" si="245"/>
        <v>7</v>
      </c>
      <c r="M459" s="78">
        <f t="shared" si="245"/>
        <v>1</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2017</v>
      </c>
      <c r="B460" s="73" t="str">
        <f t="shared" si="220"/>
        <v>Nov</v>
      </c>
      <c r="C460" s="74">
        <f t="shared" si="243"/>
        <v>16</v>
      </c>
      <c r="D460" s="75">
        <f t="shared" si="221"/>
        <v>15</v>
      </c>
      <c r="E460" s="76">
        <f t="shared" si="222"/>
        <v>55</v>
      </c>
      <c r="F460" s="80"/>
      <c r="G460" s="83"/>
      <c r="H460" s="69" t="str">
        <f t="shared" si="244"/>
        <v>Lacine7_20171116_15_00</v>
      </c>
      <c r="I460" s="70">
        <f t="shared" si="245"/>
        <v>1</v>
      </c>
      <c r="J460" s="77" t="str">
        <f t="shared" si="245"/>
        <v>Lactuca</v>
      </c>
      <c r="K460" s="77" t="str">
        <f t="shared" si="245"/>
        <v>inermis</v>
      </c>
      <c r="L460" s="78">
        <f t="shared" si="245"/>
        <v>7</v>
      </c>
      <c r="M460" s="78">
        <f t="shared" si="245"/>
        <v>1</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2017</v>
      </c>
      <c r="B461" s="73" t="str">
        <f t="shared" si="220"/>
        <v>Nov</v>
      </c>
      <c r="C461" s="74">
        <f t="shared" si="243"/>
        <v>16</v>
      </c>
      <c r="D461" s="75">
        <f t="shared" si="221"/>
        <v>15</v>
      </c>
      <c r="E461" s="76">
        <f t="shared" si="222"/>
        <v>56</v>
      </c>
      <c r="F461" s="80"/>
      <c r="G461" s="83"/>
      <c r="H461" s="69" t="str">
        <f t="shared" si="244"/>
        <v>Lacine7_20171116_15_00</v>
      </c>
      <c r="I461" s="70">
        <f t="shared" si="245"/>
        <v>1</v>
      </c>
      <c r="J461" s="77" t="str">
        <f t="shared" si="245"/>
        <v>Lactuca</v>
      </c>
      <c r="K461" s="77" t="str">
        <f t="shared" si="245"/>
        <v>inermis</v>
      </c>
      <c r="L461" s="78">
        <f t="shared" si="245"/>
        <v>7</v>
      </c>
      <c r="M461" s="78">
        <f t="shared" si="245"/>
        <v>1</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2017</v>
      </c>
      <c r="B462" s="73" t="str">
        <f t="shared" si="220"/>
        <v>Nov</v>
      </c>
      <c r="C462" s="74">
        <f t="shared" si="243"/>
        <v>16</v>
      </c>
      <c r="D462" s="75">
        <f t="shared" si="221"/>
        <v>15</v>
      </c>
      <c r="E462" s="76">
        <f t="shared" si="222"/>
        <v>57</v>
      </c>
      <c r="F462" s="80"/>
      <c r="G462" s="83"/>
      <c r="H462" s="69" t="str">
        <f t="shared" si="244"/>
        <v>Lacine7_20171116_15_00</v>
      </c>
      <c r="I462" s="70">
        <f t="shared" si="245"/>
        <v>1</v>
      </c>
      <c r="J462" s="77" t="str">
        <f t="shared" si="245"/>
        <v>Lactuca</v>
      </c>
      <c r="K462" s="77" t="str">
        <f t="shared" si="245"/>
        <v>inermis</v>
      </c>
      <c r="L462" s="78">
        <f t="shared" si="245"/>
        <v>7</v>
      </c>
      <c r="M462" s="78">
        <f t="shared" si="245"/>
        <v>1</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2017</v>
      </c>
      <c r="B463" s="73" t="str">
        <f t="shared" si="220"/>
        <v>Nov</v>
      </c>
      <c r="C463" s="74">
        <f t="shared" si="243"/>
        <v>16</v>
      </c>
      <c r="D463" s="75">
        <f t="shared" si="221"/>
        <v>15</v>
      </c>
      <c r="E463" s="76">
        <f t="shared" si="222"/>
        <v>58</v>
      </c>
      <c r="F463" s="80"/>
      <c r="G463" s="83"/>
      <c r="H463" s="69" t="str">
        <f t="shared" si="244"/>
        <v>Lacine7_20171116_15_00</v>
      </c>
      <c r="I463" s="70">
        <f t="shared" si="245"/>
        <v>1</v>
      </c>
      <c r="J463" s="77" t="str">
        <f t="shared" si="245"/>
        <v>Lactuca</v>
      </c>
      <c r="K463" s="77" t="str">
        <f t="shared" si="245"/>
        <v>inermis</v>
      </c>
      <c r="L463" s="78">
        <f t="shared" si="245"/>
        <v>7</v>
      </c>
      <c r="M463" s="78">
        <f t="shared" si="245"/>
        <v>1</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2017</v>
      </c>
      <c r="B464" s="73" t="str">
        <f t="shared" si="220"/>
        <v>Nov</v>
      </c>
      <c r="C464" s="74">
        <f t="shared" si="243"/>
        <v>16</v>
      </c>
      <c r="D464" s="75">
        <f t="shared" si="221"/>
        <v>15</v>
      </c>
      <c r="E464" s="76">
        <f t="shared" si="222"/>
        <v>59</v>
      </c>
      <c r="F464" s="80"/>
      <c r="G464" s="83"/>
      <c r="H464" s="69" t="str">
        <f t="shared" si="244"/>
        <v>Lacine7_20171116_15_00</v>
      </c>
      <c r="I464" s="70">
        <f t="shared" si="245"/>
        <v>1</v>
      </c>
      <c r="J464" s="77" t="str">
        <f t="shared" si="245"/>
        <v>Lactuca</v>
      </c>
      <c r="K464" s="77" t="str">
        <f t="shared" si="245"/>
        <v>inermis</v>
      </c>
      <c r="L464" s="78">
        <f t="shared" si="245"/>
        <v>7</v>
      </c>
      <c r="M464" s="78">
        <f t="shared" si="245"/>
        <v>1</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2017</v>
      </c>
      <c r="B465" s="73" t="str">
        <f t="shared" si="220"/>
        <v>Nov</v>
      </c>
      <c r="C465" s="74">
        <f t="shared" si="243"/>
        <v>16</v>
      </c>
      <c r="D465" s="75">
        <f t="shared" si="221"/>
        <v>16</v>
      </c>
      <c r="E465" s="76">
        <f t="shared" si="222"/>
        <v>0</v>
      </c>
      <c r="F465" s="80"/>
      <c r="G465" s="83"/>
      <c r="H465" s="69" t="str">
        <f t="shared" si="244"/>
        <v>Lacine7_20171116_16_00</v>
      </c>
      <c r="I465" s="70">
        <f t="shared" si="245"/>
        <v>1</v>
      </c>
      <c r="J465" s="77" t="str">
        <f t="shared" si="245"/>
        <v>Lactuca</v>
      </c>
      <c r="K465" s="77" t="str">
        <f t="shared" si="245"/>
        <v>inermis</v>
      </c>
      <c r="L465" s="78">
        <f t="shared" si="245"/>
        <v>7</v>
      </c>
      <c r="M465" s="78">
        <v>0</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2017</v>
      </c>
      <c r="B466" s="73" t="str">
        <f t="shared" si="220"/>
        <v>Nov</v>
      </c>
      <c r="C466" s="74">
        <f t="shared" si="243"/>
        <v>16</v>
      </c>
      <c r="D466" s="75">
        <f t="shared" si="221"/>
        <v>16</v>
      </c>
      <c r="E466" s="76">
        <f t="shared" si="222"/>
        <v>1</v>
      </c>
      <c r="F466" s="80"/>
      <c r="G466" s="83"/>
      <c r="H466" s="69" t="str">
        <f t="shared" si="244"/>
        <v>Lacine7_20171116_16_00</v>
      </c>
      <c r="I466" s="70">
        <f t="shared" si="245"/>
        <v>1</v>
      </c>
      <c r="J466" s="77" t="str">
        <f t="shared" si="245"/>
        <v>Lactuca</v>
      </c>
      <c r="K466" s="77" t="str">
        <f t="shared" si="245"/>
        <v>inermis</v>
      </c>
      <c r="L466" s="78">
        <f t="shared" si="245"/>
        <v>7</v>
      </c>
      <c r="M466" s="78">
        <f t="shared" si="245"/>
        <v>0</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2017</v>
      </c>
      <c r="B467" s="73" t="str">
        <f t="shared" si="220"/>
        <v>Nov</v>
      </c>
      <c r="C467" s="74">
        <f t="shared" si="243"/>
        <v>16</v>
      </c>
      <c r="D467" s="75">
        <f t="shared" si="221"/>
        <v>16</v>
      </c>
      <c r="E467" s="76">
        <f t="shared" si="222"/>
        <v>2</v>
      </c>
      <c r="F467" s="80"/>
      <c r="G467" s="83"/>
      <c r="H467" s="69" t="str">
        <f t="shared" si="244"/>
        <v>Lacine7_20171116_16_00</v>
      </c>
      <c r="I467" s="70">
        <f t="shared" si="245"/>
        <v>1</v>
      </c>
      <c r="J467" s="77" t="str">
        <f t="shared" si="245"/>
        <v>Lactuca</v>
      </c>
      <c r="K467" s="77" t="str">
        <f t="shared" si="245"/>
        <v>inermis</v>
      </c>
      <c r="L467" s="78">
        <f t="shared" si="245"/>
        <v>7</v>
      </c>
      <c r="M467" s="78">
        <f t="shared" si="245"/>
        <v>0</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2017</v>
      </c>
      <c r="B468" s="73" t="str">
        <f t="shared" si="220"/>
        <v>Nov</v>
      </c>
      <c r="C468" s="74">
        <f t="shared" si="243"/>
        <v>16</v>
      </c>
      <c r="D468" s="75">
        <f t="shared" si="221"/>
        <v>16</v>
      </c>
      <c r="E468" s="76">
        <f t="shared" si="222"/>
        <v>3</v>
      </c>
      <c r="F468" s="80"/>
      <c r="G468" s="83"/>
      <c r="H468" s="69" t="str">
        <f t="shared" si="244"/>
        <v>Lacine7_20171116_16_00</v>
      </c>
      <c r="I468" s="70">
        <f t="shared" si="245"/>
        <v>1</v>
      </c>
      <c r="J468" s="77" t="str">
        <f t="shared" si="245"/>
        <v>Lactuca</v>
      </c>
      <c r="K468" s="77" t="str">
        <f t="shared" si="245"/>
        <v>inermis</v>
      </c>
      <c r="L468" s="78">
        <f t="shared" si="245"/>
        <v>7</v>
      </c>
      <c r="M468" s="78">
        <f t="shared" si="245"/>
        <v>0</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2017</v>
      </c>
      <c r="B469" s="73" t="str">
        <f t="shared" si="220"/>
        <v>Nov</v>
      </c>
      <c r="C469" s="74">
        <f t="shared" si="243"/>
        <v>16</v>
      </c>
      <c r="D469" s="75">
        <f t="shared" si="221"/>
        <v>16</v>
      </c>
      <c r="E469" s="76">
        <f t="shared" si="222"/>
        <v>4</v>
      </c>
      <c r="F469" s="80"/>
      <c r="G469" s="83"/>
      <c r="H469" s="69" t="str">
        <f t="shared" si="244"/>
        <v>Lacine7_20171116_16_00</v>
      </c>
      <c r="I469" s="70">
        <f t="shared" ref="I469:N484" si="246">I468</f>
        <v>1</v>
      </c>
      <c r="J469" s="77" t="str">
        <f t="shared" si="246"/>
        <v>Lactuca</v>
      </c>
      <c r="K469" s="77" t="str">
        <f t="shared" si="246"/>
        <v>inermis</v>
      </c>
      <c r="L469" s="78">
        <f t="shared" si="246"/>
        <v>7</v>
      </c>
      <c r="M469" s="78">
        <f t="shared" si="246"/>
        <v>0</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2017</v>
      </c>
      <c r="B470" s="73" t="str">
        <f t="shared" si="220"/>
        <v>Nov</v>
      </c>
      <c r="C470" s="74">
        <f t="shared" si="243"/>
        <v>16</v>
      </c>
      <c r="D470" s="75">
        <f t="shared" si="221"/>
        <v>16</v>
      </c>
      <c r="E470" s="76">
        <f t="shared" si="222"/>
        <v>5</v>
      </c>
      <c r="F470" s="80"/>
      <c r="G470" s="83"/>
      <c r="H470" s="69" t="str">
        <f t="shared" si="244"/>
        <v>Lacine7_20171116_16_00</v>
      </c>
      <c r="I470" s="70">
        <f t="shared" si="246"/>
        <v>1</v>
      </c>
      <c r="J470" s="77" t="str">
        <f t="shared" si="246"/>
        <v>Lactuca</v>
      </c>
      <c r="K470" s="77" t="str">
        <f t="shared" si="246"/>
        <v>inermis</v>
      </c>
      <c r="L470" s="78">
        <f t="shared" si="246"/>
        <v>7</v>
      </c>
      <c r="M470" s="78">
        <f t="shared" si="246"/>
        <v>0</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2017</v>
      </c>
      <c r="B471" s="73" t="str">
        <f t="shared" si="220"/>
        <v>Nov</v>
      </c>
      <c r="C471" s="74">
        <f t="shared" si="243"/>
        <v>16</v>
      </c>
      <c r="D471" s="75">
        <f t="shared" si="221"/>
        <v>16</v>
      </c>
      <c r="E471" s="76">
        <f t="shared" si="222"/>
        <v>6</v>
      </c>
      <c r="F471" s="80"/>
      <c r="G471" s="83"/>
      <c r="H471" s="69" t="str">
        <f t="shared" si="244"/>
        <v>Lacine7_20171116_16_00</v>
      </c>
      <c r="I471" s="70">
        <f t="shared" si="246"/>
        <v>1</v>
      </c>
      <c r="J471" s="77" t="str">
        <f t="shared" si="246"/>
        <v>Lactuca</v>
      </c>
      <c r="K471" s="77" t="str">
        <f t="shared" si="246"/>
        <v>inermis</v>
      </c>
      <c r="L471" s="78">
        <f t="shared" si="246"/>
        <v>7</v>
      </c>
      <c r="M471" s="78">
        <f t="shared" si="246"/>
        <v>0</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2017</v>
      </c>
      <c r="B472" s="73" t="str">
        <f t="shared" si="220"/>
        <v>Nov</v>
      </c>
      <c r="C472" s="74">
        <f t="shared" si="243"/>
        <v>16</v>
      </c>
      <c r="D472" s="75">
        <f t="shared" si="221"/>
        <v>16</v>
      </c>
      <c r="E472" s="76">
        <f t="shared" si="222"/>
        <v>7</v>
      </c>
      <c r="F472" s="80"/>
      <c r="G472" s="83"/>
      <c r="H472" s="69" t="str">
        <f t="shared" si="244"/>
        <v>Lacine7_20171116_16_00</v>
      </c>
      <c r="I472" s="70">
        <f t="shared" si="246"/>
        <v>1</v>
      </c>
      <c r="J472" s="77" t="str">
        <f t="shared" si="246"/>
        <v>Lactuca</v>
      </c>
      <c r="K472" s="77" t="str">
        <f t="shared" si="246"/>
        <v>inermis</v>
      </c>
      <c r="L472" s="78">
        <f t="shared" si="246"/>
        <v>7</v>
      </c>
      <c r="M472" s="78">
        <f t="shared" si="246"/>
        <v>0</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2017</v>
      </c>
      <c r="B473" s="73" t="str">
        <f t="shared" si="220"/>
        <v>Nov</v>
      </c>
      <c r="C473" s="74">
        <f t="shared" si="243"/>
        <v>16</v>
      </c>
      <c r="D473" s="75">
        <f t="shared" si="221"/>
        <v>16</v>
      </c>
      <c r="E473" s="76">
        <f t="shared" si="222"/>
        <v>8</v>
      </c>
      <c r="F473" s="80"/>
      <c r="G473" s="83"/>
      <c r="H473" s="69" t="str">
        <f t="shared" si="244"/>
        <v>Lacine7_20171116_16_00</v>
      </c>
      <c r="I473" s="70">
        <f t="shared" si="246"/>
        <v>1</v>
      </c>
      <c r="J473" s="77" t="str">
        <f t="shared" si="246"/>
        <v>Lactuca</v>
      </c>
      <c r="K473" s="77" t="str">
        <f t="shared" si="246"/>
        <v>inermis</v>
      </c>
      <c r="L473" s="78">
        <f t="shared" si="246"/>
        <v>7</v>
      </c>
      <c r="M473" s="78">
        <f t="shared" si="246"/>
        <v>0</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2017</v>
      </c>
      <c r="B474" s="73" t="str">
        <f t="shared" si="220"/>
        <v>Nov</v>
      </c>
      <c r="C474" s="74">
        <f t="shared" si="243"/>
        <v>16</v>
      </c>
      <c r="D474" s="75">
        <f t="shared" si="221"/>
        <v>16</v>
      </c>
      <c r="E474" s="76">
        <f t="shared" si="222"/>
        <v>9</v>
      </c>
      <c r="F474" s="80"/>
      <c r="G474" s="83"/>
      <c r="H474" s="69" t="str">
        <f t="shared" si="244"/>
        <v>Lacine7_20171116_16_00</v>
      </c>
      <c r="I474" s="70">
        <f t="shared" si="246"/>
        <v>1</v>
      </c>
      <c r="J474" s="77" t="str">
        <f t="shared" si="246"/>
        <v>Lactuca</v>
      </c>
      <c r="K474" s="77" t="str">
        <f t="shared" si="246"/>
        <v>inermis</v>
      </c>
      <c r="L474" s="78">
        <f t="shared" si="246"/>
        <v>7</v>
      </c>
      <c r="M474" s="78">
        <f t="shared" si="246"/>
        <v>0</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2017</v>
      </c>
      <c r="B475" s="73" t="str">
        <f t="shared" si="220"/>
        <v>Nov</v>
      </c>
      <c r="C475" s="74">
        <f t="shared" si="243"/>
        <v>16</v>
      </c>
      <c r="D475" s="75">
        <f t="shared" si="221"/>
        <v>16</v>
      </c>
      <c r="E475" s="76">
        <f t="shared" si="222"/>
        <v>10</v>
      </c>
      <c r="F475" s="80"/>
      <c r="G475" s="83"/>
      <c r="H475" s="69" t="str">
        <f t="shared" si="244"/>
        <v>Lacine7_20171116_16_00</v>
      </c>
      <c r="I475" s="70">
        <f t="shared" si="246"/>
        <v>1</v>
      </c>
      <c r="J475" s="77" t="str">
        <f t="shared" si="246"/>
        <v>Lactuca</v>
      </c>
      <c r="K475" s="77" t="str">
        <f t="shared" si="246"/>
        <v>inermis</v>
      </c>
      <c r="L475" s="78">
        <f t="shared" si="246"/>
        <v>7</v>
      </c>
      <c r="M475" s="78">
        <f t="shared" si="246"/>
        <v>0</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2017</v>
      </c>
      <c r="B476" s="73" t="str">
        <f t="shared" si="220"/>
        <v>Nov</v>
      </c>
      <c r="C476" s="74">
        <f t="shared" si="243"/>
        <v>16</v>
      </c>
      <c r="D476" s="75">
        <f t="shared" si="221"/>
        <v>16</v>
      </c>
      <c r="E476" s="76">
        <f t="shared" si="222"/>
        <v>11</v>
      </c>
      <c r="F476" s="80"/>
      <c r="G476" s="83"/>
      <c r="H476" s="69" t="str">
        <f t="shared" si="244"/>
        <v>Lacine7_20171116_16_00</v>
      </c>
      <c r="I476" s="70">
        <f t="shared" si="246"/>
        <v>1</v>
      </c>
      <c r="J476" s="77" t="str">
        <f t="shared" si="246"/>
        <v>Lactuca</v>
      </c>
      <c r="K476" s="77" t="str">
        <f t="shared" si="246"/>
        <v>inermis</v>
      </c>
      <c r="L476" s="78">
        <f t="shared" si="246"/>
        <v>7</v>
      </c>
      <c r="M476" s="78">
        <f t="shared" si="246"/>
        <v>0</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2017</v>
      </c>
      <c r="B477" s="73" t="str">
        <f t="shared" si="220"/>
        <v>Nov</v>
      </c>
      <c r="C477" s="74">
        <f t="shared" si="243"/>
        <v>16</v>
      </c>
      <c r="D477" s="75">
        <f t="shared" si="221"/>
        <v>16</v>
      </c>
      <c r="E477" s="76">
        <f t="shared" si="222"/>
        <v>12</v>
      </c>
      <c r="F477" s="80"/>
      <c r="G477" s="83"/>
      <c r="H477" s="69" t="str">
        <f t="shared" si="244"/>
        <v>Lacine7_20171116_16_00</v>
      </c>
      <c r="I477" s="70">
        <f t="shared" si="246"/>
        <v>1</v>
      </c>
      <c r="J477" s="77" t="str">
        <f t="shared" si="246"/>
        <v>Lactuca</v>
      </c>
      <c r="K477" s="77" t="str">
        <f t="shared" si="246"/>
        <v>inermis</v>
      </c>
      <c r="L477" s="78">
        <f t="shared" si="246"/>
        <v>7</v>
      </c>
      <c r="M477" s="78">
        <f t="shared" si="246"/>
        <v>0</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2017</v>
      </c>
      <c r="B478" s="73" t="str">
        <f t="shared" si="220"/>
        <v>Nov</v>
      </c>
      <c r="C478" s="74">
        <f t="shared" si="243"/>
        <v>16</v>
      </c>
      <c r="D478" s="75">
        <f t="shared" si="221"/>
        <v>16</v>
      </c>
      <c r="E478" s="76">
        <f t="shared" si="222"/>
        <v>13</v>
      </c>
      <c r="F478" s="80"/>
      <c r="G478" s="83"/>
      <c r="H478" s="69" t="str">
        <f t="shared" si="244"/>
        <v>Lacine7_20171116_16_00</v>
      </c>
      <c r="I478" s="70">
        <f t="shared" si="246"/>
        <v>1</v>
      </c>
      <c r="J478" s="77" t="str">
        <f t="shared" si="246"/>
        <v>Lactuca</v>
      </c>
      <c r="K478" s="77" t="str">
        <f t="shared" si="246"/>
        <v>inermis</v>
      </c>
      <c r="L478" s="78">
        <f t="shared" si="246"/>
        <v>7</v>
      </c>
      <c r="M478" s="78">
        <f t="shared" si="246"/>
        <v>0</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2017</v>
      </c>
      <c r="B479" s="73" t="str">
        <f t="shared" si="220"/>
        <v>Nov</v>
      </c>
      <c r="C479" s="74">
        <f t="shared" si="243"/>
        <v>16</v>
      </c>
      <c r="D479" s="75">
        <f t="shared" si="221"/>
        <v>16</v>
      </c>
      <c r="E479" s="76">
        <f t="shared" si="222"/>
        <v>14</v>
      </c>
      <c r="F479" s="80"/>
      <c r="G479" s="83"/>
      <c r="H479" s="69" t="str">
        <f t="shared" si="244"/>
        <v>Lacine7_20171116_16_00</v>
      </c>
      <c r="I479" s="70">
        <f t="shared" si="246"/>
        <v>1</v>
      </c>
      <c r="J479" s="77" t="str">
        <f t="shared" si="246"/>
        <v>Lactuca</v>
      </c>
      <c r="K479" s="77" t="str">
        <f t="shared" si="246"/>
        <v>inermis</v>
      </c>
      <c r="L479" s="78">
        <f t="shared" si="246"/>
        <v>7</v>
      </c>
      <c r="M479" s="78">
        <f t="shared" si="246"/>
        <v>0</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2017</v>
      </c>
      <c r="B480" s="73" t="str">
        <f t="shared" si="220"/>
        <v>Nov</v>
      </c>
      <c r="C480" s="74">
        <f t="shared" si="243"/>
        <v>16</v>
      </c>
      <c r="D480" s="75">
        <f t="shared" si="221"/>
        <v>16</v>
      </c>
      <c r="E480" s="76">
        <f t="shared" si="222"/>
        <v>15</v>
      </c>
      <c r="F480" s="80"/>
      <c r="G480" s="83"/>
      <c r="H480" s="69" t="str">
        <f t="shared" si="244"/>
        <v>Lacine7_20171116_16_00</v>
      </c>
      <c r="I480" s="70">
        <f t="shared" si="246"/>
        <v>1</v>
      </c>
      <c r="J480" s="77" t="str">
        <f t="shared" si="246"/>
        <v>Lactuca</v>
      </c>
      <c r="K480" s="77" t="str">
        <f t="shared" si="246"/>
        <v>inermis</v>
      </c>
      <c r="L480" s="78">
        <f t="shared" si="246"/>
        <v>7</v>
      </c>
      <c r="M480" s="78">
        <f t="shared" si="246"/>
        <v>0</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2017</v>
      </c>
      <c r="B481" s="73" t="str">
        <f t="shared" si="220"/>
        <v>Nov</v>
      </c>
      <c r="C481" s="74">
        <f t="shared" si="243"/>
        <v>16</v>
      </c>
      <c r="D481" s="75">
        <f t="shared" si="221"/>
        <v>16</v>
      </c>
      <c r="E481" s="76">
        <f t="shared" si="222"/>
        <v>16</v>
      </c>
      <c r="F481" s="80"/>
      <c r="G481" s="83"/>
      <c r="H481" s="69" t="str">
        <f t="shared" si="244"/>
        <v>Lacine7_20171116_16_00</v>
      </c>
      <c r="I481" s="70">
        <f t="shared" si="246"/>
        <v>1</v>
      </c>
      <c r="J481" s="77" t="str">
        <f t="shared" si="246"/>
        <v>Lactuca</v>
      </c>
      <c r="K481" s="77" t="str">
        <f t="shared" si="246"/>
        <v>inermis</v>
      </c>
      <c r="L481" s="78">
        <f t="shared" si="246"/>
        <v>7</v>
      </c>
      <c r="M481" s="78">
        <f t="shared" si="246"/>
        <v>0</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2017</v>
      </c>
      <c r="B482" s="73" t="str">
        <f t="shared" si="220"/>
        <v>Nov</v>
      </c>
      <c r="C482" s="74">
        <f t="shared" si="243"/>
        <v>16</v>
      </c>
      <c r="D482" s="75">
        <f t="shared" si="221"/>
        <v>16</v>
      </c>
      <c r="E482" s="76">
        <f t="shared" si="222"/>
        <v>17</v>
      </c>
      <c r="F482" s="80"/>
      <c r="G482" s="83"/>
      <c r="H482" s="69" t="str">
        <f t="shared" si="244"/>
        <v>Lacine7_20171116_16_00</v>
      </c>
      <c r="I482" s="70">
        <f t="shared" si="246"/>
        <v>1</v>
      </c>
      <c r="J482" s="77" t="str">
        <f t="shared" si="246"/>
        <v>Lactuca</v>
      </c>
      <c r="K482" s="77" t="str">
        <f t="shared" si="246"/>
        <v>inermis</v>
      </c>
      <c r="L482" s="78">
        <f t="shared" si="246"/>
        <v>7</v>
      </c>
      <c r="M482" s="78">
        <f t="shared" si="246"/>
        <v>0</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2017</v>
      </c>
      <c r="B483" s="73" t="str">
        <f t="shared" si="220"/>
        <v>Nov</v>
      </c>
      <c r="C483" s="74">
        <f t="shared" si="243"/>
        <v>16</v>
      </c>
      <c r="D483" s="75">
        <f t="shared" si="221"/>
        <v>16</v>
      </c>
      <c r="E483" s="76">
        <f t="shared" si="222"/>
        <v>18</v>
      </c>
      <c r="F483" s="80"/>
      <c r="G483" s="83"/>
      <c r="H483" s="69" t="str">
        <f t="shared" si="244"/>
        <v>Lacine7_20171116_16_00</v>
      </c>
      <c r="I483" s="70">
        <f t="shared" si="246"/>
        <v>1</v>
      </c>
      <c r="J483" s="77" t="str">
        <f t="shared" si="246"/>
        <v>Lactuca</v>
      </c>
      <c r="K483" s="77" t="str">
        <f t="shared" si="246"/>
        <v>inermis</v>
      </c>
      <c r="L483" s="78">
        <f t="shared" si="246"/>
        <v>7</v>
      </c>
      <c r="M483" s="78">
        <f t="shared" si="246"/>
        <v>0</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2017</v>
      </c>
      <c r="B484" s="73" t="str">
        <f t="shared" si="220"/>
        <v>Nov</v>
      </c>
      <c r="C484" s="74">
        <f t="shared" si="243"/>
        <v>16</v>
      </c>
      <c r="D484" s="75">
        <f t="shared" si="221"/>
        <v>16</v>
      </c>
      <c r="E484" s="76">
        <f t="shared" si="222"/>
        <v>19</v>
      </c>
      <c r="F484" s="80"/>
      <c r="G484" s="83"/>
      <c r="H484" s="69" t="str">
        <f t="shared" si="244"/>
        <v>Lacine7_20171116_16_00</v>
      </c>
      <c r="I484" s="70">
        <f t="shared" si="246"/>
        <v>1</v>
      </c>
      <c r="J484" s="77" t="str">
        <f t="shared" si="246"/>
        <v>Lactuca</v>
      </c>
      <c r="K484" s="77" t="str">
        <f t="shared" si="246"/>
        <v>inermis</v>
      </c>
      <c r="L484" s="78">
        <f t="shared" si="246"/>
        <v>7</v>
      </c>
      <c r="M484" s="78">
        <f t="shared" si="246"/>
        <v>0</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2017</v>
      </c>
      <c r="B485" s="73" t="str">
        <f t="shared" si="220"/>
        <v>Nov</v>
      </c>
      <c r="C485" s="74">
        <f t="shared" si="243"/>
        <v>16</v>
      </c>
      <c r="D485" s="75">
        <f t="shared" si="221"/>
        <v>16</v>
      </c>
      <c r="E485" s="76">
        <f t="shared" si="222"/>
        <v>20</v>
      </c>
      <c r="F485" s="80"/>
      <c r="G485" s="83"/>
      <c r="H485" s="69" t="str">
        <f t="shared" si="244"/>
        <v>Lacine7_20171116_16_00</v>
      </c>
      <c r="I485" s="70">
        <f t="shared" ref="I485:N500" si="247">I484</f>
        <v>1</v>
      </c>
      <c r="J485" s="77" t="str">
        <f t="shared" si="247"/>
        <v>Lactuca</v>
      </c>
      <c r="K485" s="77" t="str">
        <f t="shared" si="247"/>
        <v>inermis</v>
      </c>
      <c r="L485" s="78">
        <f t="shared" si="247"/>
        <v>7</v>
      </c>
      <c r="M485" s="78">
        <f t="shared" si="247"/>
        <v>0</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2017</v>
      </c>
      <c r="B486" s="73" t="str">
        <f t="shared" si="220"/>
        <v>Nov</v>
      </c>
      <c r="C486" s="74">
        <f t="shared" si="243"/>
        <v>16</v>
      </c>
      <c r="D486" s="75">
        <f t="shared" si="221"/>
        <v>16</v>
      </c>
      <c r="E486" s="76">
        <f t="shared" si="222"/>
        <v>21</v>
      </c>
      <c r="F486" s="80"/>
      <c r="G486" s="83"/>
      <c r="H486" s="69" t="str">
        <f t="shared" si="244"/>
        <v>Lacine7_20171116_16_00</v>
      </c>
      <c r="I486" s="70">
        <f t="shared" si="247"/>
        <v>1</v>
      </c>
      <c r="J486" s="77" t="str">
        <f t="shared" si="247"/>
        <v>Lactuca</v>
      </c>
      <c r="K486" s="77" t="str">
        <f t="shared" si="247"/>
        <v>inermis</v>
      </c>
      <c r="L486" s="78">
        <f t="shared" si="247"/>
        <v>7</v>
      </c>
      <c r="M486" s="78">
        <f t="shared" si="247"/>
        <v>0</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2017</v>
      </c>
      <c r="B487" s="73" t="str">
        <f t="shared" si="220"/>
        <v>Nov</v>
      </c>
      <c r="C487" s="74">
        <f t="shared" si="243"/>
        <v>16</v>
      </c>
      <c r="D487" s="75">
        <f t="shared" si="221"/>
        <v>16</v>
      </c>
      <c r="E487" s="76">
        <f t="shared" si="222"/>
        <v>22</v>
      </c>
      <c r="F487" s="80"/>
      <c r="G487" s="83"/>
      <c r="H487" s="69" t="str">
        <f t="shared" si="244"/>
        <v>Lacine7_20171116_16_00</v>
      </c>
      <c r="I487" s="70">
        <f t="shared" si="247"/>
        <v>1</v>
      </c>
      <c r="J487" s="77" t="str">
        <f t="shared" si="247"/>
        <v>Lactuca</v>
      </c>
      <c r="K487" s="77" t="str">
        <f t="shared" si="247"/>
        <v>inermis</v>
      </c>
      <c r="L487" s="78">
        <f t="shared" si="247"/>
        <v>7</v>
      </c>
      <c r="M487" s="78">
        <f t="shared" si="247"/>
        <v>0</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2017</v>
      </c>
      <c r="B488" s="73" t="str">
        <f t="shared" si="220"/>
        <v>Nov</v>
      </c>
      <c r="C488" s="74">
        <f t="shared" si="243"/>
        <v>16</v>
      </c>
      <c r="D488" s="75">
        <f t="shared" si="221"/>
        <v>16</v>
      </c>
      <c r="E488" s="76">
        <f t="shared" si="222"/>
        <v>23</v>
      </c>
      <c r="F488" s="80"/>
      <c r="G488" s="83"/>
      <c r="H488" s="69" t="str">
        <f t="shared" si="244"/>
        <v>Lacine7_20171116_16_00</v>
      </c>
      <c r="I488" s="70">
        <f t="shared" si="247"/>
        <v>1</v>
      </c>
      <c r="J488" s="77" t="str">
        <f t="shared" si="247"/>
        <v>Lactuca</v>
      </c>
      <c r="K488" s="77" t="str">
        <f t="shared" si="247"/>
        <v>inermis</v>
      </c>
      <c r="L488" s="78">
        <f t="shared" si="247"/>
        <v>7</v>
      </c>
      <c r="M488" s="78">
        <f t="shared" si="247"/>
        <v>0</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2017</v>
      </c>
      <c r="B489" s="73" t="str">
        <f t="shared" si="220"/>
        <v>Nov</v>
      </c>
      <c r="C489" s="74">
        <f t="shared" si="243"/>
        <v>16</v>
      </c>
      <c r="D489" s="75">
        <f t="shared" si="221"/>
        <v>16</v>
      </c>
      <c r="E489" s="76">
        <f t="shared" si="222"/>
        <v>24</v>
      </c>
      <c r="F489" s="80"/>
      <c r="G489" s="83"/>
      <c r="H489" s="69" t="str">
        <f t="shared" si="244"/>
        <v>Lacine7_20171116_16_00</v>
      </c>
      <c r="I489" s="70">
        <f t="shared" si="247"/>
        <v>1</v>
      </c>
      <c r="J489" s="77" t="str">
        <f t="shared" si="247"/>
        <v>Lactuca</v>
      </c>
      <c r="K489" s="77" t="str">
        <f t="shared" si="247"/>
        <v>inermis</v>
      </c>
      <c r="L489" s="78">
        <f t="shared" si="247"/>
        <v>7</v>
      </c>
      <c r="M489" s="78">
        <f t="shared" si="247"/>
        <v>0</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2017</v>
      </c>
      <c r="B490" s="73" t="str">
        <f t="shared" si="220"/>
        <v>Nov</v>
      </c>
      <c r="C490" s="74">
        <f t="shared" si="243"/>
        <v>16</v>
      </c>
      <c r="D490" s="75">
        <f t="shared" si="221"/>
        <v>16</v>
      </c>
      <c r="E490" s="76">
        <f t="shared" si="222"/>
        <v>25</v>
      </c>
      <c r="F490" s="80"/>
      <c r="G490" s="83"/>
      <c r="H490" s="69" t="str">
        <f t="shared" si="244"/>
        <v>Lacine7_20171116_16_00</v>
      </c>
      <c r="I490" s="70">
        <f t="shared" si="247"/>
        <v>1</v>
      </c>
      <c r="J490" s="77" t="str">
        <f t="shared" si="247"/>
        <v>Lactuca</v>
      </c>
      <c r="K490" s="77" t="str">
        <f t="shared" si="247"/>
        <v>inermis</v>
      </c>
      <c r="L490" s="78">
        <f t="shared" si="247"/>
        <v>7</v>
      </c>
      <c r="M490" s="78">
        <f t="shared" si="247"/>
        <v>0</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2017</v>
      </c>
      <c r="B491" s="73" t="str">
        <f t="shared" si="220"/>
        <v>Nov</v>
      </c>
      <c r="C491" s="74">
        <f t="shared" si="243"/>
        <v>16</v>
      </c>
      <c r="D491" s="75">
        <f t="shared" si="221"/>
        <v>16</v>
      </c>
      <c r="E491" s="76">
        <f t="shared" si="222"/>
        <v>26</v>
      </c>
      <c r="F491" s="80"/>
      <c r="G491" s="83"/>
      <c r="H491" s="69" t="str">
        <f t="shared" si="244"/>
        <v>Lacine7_20171116_16_00</v>
      </c>
      <c r="I491" s="70">
        <f t="shared" si="247"/>
        <v>1</v>
      </c>
      <c r="J491" s="77" t="str">
        <f t="shared" si="247"/>
        <v>Lactuca</v>
      </c>
      <c r="K491" s="77" t="str">
        <f t="shared" si="247"/>
        <v>inermis</v>
      </c>
      <c r="L491" s="78">
        <f t="shared" si="247"/>
        <v>7</v>
      </c>
      <c r="M491" s="78">
        <f t="shared" si="247"/>
        <v>0</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2017</v>
      </c>
      <c r="B492" s="73" t="str">
        <f t="shared" si="220"/>
        <v>Nov</v>
      </c>
      <c r="C492" s="74">
        <f t="shared" si="243"/>
        <v>16</v>
      </c>
      <c r="D492" s="75">
        <f t="shared" si="221"/>
        <v>16</v>
      </c>
      <c r="E492" s="76">
        <f t="shared" si="222"/>
        <v>27</v>
      </c>
      <c r="F492" s="80"/>
      <c r="G492" s="83"/>
      <c r="H492" s="69" t="str">
        <f t="shared" si="244"/>
        <v>Lacine7_20171116_16_00</v>
      </c>
      <c r="I492" s="70">
        <f t="shared" si="247"/>
        <v>1</v>
      </c>
      <c r="J492" s="77" t="str">
        <f t="shared" si="247"/>
        <v>Lactuca</v>
      </c>
      <c r="K492" s="77" t="str">
        <f t="shared" si="247"/>
        <v>inermis</v>
      </c>
      <c r="L492" s="78">
        <f t="shared" si="247"/>
        <v>7</v>
      </c>
      <c r="M492" s="78">
        <f t="shared" si="247"/>
        <v>0</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2017</v>
      </c>
      <c r="B493" s="73" t="str">
        <f t="shared" si="220"/>
        <v>Nov</v>
      </c>
      <c r="C493" s="74">
        <f t="shared" si="243"/>
        <v>16</v>
      </c>
      <c r="D493" s="75">
        <f t="shared" si="221"/>
        <v>16</v>
      </c>
      <c r="E493" s="76">
        <f t="shared" si="222"/>
        <v>28</v>
      </c>
      <c r="F493" s="80"/>
      <c r="G493" s="83"/>
      <c r="H493" s="69" t="str">
        <f t="shared" si="244"/>
        <v>Lacine7_20171116_16_00</v>
      </c>
      <c r="I493" s="70">
        <f t="shared" si="247"/>
        <v>1</v>
      </c>
      <c r="J493" s="77" t="str">
        <f t="shared" si="247"/>
        <v>Lactuca</v>
      </c>
      <c r="K493" s="77" t="str">
        <f t="shared" si="247"/>
        <v>inermis</v>
      </c>
      <c r="L493" s="78">
        <f t="shared" si="247"/>
        <v>7</v>
      </c>
      <c r="M493" s="78">
        <f t="shared" si="247"/>
        <v>0</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2017</v>
      </c>
      <c r="B494" s="73" t="str">
        <f t="shared" si="220"/>
        <v>Nov</v>
      </c>
      <c r="C494" s="74">
        <f t="shared" si="243"/>
        <v>16</v>
      </c>
      <c r="D494" s="75">
        <f t="shared" si="221"/>
        <v>16</v>
      </c>
      <c r="E494" s="76">
        <f t="shared" si="222"/>
        <v>29</v>
      </c>
      <c r="F494" s="80"/>
      <c r="G494" s="83"/>
      <c r="H494" s="69" t="str">
        <f t="shared" si="244"/>
        <v>Lacine7_20171116_16_00</v>
      </c>
      <c r="I494" s="70">
        <f t="shared" si="247"/>
        <v>1</v>
      </c>
      <c r="J494" s="77" t="str">
        <f t="shared" si="247"/>
        <v>Lactuca</v>
      </c>
      <c r="K494" s="77" t="str">
        <f t="shared" si="247"/>
        <v>inermis</v>
      </c>
      <c r="L494" s="78">
        <f t="shared" si="247"/>
        <v>7</v>
      </c>
      <c r="M494" s="78">
        <f t="shared" si="247"/>
        <v>0</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2017</v>
      </c>
      <c r="B495" s="73" t="str">
        <f t="shared" si="220"/>
        <v>Nov</v>
      </c>
      <c r="C495" s="74">
        <f t="shared" si="243"/>
        <v>16</v>
      </c>
      <c r="D495" s="75">
        <f t="shared" si="221"/>
        <v>16</v>
      </c>
      <c r="E495" s="76">
        <f t="shared" si="222"/>
        <v>30</v>
      </c>
      <c r="F495" s="80"/>
      <c r="G495" s="83"/>
      <c r="H495" s="69" t="str">
        <f t="shared" si="244"/>
        <v>Lacine7_20171116_16_00</v>
      </c>
      <c r="I495" s="70">
        <f t="shared" si="247"/>
        <v>1</v>
      </c>
      <c r="J495" s="77" t="str">
        <f t="shared" si="247"/>
        <v>Lactuca</v>
      </c>
      <c r="K495" s="77" t="str">
        <f t="shared" si="247"/>
        <v>inermis</v>
      </c>
      <c r="L495" s="78">
        <f t="shared" si="247"/>
        <v>7</v>
      </c>
      <c r="M495" s="78">
        <f t="shared" si="247"/>
        <v>0</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2017</v>
      </c>
      <c r="B496" s="73" t="str">
        <f t="shared" si="220"/>
        <v>Nov</v>
      </c>
      <c r="C496" s="74">
        <f t="shared" si="243"/>
        <v>16</v>
      </c>
      <c r="D496" s="75">
        <f t="shared" si="221"/>
        <v>16</v>
      </c>
      <c r="E496" s="76">
        <f t="shared" si="222"/>
        <v>31</v>
      </c>
      <c r="F496" s="80"/>
      <c r="G496" s="83"/>
      <c r="H496" s="69" t="str">
        <f t="shared" si="244"/>
        <v>Lacine7_20171116_16_00</v>
      </c>
      <c r="I496" s="70">
        <f t="shared" si="247"/>
        <v>1</v>
      </c>
      <c r="J496" s="77" t="str">
        <f t="shared" si="247"/>
        <v>Lactuca</v>
      </c>
      <c r="K496" s="77" t="str">
        <f t="shared" si="247"/>
        <v>inermis</v>
      </c>
      <c r="L496" s="78">
        <f t="shared" si="247"/>
        <v>7</v>
      </c>
      <c r="M496" s="78">
        <f t="shared" si="247"/>
        <v>0</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2017</v>
      </c>
      <c r="B497" s="73" t="str">
        <f t="shared" si="220"/>
        <v>Nov</v>
      </c>
      <c r="C497" s="74">
        <f t="shared" si="243"/>
        <v>16</v>
      </c>
      <c r="D497" s="75">
        <f t="shared" si="221"/>
        <v>16</v>
      </c>
      <c r="E497" s="76">
        <f t="shared" si="222"/>
        <v>32</v>
      </c>
      <c r="F497" s="80"/>
      <c r="G497" s="83"/>
      <c r="H497" s="69" t="str">
        <f t="shared" si="244"/>
        <v>Lacine7_20171116_16_00</v>
      </c>
      <c r="I497" s="70">
        <f t="shared" si="247"/>
        <v>1</v>
      </c>
      <c r="J497" s="77" t="str">
        <f t="shared" si="247"/>
        <v>Lactuca</v>
      </c>
      <c r="K497" s="77" t="str">
        <f t="shared" si="247"/>
        <v>inermis</v>
      </c>
      <c r="L497" s="78">
        <f t="shared" si="247"/>
        <v>7</v>
      </c>
      <c r="M497" s="78">
        <f t="shared" si="247"/>
        <v>0</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2017</v>
      </c>
      <c r="B498" s="73" t="str">
        <f t="shared" si="220"/>
        <v>Nov</v>
      </c>
      <c r="C498" s="74">
        <f t="shared" si="243"/>
        <v>16</v>
      </c>
      <c r="D498" s="75">
        <f t="shared" si="221"/>
        <v>16</v>
      </c>
      <c r="E498" s="76">
        <f t="shared" si="222"/>
        <v>33</v>
      </c>
      <c r="F498" s="80"/>
      <c r="G498" s="83"/>
      <c r="H498" s="69" t="str">
        <f t="shared" si="244"/>
        <v>Lacine7_20171116_16_00</v>
      </c>
      <c r="I498" s="70">
        <f t="shared" si="247"/>
        <v>1</v>
      </c>
      <c r="J498" s="77" t="str">
        <f t="shared" si="247"/>
        <v>Lactuca</v>
      </c>
      <c r="K498" s="77" t="str">
        <f t="shared" si="247"/>
        <v>inermis</v>
      </c>
      <c r="L498" s="78">
        <f t="shared" si="247"/>
        <v>7</v>
      </c>
      <c r="M498" s="78">
        <f t="shared" si="247"/>
        <v>0</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2017</v>
      </c>
      <c r="B499" s="73" t="str">
        <f t="shared" si="220"/>
        <v>Nov</v>
      </c>
      <c r="C499" s="74">
        <f t="shared" si="243"/>
        <v>16</v>
      </c>
      <c r="D499" s="75">
        <f t="shared" si="221"/>
        <v>16</v>
      </c>
      <c r="E499" s="76">
        <f t="shared" si="222"/>
        <v>34</v>
      </c>
      <c r="F499" s="80"/>
      <c r="G499" s="83"/>
      <c r="H499" s="69" t="str">
        <f t="shared" si="244"/>
        <v>Lacine7_20171116_16_00</v>
      </c>
      <c r="I499" s="70">
        <f t="shared" si="247"/>
        <v>1</v>
      </c>
      <c r="J499" s="77" t="str">
        <f t="shared" si="247"/>
        <v>Lactuca</v>
      </c>
      <c r="K499" s="77" t="str">
        <f t="shared" si="247"/>
        <v>inermis</v>
      </c>
      <c r="L499" s="78">
        <f t="shared" si="247"/>
        <v>7</v>
      </c>
      <c r="M499" s="78">
        <f t="shared" si="247"/>
        <v>0</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2017</v>
      </c>
      <c r="B500" s="73" t="str">
        <f t="shared" si="220"/>
        <v>Nov</v>
      </c>
      <c r="C500" s="74">
        <f t="shared" si="243"/>
        <v>16</v>
      </c>
      <c r="D500" s="75">
        <f t="shared" si="221"/>
        <v>16</v>
      </c>
      <c r="E500" s="76">
        <f t="shared" si="222"/>
        <v>35</v>
      </c>
      <c r="F500" s="80"/>
      <c r="G500" s="83"/>
      <c r="H500" s="69" t="str">
        <f t="shared" si="244"/>
        <v>Lacine7_20171116_16_00</v>
      </c>
      <c r="I500" s="70">
        <f t="shared" si="247"/>
        <v>1</v>
      </c>
      <c r="J500" s="77" t="str">
        <f t="shared" si="247"/>
        <v>Lactuca</v>
      </c>
      <c r="K500" s="77" t="str">
        <f t="shared" si="247"/>
        <v>inermis</v>
      </c>
      <c r="L500" s="78">
        <f t="shared" si="247"/>
        <v>7</v>
      </c>
      <c r="M500" s="78">
        <f t="shared" si="247"/>
        <v>0</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2017</v>
      </c>
      <c r="B501" s="73" t="str">
        <f t="shared" si="220"/>
        <v>Nov</v>
      </c>
      <c r="C501" s="74">
        <f t="shared" si="243"/>
        <v>16</v>
      </c>
      <c r="D501" s="75">
        <f t="shared" si="221"/>
        <v>16</v>
      </c>
      <c r="E501" s="76">
        <f t="shared" si="222"/>
        <v>36</v>
      </c>
      <c r="F501" s="80"/>
      <c r="G501" s="83"/>
      <c r="H501" s="69" t="str">
        <f t="shared" si="244"/>
        <v>Lacine7_20171116_16_00</v>
      </c>
      <c r="I501" s="70">
        <f t="shared" ref="I501:N516" si="248">I500</f>
        <v>1</v>
      </c>
      <c r="J501" s="77" t="str">
        <f t="shared" si="248"/>
        <v>Lactuca</v>
      </c>
      <c r="K501" s="77" t="str">
        <f t="shared" si="248"/>
        <v>inermis</v>
      </c>
      <c r="L501" s="78">
        <f t="shared" si="248"/>
        <v>7</v>
      </c>
      <c r="M501" s="78">
        <f t="shared" si="248"/>
        <v>0</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2017</v>
      </c>
      <c r="B502" s="73" t="str">
        <f t="shared" si="220"/>
        <v>Nov</v>
      </c>
      <c r="C502" s="74">
        <f t="shared" si="243"/>
        <v>16</v>
      </c>
      <c r="D502" s="75">
        <f t="shared" si="221"/>
        <v>16</v>
      </c>
      <c r="E502" s="76">
        <f t="shared" si="222"/>
        <v>37</v>
      </c>
      <c r="F502" s="80"/>
      <c r="G502" s="83"/>
      <c r="H502" s="69" t="str">
        <f t="shared" si="244"/>
        <v>Lacine7_20171116_16_00</v>
      </c>
      <c r="I502" s="70">
        <f t="shared" si="248"/>
        <v>1</v>
      </c>
      <c r="J502" s="77" t="str">
        <f t="shared" si="248"/>
        <v>Lactuca</v>
      </c>
      <c r="K502" s="77" t="str">
        <f t="shared" si="248"/>
        <v>inermis</v>
      </c>
      <c r="L502" s="78">
        <f t="shared" si="248"/>
        <v>7</v>
      </c>
      <c r="M502" s="78">
        <f t="shared" si="248"/>
        <v>0</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2017</v>
      </c>
      <c r="B503" s="73" t="str">
        <f t="shared" si="220"/>
        <v>Nov</v>
      </c>
      <c r="C503" s="74">
        <f t="shared" si="243"/>
        <v>16</v>
      </c>
      <c r="D503" s="75">
        <f t="shared" si="221"/>
        <v>16</v>
      </c>
      <c r="E503" s="76">
        <f t="shared" si="222"/>
        <v>38</v>
      </c>
      <c r="F503" s="80"/>
      <c r="G503" s="83"/>
      <c r="H503" s="69" t="str">
        <f t="shared" si="244"/>
        <v>Lacine7_20171116_16_00</v>
      </c>
      <c r="I503" s="70">
        <f t="shared" si="248"/>
        <v>1</v>
      </c>
      <c r="J503" s="77" t="str">
        <f t="shared" si="248"/>
        <v>Lactuca</v>
      </c>
      <c r="K503" s="77" t="str">
        <f t="shared" si="248"/>
        <v>inermis</v>
      </c>
      <c r="L503" s="78">
        <f t="shared" si="248"/>
        <v>7</v>
      </c>
      <c r="M503" s="78">
        <f t="shared" si="248"/>
        <v>0</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2017</v>
      </c>
      <c r="B504" s="73" t="str">
        <f t="shared" si="220"/>
        <v>Nov</v>
      </c>
      <c r="C504" s="74">
        <f t="shared" si="243"/>
        <v>16</v>
      </c>
      <c r="D504" s="75">
        <f t="shared" si="221"/>
        <v>16</v>
      </c>
      <c r="E504" s="76">
        <f t="shared" si="222"/>
        <v>39</v>
      </c>
      <c r="F504" s="80"/>
      <c r="G504" s="83"/>
      <c r="H504" s="69" t="str">
        <f t="shared" si="244"/>
        <v>Lacine7_20171116_16_00</v>
      </c>
      <c r="I504" s="70">
        <f t="shared" si="248"/>
        <v>1</v>
      </c>
      <c r="J504" s="77" t="str">
        <f t="shared" si="248"/>
        <v>Lactuca</v>
      </c>
      <c r="K504" s="77" t="str">
        <f t="shared" si="248"/>
        <v>inermis</v>
      </c>
      <c r="L504" s="78">
        <f t="shared" si="248"/>
        <v>7</v>
      </c>
      <c r="M504" s="78">
        <f t="shared" si="248"/>
        <v>0</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2017</v>
      </c>
      <c r="B505" s="73" t="str">
        <f t="shared" si="220"/>
        <v>Nov</v>
      </c>
      <c r="C505" s="74">
        <f t="shared" si="243"/>
        <v>16</v>
      </c>
      <c r="D505" s="75">
        <f t="shared" si="221"/>
        <v>16</v>
      </c>
      <c r="E505" s="76">
        <f t="shared" si="222"/>
        <v>40</v>
      </c>
      <c r="F505" s="80"/>
      <c r="G505" s="83"/>
      <c r="H505" s="69" t="str">
        <f t="shared" si="244"/>
        <v>Lacine7_20171116_16_00</v>
      </c>
      <c r="I505" s="70">
        <f t="shared" si="248"/>
        <v>1</v>
      </c>
      <c r="J505" s="77" t="str">
        <f t="shared" si="248"/>
        <v>Lactuca</v>
      </c>
      <c r="K505" s="77" t="str">
        <f t="shared" si="248"/>
        <v>inermis</v>
      </c>
      <c r="L505" s="78">
        <f t="shared" si="248"/>
        <v>7</v>
      </c>
      <c r="M505" s="78">
        <f t="shared" si="248"/>
        <v>0</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2017</v>
      </c>
      <c r="B506" s="73" t="str">
        <f t="shared" si="220"/>
        <v>Nov</v>
      </c>
      <c r="C506" s="74">
        <f t="shared" si="243"/>
        <v>16</v>
      </c>
      <c r="D506" s="75">
        <f t="shared" si="221"/>
        <v>16</v>
      </c>
      <c r="E506" s="76">
        <f t="shared" si="222"/>
        <v>41</v>
      </c>
      <c r="F506" s="80"/>
      <c r="G506" s="83"/>
      <c r="H506" s="69" t="str">
        <f t="shared" si="244"/>
        <v>Lacine7_20171116_16_00</v>
      </c>
      <c r="I506" s="70">
        <f t="shared" si="248"/>
        <v>1</v>
      </c>
      <c r="J506" s="77" t="str">
        <f t="shared" si="248"/>
        <v>Lactuca</v>
      </c>
      <c r="K506" s="77" t="str">
        <f t="shared" si="248"/>
        <v>inermis</v>
      </c>
      <c r="L506" s="78">
        <f t="shared" si="248"/>
        <v>7</v>
      </c>
      <c r="M506" s="78">
        <f t="shared" si="248"/>
        <v>0</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2017</v>
      </c>
      <c r="B507" s="73" t="str">
        <f t="shared" si="220"/>
        <v>Nov</v>
      </c>
      <c r="C507" s="74">
        <f t="shared" si="243"/>
        <v>16</v>
      </c>
      <c r="D507" s="75">
        <f t="shared" si="221"/>
        <v>16</v>
      </c>
      <c r="E507" s="76">
        <f t="shared" si="222"/>
        <v>42</v>
      </c>
      <c r="F507" s="80"/>
      <c r="G507" s="83"/>
      <c r="H507" s="69" t="str">
        <f t="shared" si="244"/>
        <v>Lacine7_20171116_16_00</v>
      </c>
      <c r="I507" s="70">
        <f t="shared" si="248"/>
        <v>1</v>
      </c>
      <c r="J507" s="77" t="str">
        <f t="shared" si="248"/>
        <v>Lactuca</v>
      </c>
      <c r="K507" s="77" t="str">
        <f t="shared" si="248"/>
        <v>inermis</v>
      </c>
      <c r="L507" s="78">
        <f t="shared" si="248"/>
        <v>7</v>
      </c>
      <c r="M507" s="78">
        <f t="shared" si="248"/>
        <v>0</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2017</v>
      </c>
      <c r="B508" s="73" t="str">
        <f t="shared" si="220"/>
        <v>Nov</v>
      </c>
      <c r="C508" s="74">
        <f t="shared" si="243"/>
        <v>16</v>
      </c>
      <c r="D508" s="75">
        <f t="shared" si="221"/>
        <v>16</v>
      </c>
      <c r="E508" s="76">
        <f t="shared" si="222"/>
        <v>43</v>
      </c>
      <c r="F508" s="80"/>
      <c r="G508" s="83"/>
      <c r="H508" s="69" t="str">
        <f t="shared" si="244"/>
        <v>Lacine7_20171116_16_00</v>
      </c>
      <c r="I508" s="70">
        <f t="shared" si="248"/>
        <v>1</v>
      </c>
      <c r="J508" s="77" t="str">
        <f t="shared" si="248"/>
        <v>Lactuca</v>
      </c>
      <c r="K508" s="77" t="str">
        <f t="shared" si="248"/>
        <v>inermis</v>
      </c>
      <c r="L508" s="78">
        <f t="shared" si="248"/>
        <v>7</v>
      </c>
      <c r="M508" s="78">
        <f t="shared" si="248"/>
        <v>0</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2017</v>
      </c>
      <c r="B509" s="73" t="str">
        <f t="shared" si="220"/>
        <v>Nov</v>
      </c>
      <c r="C509" s="74">
        <f t="shared" si="243"/>
        <v>16</v>
      </c>
      <c r="D509" s="75">
        <f t="shared" si="221"/>
        <v>16</v>
      </c>
      <c r="E509" s="76">
        <f t="shared" si="222"/>
        <v>44</v>
      </c>
      <c r="F509" s="80"/>
      <c r="G509" s="83"/>
      <c r="H509" s="69" t="str">
        <f t="shared" si="244"/>
        <v>Lacine7_20171116_16_00</v>
      </c>
      <c r="I509" s="70">
        <f t="shared" si="248"/>
        <v>1</v>
      </c>
      <c r="J509" s="77" t="str">
        <f t="shared" si="248"/>
        <v>Lactuca</v>
      </c>
      <c r="K509" s="77" t="str">
        <f t="shared" si="248"/>
        <v>inermis</v>
      </c>
      <c r="L509" s="78">
        <f t="shared" si="248"/>
        <v>7</v>
      </c>
      <c r="M509" s="78">
        <f t="shared" si="248"/>
        <v>0</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2017</v>
      </c>
      <c r="B510" s="73" t="str">
        <f t="shared" si="220"/>
        <v>Nov</v>
      </c>
      <c r="C510" s="74">
        <f t="shared" si="243"/>
        <v>16</v>
      </c>
      <c r="D510" s="75">
        <f t="shared" si="221"/>
        <v>16</v>
      </c>
      <c r="E510" s="76">
        <f t="shared" si="222"/>
        <v>45</v>
      </c>
      <c r="F510" s="80"/>
      <c r="G510" s="83"/>
      <c r="H510" s="69" t="str">
        <f t="shared" si="244"/>
        <v>Lacine7_20171116_16_00</v>
      </c>
      <c r="I510" s="70">
        <f t="shared" si="248"/>
        <v>1</v>
      </c>
      <c r="J510" s="77" t="str">
        <f t="shared" si="248"/>
        <v>Lactuca</v>
      </c>
      <c r="K510" s="77" t="str">
        <f t="shared" si="248"/>
        <v>inermis</v>
      </c>
      <c r="L510" s="78">
        <f t="shared" si="248"/>
        <v>7</v>
      </c>
      <c r="M510" s="78">
        <f t="shared" si="248"/>
        <v>0</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2017</v>
      </c>
      <c r="B511" s="73" t="str">
        <f t="shared" si="220"/>
        <v>Nov</v>
      </c>
      <c r="C511" s="74">
        <f t="shared" si="243"/>
        <v>16</v>
      </c>
      <c r="D511" s="75">
        <f t="shared" si="221"/>
        <v>16</v>
      </c>
      <c r="E511" s="76">
        <f t="shared" si="222"/>
        <v>46</v>
      </c>
      <c r="F511" s="80"/>
      <c r="G511" s="83"/>
      <c r="H511" s="69" t="str">
        <f t="shared" si="244"/>
        <v>Lacine7_20171116_16_00</v>
      </c>
      <c r="I511" s="70">
        <f t="shared" si="248"/>
        <v>1</v>
      </c>
      <c r="J511" s="77" t="str">
        <f t="shared" si="248"/>
        <v>Lactuca</v>
      </c>
      <c r="K511" s="77" t="str">
        <f t="shared" si="248"/>
        <v>inermis</v>
      </c>
      <c r="L511" s="78">
        <f t="shared" si="248"/>
        <v>7</v>
      </c>
      <c r="M511" s="78">
        <f t="shared" si="248"/>
        <v>0</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2017</v>
      </c>
      <c r="B512" s="73" t="str">
        <f t="shared" si="220"/>
        <v>Nov</v>
      </c>
      <c r="C512" s="74">
        <f t="shared" si="243"/>
        <v>16</v>
      </c>
      <c r="D512" s="75">
        <f t="shared" si="221"/>
        <v>16</v>
      </c>
      <c r="E512" s="76">
        <f t="shared" si="222"/>
        <v>47</v>
      </c>
      <c r="F512" s="80"/>
      <c r="G512" s="83"/>
      <c r="H512" s="69" t="str">
        <f t="shared" si="244"/>
        <v>Lacine7_20171116_16_00</v>
      </c>
      <c r="I512" s="70">
        <f t="shared" si="248"/>
        <v>1</v>
      </c>
      <c r="J512" s="77" t="str">
        <f t="shared" si="248"/>
        <v>Lactuca</v>
      </c>
      <c r="K512" s="77" t="str">
        <f t="shared" si="248"/>
        <v>inermis</v>
      </c>
      <c r="L512" s="78">
        <f t="shared" si="248"/>
        <v>7</v>
      </c>
      <c r="M512" s="78">
        <f t="shared" si="248"/>
        <v>0</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2017</v>
      </c>
      <c r="B513" s="73" t="str">
        <f t="shared" si="220"/>
        <v>Nov</v>
      </c>
      <c r="C513" s="74">
        <f t="shared" si="243"/>
        <v>16</v>
      </c>
      <c r="D513" s="75">
        <f t="shared" si="221"/>
        <v>16</v>
      </c>
      <c r="E513" s="76">
        <f t="shared" si="222"/>
        <v>48</v>
      </c>
      <c r="F513" s="80"/>
      <c r="G513" s="83"/>
      <c r="H513" s="69" t="str">
        <f t="shared" si="244"/>
        <v>Lacine7_20171116_16_00</v>
      </c>
      <c r="I513" s="70">
        <f t="shared" si="248"/>
        <v>1</v>
      </c>
      <c r="J513" s="77" t="str">
        <f t="shared" si="248"/>
        <v>Lactuca</v>
      </c>
      <c r="K513" s="77" t="str">
        <f t="shared" si="248"/>
        <v>inermis</v>
      </c>
      <c r="L513" s="78">
        <f t="shared" si="248"/>
        <v>7</v>
      </c>
      <c r="M513" s="78">
        <f t="shared" si="248"/>
        <v>0</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2017</v>
      </c>
      <c r="B514" s="73" t="str">
        <f t="shared" si="220"/>
        <v>Nov</v>
      </c>
      <c r="C514" s="74">
        <f t="shared" si="243"/>
        <v>16</v>
      </c>
      <c r="D514" s="75">
        <f t="shared" si="221"/>
        <v>16</v>
      </c>
      <c r="E514" s="76">
        <f t="shared" si="222"/>
        <v>49</v>
      </c>
      <c r="F514" s="80"/>
      <c r="G514" s="83"/>
      <c r="H514" s="69" t="str">
        <f t="shared" si="244"/>
        <v>Lacine7_20171116_16_00</v>
      </c>
      <c r="I514" s="70">
        <f t="shared" si="248"/>
        <v>1</v>
      </c>
      <c r="J514" s="77" t="str">
        <f t="shared" si="248"/>
        <v>Lactuca</v>
      </c>
      <c r="K514" s="77" t="str">
        <f t="shared" si="248"/>
        <v>inermis</v>
      </c>
      <c r="L514" s="78">
        <f t="shared" si="248"/>
        <v>7</v>
      </c>
      <c r="M514" s="78">
        <f t="shared" si="248"/>
        <v>0</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2017</v>
      </c>
      <c r="B515" s="73" t="str">
        <f t="shared" si="220"/>
        <v>Nov</v>
      </c>
      <c r="C515" s="74">
        <f t="shared" si="243"/>
        <v>16</v>
      </c>
      <c r="D515" s="75">
        <f t="shared" si="221"/>
        <v>16</v>
      </c>
      <c r="E515" s="76">
        <f t="shared" si="222"/>
        <v>50</v>
      </c>
      <c r="F515" s="80"/>
      <c r="G515" s="83"/>
      <c r="H515" s="69" t="str">
        <f t="shared" si="244"/>
        <v>Lacine7_20171116_16_00</v>
      </c>
      <c r="I515" s="70">
        <f t="shared" si="248"/>
        <v>1</v>
      </c>
      <c r="J515" s="77" t="str">
        <f t="shared" si="248"/>
        <v>Lactuca</v>
      </c>
      <c r="K515" s="77" t="str">
        <f t="shared" si="248"/>
        <v>inermis</v>
      </c>
      <c r="L515" s="78">
        <f t="shared" si="248"/>
        <v>7</v>
      </c>
      <c r="M515" s="78">
        <f t="shared" si="248"/>
        <v>0</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2017</v>
      </c>
      <c r="B516" s="73" t="str">
        <f t="shared" ref="B516:B579" si="251">IF(C515-C516&gt;0, TEXT(DATE(2016,(MONTH(DATEVALUE(B515&amp;"1"))+1),1),"mmm"), B515)</f>
        <v>Nov</v>
      </c>
      <c r="C516" s="74">
        <f t="shared" si="243"/>
        <v>16</v>
      </c>
      <c r="D516" s="75">
        <f t="shared" ref="D516:D579" si="252">IF(IF(E515=59,D515+1,D515)=24,0,IF(E515=59,D515+1,D515))</f>
        <v>16</v>
      </c>
      <c r="E516" s="76">
        <f t="shared" ref="E516:E579" si="253">IF(E515&lt;59,E515+1,0)</f>
        <v>51</v>
      </c>
      <c r="F516" s="80"/>
      <c r="G516" s="83"/>
      <c r="H516" s="69" t="str">
        <f t="shared" si="244"/>
        <v>Lacine7_20171116_16_00</v>
      </c>
      <c r="I516" s="70">
        <f t="shared" si="248"/>
        <v>1</v>
      </c>
      <c r="J516" s="77" t="str">
        <f t="shared" si="248"/>
        <v>Lactuca</v>
      </c>
      <c r="K516" s="77" t="str">
        <f t="shared" si="248"/>
        <v>inermis</v>
      </c>
      <c r="L516" s="78">
        <f t="shared" si="248"/>
        <v>7</v>
      </c>
      <c r="M516" s="78">
        <f t="shared" si="248"/>
        <v>0</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2017</v>
      </c>
      <c r="B517" s="73" t="str">
        <f t="shared" si="251"/>
        <v>Nov</v>
      </c>
      <c r="C517" s="74">
        <f t="shared" ref="C517:C580" si="274">IF(AND(D517=0, E517=0), IF(TEXT(C516,"dd")=TEXT(EOMONTH(DATE(A516,MONTH(DATEVALUE(B516&amp;"1")),C516),0), "dd"), 1, C516+1), C516)</f>
        <v>16</v>
      </c>
      <c r="D517" s="75">
        <f t="shared" si="252"/>
        <v>16</v>
      </c>
      <c r="E517" s="76">
        <f t="shared" si="253"/>
        <v>52</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Lacine7_20171116_16_00</v>
      </c>
      <c r="I517" s="70">
        <f t="shared" ref="I517:N532" si="276">I516</f>
        <v>1</v>
      </c>
      <c r="J517" s="77" t="str">
        <f t="shared" si="276"/>
        <v>Lactuca</v>
      </c>
      <c r="K517" s="77" t="str">
        <f t="shared" si="276"/>
        <v>inermis</v>
      </c>
      <c r="L517" s="78">
        <f t="shared" si="276"/>
        <v>7</v>
      </c>
      <c r="M517" s="78">
        <f t="shared" si="276"/>
        <v>0</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2017</v>
      </c>
      <c r="B518" s="73" t="str">
        <f t="shared" si="251"/>
        <v>Nov</v>
      </c>
      <c r="C518" s="74">
        <f t="shared" si="274"/>
        <v>16</v>
      </c>
      <c r="D518" s="75">
        <f t="shared" si="252"/>
        <v>16</v>
      </c>
      <c r="E518" s="76">
        <f t="shared" si="253"/>
        <v>53</v>
      </c>
      <c r="F518" s="80"/>
      <c r="G518" s="83"/>
      <c r="H518" s="69" t="str">
        <f t="shared" si="275"/>
        <v>Lacine7_20171116_16_00</v>
      </c>
      <c r="I518" s="70">
        <f t="shared" si="276"/>
        <v>1</v>
      </c>
      <c r="J518" s="77" t="str">
        <f t="shared" si="276"/>
        <v>Lactuca</v>
      </c>
      <c r="K518" s="77" t="str">
        <f t="shared" si="276"/>
        <v>inermis</v>
      </c>
      <c r="L518" s="78">
        <f t="shared" si="276"/>
        <v>7</v>
      </c>
      <c r="M518" s="78">
        <f t="shared" si="276"/>
        <v>0</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2017</v>
      </c>
      <c r="B519" s="73" t="str">
        <f t="shared" si="251"/>
        <v>Nov</v>
      </c>
      <c r="C519" s="74">
        <f t="shared" si="274"/>
        <v>16</v>
      </c>
      <c r="D519" s="75">
        <f t="shared" si="252"/>
        <v>16</v>
      </c>
      <c r="E519" s="76">
        <f t="shared" si="253"/>
        <v>54</v>
      </c>
      <c r="F519" s="80"/>
      <c r="G519" s="83"/>
      <c r="H519" s="69" t="str">
        <f t="shared" si="275"/>
        <v>Lacine7_20171116_16_00</v>
      </c>
      <c r="I519" s="70">
        <f t="shared" si="276"/>
        <v>1</v>
      </c>
      <c r="J519" s="77" t="str">
        <f t="shared" si="276"/>
        <v>Lactuca</v>
      </c>
      <c r="K519" s="77" t="str">
        <f t="shared" si="276"/>
        <v>inermis</v>
      </c>
      <c r="L519" s="78">
        <f t="shared" si="276"/>
        <v>7</v>
      </c>
      <c r="M519" s="78">
        <f t="shared" si="276"/>
        <v>0</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2017</v>
      </c>
      <c r="B520" s="73" t="str">
        <f t="shared" si="251"/>
        <v>Nov</v>
      </c>
      <c r="C520" s="74">
        <f t="shared" si="274"/>
        <v>16</v>
      </c>
      <c r="D520" s="75">
        <f t="shared" si="252"/>
        <v>16</v>
      </c>
      <c r="E520" s="76">
        <f t="shared" si="253"/>
        <v>55</v>
      </c>
      <c r="F520" s="80"/>
      <c r="G520" s="83"/>
      <c r="H520" s="69" t="str">
        <f t="shared" si="275"/>
        <v>Lacine7_20171116_16_00</v>
      </c>
      <c r="I520" s="70">
        <f t="shared" si="276"/>
        <v>1</v>
      </c>
      <c r="J520" s="77" t="str">
        <f t="shared" si="276"/>
        <v>Lactuca</v>
      </c>
      <c r="K520" s="77" t="str">
        <f t="shared" si="276"/>
        <v>inermis</v>
      </c>
      <c r="L520" s="78">
        <f t="shared" si="276"/>
        <v>7</v>
      </c>
      <c r="M520" s="78">
        <f t="shared" si="276"/>
        <v>0</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2017</v>
      </c>
      <c r="B521" s="73" t="str">
        <f t="shared" si="251"/>
        <v>Nov</v>
      </c>
      <c r="C521" s="74">
        <f t="shared" si="274"/>
        <v>16</v>
      </c>
      <c r="D521" s="75">
        <f t="shared" si="252"/>
        <v>16</v>
      </c>
      <c r="E521" s="76">
        <f t="shared" si="253"/>
        <v>56</v>
      </c>
      <c r="F521" s="80"/>
      <c r="G521" s="83"/>
      <c r="H521" s="69" t="str">
        <f t="shared" si="275"/>
        <v>Lacine7_20171116_16_00</v>
      </c>
      <c r="I521" s="70">
        <f t="shared" si="276"/>
        <v>1</v>
      </c>
      <c r="J521" s="77" t="str">
        <f t="shared" si="276"/>
        <v>Lactuca</v>
      </c>
      <c r="K521" s="77" t="str">
        <f t="shared" si="276"/>
        <v>inermis</v>
      </c>
      <c r="L521" s="78">
        <f t="shared" si="276"/>
        <v>7</v>
      </c>
      <c r="M521" s="78">
        <f t="shared" si="276"/>
        <v>0</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2017</v>
      </c>
      <c r="B522" s="73" t="str">
        <f t="shared" si="251"/>
        <v>Nov</v>
      </c>
      <c r="C522" s="74">
        <f t="shared" si="274"/>
        <v>16</v>
      </c>
      <c r="D522" s="75">
        <f t="shared" si="252"/>
        <v>16</v>
      </c>
      <c r="E522" s="76">
        <f t="shared" si="253"/>
        <v>57</v>
      </c>
      <c r="F522" s="80"/>
      <c r="G522" s="83"/>
      <c r="H522" s="69" t="str">
        <f t="shared" si="275"/>
        <v>Lacine7_20171116_16_00</v>
      </c>
      <c r="I522" s="70">
        <f t="shared" si="276"/>
        <v>1</v>
      </c>
      <c r="J522" s="77" t="str">
        <f t="shared" si="276"/>
        <v>Lactuca</v>
      </c>
      <c r="K522" s="77" t="str">
        <f t="shared" si="276"/>
        <v>inermis</v>
      </c>
      <c r="L522" s="78">
        <f t="shared" si="276"/>
        <v>7</v>
      </c>
      <c r="M522" s="78">
        <f t="shared" si="276"/>
        <v>0</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2017</v>
      </c>
      <c r="B523" s="73" t="str">
        <f t="shared" si="251"/>
        <v>Nov</v>
      </c>
      <c r="C523" s="74">
        <f t="shared" si="274"/>
        <v>16</v>
      </c>
      <c r="D523" s="75">
        <f t="shared" si="252"/>
        <v>16</v>
      </c>
      <c r="E523" s="76">
        <f t="shared" si="253"/>
        <v>58</v>
      </c>
      <c r="F523" s="80"/>
      <c r="G523" s="83"/>
      <c r="H523" s="69" t="str">
        <f t="shared" si="275"/>
        <v>Lacine7_20171116_16_00</v>
      </c>
      <c r="I523" s="70">
        <f t="shared" si="276"/>
        <v>1</v>
      </c>
      <c r="J523" s="77" t="str">
        <f t="shared" si="276"/>
        <v>Lactuca</v>
      </c>
      <c r="K523" s="77" t="str">
        <f t="shared" si="276"/>
        <v>inermis</v>
      </c>
      <c r="L523" s="78">
        <f t="shared" si="276"/>
        <v>7</v>
      </c>
      <c r="M523" s="78">
        <f t="shared" si="276"/>
        <v>0</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2017</v>
      </c>
      <c r="B524" s="73" t="str">
        <f t="shared" si="251"/>
        <v>Nov</v>
      </c>
      <c r="C524" s="74">
        <f t="shared" si="274"/>
        <v>16</v>
      </c>
      <c r="D524" s="75">
        <f t="shared" si="252"/>
        <v>16</v>
      </c>
      <c r="E524" s="76">
        <f t="shared" si="253"/>
        <v>59</v>
      </c>
      <c r="F524" s="80"/>
      <c r="G524" s="83"/>
      <c r="H524" s="69" t="str">
        <f t="shared" si="275"/>
        <v>Lacine7_20171116_16_00</v>
      </c>
      <c r="I524" s="70">
        <f t="shared" si="276"/>
        <v>1</v>
      </c>
      <c r="J524" s="77" t="str">
        <f t="shared" si="276"/>
        <v>Lactuca</v>
      </c>
      <c r="K524" s="77" t="str">
        <f t="shared" si="276"/>
        <v>inermis</v>
      </c>
      <c r="L524" s="78">
        <f t="shared" si="276"/>
        <v>7</v>
      </c>
      <c r="M524" s="78">
        <f t="shared" si="276"/>
        <v>0</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2017</v>
      </c>
      <c r="B525" s="73" t="str">
        <f t="shared" si="251"/>
        <v>Nov</v>
      </c>
      <c r="C525" s="74">
        <f t="shared" si="274"/>
        <v>16</v>
      </c>
      <c r="D525" s="75">
        <f t="shared" si="252"/>
        <v>17</v>
      </c>
      <c r="E525" s="76">
        <f t="shared" si="253"/>
        <v>0</v>
      </c>
      <c r="F525" s="80"/>
      <c r="G525" s="83"/>
      <c r="H525" s="69" t="str">
        <f t="shared" si="275"/>
        <v>Lacine7_20171116_17_00</v>
      </c>
      <c r="I525" s="70">
        <f t="shared" si="276"/>
        <v>1</v>
      </c>
      <c r="J525" s="77" t="str">
        <f t="shared" si="276"/>
        <v>Lactuca</v>
      </c>
      <c r="K525" s="77" t="str">
        <f t="shared" si="276"/>
        <v>inermis</v>
      </c>
      <c r="L525" s="78">
        <f t="shared" si="276"/>
        <v>7</v>
      </c>
      <c r="M525" s="78">
        <f t="shared" si="276"/>
        <v>0</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2017</v>
      </c>
      <c r="B526" s="73" t="str">
        <f t="shared" si="251"/>
        <v>Nov</v>
      </c>
      <c r="C526" s="74">
        <f t="shared" si="274"/>
        <v>16</v>
      </c>
      <c r="D526" s="75">
        <f t="shared" si="252"/>
        <v>17</v>
      </c>
      <c r="E526" s="76">
        <f t="shared" si="253"/>
        <v>1</v>
      </c>
      <c r="F526" s="80"/>
      <c r="G526" s="83"/>
      <c r="H526" s="69" t="str">
        <f t="shared" si="275"/>
        <v>Lacine7_20171116_17_00</v>
      </c>
      <c r="I526" s="70">
        <f t="shared" si="276"/>
        <v>1</v>
      </c>
      <c r="J526" s="77" t="str">
        <f t="shared" si="276"/>
        <v>Lactuca</v>
      </c>
      <c r="K526" s="77" t="str">
        <f t="shared" si="276"/>
        <v>inermis</v>
      </c>
      <c r="L526" s="78">
        <f t="shared" si="276"/>
        <v>7</v>
      </c>
      <c r="M526" s="78">
        <f t="shared" si="276"/>
        <v>0</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2017</v>
      </c>
      <c r="B527" s="73" t="str">
        <f t="shared" si="251"/>
        <v>Nov</v>
      </c>
      <c r="C527" s="74">
        <f t="shared" si="274"/>
        <v>16</v>
      </c>
      <c r="D527" s="75">
        <f t="shared" si="252"/>
        <v>17</v>
      </c>
      <c r="E527" s="76">
        <f t="shared" si="253"/>
        <v>2</v>
      </c>
      <c r="F527" s="80"/>
      <c r="G527" s="83"/>
      <c r="H527" s="69" t="str">
        <f t="shared" si="275"/>
        <v>Lacine7_20171116_17_00</v>
      </c>
      <c r="I527" s="70">
        <f t="shared" si="276"/>
        <v>1</v>
      </c>
      <c r="J527" s="77" t="str">
        <f t="shared" si="276"/>
        <v>Lactuca</v>
      </c>
      <c r="K527" s="77" t="str">
        <f t="shared" si="276"/>
        <v>inermis</v>
      </c>
      <c r="L527" s="78">
        <f t="shared" si="276"/>
        <v>7</v>
      </c>
      <c r="M527" s="78">
        <f t="shared" si="276"/>
        <v>0</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2017</v>
      </c>
      <c r="B528" s="73" t="str">
        <f t="shared" si="251"/>
        <v>Nov</v>
      </c>
      <c r="C528" s="74">
        <f t="shared" si="274"/>
        <v>16</v>
      </c>
      <c r="D528" s="75">
        <f t="shared" si="252"/>
        <v>17</v>
      </c>
      <c r="E528" s="76">
        <f t="shared" si="253"/>
        <v>3</v>
      </c>
      <c r="F528" s="80"/>
      <c r="G528" s="83"/>
      <c r="H528" s="69" t="str">
        <f t="shared" si="275"/>
        <v>Lacine7_20171116_17_00</v>
      </c>
      <c r="I528" s="70">
        <f t="shared" si="276"/>
        <v>1</v>
      </c>
      <c r="J528" s="77" t="str">
        <f t="shared" si="276"/>
        <v>Lactuca</v>
      </c>
      <c r="K528" s="77" t="str">
        <f t="shared" si="276"/>
        <v>inermis</v>
      </c>
      <c r="L528" s="78">
        <f t="shared" si="276"/>
        <v>7</v>
      </c>
      <c r="M528" s="78">
        <f t="shared" si="276"/>
        <v>0</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2017</v>
      </c>
      <c r="B529" s="73" t="str">
        <f t="shared" si="251"/>
        <v>Nov</v>
      </c>
      <c r="C529" s="74">
        <f t="shared" si="274"/>
        <v>16</v>
      </c>
      <c r="D529" s="75">
        <f t="shared" si="252"/>
        <v>17</v>
      </c>
      <c r="E529" s="76">
        <f t="shared" si="253"/>
        <v>4</v>
      </c>
      <c r="F529" s="80"/>
      <c r="G529" s="83"/>
      <c r="H529" s="69" t="str">
        <f t="shared" si="275"/>
        <v>Lacine7_20171116_17_00</v>
      </c>
      <c r="I529" s="70">
        <f t="shared" si="276"/>
        <v>1</v>
      </c>
      <c r="J529" s="77" t="str">
        <f t="shared" si="276"/>
        <v>Lactuca</v>
      </c>
      <c r="K529" s="77" t="str">
        <f t="shared" si="276"/>
        <v>inermis</v>
      </c>
      <c r="L529" s="78">
        <f t="shared" si="276"/>
        <v>7</v>
      </c>
      <c r="M529" s="78">
        <f t="shared" si="276"/>
        <v>0</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2017</v>
      </c>
      <c r="B530" s="73" t="str">
        <f t="shared" si="251"/>
        <v>Nov</v>
      </c>
      <c r="C530" s="74">
        <f t="shared" si="274"/>
        <v>16</v>
      </c>
      <c r="D530" s="75">
        <f t="shared" si="252"/>
        <v>17</v>
      </c>
      <c r="E530" s="76">
        <f t="shared" si="253"/>
        <v>5</v>
      </c>
      <c r="F530" s="80"/>
      <c r="G530" s="83"/>
      <c r="H530" s="69" t="str">
        <f t="shared" si="275"/>
        <v>Lacine7_20171116_17_00</v>
      </c>
      <c r="I530" s="70">
        <f t="shared" si="276"/>
        <v>1</v>
      </c>
      <c r="J530" s="77" t="str">
        <f t="shared" si="276"/>
        <v>Lactuca</v>
      </c>
      <c r="K530" s="77" t="str">
        <f t="shared" si="276"/>
        <v>inermis</v>
      </c>
      <c r="L530" s="78">
        <f t="shared" si="276"/>
        <v>7</v>
      </c>
      <c r="M530" s="78">
        <f t="shared" si="276"/>
        <v>0</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2017</v>
      </c>
      <c r="B531" s="73" t="str">
        <f t="shared" si="251"/>
        <v>Nov</v>
      </c>
      <c r="C531" s="74">
        <f t="shared" si="274"/>
        <v>16</v>
      </c>
      <c r="D531" s="75">
        <f t="shared" si="252"/>
        <v>17</v>
      </c>
      <c r="E531" s="76">
        <f t="shared" si="253"/>
        <v>6</v>
      </c>
      <c r="F531" s="80"/>
      <c r="G531" s="83"/>
      <c r="H531" s="69" t="str">
        <f t="shared" si="275"/>
        <v>Lacine7_20171116_17_00</v>
      </c>
      <c r="I531" s="70">
        <f t="shared" si="276"/>
        <v>1</v>
      </c>
      <c r="J531" s="77" t="str">
        <f t="shared" si="276"/>
        <v>Lactuca</v>
      </c>
      <c r="K531" s="77" t="str">
        <f t="shared" si="276"/>
        <v>inermis</v>
      </c>
      <c r="L531" s="78">
        <f t="shared" si="276"/>
        <v>7</v>
      </c>
      <c r="M531" s="78">
        <f t="shared" si="276"/>
        <v>0</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2017</v>
      </c>
      <c r="B532" s="73" t="str">
        <f t="shared" si="251"/>
        <v>Nov</v>
      </c>
      <c r="C532" s="74">
        <f t="shared" si="274"/>
        <v>16</v>
      </c>
      <c r="D532" s="75">
        <f t="shared" si="252"/>
        <v>17</v>
      </c>
      <c r="E532" s="76">
        <f t="shared" si="253"/>
        <v>7</v>
      </c>
      <c r="F532" s="80"/>
      <c r="G532" s="83"/>
      <c r="H532" s="69" t="str">
        <f t="shared" si="275"/>
        <v>Lacine7_20171116_17_00</v>
      </c>
      <c r="I532" s="70">
        <f t="shared" si="276"/>
        <v>1</v>
      </c>
      <c r="J532" s="77" t="str">
        <f t="shared" si="276"/>
        <v>Lactuca</v>
      </c>
      <c r="K532" s="77" t="str">
        <f t="shared" si="276"/>
        <v>inermis</v>
      </c>
      <c r="L532" s="78">
        <f t="shared" si="276"/>
        <v>7</v>
      </c>
      <c r="M532" s="78">
        <f t="shared" si="276"/>
        <v>0</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2017</v>
      </c>
      <c r="B533" s="73" t="str">
        <f t="shared" si="251"/>
        <v>Nov</v>
      </c>
      <c r="C533" s="74">
        <f t="shared" si="274"/>
        <v>16</v>
      </c>
      <c r="D533" s="75">
        <f t="shared" si="252"/>
        <v>17</v>
      </c>
      <c r="E533" s="76">
        <f t="shared" si="253"/>
        <v>8</v>
      </c>
      <c r="F533" s="80"/>
      <c r="G533" s="83"/>
      <c r="H533" s="69" t="str">
        <f t="shared" si="275"/>
        <v>Lacine7_20171116_17_00</v>
      </c>
      <c r="I533" s="70">
        <f t="shared" ref="I533:N548" si="277">I532</f>
        <v>1</v>
      </c>
      <c r="J533" s="77" t="str">
        <f t="shared" si="277"/>
        <v>Lactuca</v>
      </c>
      <c r="K533" s="77" t="str">
        <f t="shared" si="277"/>
        <v>inermis</v>
      </c>
      <c r="L533" s="78">
        <f t="shared" si="277"/>
        <v>7</v>
      </c>
      <c r="M533" s="78">
        <f t="shared" si="277"/>
        <v>0</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2017</v>
      </c>
      <c r="B534" s="73" t="str">
        <f t="shared" si="251"/>
        <v>Nov</v>
      </c>
      <c r="C534" s="74">
        <f t="shared" si="274"/>
        <v>16</v>
      </c>
      <c r="D534" s="75">
        <f t="shared" si="252"/>
        <v>17</v>
      </c>
      <c r="E534" s="76">
        <f t="shared" si="253"/>
        <v>9</v>
      </c>
      <c r="F534" s="80"/>
      <c r="G534" s="83"/>
      <c r="H534" s="69" t="str">
        <f t="shared" si="275"/>
        <v>Lacine7_20171116_17_00</v>
      </c>
      <c r="I534" s="70">
        <f t="shared" si="277"/>
        <v>1</v>
      </c>
      <c r="J534" s="77" t="str">
        <f t="shared" si="277"/>
        <v>Lactuca</v>
      </c>
      <c r="K534" s="77" t="str">
        <f t="shared" si="277"/>
        <v>inermis</v>
      </c>
      <c r="L534" s="78">
        <f t="shared" si="277"/>
        <v>7</v>
      </c>
      <c r="M534" s="78">
        <f t="shared" si="277"/>
        <v>0</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2017</v>
      </c>
      <c r="B535" s="73" t="str">
        <f t="shared" si="251"/>
        <v>Nov</v>
      </c>
      <c r="C535" s="74">
        <f t="shared" si="274"/>
        <v>16</v>
      </c>
      <c r="D535" s="75">
        <f t="shared" si="252"/>
        <v>17</v>
      </c>
      <c r="E535" s="76">
        <f t="shared" si="253"/>
        <v>10</v>
      </c>
      <c r="F535" s="80"/>
      <c r="G535" s="83"/>
      <c r="H535" s="69" t="str">
        <f t="shared" si="275"/>
        <v>Lacine7_20171116_17_00</v>
      </c>
      <c r="I535" s="70">
        <f t="shared" si="277"/>
        <v>1</v>
      </c>
      <c r="J535" s="77" t="str">
        <f t="shared" si="277"/>
        <v>Lactuca</v>
      </c>
      <c r="K535" s="77" t="str">
        <f t="shared" si="277"/>
        <v>inermis</v>
      </c>
      <c r="L535" s="78">
        <f t="shared" si="277"/>
        <v>7</v>
      </c>
      <c r="M535" s="78">
        <f t="shared" si="277"/>
        <v>0</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2017</v>
      </c>
      <c r="B536" s="73" t="str">
        <f t="shared" si="251"/>
        <v>Nov</v>
      </c>
      <c r="C536" s="74">
        <f t="shared" si="274"/>
        <v>16</v>
      </c>
      <c r="D536" s="75">
        <f t="shared" si="252"/>
        <v>17</v>
      </c>
      <c r="E536" s="76">
        <f t="shared" si="253"/>
        <v>11</v>
      </c>
      <c r="F536" s="80"/>
      <c r="G536" s="83"/>
      <c r="H536" s="69" t="str">
        <f t="shared" si="275"/>
        <v>Lacine7_20171116_17_00</v>
      </c>
      <c r="I536" s="70">
        <f t="shared" si="277"/>
        <v>1</v>
      </c>
      <c r="J536" s="77" t="str">
        <f t="shared" si="277"/>
        <v>Lactuca</v>
      </c>
      <c r="K536" s="77" t="str">
        <f t="shared" si="277"/>
        <v>inermis</v>
      </c>
      <c r="L536" s="78">
        <f t="shared" si="277"/>
        <v>7</v>
      </c>
      <c r="M536" s="78">
        <f t="shared" si="277"/>
        <v>0</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2017</v>
      </c>
      <c r="B537" s="73" t="str">
        <f t="shared" si="251"/>
        <v>Nov</v>
      </c>
      <c r="C537" s="74">
        <f t="shared" si="274"/>
        <v>16</v>
      </c>
      <c r="D537" s="75">
        <f t="shared" si="252"/>
        <v>17</v>
      </c>
      <c r="E537" s="76">
        <f t="shared" si="253"/>
        <v>12</v>
      </c>
      <c r="F537" s="80"/>
      <c r="G537" s="83"/>
      <c r="H537" s="69" t="str">
        <f t="shared" si="275"/>
        <v>Lacine7_20171116_17_00</v>
      </c>
      <c r="I537" s="70">
        <f t="shared" si="277"/>
        <v>1</v>
      </c>
      <c r="J537" s="77" t="str">
        <f t="shared" si="277"/>
        <v>Lactuca</v>
      </c>
      <c r="K537" s="77" t="str">
        <f t="shared" si="277"/>
        <v>inermis</v>
      </c>
      <c r="L537" s="78">
        <f t="shared" si="277"/>
        <v>7</v>
      </c>
      <c r="M537" s="78">
        <f t="shared" si="277"/>
        <v>0</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2017</v>
      </c>
      <c r="B538" s="73" t="str">
        <f t="shared" si="251"/>
        <v>Nov</v>
      </c>
      <c r="C538" s="74">
        <f t="shared" si="274"/>
        <v>16</v>
      </c>
      <c r="D538" s="75">
        <f t="shared" si="252"/>
        <v>17</v>
      </c>
      <c r="E538" s="76">
        <f t="shared" si="253"/>
        <v>13</v>
      </c>
      <c r="F538" s="80"/>
      <c r="G538" s="83"/>
      <c r="H538" s="69" t="str">
        <f t="shared" si="275"/>
        <v>Lacine7_20171116_17_00</v>
      </c>
      <c r="I538" s="70">
        <f t="shared" si="277"/>
        <v>1</v>
      </c>
      <c r="J538" s="77" t="str">
        <f t="shared" si="277"/>
        <v>Lactuca</v>
      </c>
      <c r="K538" s="77" t="str">
        <f t="shared" si="277"/>
        <v>inermis</v>
      </c>
      <c r="L538" s="78">
        <f t="shared" si="277"/>
        <v>7</v>
      </c>
      <c r="M538" s="78">
        <f t="shared" si="277"/>
        <v>0</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2017</v>
      </c>
      <c r="B539" s="73" t="str">
        <f t="shared" si="251"/>
        <v>Nov</v>
      </c>
      <c r="C539" s="74">
        <f t="shared" si="274"/>
        <v>16</v>
      </c>
      <c r="D539" s="75">
        <f t="shared" si="252"/>
        <v>17</v>
      </c>
      <c r="E539" s="76">
        <f t="shared" si="253"/>
        <v>14</v>
      </c>
      <c r="F539" s="80"/>
      <c r="G539" s="83"/>
      <c r="H539" s="69" t="str">
        <f t="shared" si="275"/>
        <v>Lacine7_20171116_17_00</v>
      </c>
      <c r="I539" s="70">
        <f t="shared" si="277"/>
        <v>1</v>
      </c>
      <c r="J539" s="77" t="str">
        <f t="shared" si="277"/>
        <v>Lactuca</v>
      </c>
      <c r="K539" s="77" t="str">
        <f t="shared" si="277"/>
        <v>inermis</v>
      </c>
      <c r="L539" s="78">
        <f t="shared" si="277"/>
        <v>7</v>
      </c>
      <c r="M539" s="78">
        <f t="shared" si="277"/>
        <v>0</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2017</v>
      </c>
      <c r="B540" s="73" t="str">
        <f t="shared" si="251"/>
        <v>Nov</v>
      </c>
      <c r="C540" s="74">
        <f t="shared" si="274"/>
        <v>16</v>
      </c>
      <c r="D540" s="75">
        <f t="shared" si="252"/>
        <v>17</v>
      </c>
      <c r="E540" s="76">
        <f t="shared" si="253"/>
        <v>15</v>
      </c>
      <c r="F540" s="80"/>
      <c r="G540" s="83"/>
      <c r="H540" s="69" t="str">
        <f t="shared" si="275"/>
        <v>Lacine7_20171116_17_00</v>
      </c>
      <c r="I540" s="70">
        <f t="shared" si="277"/>
        <v>1</v>
      </c>
      <c r="J540" s="77" t="str">
        <f t="shared" si="277"/>
        <v>Lactuca</v>
      </c>
      <c r="K540" s="77" t="str">
        <f t="shared" si="277"/>
        <v>inermis</v>
      </c>
      <c r="L540" s="78">
        <f t="shared" si="277"/>
        <v>7</v>
      </c>
      <c r="M540" s="78">
        <f t="shared" si="277"/>
        <v>0</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2017</v>
      </c>
      <c r="B541" s="73" t="str">
        <f t="shared" si="251"/>
        <v>Nov</v>
      </c>
      <c r="C541" s="74">
        <f t="shared" si="274"/>
        <v>16</v>
      </c>
      <c r="D541" s="75">
        <f t="shared" si="252"/>
        <v>17</v>
      </c>
      <c r="E541" s="76">
        <f t="shared" si="253"/>
        <v>16</v>
      </c>
      <c r="F541" s="80"/>
      <c r="G541" s="83"/>
      <c r="H541" s="69" t="str">
        <f t="shared" si="275"/>
        <v>Lacine7_20171116_17_00</v>
      </c>
      <c r="I541" s="70">
        <f t="shared" si="277"/>
        <v>1</v>
      </c>
      <c r="J541" s="77" t="str">
        <f t="shared" si="277"/>
        <v>Lactuca</v>
      </c>
      <c r="K541" s="77" t="str">
        <f t="shared" si="277"/>
        <v>inermis</v>
      </c>
      <c r="L541" s="78">
        <f t="shared" si="277"/>
        <v>7</v>
      </c>
      <c r="M541" s="78">
        <f t="shared" si="277"/>
        <v>0</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2017</v>
      </c>
      <c r="B542" s="73" t="str">
        <f t="shared" si="251"/>
        <v>Nov</v>
      </c>
      <c r="C542" s="74">
        <f t="shared" si="274"/>
        <v>16</v>
      </c>
      <c r="D542" s="75">
        <f t="shared" si="252"/>
        <v>17</v>
      </c>
      <c r="E542" s="76">
        <f t="shared" si="253"/>
        <v>17</v>
      </c>
      <c r="F542" s="80"/>
      <c r="G542" s="83"/>
      <c r="H542" s="69" t="str">
        <f t="shared" si="275"/>
        <v>Lacine7_20171116_17_00</v>
      </c>
      <c r="I542" s="70">
        <f t="shared" si="277"/>
        <v>1</v>
      </c>
      <c r="J542" s="77" t="str">
        <f t="shared" si="277"/>
        <v>Lactuca</v>
      </c>
      <c r="K542" s="77" t="str">
        <f t="shared" si="277"/>
        <v>inermis</v>
      </c>
      <c r="L542" s="78">
        <f t="shared" si="277"/>
        <v>7</v>
      </c>
      <c r="M542" s="78">
        <f t="shared" si="277"/>
        <v>0</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2017</v>
      </c>
      <c r="B543" s="73" t="str">
        <f t="shared" si="251"/>
        <v>Nov</v>
      </c>
      <c r="C543" s="74">
        <f t="shared" si="274"/>
        <v>16</v>
      </c>
      <c r="D543" s="75">
        <f t="shared" si="252"/>
        <v>17</v>
      </c>
      <c r="E543" s="76">
        <f t="shared" si="253"/>
        <v>18</v>
      </c>
      <c r="F543" s="80"/>
      <c r="G543" s="83"/>
      <c r="H543" s="69" t="str">
        <f t="shared" si="275"/>
        <v>Lacine7_20171116_17_00</v>
      </c>
      <c r="I543" s="70">
        <f t="shared" si="277"/>
        <v>1</v>
      </c>
      <c r="J543" s="77" t="str">
        <f t="shared" si="277"/>
        <v>Lactuca</v>
      </c>
      <c r="K543" s="77" t="str">
        <f t="shared" si="277"/>
        <v>inermis</v>
      </c>
      <c r="L543" s="78">
        <f t="shared" si="277"/>
        <v>7</v>
      </c>
      <c r="M543" s="78">
        <f t="shared" si="277"/>
        <v>0</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2017</v>
      </c>
      <c r="B544" s="73" t="str">
        <f t="shared" si="251"/>
        <v>Nov</v>
      </c>
      <c r="C544" s="74">
        <f t="shared" si="274"/>
        <v>16</v>
      </c>
      <c r="D544" s="75">
        <f t="shared" si="252"/>
        <v>17</v>
      </c>
      <c r="E544" s="76">
        <f t="shared" si="253"/>
        <v>19</v>
      </c>
      <c r="F544" s="80"/>
      <c r="G544" s="83"/>
      <c r="H544" s="69" t="str">
        <f t="shared" si="275"/>
        <v>Lacine7_20171116_17_00</v>
      </c>
      <c r="I544" s="70">
        <f t="shared" si="277"/>
        <v>1</v>
      </c>
      <c r="J544" s="77" t="str">
        <f t="shared" si="277"/>
        <v>Lactuca</v>
      </c>
      <c r="K544" s="77" t="str">
        <f t="shared" si="277"/>
        <v>inermis</v>
      </c>
      <c r="L544" s="78">
        <f t="shared" si="277"/>
        <v>7</v>
      </c>
      <c r="M544" s="78">
        <f t="shared" si="277"/>
        <v>0</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2017</v>
      </c>
      <c r="B545" s="73" t="str">
        <f t="shared" si="251"/>
        <v>Nov</v>
      </c>
      <c r="C545" s="74">
        <f t="shared" si="274"/>
        <v>16</v>
      </c>
      <c r="D545" s="75">
        <f t="shared" si="252"/>
        <v>17</v>
      </c>
      <c r="E545" s="76">
        <f t="shared" si="253"/>
        <v>20</v>
      </c>
      <c r="F545" s="80"/>
      <c r="G545" s="83"/>
      <c r="H545" s="69" t="str">
        <f t="shared" si="275"/>
        <v>Lacine7_20171116_17_00</v>
      </c>
      <c r="I545" s="70">
        <f t="shared" si="277"/>
        <v>1</v>
      </c>
      <c r="J545" s="77" t="str">
        <f t="shared" si="277"/>
        <v>Lactuca</v>
      </c>
      <c r="K545" s="77" t="str">
        <f t="shared" si="277"/>
        <v>inermis</v>
      </c>
      <c r="L545" s="78">
        <f t="shared" si="277"/>
        <v>7</v>
      </c>
      <c r="M545" s="78">
        <f t="shared" si="277"/>
        <v>0</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2017</v>
      </c>
      <c r="B546" s="73" t="str">
        <f t="shared" si="251"/>
        <v>Nov</v>
      </c>
      <c r="C546" s="74">
        <f t="shared" si="274"/>
        <v>16</v>
      </c>
      <c r="D546" s="75">
        <f t="shared" si="252"/>
        <v>17</v>
      </c>
      <c r="E546" s="76">
        <f t="shared" si="253"/>
        <v>21</v>
      </c>
      <c r="F546" s="80"/>
      <c r="G546" s="83"/>
      <c r="H546" s="69" t="str">
        <f t="shared" si="275"/>
        <v>Lacine7_20171116_17_00</v>
      </c>
      <c r="I546" s="70">
        <f t="shared" si="277"/>
        <v>1</v>
      </c>
      <c r="J546" s="77" t="str">
        <f t="shared" si="277"/>
        <v>Lactuca</v>
      </c>
      <c r="K546" s="77" t="str">
        <f t="shared" si="277"/>
        <v>inermis</v>
      </c>
      <c r="L546" s="78">
        <f t="shared" si="277"/>
        <v>7</v>
      </c>
      <c r="M546" s="78">
        <f t="shared" si="277"/>
        <v>0</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2017</v>
      </c>
      <c r="B547" s="73" t="str">
        <f t="shared" si="251"/>
        <v>Nov</v>
      </c>
      <c r="C547" s="74">
        <f t="shared" si="274"/>
        <v>16</v>
      </c>
      <c r="D547" s="75">
        <f t="shared" si="252"/>
        <v>17</v>
      </c>
      <c r="E547" s="76">
        <f t="shared" si="253"/>
        <v>22</v>
      </c>
      <c r="F547" s="80"/>
      <c r="G547" s="83"/>
      <c r="H547" s="69" t="str">
        <f t="shared" si="275"/>
        <v>Lacine7_20171116_17_00</v>
      </c>
      <c r="I547" s="70">
        <f t="shared" si="277"/>
        <v>1</v>
      </c>
      <c r="J547" s="77" t="str">
        <f t="shared" si="277"/>
        <v>Lactuca</v>
      </c>
      <c r="K547" s="77" t="str">
        <f t="shared" si="277"/>
        <v>inermis</v>
      </c>
      <c r="L547" s="78">
        <f t="shared" si="277"/>
        <v>7</v>
      </c>
      <c r="M547" s="78">
        <f t="shared" si="277"/>
        <v>0</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2017</v>
      </c>
      <c r="B548" s="73" t="str">
        <f t="shared" si="251"/>
        <v>Nov</v>
      </c>
      <c r="C548" s="74">
        <f t="shared" si="274"/>
        <v>16</v>
      </c>
      <c r="D548" s="75">
        <f t="shared" si="252"/>
        <v>17</v>
      </c>
      <c r="E548" s="76">
        <f t="shared" si="253"/>
        <v>23</v>
      </c>
      <c r="F548" s="80"/>
      <c r="G548" s="83"/>
      <c r="H548" s="69" t="str">
        <f t="shared" si="275"/>
        <v>Lacine7_20171116_17_00</v>
      </c>
      <c r="I548" s="70">
        <f t="shared" si="277"/>
        <v>1</v>
      </c>
      <c r="J548" s="77" t="str">
        <f t="shared" si="277"/>
        <v>Lactuca</v>
      </c>
      <c r="K548" s="77" t="str">
        <f t="shared" si="277"/>
        <v>inermis</v>
      </c>
      <c r="L548" s="78">
        <f t="shared" si="277"/>
        <v>7</v>
      </c>
      <c r="M548" s="78">
        <f t="shared" si="277"/>
        <v>0</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2017</v>
      </c>
      <c r="B549" s="73" t="str">
        <f t="shared" si="251"/>
        <v>Nov</v>
      </c>
      <c r="C549" s="74">
        <f t="shared" si="274"/>
        <v>16</v>
      </c>
      <c r="D549" s="75">
        <f t="shared" si="252"/>
        <v>17</v>
      </c>
      <c r="E549" s="76">
        <f t="shared" si="253"/>
        <v>24</v>
      </c>
      <c r="F549" s="80"/>
      <c r="G549" s="83"/>
      <c r="H549" s="69" t="str">
        <f t="shared" si="275"/>
        <v>Lacine7_20171116_17_00</v>
      </c>
      <c r="I549" s="70">
        <f t="shared" ref="I549:N564" si="278">I548</f>
        <v>1</v>
      </c>
      <c r="J549" s="77" t="str">
        <f t="shared" si="278"/>
        <v>Lactuca</v>
      </c>
      <c r="K549" s="77" t="str">
        <f t="shared" si="278"/>
        <v>inermis</v>
      </c>
      <c r="L549" s="78">
        <f t="shared" si="278"/>
        <v>7</v>
      </c>
      <c r="M549" s="78">
        <f t="shared" si="278"/>
        <v>0</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2017</v>
      </c>
      <c r="B550" s="73" t="str">
        <f t="shared" si="251"/>
        <v>Nov</v>
      </c>
      <c r="C550" s="74">
        <f t="shared" si="274"/>
        <v>16</v>
      </c>
      <c r="D550" s="75">
        <f t="shared" si="252"/>
        <v>17</v>
      </c>
      <c r="E550" s="76">
        <f t="shared" si="253"/>
        <v>25</v>
      </c>
      <c r="F550" s="80"/>
      <c r="G550" s="83"/>
      <c r="H550" s="69" t="str">
        <f t="shared" si="275"/>
        <v>Lacine7_20171116_17_00</v>
      </c>
      <c r="I550" s="70">
        <f t="shared" si="278"/>
        <v>1</v>
      </c>
      <c r="J550" s="77" t="str">
        <f t="shared" si="278"/>
        <v>Lactuca</v>
      </c>
      <c r="K550" s="77" t="str">
        <f t="shared" si="278"/>
        <v>inermis</v>
      </c>
      <c r="L550" s="78">
        <f t="shared" si="278"/>
        <v>7</v>
      </c>
      <c r="M550" s="78">
        <f t="shared" si="278"/>
        <v>0</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2017</v>
      </c>
      <c r="B551" s="73" t="str">
        <f t="shared" si="251"/>
        <v>Nov</v>
      </c>
      <c r="C551" s="74">
        <f t="shared" si="274"/>
        <v>16</v>
      </c>
      <c r="D551" s="75">
        <f t="shared" si="252"/>
        <v>17</v>
      </c>
      <c r="E551" s="76">
        <f t="shared" si="253"/>
        <v>26</v>
      </c>
      <c r="F551" s="80"/>
      <c r="G551" s="83"/>
      <c r="H551" s="69" t="str">
        <f t="shared" si="275"/>
        <v>Lacine7_20171116_17_00</v>
      </c>
      <c r="I551" s="70">
        <f t="shared" si="278"/>
        <v>1</v>
      </c>
      <c r="J551" s="77" t="str">
        <f t="shared" si="278"/>
        <v>Lactuca</v>
      </c>
      <c r="K551" s="77" t="str">
        <f t="shared" si="278"/>
        <v>inermis</v>
      </c>
      <c r="L551" s="78">
        <f t="shared" si="278"/>
        <v>7</v>
      </c>
      <c r="M551" s="78">
        <f t="shared" si="278"/>
        <v>0</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2017</v>
      </c>
      <c r="B552" s="73" t="str">
        <f t="shared" si="251"/>
        <v>Nov</v>
      </c>
      <c r="C552" s="74">
        <f t="shared" si="274"/>
        <v>16</v>
      </c>
      <c r="D552" s="75">
        <f t="shared" si="252"/>
        <v>17</v>
      </c>
      <c r="E552" s="76">
        <f t="shared" si="253"/>
        <v>27</v>
      </c>
      <c r="F552" s="80"/>
      <c r="G552" s="83"/>
      <c r="H552" s="69" t="str">
        <f t="shared" si="275"/>
        <v>Lacine7_20171116_17_00</v>
      </c>
      <c r="I552" s="70">
        <f t="shared" si="278"/>
        <v>1</v>
      </c>
      <c r="J552" s="77" t="str">
        <f t="shared" si="278"/>
        <v>Lactuca</v>
      </c>
      <c r="K552" s="77" t="str">
        <f t="shared" si="278"/>
        <v>inermis</v>
      </c>
      <c r="L552" s="78">
        <f t="shared" si="278"/>
        <v>7</v>
      </c>
      <c r="M552" s="78">
        <f t="shared" si="278"/>
        <v>0</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2017</v>
      </c>
      <c r="B553" s="73" t="str">
        <f t="shared" si="251"/>
        <v>Nov</v>
      </c>
      <c r="C553" s="74">
        <f t="shared" si="274"/>
        <v>16</v>
      </c>
      <c r="D553" s="75">
        <f t="shared" si="252"/>
        <v>17</v>
      </c>
      <c r="E553" s="76">
        <f t="shared" si="253"/>
        <v>28</v>
      </c>
      <c r="F553" s="80"/>
      <c r="G553" s="83"/>
      <c r="H553" s="69" t="str">
        <f t="shared" si="275"/>
        <v>Lacine7_20171116_17_00</v>
      </c>
      <c r="I553" s="70">
        <f t="shared" si="278"/>
        <v>1</v>
      </c>
      <c r="J553" s="77" t="str">
        <f t="shared" si="278"/>
        <v>Lactuca</v>
      </c>
      <c r="K553" s="77" t="str">
        <f t="shared" si="278"/>
        <v>inermis</v>
      </c>
      <c r="L553" s="78">
        <f t="shared" si="278"/>
        <v>7</v>
      </c>
      <c r="M553" s="78">
        <f t="shared" si="278"/>
        <v>0</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2017</v>
      </c>
      <c r="B554" s="73" t="str">
        <f t="shared" si="251"/>
        <v>Nov</v>
      </c>
      <c r="C554" s="74">
        <f t="shared" si="274"/>
        <v>16</v>
      </c>
      <c r="D554" s="75">
        <f t="shared" si="252"/>
        <v>17</v>
      </c>
      <c r="E554" s="76">
        <f t="shared" si="253"/>
        <v>29</v>
      </c>
      <c r="F554" s="80"/>
      <c r="G554" s="83"/>
      <c r="H554" s="69" t="str">
        <f t="shared" si="275"/>
        <v>Lacine7_20171116_17_00</v>
      </c>
      <c r="I554" s="70">
        <f t="shared" si="278"/>
        <v>1</v>
      </c>
      <c r="J554" s="77" t="str">
        <f t="shared" si="278"/>
        <v>Lactuca</v>
      </c>
      <c r="K554" s="77" t="str">
        <f t="shared" si="278"/>
        <v>inermis</v>
      </c>
      <c r="L554" s="78">
        <f t="shared" si="278"/>
        <v>7</v>
      </c>
      <c r="M554" s="78">
        <f t="shared" si="278"/>
        <v>0</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2017</v>
      </c>
      <c r="B555" s="73" t="str">
        <f t="shared" si="251"/>
        <v>Nov</v>
      </c>
      <c r="C555" s="74">
        <f t="shared" si="274"/>
        <v>16</v>
      </c>
      <c r="D555" s="75">
        <f t="shared" si="252"/>
        <v>17</v>
      </c>
      <c r="E555" s="76">
        <f t="shared" si="253"/>
        <v>30</v>
      </c>
      <c r="F555" s="80"/>
      <c r="G555" s="83"/>
      <c r="H555" s="69" t="str">
        <f t="shared" si="275"/>
        <v>Lacine7_20171116_17_00</v>
      </c>
      <c r="I555" s="70">
        <f t="shared" si="278"/>
        <v>1</v>
      </c>
      <c r="J555" s="77" t="str">
        <f t="shared" si="278"/>
        <v>Lactuca</v>
      </c>
      <c r="K555" s="77" t="str">
        <f t="shared" si="278"/>
        <v>inermis</v>
      </c>
      <c r="L555" s="78">
        <f t="shared" si="278"/>
        <v>7</v>
      </c>
      <c r="M555" s="78">
        <f t="shared" si="278"/>
        <v>0</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2017</v>
      </c>
      <c r="B556" s="73" t="str">
        <f t="shared" si="251"/>
        <v>Nov</v>
      </c>
      <c r="C556" s="74">
        <f t="shared" si="274"/>
        <v>16</v>
      </c>
      <c r="D556" s="75">
        <f t="shared" si="252"/>
        <v>17</v>
      </c>
      <c r="E556" s="76">
        <f t="shared" si="253"/>
        <v>31</v>
      </c>
      <c r="F556" s="80"/>
      <c r="G556" s="83"/>
      <c r="H556" s="69" t="str">
        <f t="shared" si="275"/>
        <v>Lacine7_20171116_17_00</v>
      </c>
      <c r="I556" s="70">
        <f t="shared" si="278"/>
        <v>1</v>
      </c>
      <c r="J556" s="77" t="str">
        <f t="shared" si="278"/>
        <v>Lactuca</v>
      </c>
      <c r="K556" s="77" t="str">
        <f t="shared" si="278"/>
        <v>inermis</v>
      </c>
      <c r="L556" s="78">
        <f t="shared" si="278"/>
        <v>7</v>
      </c>
      <c r="M556" s="78">
        <f t="shared" si="278"/>
        <v>0</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2017</v>
      </c>
      <c r="B557" s="73" t="str">
        <f t="shared" si="251"/>
        <v>Nov</v>
      </c>
      <c r="C557" s="74">
        <f t="shared" si="274"/>
        <v>16</v>
      </c>
      <c r="D557" s="75">
        <f t="shared" si="252"/>
        <v>17</v>
      </c>
      <c r="E557" s="76">
        <f t="shared" si="253"/>
        <v>32</v>
      </c>
      <c r="F557" s="80"/>
      <c r="G557" s="83"/>
      <c r="H557" s="69" t="str">
        <f t="shared" si="275"/>
        <v>Lacine7_20171116_17_00</v>
      </c>
      <c r="I557" s="70">
        <f t="shared" si="278"/>
        <v>1</v>
      </c>
      <c r="J557" s="77" t="str">
        <f t="shared" si="278"/>
        <v>Lactuca</v>
      </c>
      <c r="K557" s="77" t="str">
        <f t="shared" si="278"/>
        <v>inermis</v>
      </c>
      <c r="L557" s="78">
        <f t="shared" si="278"/>
        <v>7</v>
      </c>
      <c r="M557" s="78">
        <f t="shared" si="278"/>
        <v>0</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2017</v>
      </c>
      <c r="B558" s="73" t="str">
        <f t="shared" si="251"/>
        <v>Nov</v>
      </c>
      <c r="C558" s="74">
        <f t="shared" si="274"/>
        <v>16</v>
      </c>
      <c r="D558" s="75">
        <f t="shared" si="252"/>
        <v>17</v>
      </c>
      <c r="E558" s="76">
        <f t="shared" si="253"/>
        <v>33</v>
      </c>
      <c r="F558" s="80"/>
      <c r="G558" s="83"/>
      <c r="H558" s="69" t="str">
        <f t="shared" si="275"/>
        <v>Lacine7_20171116_17_00</v>
      </c>
      <c r="I558" s="70">
        <f t="shared" si="278"/>
        <v>1</v>
      </c>
      <c r="J558" s="77" t="str">
        <f t="shared" si="278"/>
        <v>Lactuca</v>
      </c>
      <c r="K558" s="77" t="str">
        <f t="shared" si="278"/>
        <v>inermis</v>
      </c>
      <c r="L558" s="78">
        <f t="shared" si="278"/>
        <v>7</v>
      </c>
      <c r="M558" s="78">
        <f t="shared" si="278"/>
        <v>0</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2017</v>
      </c>
      <c r="B559" s="73" t="str">
        <f t="shared" si="251"/>
        <v>Nov</v>
      </c>
      <c r="C559" s="74">
        <f t="shared" si="274"/>
        <v>16</v>
      </c>
      <c r="D559" s="75">
        <f t="shared" si="252"/>
        <v>17</v>
      </c>
      <c r="E559" s="76">
        <f t="shared" si="253"/>
        <v>34</v>
      </c>
      <c r="F559" s="80"/>
      <c r="G559" s="83"/>
      <c r="H559" s="69" t="str">
        <f t="shared" si="275"/>
        <v>Lacine7_20171116_17_00</v>
      </c>
      <c r="I559" s="70">
        <f t="shared" si="278"/>
        <v>1</v>
      </c>
      <c r="J559" s="77" t="str">
        <f t="shared" si="278"/>
        <v>Lactuca</v>
      </c>
      <c r="K559" s="77" t="str">
        <f t="shared" si="278"/>
        <v>inermis</v>
      </c>
      <c r="L559" s="78">
        <f t="shared" si="278"/>
        <v>7</v>
      </c>
      <c r="M559" s="78">
        <f t="shared" si="278"/>
        <v>0</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2017</v>
      </c>
      <c r="B560" s="73" t="str">
        <f t="shared" si="251"/>
        <v>Nov</v>
      </c>
      <c r="C560" s="74">
        <f t="shared" si="274"/>
        <v>16</v>
      </c>
      <c r="D560" s="75">
        <f t="shared" si="252"/>
        <v>17</v>
      </c>
      <c r="E560" s="76">
        <f t="shared" si="253"/>
        <v>35</v>
      </c>
      <c r="F560" s="80"/>
      <c r="G560" s="83"/>
      <c r="H560" s="69" t="str">
        <f t="shared" si="275"/>
        <v>Lacine7_20171116_17_00</v>
      </c>
      <c r="I560" s="70">
        <f t="shared" si="278"/>
        <v>1</v>
      </c>
      <c r="J560" s="77" t="str">
        <f t="shared" si="278"/>
        <v>Lactuca</v>
      </c>
      <c r="K560" s="77" t="str">
        <f t="shared" si="278"/>
        <v>inermis</v>
      </c>
      <c r="L560" s="78">
        <f t="shared" si="278"/>
        <v>7</v>
      </c>
      <c r="M560" s="78">
        <f t="shared" si="278"/>
        <v>0</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2017</v>
      </c>
      <c r="B561" s="73" t="str">
        <f t="shared" si="251"/>
        <v>Nov</v>
      </c>
      <c r="C561" s="74">
        <f t="shared" si="274"/>
        <v>16</v>
      </c>
      <c r="D561" s="75">
        <f t="shared" si="252"/>
        <v>17</v>
      </c>
      <c r="E561" s="76">
        <f t="shared" si="253"/>
        <v>36</v>
      </c>
      <c r="F561" s="80"/>
      <c r="G561" s="83"/>
      <c r="H561" s="69" t="str">
        <f t="shared" si="275"/>
        <v>Lacine7_20171116_17_00</v>
      </c>
      <c r="I561" s="70">
        <f t="shared" si="278"/>
        <v>1</v>
      </c>
      <c r="J561" s="77" t="str">
        <f t="shared" si="278"/>
        <v>Lactuca</v>
      </c>
      <c r="K561" s="77" t="str">
        <f t="shared" si="278"/>
        <v>inermis</v>
      </c>
      <c r="L561" s="78">
        <f t="shared" si="278"/>
        <v>7</v>
      </c>
      <c r="M561" s="78">
        <f t="shared" si="278"/>
        <v>0</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2017</v>
      </c>
      <c r="B562" s="73" t="str">
        <f t="shared" si="251"/>
        <v>Nov</v>
      </c>
      <c r="C562" s="74">
        <f t="shared" si="274"/>
        <v>16</v>
      </c>
      <c r="D562" s="75">
        <f t="shared" si="252"/>
        <v>17</v>
      </c>
      <c r="E562" s="76">
        <f t="shared" si="253"/>
        <v>37</v>
      </c>
      <c r="F562" s="80"/>
      <c r="G562" s="83"/>
      <c r="H562" s="69" t="str">
        <f t="shared" si="275"/>
        <v>Lacine7_20171116_17_00</v>
      </c>
      <c r="I562" s="70">
        <f t="shared" si="278"/>
        <v>1</v>
      </c>
      <c r="J562" s="77" t="str">
        <f t="shared" si="278"/>
        <v>Lactuca</v>
      </c>
      <c r="K562" s="77" t="str">
        <f t="shared" si="278"/>
        <v>inermis</v>
      </c>
      <c r="L562" s="78">
        <f t="shared" si="278"/>
        <v>7</v>
      </c>
      <c r="M562" s="78">
        <f t="shared" si="278"/>
        <v>0</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2017</v>
      </c>
      <c r="B563" s="73" t="str">
        <f t="shared" si="251"/>
        <v>Nov</v>
      </c>
      <c r="C563" s="74">
        <f t="shared" si="274"/>
        <v>16</v>
      </c>
      <c r="D563" s="75">
        <f t="shared" si="252"/>
        <v>17</v>
      </c>
      <c r="E563" s="76">
        <f t="shared" si="253"/>
        <v>38</v>
      </c>
      <c r="F563" s="80"/>
      <c r="G563" s="83"/>
      <c r="H563" s="69" t="str">
        <f t="shared" si="275"/>
        <v>Lacine7_20171116_17_00</v>
      </c>
      <c r="I563" s="70">
        <f t="shared" si="278"/>
        <v>1</v>
      </c>
      <c r="J563" s="77" t="str">
        <f t="shared" si="278"/>
        <v>Lactuca</v>
      </c>
      <c r="K563" s="77" t="str">
        <f t="shared" si="278"/>
        <v>inermis</v>
      </c>
      <c r="L563" s="78">
        <f t="shared" si="278"/>
        <v>7</v>
      </c>
      <c r="M563" s="78">
        <f t="shared" si="278"/>
        <v>0</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2017</v>
      </c>
      <c r="B564" s="73" t="str">
        <f t="shared" si="251"/>
        <v>Nov</v>
      </c>
      <c r="C564" s="74">
        <f t="shared" si="274"/>
        <v>16</v>
      </c>
      <c r="D564" s="75">
        <f t="shared" si="252"/>
        <v>17</v>
      </c>
      <c r="E564" s="76">
        <f t="shared" si="253"/>
        <v>39</v>
      </c>
      <c r="F564" s="80"/>
      <c r="G564" s="83"/>
      <c r="H564" s="69" t="str">
        <f t="shared" si="275"/>
        <v>Lacine7_20171116_17_00</v>
      </c>
      <c r="I564" s="70">
        <f t="shared" si="278"/>
        <v>1</v>
      </c>
      <c r="J564" s="77" t="str">
        <f t="shared" si="278"/>
        <v>Lactuca</v>
      </c>
      <c r="K564" s="77" t="str">
        <f t="shared" si="278"/>
        <v>inermis</v>
      </c>
      <c r="L564" s="78">
        <f t="shared" si="278"/>
        <v>7</v>
      </c>
      <c r="M564" s="78">
        <f t="shared" si="278"/>
        <v>0</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2017</v>
      </c>
      <c r="B565" s="73" t="str">
        <f t="shared" si="251"/>
        <v>Nov</v>
      </c>
      <c r="C565" s="74">
        <f t="shared" si="274"/>
        <v>16</v>
      </c>
      <c r="D565" s="75">
        <f t="shared" si="252"/>
        <v>17</v>
      </c>
      <c r="E565" s="76">
        <f t="shared" si="253"/>
        <v>40</v>
      </c>
      <c r="F565" s="80"/>
      <c r="G565" s="83"/>
      <c r="H565" s="69" t="str">
        <f t="shared" si="275"/>
        <v>Lacine7_20171116_17_00</v>
      </c>
      <c r="I565" s="70">
        <f t="shared" ref="I565:N580" si="279">I564</f>
        <v>1</v>
      </c>
      <c r="J565" s="77" t="str">
        <f t="shared" si="279"/>
        <v>Lactuca</v>
      </c>
      <c r="K565" s="77" t="str">
        <f t="shared" si="279"/>
        <v>inermis</v>
      </c>
      <c r="L565" s="78">
        <f t="shared" si="279"/>
        <v>7</v>
      </c>
      <c r="M565" s="78">
        <f t="shared" si="279"/>
        <v>0</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2017</v>
      </c>
      <c r="B566" s="73" t="str">
        <f t="shared" si="251"/>
        <v>Nov</v>
      </c>
      <c r="C566" s="74">
        <f t="shared" si="274"/>
        <v>16</v>
      </c>
      <c r="D566" s="75">
        <f t="shared" si="252"/>
        <v>17</v>
      </c>
      <c r="E566" s="76">
        <f t="shared" si="253"/>
        <v>41</v>
      </c>
      <c r="F566" s="80"/>
      <c r="G566" s="83"/>
      <c r="H566" s="69" t="str">
        <f t="shared" si="275"/>
        <v>Lacine7_20171116_17_00</v>
      </c>
      <c r="I566" s="70">
        <f t="shared" si="279"/>
        <v>1</v>
      </c>
      <c r="J566" s="77" t="str">
        <f t="shared" si="279"/>
        <v>Lactuca</v>
      </c>
      <c r="K566" s="77" t="str">
        <f t="shared" si="279"/>
        <v>inermis</v>
      </c>
      <c r="L566" s="78">
        <f t="shared" si="279"/>
        <v>7</v>
      </c>
      <c r="M566" s="78">
        <f t="shared" si="279"/>
        <v>0</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2017</v>
      </c>
      <c r="B567" s="73" t="str">
        <f t="shared" si="251"/>
        <v>Nov</v>
      </c>
      <c r="C567" s="74">
        <f t="shared" si="274"/>
        <v>16</v>
      </c>
      <c r="D567" s="75">
        <f t="shared" si="252"/>
        <v>17</v>
      </c>
      <c r="E567" s="76">
        <f t="shared" si="253"/>
        <v>42</v>
      </c>
      <c r="F567" s="80"/>
      <c r="G567" s="83"/>
      <c r="H567" s="69" t="str">
        <f t="shared" si="275"/>
        <v>Lacine7_20171116_17_00</v>
      </c>
      <c r="I567" s="70">
        <f t="shared" si="279"/>
        <v>1</v>
      </c>
      <c r="J567" s="77" t="str">
        <f t="shared" si="279"/>
        <v>Lactuca</v>
      </c>
      <c r="K567" s="77" t="str">
        <f t="shared" si="279"/>
        <v>inermis</v>
      </c>
      <c r="L567" s="78">
        <f t="shared" si="279"/>
        <v>7</v>
      </c>
      <c r="M567" s="78">
        <f t="shared" si="279"/>
        <v>0</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2017</v>
      </c>
      <c r="B568" s="73" t="str">
        <f t="shared" si="251"/>
        <v>Nov</v>
      </c>
      <c r="C568" s="74">
        <f t="shared" si="274"/>
        <v>16</v>
      </c>
      <c r="D568" s="75">
        <f t="shared" si="252"/>
        <v>17</v>
      </c>
      <c r="E568" s="76">
        <f t="shared" si="253"/>
        <v>43</v>
      </c>
      <c r="F568" s="80"/>
      <c r="G568" s="83"/>
      <c r="H568" s="69" t="str">
        <f t="shared" si="275"/>
        <v>Lacine7_20171116_17_00</v>
      </c>
      <c r="I568" s="70">
        <f t="shared" si="279"/>
        <v>1</v>
      </c>
      <c r="J568" s="77" t="str">
        <f t="shared" si="279"/>
        <v>Lactuca</v>
      </c>
      <c r="K568" s="77" t="str">
        <f t="shared" si="279"/>
        <v>inermis</v>
      </c>
      <c r="L568" s="78">
        <f t="shared" si="279"/>
        <v>7</v>
      </c>
      <c r="M568" s="78">
        <f t="shared" si="279"/>
        <v>0</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2017</v>
      </c>
      <c r="B569" s="73" t="str">
        <f t="shared" si="251"/>
        <v>Nov</v>
      </c>
      <c r="C569" s="74">
        <f t="shared" si="274"/>
        <v>16</v>
      </c>
      <c r="D569" s="75">
        <f t="shared" si="252"/>
        <v>17</v>
      </c>
      <c r="E569" s="76">
        <f t="shared" si="253"/>
        <v>44</v>
      </c>
      <c r="F569" s="80"/>
      <c r="G569" s="83"/>
      <c r="H569" s="69" t="str">
        <f t="shared" si="275"/>
        <v>Lacine7_20171116_17_00</v>
      </c>
      <c r="I569" s="70">
        <f t="shared" si="279"/>
        <v>1</v>
      </c>
      <c r="J569" s="77" t="str">
        <f t="shared" si="279"/>
        <v>Lactuca</v>
      </c>
      <c r="K569" s="77" t="str">
        <f t="shared" si="279"/>
        <v>inermis</v>
      </c>
      <c r="L569" s="78">
        <f t="shared" si="279"/>
        <v>7</v>
      </c>
      <c r="M569" s="78">
        <f t="shared" si="279"/>
        <v>0</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2017</v>
      </c>
      <c r="B570" s="73" t="str">
        <f t="shared" si="251"/>
        <v>Nov</v>
      </c>
      <c r="C570" s="74">
        <f t="shared" si="274"/>
        <v>16</v>
      </c>
      <c r="D570" s="75">
        <f t="shared" si="252"/>
        <v>17</v>
      </c>
      <c r="E570" s="76">
        <f t="shared" si="253"/>
        <v>45</v>
      </c>
      <c r="F570" s="80"/>
      <c r="G570" s="83"/>
      <c r="H570" s="69" t="str">
        <f t="shared" si="275"/>
        <v>Lacine7_20171116_17_00</v>
      </c>
      <c r="I570" s="70">
        <f t="shared" si="279"/>
        <v>1</v>
      </c>
      <c r="J570" s="77" t="str">
        <f t="shared" si="279"/>
        <v>Lactuca</v>
      </c>
      <c r="K570" s="77" t="str">
        <f t="shared" si="279"/>
        <v>inermis</v>
      </c>
      <c r="L570" s="78">
        <f t="shared" si="279"/>
        <v>7</v>
      </c>
      <c r="M570" s="78">
        <f t="shared" si="279"/>
        <v>0</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2017</v>
      </c>
      <c r="B571" s="73" t="str">
        <f t="shared" si="251"/>
        <v>Nov</v>
      </c>
      <c r="C571" s="74">
        <f t="shared" si="274"/>
        <v>16</v>
      </c>
      <c r="D571" s="75">
        <f t="shared" si="252"/>
        <v>17</v>
      </c>
      <c r="E571" s="76">
        <f t="shared" si="253"/>
        <v>46</v>
      </c>
      <c r="F571" s="80"/>
      <c r="G571" s="83"/>
      <c r="H571" s="69" t="str">
        <f t="shared" si="275"/>
        <v>Lacine7_20171116_17_00</v>
      </c>
      <c r="I571" s="70">
        <f t="shared" si="279"/>
        <v>1</v>
      </c>
      <c r="J571" s="77" t="str">
        <f t="shared" si="279"/>
        <v>Lactuca</v>
      </c>
      <c r="K571" s="77" t="str">
        <f t="shared" si="279"/>
        <v>inermis</v>
      </c>
      <c r="L571" s="78">
        <f t="shared" si="279"/>
        <v>7</v>
      </c>
      <c r="M571" s="78">
        <f t="shared" si="279"/>
        <v>0</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2017</v>
      </c>
      <c r="B572" s="73" t="str">
        <f t="shared" si="251"/>
        <v>Nov</v>
      </c>
      <c r="C572" s="74">
        <f t="shared" si="274"/>
        <v>16</v>
      </c>
      <c r="D572" s="75">
        <f t="shared" si="252"/>
        <v>17</v>
      </c>
      <c r="E572" s="76">
        <f t="shared" si="253"/>
        <v>47</v>
      </c>
      <c r="F572" s="80"/>
      <c r="G572" s="83"/>
      <c r="H572" s="69" t="str">
        <f t="shared" si="275"/>
        <v>Lacine7_20171116_17_00</v>
      </c>
      <c r="I572" s="70">
        <f t="shared" si="279"/>
        <v>1</v>
      </c>
      <c r="J572" s="77" t="str">
        <f t="shared" si="279"/>
        <v>Lactuca</v>
      </c>
      <c r="K572" s="77" t="str">
        <f t="shared" si="279"/>
        <v>inermis</v>
      </c>
      <c r="L572" s="78">
        <f t="shared" si="279"/>
        <v>7</v>
      </c>
      <c r="M572" s="78">
        <f t="shared" si="279"/>
        <v>0</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2017</v>
      </c>
      <c r="B573" s="73" t="str">
        <f t="shared" si="251"/>
        <v>Nov</v>
      </c>
      <c r="C573" s="74">
        <f t="shared" si="274"/>
        <v>16</v>
      </c>
      <c r="D573" s="75">
        <f t="shared" si="252"/>
        <v>17</v>
      </c>
      <c r="E573" s="76">
        <f t="shared" si="253"/>
        <v>48</v>
      </c>
      <c r="F573" s="80"/>
      <c r="G573" s="83"/>
      <c r="H573" s="69" t="str">
        <f t="shared" si="275"/>
        <v>Lacine7_20171116_17_00</v>
      </c>
      <c r="I573" s="70">
        <f t="shared" si="279"/>
        <v>1</v>
      </c>
      <c r="J573" s="77" t="str">
        <f t="shared" si="279"/>
        <v>Lactuca</v>
      </c>
      <c r="K573" s="77" t="str">
        <f t="shared" si="279"/>
        <v>inermis</v>
      </c>
      <c r="L573" s="78">
        <f t="shared" si="279"/>
        <v>7</v>
      </c>
      <c r="M573" s="78">
        <f t="shared" si="279"/>
        <v>0</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2017</v>
      </c>
      <c r="B574" s="73" t="str">
        <f t="shared" si="251"/>
        <v>Nov</v>
      </c>
      <c r="C574" s="74">
        <f t="shared" si="274"/>
        <v>16</v>
      </c>
      <c r="D574" s="75">
        <f t="shared" si="252"/>
        <v>17</v>
      </c>
      <c r="E574" s="76">
        <f t="shared" si="253"/>
        <v>49</v>
      </c>
      <c r="F574" s="80"/>
      <c r="G574" s="83"/>
      <c r="H574" s="69" t="str">
        <f t="shared" si="275"/>
        <v>Lacine7_20171116_17_00</v>
      </c>
      <c r="I574" s="70">
        <f t="shared" si="279"/>
        <v>1</v>
      </c>
      <c r="J574" s="77" t="str">
        <f t="shared" si="279"/>
        <v>Lactuca</v>
      </c>
      <c r="K574" s="77" t="str">
        <f t="shared" si="279"/>
        <v>inermis</v>
      </c>
      <c r="L574" s="78">
        <f t="shared" si="279"/>
        <v>7</v>
      </c>
      <c r="M574" s="78">
        <f t="shared" si="279"/>
        <v>0</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2017</v>
      </c>
      <c r="B575" s="73" t="str">
        <f t="shared" si="251"/>
        <v>Nov</v>
      </c>
      <c r="C575" s="74">
        <f t="shared" si="274"/>
        <v>16</v>
      </c>
      <c r="D575" s="75">
        <f t="shared" si="252"/>
        <v>17</v>
      </c>
      <c r="E575" s="76">
        <f t="shared" si="253"/>
        <v>50</v>
      </c>
      <c r="F575" s="80"/>
      <c r="G575" s="83"/>
      <c r="H575" s="69" t="str">
        <f t="shared" si="275"/>
        <v>Lacine7_20171116_17_00</v>
      </c>
      <c r="I575" s="70">
        <f t="shared" si="279"/>
        <v>1</v>
      </c>
      <c r="J575" s="77" t="str">
        <f t="shared" si="279"/>
        <v>Lactuca</v>
      </c>
      <c r="K575" s="77" t="str">
        <f t="shared" si="279"/>
        <v>inermis</v>
      </c>
      <c r="L575" s="78">
        <f t="shared" si="279"/>
        <v>7</v>
      </c>
      <c r="M575" s="78">
        <f t="shared" si="279"/>
        <v>0</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2017</v>
      </c>
      <c r="B576" s="73" t="str">
        <f t="shared" si="251"/>
        <v>Nov</v>
      </c>
      <c r="C576" s="74">
        <f t="shared" si="274"/>
        <v>16</v>
      </c>
      <c r="D576" s="75">
        <f t="shared" si="252"/>
        <v>17</v>
      </c>
      <c r="E576" s="76">
        <f t="shared" si="253"/>
        <v>51</v>
      </c>
      <c r="F576" s="80"/>
      <c r="G576" s="83"/>
      <c r="H576" s="69" t="str">
        <f t="shared" si="275"/>
        <v>Lacine7_20171116_17_00</v>
      </c>
      <c r="I576" s="70">
        <f t="shared" si="279"/>
        <v>1</v>
      </c>
      <c r="J576" s="77" t="str">
        <f t="shared" si="279"/>
        <v>Lactuca</v>
      </c>
      <c r="K576" s="77" t="str">
        <f t="shared" si="279"/>
        <v>inermis</v>
      </c>
      <c r="L576" s="78">
        <f t="shared" si="279"/>
        <v>7</v>
      </c>
      <c r="M576" s="78">
        <f t="shared" si="279"/>
        <v>0</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2017</v>
      </c>
      <c r="B577" s="73" t="str">
        <f t="shared" si="251"/>
        <v>Nov</v>
      </c>
      <c r="C577" s="74">
        <f t="shared" si="274"/>
        <v>16</v>
      </c>
      <c r="D577" s="75">
        <f t="shared" si="252"/>
        <v>17</v>
      </c>
      <c r="E577" s="76">
        <f t="shared" si="253"/>
        <v>52</v>
      </c>
      <c r="F577" s="80"/>
      <c r="G577" s="83"/>
      <c r="H577" s="69" t="str">
        <f t="shared" si="275"/>
        <v>Lacine7_20171116_17_00</v>
      </c>
      <c r="I577" s="70">
        <f t="shared" si="279"/>
        <v>1</v>
      </c>
      <c r="J577" s="77" t="str">
        <f t="shared" si="279"/>
        <v>Lactuca</v>
      </c>
      <c r="K577" s="77" t="str">
        <f t="shared" si="279"/>
        <v>inermis</v>
      </c>
      <c r="L577" s="78">
        <f t="shared" si="279"/>
        <v>7</v>
      </c>
      <c r="M577" s="78">
        <f t="shared" si="279"/>
        <v>0</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2017</v>
      </c>
      <c r="B578" s="73" t="str">
        <f t="shared" si="251"/>
        <v>Nov</v>
      </c>
      <c r="C578" s="74">
        <f t="shared" si="274"/>
        <v>16</v>
      </c>
      <c r="D578" s="75">
        <f t="shared" si="252"/>
        <v>17</v>
      </c>
      <c r="E578" s="76">
        <f t="shared" si="253"/>
        <v>53</v>
      </c>
      <c r="F578" s="80"/>
      <c r="G578" s="83"/>
      <c r="H578" s="69" t="str">
        <f t="shared" si="275"/>
        <v>Lacine7_20171116_17_00</v>
      </c>
      <c r="I578" s="70">
        <f t="shared" si="279"/>
        <v>1</v>
      </c>
      <c r="J578" s="77" t="str">
        <f t="shared" si="279"/>
        <v>Lactuca</v>
      </c>
      <c r="K578" s="77" t="str">
        <f t="shared" si="279"/>
        <v>inermis</v>
      </c>
      <c r="L578" s="78">
        <f t="shared" si="279"/>
        <v>7</v>
      </c>
      <c r="M578" s="78">
        <f t="shared" si="279"/>
        <v>0</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2017</v>
      </c>
      <c r="B579" s="73" t="str">
        <f t="shared" si="251"/>
        <v>Nov</v>
      </c>
      <c r="C579" s="74">
        <f t="shared" si="274"/>
        <v>16</v>
      </c>
      <c r="D579" s="75">
        <f t="shared" si="252"/>
        <v>17</v>
      </c>
      <c r="E579" s="76">
        <f t="shared" si="253"/>
        <v>54</v>
      </c>
      <c r="F579" s="80"/>
      <c r="G579" s="83"/>
      <c r="H579" s="69" t="str">
        <f t="shared" si="275"/>
        <v>Lacine7_20171116_17_00</v>
      </c>
      <c r="I579" s="70">
        <f t="shared" si="279"/>
        <v>1</v>
      </c>
      <c r="J579" s="77" t="str">
        <f t="shared" si="279"/>
        <v>Lactuca</v>
      </c>
      <c r="K579" s="77" t="str">
        <f t="shared" si="279"/>
        <v>inermis</v>
      </c>
      <c r="L579" s="78">
        <f t="shared" si="279"/>
        <v>7</v>
      </c>
      <c r="M579" s="78">
        <f t="shared" si="279"/>
        <v>0</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2017</v>
      </c>
      <c r="B580" s="73" t="str">
        <f t="shared" ref="B580:B643" si="282">IF(C579-C580&gt;0, TEXT(DATE(2016,(MONTH(DATEVALUE(B579&amp;"1"))+1),1),"mmm"), B579)</f>
        <v>Nov</v>
      </c>
      <c r="C580" s="74">
        <f t="shared" si="274"/>
        <v>16</v>
      </c>
      <c r="D580" s="75">
        <f t="shared" ref="D580:D643" si="283">IF(IF(E579=59,D579+1,D579)=24,0,IF(E579=59,D579+1,D579))</f>
        <v>17</v>
      </c>
      <c r="E580" s="76">
        <f t="shared" ref="E580:E643" si="284">IF(E579&lt;59,E579+1,0)</f>
        <v>55</v>
      </c>
      <c r="F580" s="80"/>
      <c r="G580" s="83"/>
      <c r="H580" s="69" t="str">
        <f t="shared" si="275"/>
        <v>Lacine7_20171116_17_00</v>
      </c>
      <c r="I580" s="70">
        <f t="shared" si="279"/>
        <v>1</v>
      </c>
      <c r="J580" s="77" t="str">
        <f t="shared" si="279"/>
        <v>Lactuca</v>
      </c>
      <c r="K580" s="77" t="str">
        <f t="shared" si="279"/>
        <v>inermis</v>
      </c>
      <c r="L580" s="78">
        <f t="shared" si="279"/>
        <v>7</v>
      </c>
      <c r="M580" s="78">
        <f t="shared" si="279"/>
        <v>0</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2017</v>
      </c>
      <c r="B581" s="73" t="str">
        <f t="shared" si="282"/>
        <v>Nov</v>
      </c>
      <c r="C581" s="74">
        <f t="shared" ref="C581:C644" si="305">IF(AND(D581=0, E581=0), IF(TEXT(C580,"dd")=TEXT(EOMONTH(DATE(A580,MONTH(DATEVALUE(B580&amp;"1")),C580),0), "dd"), 1, C580+1), C580)</f>
        <v>16</v>
      </c>
      <c r="D581" s="75">
        <f t="shared" si="283"/>
        <v>17</v>
      </c>
      <c r="E581" s="76">
        <f t="shared" si="284"/>
        <v>56</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Lacine7_20171116_17_00</v>
      </c>
      <c r="I581" s="70">
        <f t="shared" ref="I581:N596" si="307">I580</f>
        <v>1</v>
      </c>
      <c r="J581" s="77" t="str">
        <f t="shared" si="307"/>
        <v>Lactuca</v>
      </c>
      <c r="K581" s="77" t="str">
        <f t="shared" si="307"/>
        <v>inermis</v>
      </c>
      <c r="L581" s="78">
        <f t="shared" si="307"/>
        <v>7</v>
      </c>
      <c r="M581" s="78">
        <f t="shared" si="307"/>
        <v>0</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2017</v>
      </c>
      <c r="B582" s="73" t="str">
        <f t="shared" si="282"/>
        <v>Nov</v>
      </c>
      <c r="C582" s="74">
        <f t="shared" si="305"/>
        <v>16</v>
      </c>
      <c r="D582" s="75">
        <f t="shared" si="283"/>
        <v>17</v>
      </c>
      <c r="E582" s="76">
        <f t="shared" si="284"/>
        <v>57</v>
      </c>
      <c r="F582" s="80"/>
      <c r="G582" s="83"/>
      <c r="H582" s="69" t="str">
        <f t="shared" si="306"/>
        <v>Lacine7_20171116_17_00</v>
      </c>
      <c r="I582" s="70">
        <f t="shared" si="307"/>
        <v>1</v>
      </c>
      <c r="J582" s="77" t="str">
        <f t="shared" si="307"/>
        <v>Lactuca</v>
      </c>
      <c r="K582" s="77" t="str">
        <f t="shared" si="307"/>
        <v>inermis</v>
      </c>
      <c r="L582" s="78">
        <f t="shared" si="307"/>
        <v>7</v>
      </c>
      <c r="M582" s="78">
        <f t="shared" si="307"/>
        <v>0</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2017</v>
      </c>
      <c r="B583" s="73" t="str">
        <f t="shared" si="282"/>
        <v>Nov</v>
      </c>
      <c r="C583" s="74">
        <f t="shared" si="305"/>
        <v>16</v>
      </c>
      <c r="D583" s="75">
        <f t="shared" si="283"/>
        <v>17</v>
      </c>
      <c r="E583" s="76">
        <f t="shared" si="284"/>
        <v>58</v>
      </c>
      <c r="F583" s="80"/>
      <c r="G583" s="83"/>
      <c r="H583" s="69" t="str">
        <f t="shared" si="306"/>
        <v>Lacine7_20171116_17_00</v>
      </c>
      <c r="I583" s="70">
        <f t="shared" si="307"/>
        <v>1</v>
      </c>
      <c r="J583" s="77" t="str">
        <f t="shared" si="307"/>
        <v>Lactuca</v>
      </c>
      <c r="K583" s="77" t="str">
        <f t="shared" si="307"/>
        <v>inermis</v>
      </c>
      <c r="L583" s="78">
        <f t="shared" si="307"/>
        <v>7</v>
      </c>
      <c r="M583" s="78">
        <f t="shared" si="307"/>
        <v>0</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2017</v>
      </c>
      <c r="B584" s="73" t="str">
        <f t="shared" si="282"/>
        <v>Nov</v>
      </c>
      <c r="C584" s="74">
        <f t="shared" si="305"/>
        <v>16</v>
      </c>
      <c r="D584" s="75">
        <f t="shared" si="283"/>
        <v>17</v>
      </c>
      <c r="E584" s="76">
        <f t="shared" si="284"/>
        <v>59</v>
      </c>
      <c r="F584" s="80"/>
      <c r="G584" s="83"/>
      <c r="H584" s="69" t="str">
        <f t="shared" si="306"/>
        <v>Lacine7_20171116_17_00</v>
      </c>
      <c r="I584" s="70">
        <f t="shared" si="307"/>
        <v>1</v>
      </c>
      <c r="J584" s="77" t="str">
        <f t="shared" si="307"/>
        <v>Lactuca</v>
      </c>
      <c r="K584" s="77" t="str">
        <f t="shared" si="307"/>
        <v>inermis</v>
      </c>
      <c r="L584" s="78">
        <f t="shared" si="307"/>
        <v>7</v>
      </c>
      <c r="M584" s="78">
        <f t="shared" si="307"/>
        <v>0</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2017</v>
      </c>
      <c r="B585" s="73" t="str">
        <f t="shared" si="282"/>
        <v>Nov</v>
      </c>
      <c r="C585" s="74">
        <f t="shared" si="305"/>
        <v>16</v>
      </c>
      <c r="D585" s="75">
        <f t="shared" si="283"/>
        <v>18</v>
      </c>
      <c r="E585" s="76">
        <f t="shared" si="284"/>
        <v>0</v>
      </c>
      <c r="F585" s="80"/>
      <c r="G585" s="83"/>
      <c r="H585" s="69" t="str">
        <f t="shared" si="306"/>
        <v>Lacine7_20171116_18_00</v>
      </c>
      <c r="I585" s="70">
        <f t="shared" si="307"/>
        <v>1</v>
      </c>
      <c r="J585" s="77" t="str">
        <f t="shared" si="307"/>
        <v>Lactuca</v>
      </c>
      <c r="K585" s="77" t="str">
        <f t="shared" si="307"/>
        <v>inermis</v>
      </c>
      <c r="L585" s="78">
        <f t="shared" si="307"/>
        <v>7</v>
      </c>
      <c r="M585" s="78">
        <f t="shared" si="307"/>
        <v>0</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2017</v>
      </c>
      <c r="B586" s="73" t="str">
        <f t="shared" si="282"/>
        <v>Nov</v>
      </c>
      <c r="C586" s="74">
        <f t="shared" si="305"/>
        <v>16</v>
      </c>
      <c r="D586" s="75">
        <f t="shared" si="283"/>
        <v>18</v>
      </c>
      <c r="E586" s="76">
        <f t="shared" si="284"/>
        <v>1</v>
      </c>
      <c r="F586" s="80"/>
      <c r="G586" s="83"/>
      <c r="H586" s="69" t="str">
        <f t="shared" si="306"/>
        <v>Lacine7_20171116_18_00</v>
      </c>
      <c r="I586" s="70">
        <f t="shared" si="307"/>
        <v>1</v>
      </c>
      <c r="J586" s="77" t="str">
        <f t="shared" si="307"/>
        <v>Lactuca</v>
      </c>
      <c r="K586" s="77" t="str">
        <f t="shared" si="307"/>
        <v>inermis</v>
      </c>
      <c r="L586" s="78">
        <f t="shared" si="307"/>
        <v>7</v>
      </c>
      <c r="M586" s="78">
        <f t="shared" si="307"/>
        <v>0</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2017</v>
      </c>
      <c r="B587" s="73" t="str">
        <f t="shared" si="282"/>
        <v>Nov</v>
      </c>
      <c r="C587" s="74">
        <f t="shared" si="305"/>
        <v>16</v>
      </c>
      <c r="D587" s="75">
        <f t="shared" si="283"/>
        <v>18</v>
      </c>
      <c r="E587" s="76">
        <f t="shared" si="284"/>
        <v>2</v>
      </c>
      <c r="F587" s="80"/>
      <c r="G587" s="83"/>
      <c r="H587" s="69" t="str">
        <f t="shared" si="306"/>
        <v>Lacine7_20171116_18_00</v>
      </c>
      <c r="I587" s="70">
        <f t="shared" si="307"/>
        <v>1</v>
      </c>
      <c r="J587" s="77" t="str">
        <f t="shared" si="307"/>
        <v>Lactuca</v>
      </c>
      <c r="K587" s="77" t="str">
        <f t="shared" si="307"/>
        <v>inermis</v>
      </c>
      <c r="L587" s="78">
        <f t="shared" si="307"/>
        <v>7</v>
      </c>
      <c r="M587" s="78">
        <f t="shared" si="307"/>
        <v>0</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2017</v>
      </c>
      <c r="B588" s="73" t="str">
        <f t="shared" si="282"/>
        <v>Nov</v>
      </c>
      <c r="C588" s="74">
        <f t="shared" si="305"/>
        <v>16</v>
      </c>
      <c r="D588" s="75">
        <f t="shared" si="283"/>
        <v>18</v>
      </c>
      <c r="E588" s="76">
        <f t="shared" si="284"/>
        <v>3</v>
      </c>
      <c r="F588" s="80"/>
      <c r="G588" s="83"/>
      <c r="H588" s="69" t="str">
        <f t="shared" si="306"/>
        <v>Lacine7_20171116_18_00</v>
      </c>
      <c r="I588" s="70">
        <f t="shared" si="307"/>
        <v>1</v>
      </c>
      <c r="J588" s="77" t="str">
        <f t="shared" si="307"/>
        <v>Lactuca</v>
      </c>
      <c r="K588" s="77" t="str">
        <f t="shared" si="307"/>
        <v>inermis</v>
      </c>
      <c r="L588" s="78">
        <f t="shared" si="307"/>
        <v>7</v>
      </c>
      <c r="M588" s="78">
        <f t="shared" si="307"/>
        <v>0</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2017</v>
      </c>
      <c r="B589" s="73" t="str">
        <f t="shared" si="282"/>
        <v>Nov</v>
      </c>
      <c r="C589" s="74">
        <f t="shared" si="305"/>
        <v>16</v>
      </c>
      <c r="D589" s="75">
        <f t="shared" si="283"/>
        <v>18</v>
      </c>
      <c r="E589" s="76">
        <f t="shared" si="284"/>
        <v>4</v>
      </c>
      <c r="F589" s="80"/>
      <c r="G589" s="83"/>
      <c r="H589" s="69" t="str">
        <f t="shared" si="306"/>
        <v>Lacine7_20171116_18_00</v>
      </c>
      <c r="I589" s="70">
        <f t="shared" si="307"/>
        <v>1</v>
      </c>
      <c r="J589" s="77" t="str">
        <f t="shared" si="307"/>
        <v>Lactuca</v>
      </c>
      <c r="K589" s="77" t="str">
        <f t="shared" si="307"/>
        <v>inermis</v>
      </c>
      <c r="L589" s="78">
        <f t="shared" si="307"/>
        <v>7</v>
      </c>
      <c r="M589" s="78">
        <f t="shared" si="307"/>
        <v>0</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2017</v>
      </c>
      <c r="B590" s="73" t="str">
        <f t="shared" si="282"/>
        <v>Nov</v>
      </c>
      <c r="C590" s="74">
        <f t="shared" si="305"/>
        <v>16</v>
      </c>
      <c r="D590" s="75">
        <f t="shared" si="283"/>
        <v>18</v>
      </c>
      <c r="E590" s="76">
        <f t="shared" si="284"/>
        <v>5</v>
      </c>
      <c r="F590" s="80"/>
      <c r="G590" s="83"/>
      <c r="H590" s="69" t="str">
        <f t="shared" si="306"/>
        <v>Lacine7_20171116_18_00</v>
      </c>
      <c r="I590" s="70">
        <f t="shared" si="307"/>
        <v>1</v>
      </c>
      <c r="J590" s="77" t="str">
        <f t="shared" si="307"/>
        <v>Lactuca</v>
      </c>
      <c r="K590" s="77" t="str">
        <f t="shared" si="307"/>
        <v>inermis</v>
      </c>
      <c r="L590" s="78">
        <f t="shared" si="307"/>
        <v>7</v>
      </c>
      <c r="M590" s="78">
        <f t="shared" si="307"/>
        <v>0</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2017</v>
      </c>
      <c r="B591" s="73" t="str">
        <f t="shared" si="282"/>
        <v>Nov</v>
      </c>
      <c r="C591" s="74">
        <f t="shared" si="305"/>
        <v>16</v>
      </c>
      <c r="D591" s="75">
        <f t="shared" si="283"/>
        <v>18</v>
      </c>
      <c r="E591" s="76">
        <f t="shared" si="284"/>
        <v>6</v>
      </c>
      <c r="F591" s="80"/>
      <c r="G591" s="83"/>
      <c r="H591" s="69" t="str">
        <f t="shared" si="306"/>
        <v>Lacine7_20171116_18_00</v>
      </c>
      <c r="I591" s="70">
        <f t="shared" si="307"/>
        <v>1</v>
      </c>
      <c r="J591" s="77" t="str">
        <f t="shared" si="307"/>
        <v>Lactuca</v>
      </c>
      <c r="K591" s="77" t="str">
        <f t="shared" si="307"/>
        <v>inermis</v>
      </c>
      <c r="L591" s="78">
        <f t="shared" si="307"/>
        <v>7</v>
      </c>
      <c r="M591" s="78">
        <f t="shared" si="307"/>
        <v>0</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2017</v>
      </c>
      <c r="B592" s="73" t="str">
        <f t="shared" si="282"/>
        <v>Nov</v>
      </c>
      <c r="C592" s="74">
        <f t="shared" si="305"/>
        <v>16</v>
      </c>
      <c r="D592" s="75">
        <f t="shared" si="283"/>
        <v>18</v>
      </c>
      <c r="E592" s="76">
        <f t="shared" si="284"/>
        <v>7</v>
      </c>
      <c r="F592" s="80"/>
      <c r="G592" s="83"/>
      <c r="H592" s="69" t="str">
        <f t="shared" si="306"/>
        <v>Lacine7_20171116_18_00</v>
      </c>
      <c r="I592" s="70">
        <f t="shared" si="307"/>
        <v>1</v>
      </c>
      <c r="J592" s="77" t="str">
        <f t="shared" si="307"/>
        <v>Lactuca</v>
      </c>
      <c r="K592" s="77" t="str">
        <f t="shared" si="307"/>
        <v>inermis</v>
      </c>
      <c r="L592" s="78">
        <f t="shared" si="307"/>
        <v>7</v>
      </c>
      <c r="M592" s="78">
        <f t="shared" si="307"/>
        <v>0</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2017</v>
      </c>
      <c r="B593" s="73" t="str">
        <f t="shared" si="282"/>
        <v>Nov</v>
      </c>
      <c r="C593" s="74">
        <f t="shared" si="305"/>
        <v>16</v>
      </c>
      <c r="D593" s="75">
        <f t="shared" si="283"/>
        <v>18</v>
      </c>
      <c r="E593" s="76">
        <f t="shared" si="284"/>
        <v>8</v>
      </c>
      <c r="F593" s="80"/>
      <c r="G593" s="83"/>
      <c r="H593" s="69" t="str">
        <f t="shared" si="306"/>
        <v>Lacine7_20171116_18_00</v>
      </c>
      <c r="I593" s="70">
        <f t="shared" si="307"/>
        <v>1</v>
      </c>
      <c r="J593" s="77" t="str">
        <f t="shared" si="307"/>
        <v>Lactuca</v>
      </c>
      <c r="K593" s="77" t="str">
        <f t="shared" si="307"/>
        <v>inermis</v>
      </c>
      <c r="L593" s="78">
        <f t="shared" si="307"/>
        <v>7</v>
      </c>
      <c r="M593" s="78">
        <f t="shared" si="307"/>
        <v>0</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2017</v>
      </c>
      <c r="B594" s="73" t="str">
        <f t="shared" si="282"/>
        <v>Nov</v>
      </c>
      <c r="C594" s="74">
        <f t="shared" si="305"/>
        <v>16</v>
      </c>
      <c r="D594" s="75">
        <f t="shared" si="283"/>
        <v>18</v>
      </c>
      <c r="E594" s="76">
        <f t="shared" si="284"/>
        <v>9</v>
      </c>
      <c r="F594" s="80"/>
      <c r="G594" s="83"/>
      <c r="H594" s="69" t="str">
        <f t="shared" si="306"/>
        <v>Lacine7_20171116_18_00</v>
      </c>
      <c r="I594" s="70">
        <f t="shared" si="307"/>
        <v>1</v>
      </c>
      <c r="J594" s="77" t="str">
        <f t="shared" si="307"/>
        <v>Lactuca</v>
      </c>
      <c r="K594" s="77" t="str">
        <f t="shared" si="307"/>
        <v>inermis</v>
      </c>
      <c r="L594" s="78">
        <f t="shared" si="307"/>
        <v>7</v>
      </c>
      <c r="M594" s="78">
        <f t="shared" si="307"/>
        <v>0</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2017</v>
      </c>
      <c r="B595" s="73" t="str">
        <f t="shared" si="282"/>
        <v>Nov</v>
      </c>
      <c r="C595" s="74">
        <f t="shared" si="305"/>
        <v>16</v>
      </c>
      <c r="D595" s="75">
        <f t="shared" si="283"/>
        <v>18</v>
      </c>
      <c r="E595" s="76">
        <f t="shared" si="284"/>
        <v>10</v>
      </c>
      <c r="F595" s="80"/>
      <c r="G595" s="83"/>
      <c r="H595" s="69" t="str">
        <f t="shared" si="306"/>
        <v>Lacine7_20171116_18_00</v>
      </c>
      <c r="I595" s="70">
        <f t="shared" si="307"/>
        <v>1</v>
      </c>
      <c r="J595" s="77" t="str">
        <f t="shared" si="307"/>
        <v>Lactuca</v>
      </c>
      <c r="K595" s="77" t="str">
        <f t="shared" si="307"/>
        <v>inermis</v>
      </c>
      <c r="L595" s="78">
        <f t="shared" si="307"/>
        <v>7</v>
      </c>
      <c r="M595" s="78">
        <f t="shared" si="307"/>
        <v>0</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2017</v>
      </c>
      <c r="B596" s="73" t="str">
        <f t="shared" si="282"/>
        <v>Nov</v>
      </c>
      <c r="C596" s="74">
        <f t="shared" si="305"/>
        <v>16</v>
      </c>
      <c r="D596" s="75">
        <f t="shared" si="283"/>
        <v>18</v>
      </c>
      <c r="E596" s="76">
        <f t="shared" si="284"/>
        <v>11</v>
      </c>
      <c r="F596" s="80"/>
      <c r="G596" s="83"/>
      <c r="H596" s="69" t="str">
        <f t="shared" si="306"/>
        <v>Lacine7_20171116_18_00</v>
      </c>
      <c r="I596" s="70">
        <f t="shared" si="307"/>
        <v>1</v>
      </c>
      <c r="J596" s="77" t="str">
        <f t="shared" si="307"/>
        <v>Lactuca</v>
      </c>
      <c r="K596" s="77" t="str">
        <f t="shared" si="307"/>
        <v>inermis</v>
      </c>
      <c r="L596" s="78">
        <f t="shared" si="307"/>
        <v>7</v>
      </c>
      <c r="M596" s="78">
        <f t="shared" si="307"/>
        <v>0</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2017</v>
      </c>
      <c r="B597" s="73" t="str">
        <f t="shared" si="282"/>
        <v>Nov</v>
      </c>
      <c r="C597" s="74">
        <f t="shared" si="305"/>
        <v>16</v>
      </c>
      <c r="D597" s="75">
        <f t="shared" si="283"/>
        <v>18</v>
      </c>
      <c r="E597" s="76">
        <f t="shared" si="284"/>
        <v>12</v>
      </c>
      <c r="F597" s="80"/>
      <c r="G597" s="83"/>
      <c r="H597" s="69" t="str">
        <f t="shared" si="306"/>
        <v>Lacine7_20171116_18_00</v>
      </c>
      <c r="I597" s="70">
        <f t="shared" ref="I597:N612" si="308">I596</f>
        <v>1</v>
      </c>
      <c r="J597" s="77" t="str">
        <f t="shared" si="308"/>
        <v>Lactuca</v>
      </c>
      <c r="K597" s="77" t="str">
        <f t="shared" si="308"/>
        <v>inermis</v>
      </c>
      <c r="L597" s="78">
        <f t="shared" si="308"/>
        <v>7</v>
      </c>
      <c r="M597" s="78">
        <f t="shared" si="308"/>
        <v>0</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2017</v>
      </c>
      <c r="B598" s="73" t="str">
        <f t="shared" si="282"/>
        <v>Nov</v>
      </c>
      <c r="C598" s="74">
        <f t="shared" si="305"/>
        <v>16</v>
      </c>
      <c r="D598" s="75">
        <f t="shared" si="283"/>
        <v>18</v>
      </c>
      <c r="E598" s="76">
        <f t="shared" si="284"/>
        <v>13</v>
      </c>
      <c r="F598" s="80"/>
      <c r="G598" s="83"/>
      <c r="H598" s="69" t="str">
        <f t="shared" si="306"/>
        <v>Lacine7_20171116_18_00</v>
      </c>
      <c r="I598" s="70">
        <f t="shared" si="308"/>
        <v>1</v>
      </c>
      <c r="J598" s="77" t="str">
        <f t="shared" si="308"/>
        <v>Lactuca</v>
      </c>
      <c r="K598" s="77" t="str">
        <f t="shared" si="308"/>
        <v>inermis</v>
      </c>
      <c r="L598" s="78">
        <f t="shared" si="308"/>
        <v>7</v>
      </c>
      <c r="M598" s="78">
        <f t="shared" si="308"/>
        <v>0</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2017</v>
      </c>
      <c r="B599" s="73" t="str">
        <f t="shared" si="282"/>
        <v>Nov</v>
      </c>
      <c r="C599" s="74">
        <f t="shared" si="305"/>
        <v>16</v>
      </c>
      <c r="D599" s="75">
        <f t="shared" si="283"/>
        <v>18</v>
      </c>
      <c r="E599" s="76">
        <f t="shared" si="284"/>
        <v>14</v>
      </c>
      <c r="F599" s="80"/>
      <c r="G599" s="83"/>
      <c r="H599" s="69" t="str">
        <f t="shared" si="306"/>
        <v>Lacine7_20171116_18_00</v>
      </c>
      <c r="I599" s="70">
        <f t="shared" si="308"/>
        <v>1</v>
      </c>
      <c r="J599" s="77" t="str">
        <f t="shared" si="308"/>
        <v>Lactuca</v>
      </c>
      <c r="K599" s="77" t="str">
        <f t="shared" si="308"/>
        <v>inermis</v>
      </c>
      <c r="L599" s="78">
        <f t="shared" si="308"/>
        <v>7</v>
      </c>
      <c r="M599" s="78">
        <f t="shared" si="308"/>
        <v>0</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2017</v>
      </c>
      <c r="B600" s="73" t="str">
        <f t="shared" si="282"/>
        <v>Nov</v>
      </c>
      <c r="C600" s="74">
        <f t="shared" si="305"/>
        <v>16</v>
      </c>
      <c r="D600" s="75">
        <f t="shared" si="283"/>
        <v>18</v>
      </c>
      <c r="E600" s="76">
        <f t="shared" si="284"/>
        <v>15</v>
      </c>
      <c r="F600" s="80"/>
      <c r="G600" s="83"/>
      <c r="H600" s="69" t="str">
        <f t="shared" si="306"/>
        <v>Lacine7_20171116_18_00</v>
      </c>
      <c r="I600" s="70">
        <f t="shared" si="308"/>
        <v>1</v>
      </c>
      <c r="J600" s="77" t="str">
        <f t="shared" si="308"/>
        <v>Lactuca</v>
      </c>
      <c r="K600" s="77" t="str">
        <f t="shared" si="308"/>
        <v>inermis</v>
      </c>
      <c r="L600" s="78">
        <f t="shared" si="308"/>
        <v>7</v>
      </c>
      <c r="M600" s="78">
        <f t="shared" si="308"/>
        <v>0</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2017</v>
      </c>
      <c r="B601" s="73" t="str">
        <f t="shared" si="282"/>
        <v>Nov</v>
      </c>
      <c r="C601" s="74">
        <f t="shared" si="305"/>
        <v>16</v>
      </c>
      <c r="D601" s="75">
        <f t="shared" si="283"/>
        <v>18</v>
      </c>
      <c r="E601" s="76">
        <f t="shared" si="284"/>
        <v>16</v>
      </c>
      <c r="F601" s="80"/>
      <c r="G601" s="83"/>
      <c r="H601" s="69" t="str">
        <f t="shared" si="306"/>
        <v>Lacine7_20171116_18_00</v>
      </c>
      <c r="I601" s="70">
        <f t="shared" si="308"/>
        <v>1</v>
      </c>
      <c r="J601" s="77" t="str">
        <f t="shared" si="308"/>
        <v>Lactuca</v>
      </c>
      <c r="K601" s="77" t="str">
        <f t="shared" si="308"/>
        <v>inermis</v>
      </c>
      <c r="L601" s="78">
        <f t="shared" si="308"/>
        <v>7</v>
      </c>
      <c r="M601" s="78">
        <f t="shared" si="308"/>
        <v>0</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2017</v>
      </c>
      <c r="B602" s="73" t="str">
        <f t="shared" si="282"/>
        <v>Nov</v>
      </c>
      <c r="C602" s="74">
        <f t="shared" si="305"/>
        <v>16</v>
      </c>
      <c r="D602" s="75">
        <f t="shared" si="283"/>
        <v>18</v>
      </c>
      <c r="E602" s="76">
        <f t="shared" si="284"/>
        <v>17</v>
      </c>
      <c r="F602" s="80"/>
      <c r="G602" s="83"/>
      <c r="H602" s="69" t="str">
        <f t="shared" si="306"/>
        <v>Lacine7_20171116_18_00</v>
      </c>
      <c r="I602" s="70">
        <f t="shared" si="308"/>
        <v>1</v>
      </c>
      <c r="J602" s="77" t="str">
        <f t="shared" si="308"/>
        <v>Lactuca</v>
      </c>
      <c r="K602" s="77" t="str">
        <f t="shared" si="308"/>
        <v>inermis</v>
      </c>
      <c r="L602" s="78">
        <f t="shared" si="308"/>
        <v>7</v>
      </c>
      <c r="M602" s="78">
        <f t="shared" si="308"/>
        <v>0</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2017</v>
      </c>
      <c r="B603" s="73" t="str">
        <f t="shared" si="282"/>
        <v>Nov</v>
      </c>
      <c r="C603" s="74">
        <f t="shared" si="305"/>
        <v>16</v>
      </c>
      <c r="D603" s="75">
        <f t="shared" si="283"/>
        <v>18</v>
      </c>
      <c r="E603" s="76">
        <f t="shared" si="284"/>
        <v>18</v>
      </c>
      <c r="F603" s="80"/>
      <c r="G603" s="83"/>
      <c r="H603" s="69" t="str">
        <f t="shared" si="306"/>
        <v>Lacine7_20171116_18_00</v>
      </c>
      <c r="I603" s="70">
        <f t="shared" si="308"/>
        <v>1</v>
      </c>
      <c r="J603" s="77" t="str">
        <f t="shared" si="308"/>
        <v>Lactuca</v>
      </c>
      <c r="K603" s="77" t="str">
        <f t="shared" si="308"/>
        <v>inermis</v>
      </c>
      <c r="L603" s="78">
        <f t="shared" si="308"/>
        <v>7</v>
      </c>
      <c r="M603" s="78">
        <f t="shared" si="308"/>
        <v>0</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2017</v>
      </c>
      <c r="B604" s="73" t="str">
        <f t="shared" si="282"/>
        <v>Nov</v>
      </c>
      <c r="C604" s="74">
        <f t="shared" si="305"/>
        <v>16</v>
      </c>
      <c r="D604" s="75">
        <f t="shared" si="283"/>
        <v>18</v>
      </c>
      <c r="E604" s="76">
        <f t="shared" si="284"/>
        <v>19</v>
      </c>
      <c r="F604" s="80"/>
      <c r="G604" s="83"/>
      <c r="H604" s="69" t="str">
        <f t="shared" si="306"/>
        <v>Lacine7_20171116_18_00</v>
      </c>
      <c r="I604" s="70">
        <f t="shared" si="308"/>
        <v>1</v>
      </c>
      <c r="J604" s="77" t="str">
        <f t="shared" si="308"/>
        <v>Lactuca</v>
      </c>
      <c r="K604" s="77" t="str">
        <f t="shared" si="308"/>
        <v>inermis</v>
      </c>
      <c r="L604" s="78">
        <f t="shared" si="308"/>
        <v>7</v>
      </c>
      <c r="M604" s="78">
        <f t="shared" si="308"/>
        <v>0</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2017</v>
      </c>
      <c r="B605" s="73" t="str">
        <f t="shared" si="282"/>
        <v>Nov</v>
      </c>
      <c r="C605" s="74">
        <f t="shared" si="305"/>
        <v>16</v>
      </c>
      <c r="D605" s="75">
        <f t="shared" si="283"/>
        <v>18</v>
      </c>
      <c r="E605" s="76">
        <f t="shared" si="284"/>
        <v>20</v>
      </c>
      <c r="F605" s="80"/>
      <c r="G605" s="83"/>
      <c r="H605" s="69" t="str">
        <f t="shared" si="306"/>
        <v>Lacine7_20171116_18_00</v>
      </c>
      <c r="I605" s="70">
        <f t="shared" si="308"/>
        <v>1</v>
      </c>
      <c r="J605" s="77" t="str">
        <f t="shared" si="308"/>
        <v>Lactuca</v>
      </c>
      <c r="K605" s="77" t="str">
        <f t="shared" si="308"/>
        <v>inermis</v>
      </c>
      <c r="L605" s="78">
        <f t="shared" si="308"/>
        <v>7</v>
      </c>
      <c r="M605" s="78">
        <f t="shared" si="308"/>
        <v>0</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2017</v>
      </c>
      <c r="B606" s="73" t="str">
        <f t="shared" si="282"/>
        <v>Nov</v>
      </c>
      <c r="C606" s="74">
        <f t="shared" si="305"/>
        <v>16</v>
      </c>
      <c r="D606" s="75">
        <f t="shared" si="283"/>
        <v>18</v>
      </c>
      <c r="E606" s="76">
        <f t="shared" si="284"/>
        <v>21</v>
      </c>
      <c r="F606" s="80"/>
      <c r="G606" s="83"/>
      <c r="H606" s="69" t="str">
        <f t="shared" si="306"/>
        <v>Lacine7_20171116_18_00</v>
      </c>
      <c r="I606" s="70">
        <f t="shared" si="308"/>
        <v>1</v>
      </c>
      <c r="J606" s="77" t="str">
        <f t="shared" si="308"/>
        <v>Lactuca</v>
      </c>
      <c r="K606" s="77" t="str">
        <f t="shared" si="308"/>
        <v>inermis</v>
      </c>
      <c r="L606" s="78">
        <f t="shared" si="308"/>
        <v>7</v>
      </c>
      <c r="M606" s="78">
        <f t="shared" si="308"/>
        <v>0</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2017</v>
      </c>
      <c r="B607" s="73" t="str">
        <f t="shared" si="282"/>
        <v>Nov</v>
      </c>
      <c r="C607" s="74">
        <f t="shared" si="305"/>
        <v>16</v>
      </c>
      <c r="D607" s="75">
        <f t="shared" si="283"/>
        <v>18</v>
      </c>
      <c r="E607" s="76">
        <f t="shared" si="284"/>
        <v>22</v>
      </c>
      <c r="F607" s="80"/>
      <c r="G607" s="83"/>
      <c r="H607" s="69" t="str">
        <f t="shared" si="306"/>
        <v>Lacine7_20171116_18_00</v>
      </c>
      <c r="I607" s="70">
        <f t="shared" si="308"/>
        <v>1</v>
      </c>
      <c r="J607" s="77" t="str">
        <f t="shared" si="308"/>
        <v>Lactuca</v>
      </c>
      <c r="K607" s="77" t="str">
        <f t="shared" si="308"/>
        <v>inermis</v>
      </c>
      <c r="L607" s="78">
        <f t="shared" si="308"/>
        <v>7</v>
      </c>
      <c r="M607" s="78">
        <f t="shared" si="308"/>
        <v>0</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2017</v>
      </c>
      <c r="B608" s="73" t="str">
        <f t="shared" si="282"/>
        <v>Nov</v>
      </c>
      <c r="C608" s="74">
        <f t="shared" si="305"/>
        <v>16</v>
      </c>
      <c r="D608" s="75">
        <f t="shared" si="283"/>
        <v>18</v>
      </c>
      <c r="E608" s="76">
        <f t="shared" si="284"/>
        <v>23</v>
      </c>
      <c r="F608" s="80"/>
      <c r="G608" s="83"/>
      <c r="H608" s="69" t="str">
        <f t="shared" si="306"/>
        <v>Lacine7_20171116_18_00</v>
      </c>
      <c r="I608" s="70">
        <f t="shared" si="308"/>
        <v>1</v>
      </c>
      <c r="J608" s="77" t="str">
        <f t="shared" si="308"/>
        <v>Lactuca</v>
      </c>
      <c r="K608" s="77" t="str">
        <f t="shared" si="308"/>
        <v>inermis</v>
      </c>
      <c r="L608" s="78">
        <f t="shared" si="308"/>
        <v>7</v>
      </c>
      <c r="M608" s="78">
        <f t="shared" si="308"/>
        <v>0</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2017</v>
      </c>
      <c r="B609" s="73" t="str">
        <f t="shared" si="282"/>
        <v>Nov</v>
      </c>
      <c r="C609" s="74">
        <f t="shared" si="305"/>
        <v>16</v>
      </c>
      <c r="D609" s="75">
        <f t="shared" si="283"/>
        <v>18</v>
      </c>
      <c r="E609" s="76">
        <f t="shared" si="284"/>
        <v>24</v>
      </c>
      <c r="F609" s="80"/>
      <c r="G609" s="83"/>
      <c r="H609" s="69" t="str">
        <f t="shared" si="306"/>
        <v>Lacine7_20171116_18_00</v>
      </c>
      <c r="I609" s="70">
        <f t="shared" si="308"/>
        <v>1</v>
      </c>
      <c r="J609" s="77" t="str">
        <f t="shared" si="308"/>
        <v>Lactuca</v>
      </c>
      <c r="K609" s="77" t="str">
        <f t="shared" si="308"/>
        <v>inermis</v>
      </c>
      <c r="L609" s="78">
        <f t="shared" si="308"/>
        <v>7</v>
      </c>
      <c r="M609" s="78">
        <f t="shared" si="308"/>
        <v>0</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2017</v>
      </c>
      <c r="B610" s="73" t="str">
        <f t="shared" si="282"/>
        <v>Nov</v>
      </c>
      <c r="C610" s="74">
        <f t="shared" si="305"/>
        <v>16</v>
      </c>
      <c r="D610" s="75">
        <f t="shared" si="283"/>
        <v>18</v>
      </c>
      <c r="E610" s="76">
        <f t="shared" si="284"/>
        <v>25</v>
      </c>
      <c r="F610" s="80"/>
      <c r="G610" s="83"/>
      <c r="H610" s="69" t="str">
        <f t="shared" si="306"/>
        <v>Lacine7_20171116_18_00</v>
      </c>
      <c r="I610" s="70">
        <f t="shared" si="308"/>
        <v>1</v>
      </c>
      <c r="J610" s="77" t="str">
        <f t="shared" si="308"/>
        <v>Lactuca</v>
      </c>
      <c r="K610" s="77" t="str">
        <f t="shared" si="308"/>
        <v>inermis</v>
      </c>
      <c r="L610" s="78">
        <f t="shared" si="308"/>
        <v>7</v>
      </c>
      <c r="M610" s="78">
        <f t="shared" si="308"/>
        <v>0</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2017</v>
      </c>
      <c r="B611" s="73" t="str">
        <f t="shared" si="282"/>
        <v>Nov</v>
      </c>
      <c r="C611" s="74">
        <f t="shared" si="305"/>
        <v>16</v>
      </c>
      <c r="D611" s="75">
        <f t="shared" si="283"/>
        <v>18</v>
      </c>
      <c r="E611" s="76">
        <f t="shared" si="284"/>
        <v>26</v>
      </c>
      <c r="F611" s="80"/>
      <c r="G611" s="83"/>
      <c r="H611" s="69" t="str">
        <f t="shared" si="306"/>
        <v>Lacine7_20171116_18_00</v>
      </c>
      <c r="I611" s="70">
        <f t="shared" si="308"/>
        <v>1</v>
      </c>
      <c r="J611" s="77" t="str">
        <f t="shared" si="308"/>
        <v>Lactuca</v>
      </c>
      <c r="K611" s="77" t="str">
        <f t="shared" si="308"/>
        <v>inermis</v>
      </c>
      <c r="L611" s="78">
        <f t="shared" si="308"/>
        <v>7</v>
      </c>
      <c r="M611" s="78">
        <f t="shared" si="308"/>
        <v>0</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2017</v>
      </c>
      <c r="B612" s="73" t="str">
        <f t="shared" si="282"/>
        <v>Nov</v>
      </c>
      <c r="C612" s="74">
        <f t="shared" si="305"/>
        <v>16</v>
      </c>
      <c r="D612" s="75">
        <f t="shared" si="283"/>
        <v>18</v>
      </c>
      <c r="E612" s="76">
        <f t="shared" si="284"/>
        <v>27</v>
      </c>
      <c r="F612" s="80"/>
      <c r="G612" s="83"/>
      <c r="H612" s="69" t="str">
        <f t="shared" si="306"/>
        <v>Lacine7_20171116_18_00</v>
      </c>
      <c r="I612" s="70">
        <f t="shared" si="308"/>
        <v>1</v>
      </c>
      <c r="J612" s="77" t="str">
        <f t="shared" si="308"/>
        <v>Lactuca</v>
      </c>
      <c r="K612" s="77" t="str">
        <f t="shared" si="308"/>
        <v>inermis</v>
      </c>
      <c r="L612" s="78">
        <f t="shared" si="308"/>
        <v>7</v>
      </c>
      <c r="M612" s="78">
        <f t="shared" si="308"/>
        <v>0</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2017</v>
      </c>
      <c r="B613" s="73" t="str">
        <f t="shared" si="282"/>
        <v>Nov</v>
      </c>
      <c r="C613" s="74">
        <f t="shared" si="305"/>
        <v>16</v>
      </c>
      <c r="D613" s="75">
        <f t="shared" si="283"/>
        <v>18</v>
      </c>
      <c r="E613" s="76">
        <f t="shared" si="284"/>
        <v>28</v>
      </c>
      <c r="F613" s="80"/>
      <c r="G613" s="83"/>
      <c r="H613" s="69" t="str">
        <f t="shared" si="306"/>
        <v>Lacine7_20171116_18_00</v>
      </c>
      <c r="I613" s="70">
        <f t="shared" ref="I613:N628" si="309">I612</f>
        <v>1</v>
      </c>
      <c r="J613" s="77" t="str">
        <f t="shared" si="309"/>
        <v>Lactuca</v>
      </c>
      <c r="K613" s="77" t="str">
        <f t="shared" si="309"/>
        <v>inermis</v>
      </c>
      <c r="L613" s="78">
        <f t="shared" si="309"/>
        <v>7</v>
      </c>
      <c r="M613" s="78">
        <f t="shared" si="309"/>
        <v>0</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2017</v>
      </c>
      <c r="B614" s="73" t="str">
        <f t="shared" si="282"/>
        <v>Nov</v>
      </c>
      <c r="C614" s="74">
        <f t="shared" si="305"/>
        <v>16</v>
      </c>
      <c r="D614" s="75">
        <f t="shared" si="283"/>
        <v>18</v>
      </c>
      <c r="E614" s="76">
        <f t="shared" si="284"/>
        <v>29</v>
      </c>
      <c r="F614" s="80"/>
      <c r="G614" s="83"/>
      <c r="H614" s="69" t="str">
        <f t="shared" si="306"/>
        <v>Lacine7_20171116_18_00</v>
      </c>
      <c r="I614" s="70">
        <f t="shared" si="309"/>
        <v>1</v>
      </c>
      <c r="J614" s="77" t="str">
        <f t="shared" si="309"/>
        <v>Lactuca</v>
      </c>
      <c r="K614" s="77" t="str">
        <f t="shared" si="309"/>
        <v>inermis</v>
      </c>
      <c r="L614" s="78">
        <f t="shared" si="309"/>
        <v>7</v>
      </c>
      <c r="M614" s="78">
        <f t="shared" si="309"/>
        <v>0</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2017</v>
      </c>
      <c r="B615" s="73" t="str">
        <f t="shared" si="282"/>
        <v>Nov</v>
      </c>
      <c r="C615" s="74">
        <f t="shared" si="305"/>
        <v>16</v>
      </c>
      <c r="D615" s="75">
        <f t="shared" si="283"/>
        <v>18</v>
      </c>
      <c r="E615" s="76">
        <f t="shared" si="284"/>
        <v>30</v>
      </c>
      <c r="F615" s="80"/>
      <c r="G615" s="83"/>
      <c r="H615" s="69" t="str">
        <f t="shared" si="306"/>
        <v>Lacine7_20171116_18_00</v>
      </c>
      <c r="I615" s="70">
        <f t="shared" si="309"/>
        <v>1</v>
      </c>
      <c r="J615" s="77" t="str">
        <f t="shared" si="309"/>
        <v>Lactuca</v>
      </c>
      <c r="K615" s="77" t="str">
        <f t="shared" si="309"/>
        <v>inermis</v>
      </c>
      <c r="L615" s="78">
        <f t="shared" si="309"/>
        <v>7</v>
      </c>
      <c r="M615" s="78">
        <f t="shared" si="309"/>
        <v>0</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2017</v>
      </c>
      <c r="B616" s="73" t="str">
        <f t="shared" si="282"/>
        <v>Nov</v>
      </c>
      <c r="C616" s="74">
        <f t="shared" si="305"/>
        <v>16</v>
      </c>
      <c r="D616" s="75">
        <f t="shared" si="283"/>
        <v>18</v>
      </c>
      <c r="E616" s="76">
        <f t="shared" si="284"/>
        <v>31</v>
      </c>
      <c r="F616" s="80"/>
      <c r="G616" s="83"/>
      <c r="H616" s="69" t="str">
        <f t="shared" si="306"/>
        <v>Lacine7_20171116_18_00</v>
      </c>
      <c r="I616" s="70">
        <f t="shared" si="309"/>
        <v>1</v>
      </c>
      <c r="J616" s="77" t="str">
        <f t="shared" si="309"/>
        <v>Lactuca</v>
      </c>
      <c r="K616" s="77" t="str">
        <f t="shared" si="309"/>
        <v>inermis</v>
      </c>
      <c r="L616" s="78">
        <f t="shared" si="309"/>
        <v>7</v>
      </c>
      <c r="M616" s="78">
        <f t="shared" si="309"/>
        <v>0</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2017</v>
      </c>
      <c r="B617" s="73" t="str">
        <f t="shared" si="282"/>
        <v>Nov</v>
      </c>
      <c r="C617" s="74">
        <f t="shared" si="305"/>
        <v>16</v>
      </c>
      <c r="D617" s="75">
        <f t="shared" si="283"/>
        <v>18</v>
      </c>
      <c r="E617" s="76">
        <f t="shared" si="284"/>
        <v>32</v>
      </c>
      <c r="F617" s="80"/>
      <c r="G617" s="83"/>
      <c r="H617" s="69" t="str">
        <f t="shared" si="306"/>
        <v>Lacine7_20171116_18_00</v>
      </c>
      <c r="I617" s="70">
        <f t="shared" si="309"/>
        <v>1</v>
      </c>
      <c r="J617" s="77" t="str">
        <f t="shared" si="309"/>
        <v>Lactuca</v>
      </c>
      <c r="K617" s="77" t="str">
        <f t="shared" si="309"/>
        <v>inermis</v>
      </c>
      <c r="L617" s="78">
        <f t="shared" si="309"/>
        <v>7</v>
      </c>
      <c r="M617" s="78">
        <f t="shared" si="309"/>
        <v>0</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2017</v>
      </c>
      <c r="B618" s="73" t="str">
        <f t="shared" si="282"/>
        <v>Nov</v>
      </c>
      <c r="C618" s="74">
        <f t="shared" si="305"/>
        <v>16</v>
      </c>
      <c r="D618" s="75">
        <f t="shared" si="283"/>
        <v>18</v>
      </c>
      <c r="E618" s="76">
        <f t="shared" si="284"/>
        <v>33</v>
      </c>
      <c r="F618" s="80"/>
      <c r="G618" s="83"/>
      <c r="H618" s="69" t="str">
        <f t="shared" si="306"/>
        <v>Lacine7_20171116_18_00</v>
      </c>
      <c r="I618" s="70">
        <f t="shared" si="309"/>
        <v>1</v>
      </c>
      <c r="J618" s="77" t="str">
        <f t="shared" si="309"/>
        <v>Lactuca</v>
      </c>
      <c r="K618" s="77" t="str">
        <f t="shared" si="309"/>
        <v>inermis</v>
      </c>
      <c r="L618" s="78">
        <f t="shared" si="309"/>
        <v>7</v>
      </c>
      <c r="M618" s="78">
        <f t="shared" si="309"/>
        <v>0</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2017</v>
      </c>
      <c r="B619" s="73" t="str">
        <f t="shared" si="282"/>
        <v>Nov</v>
      </c>
      <c r="C619" s="74">
        <f t="shared" si="305"/>
        <v>16</v>
      </c>
      <c r="D619" s="75">
        <f t="shared" si="283"/>
        <v>18</v>
      </c>
      <c r="E619" s="76">
        <f t="shared" si="284"/>
        <v>34</v>
      </c>
      <c r="F619" s="80"/>
      <c r="G619" s="83"/>
      <c r="H619" s="69" t="str">
        <f t="shared" si="306"/>
        <v>Lacine7_20171116_18_00</v>
      </c>
      <c r="I619" s="70">
        <f t="shared" si="309"/>
        <v>1</v>
      </c>
      <c r="J619" s="77" t="str">
        <f t="shared" si="309"/>
        <v>Lactuca</v>
      </c>
      <c r="K619" s="77" t="str">
        <f t="shared" si="309"/>
        <v>inermis</v>
      </c>
      <c r="L619" s="78">
        <f t="shared" si="309"/>
        <v>7</v>
      </c>
      <c r="M619" s="78">
        <f t="shared" si="309"/>
        <v>0</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2017</v>
      </c>
      <c r="B620" s="73" t="str">
        <f t="shared" si="282"/>
        <v>Nov</v>
      </c>
      <c r="C620" s="74">
        <f t="shared" si="305"/>
        <v>16</v>
      </c>
      <c r="D620" s="75">
        <f t="shared" si="283"/>
        <v>18</v>
      </c>
      <c r="E620" s="76">
        <f t="shared" si="284"/>
        <v>35</v>
      </c>
      <c r="F620" s="80"/>
      <c r="G620" s="83"/>
      <c r="H620" s="69" t="str">
        <f t="shared" si="306"/>
        <v>Lacine7_20171116_18_00</v>
      </c>
      <c r="I620" s="70">
        <f t="shared" si="309"/>
        <v>1</v>
      </c>
      <c r="J620" s="77" t="str">
        <f t="shared" si="309"/>
        <v>Lactuca</v>
      </c>
      <c r="K620" s="77" t="str">
        <f t="shared" si="309"/>
        <v>inermis</v>
      </c>
      <c r="L620" s="78">
        <f t="shared" si="309"/>
        <v>7</v>
      </c>
      <c r="M620" s="78">
        <f t="shared" si="309"/>
        <v>0</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2017</v>
      </c>
      <c r="B621" s="73" t="str">
        <f t="shared" si="282"/>
        <v>Nov</v>
      </c>
      <c r="C621" s="74">
        <f t="shared" si="305"/>
        <v>16</v>
      </c>
      <c r="D621" s="75">
        <f t="shared" si="283"/>
        <v>18</v>
      </c>
      <c r="E621" s="76">
        <f t="shared" si="284"/>
        <v>36</v>
      </c>
      <c r="F621" s="80"/>
      <c r="G621" s="83"/>
      <c r="H621" s="69" t="str">
        <f t="shared" si="306"/>
        <v>Lacine7_20171116_18_00</v>
      </c>
      <c r="I621" s="70">
        <f t="shared" si="309"/>
        <v>1</v>
      </c>
      <c r="J621" s="77" t="str">
        <f t="shared" si="309"/>
        <v>Lactuca</v>
      </c>
      <c r="K621" s="77" t="str">
        <f t="shared" si="309"/>
        <v>inermis</v>
      </c>
      <c r="L621" s="78">
        <f t="shared" si="309"/>
        <v>7</v>
      </c>
      <c r="M621" s="78">
        <f t="shared" si="309"/>
        <v>0</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2017</v>
      </c>
      <c r="B622" s="73" t="str">
        <f t="shared" si="282"/>
        <v>Nov</v>
      </c>
      <c r="C622" s="74">
        <f t="shared" si="305"/>
        <v>16</v>
      </c>
      <c r="D622" s="75">
        <f t="shared" si="283"/>
        <v>18</v>
      </c>
      <c r="E622" s="76">
        <f t="shared" si="284"/>
        <v>37</v>
      </c>
      <c r="F622" s="80"/>
      <c r="G622" s="83"/>
      <c r="H622" s="69" t="str">
        <f t="shared" si="306"/>
        <v>Lacine7_20171116_18_00</v>
      </c>
      <c r="I622" s="70">
        <f t="shared" si="309"/>
        <v>1</v>
      </c>
      <c r="J622" s="77" t="str">
        <f t="shared" si="309"/>
        <v>Lactuca</v>
      </c>
      <c r="K622" s="77" t="str">
        <f t="shared" si="309"/>
        <v>inermis</v>
      </c>
      <c r="L622" s="78">
        <f t="shared" si="309"/>
        <v>7</v>
      </c>
      <c r="M622" s="78">
        <f t="shared" si="309"/>
        <v>0</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2017</v>
      </c>
      <c r="B623" s="73" t="str">
        <f t="shared" si="282"/>
        <v>Nov</v>
      </c>
      <c r="C623" s="74">
        <f t="shared" si="305"/>
        <v>16</v>
      </c>
      <c r="D623" s="75">
        <f t="shared" si="283"/>
        <v>18</v>
      </c>
      <c r="E623" s="76">
        <f t="shared" si="284"/>
        <v>38</v>
      </c>
      <c r="F623" s="80"/>
      <c r="G623" s="83"/>
      <c r="H623" s="69" t="str">
        <f t="shared" si="306"/>
        <v>Lacine7_20171116_18_00</v>
      </c>
      <c r="I623" s="70">
        <f t="shared" si="309"/>
        <v>1</v>
      </c>
      <c r="J623" s="77" t="str">
        <f t="shared" si="309"/>
        <v>Lactuca</v>
      </c>
      <c r="K623" s="77" t="str">
        <f t="shared" si="309"/>
        <v>inermis</v>
      </c>
      <c r="L623" s="78">
        <f t="shared" si="309"/>
        <v>7</v>
      </c>
      <c r="M623" s="78">
        <f t="shared" si="309"/>
        <v>0</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2017</v>
      </c>
      <c r="B624" s="73" t="str">
        <f t="shared" si="282"/>
        <v>Nov</v>
      </c>
      <c r="C624" s="74">
        <f t="shared" si="305"/>
        <v>16</v>
      </c>
      <c r="D624" s="75">
        <f t="shared" si="283"/>
        <v>18</v>
      </c>
      <c r="E624" s="76">
        <f t="shared" si="284"/>
        <v>39</v>
      </c>
      <c r="F624" s="80"/>
      <c r="G624" s="83"/>
      <c r="H624" s="69" t="str">
        <f t="shared" si="306"/>
        <v>Lacine7_20171116_18_00</v>
      </c>
      <c r="I624" s="70">
        <f t="shared" si="309"/>
        <v>1</v>
      </c>
      <c r="J624" s="77" t="str">
        <f t="shared" si="309"/>
        <v>Lactuca</v>
      </c>
      <c r="K624" s="77" t="str">
        <f t="shared" si="309"/>
        <v>inermis</v>
      </c>
      <c r="L624" s="78">
        <f t="shared" si="309"/>
        <v>7</v>
      </c>
      <c r="M624" s="78">
        <f t="shared" si="309"/>
        <v>0</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2017</v>
      </c>
      <c r="B625" s="73" t="str">
        <f t="shared" si="282"/>
        <v>Nov</v>
      </c>
      <c r="C625" s="74">
        <f t="shared" si="305"/>
        <v>16</v>
      </c>
      <c r="D625" s="75">
        <f t="shared" si="283"/>
        <v>18</v>
      </c>
      <c r="E625" s="76">
        <f t="shared" si="284"/>
        <v>40</v>
      </c>
      <c r="F625" s="80"/>
      <c r="G625" s="83"/>
      <c r="H625" s="69" t="str">
        <f t="shared" si="306"/>
        <v>Lacine7_20171116_18_00</v>
      </c>
      <c r="I625" s="70">
        <f t="shared" si="309"/>
        <v>1</v>
      </c>
      <c r="J625" s="77" t="str">
        <f t="shared" si="309"/>
        <v>Lactuca</v>
      </c>
      <c r="K625" s="77" t="str">
        <f t="shared" si="309"/>
        <v>inermis</v>
      </c>
      <c r="L625" s="78">
        <f t="shared" si="309"/>
        <v>7</v>
      </c>
      <c r="M625" s="78">
        <f t="shared" si="309"/>
        <v>0</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2017</v>
      </c>
      <c r="B626" s="73" t="str">
        <f t="shared" si="282"/>
        <v>Nov</v>
      </c>
      <c r="C626" s="74">
        <f t="shared" si="305"/>
        <v>16</v>
      </c>
      <c r="D626" s="75">
        <f t="shared" si="283"/>
        <v>18</v>
      </c>
      <c r="E626" s="76">
        <f t="shared" si="284"/>
        <v>41</v>
      </c>
      <c r="F626" s="80"/>
      <c r="G626" s="83"/>
      <c r="H626" s="69" t="str">
        <f t="shared" si="306"/>
        <v>Lacine7_20171116_18_00</v>
      </c>
      <c r="I626" s="70">
        <f t="shared" si="309"/>
        <v>1</v>
      </c>
      <c r="J626" s="77" t="str">
        <f t="shared" si="309"/>
        <v>Lactuca</v>
      </c>
      <c r="K626" s="77" t="str">
        <f t="shared" si="309"/>
        <v>inermis</v>
      </c>
      <c r="L626" s="78">
        <f t="shared" si="309"/>
        <v>7</v>
      </c>
      <c r="M626" s="78">
        <f t="shared" si="309"/>
        <v>0</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2017</v>
      </c>
      <c r="B627" s="73" t="str">
        <f t="shared" si="282"/>
        <v>Nov</v>
      </c>
      <c r="C627" s="74">
        <f t="shared" si="305"/>
        <v>16</v>
      </c>
      <c r="D627" s="75">
        <f t="shared" si="283"/>
        <v>18</v>
      </c>
      <c r="E627" s="76">
        <f t="shared" si="284"/>
        <v>42</v>
      </c>
      <c r="F627" s="80"/>
      <c r="G627" s="83"/>
      <c r="H627" s="69" t="str">
        <f t="shared" si="306"/>
        <v>Lacine7_20171116_18_00</v>
      </c>
      <c r="I627" s="70">
        <f t="shared" si="309"/>
        <v>1</v>
      </c>
      <c r="J627" s="77" t="str">
        <f t="shared" si="309"/>
        <v>Lactuca</v>
      </c>
      <c r="K627" s="77" t="str">
        <f t="shared" si="309"/>
        <v>inermis</v>
      </c>
      <c r="L627" s="78">
        <f t="shared" si="309"/>
        <v>7</v>
      </c>
      <c r="M627" s="78">
        <f t="shared" si="309"/>
        <v>0</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2017</v>
      </c>
      <c r="B628" s="73" t="str">
        <f t="shared" si="282"/>
        <v>Nov</v>
      </c>
      <c r="C628" s="74">
        <f t="shared" si="305"/>
        <v>16</v>
      </c>
      <c r="D628" s="75">
        <f t="shared" si="283"/>
        <v>18</v>
      </c>
      <c r="E628" s="76">
        <f t="shared" si="284"/>
        <v>43</v>
      </c>
      <c r="F628" s="80"/>
      <c r="G628" s="83"/>
      <c r="H628" s="69" t="str">
        <f t="shared" si="306"/>
        <v>Lacine7_20171116_18_00</v>
      </c>
      <c r="I628" s="70">
        <f t="shared" si="309"/>
        <v>1</v>
      </c>
      <c r="J628" s="77" t="str">
        <f t="shared" si="309"/>
        <v>Lactuca</v>
      </c>
      <c r="K628" s="77" t="str">
        <f t="shared" si="309"/>
        <v>inermis</v>
      </c>
      <c r="L628" s="78">
        <f t="shared" si="309"/>
        <v>7</v>
      </c>
      <c r="M628" s="78">
        <f t="shared" si="309"/>
        <v>0</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2017</v>
      </c>
      <c r="B629" s="73" t="str">
        <f t="shared" si="282"/>
        <v>Nov</v>
      </c>
      <c r="C629" s="74">
        <f t="shared" si="305"/>
        <v>16</v>
      </c>
      <c r="D629" s="75">
        <f t="shared" si="283"/>
        <v>18</v>
      </c>
      <c r="E629" s="76">
        <f t="shared" si="284"/>
        <v>44</v>
      </c>
      <c r="F629" s="80"/>
      <c r="G629" s="83"/>
      <c r="H629" s="69" t="str">
        <f t="shared" si="306"/>
        <v>Lacine7_20171116_18_00</v>
      </c>
      <c r="I629" s="70">
        <f t="shared" ref="I629:N644" si="310">I628</f>
        <v>1</v>
      </c>
      <c r="J629" s="77" t="str">
        <f t="shared" si="310"/>
        <v>Lactuca</v>
      </c>
      <c r="K629" s="77" t="str">
        <f t="shared" si="310"/>
        <v>inermis</v>
      </c>
      <c r="L629" s="78">
        <f t="shared" si="310"/>
        <v>7</v>
      </c>
      <c r="M629" s="78">
        <f t="shared" si="310"/>
        <v>0</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2017</v>
      </c>
      <c r="B630" s="73" t="str">
        <f t="shared" si="282"/>
        <v>Nov</v>
      </c>
      <c r="C630" s="74">
        <f t="shared" si="305"/>
        <v>16</v>
      </c>
      <c r="D630" s="75">
        <f t="shared" si="283"/>
        <v>18</v>
      </c>
      <c r="E630" s="76">
        <f t="shared" si="284"/>
        <v>45</v>
      </c>
      <c r="F630" s="80"/>
      <c r="G630" s="83"/>
      <c r="H630" s="69" t="str">
        <f t="shared" si="306"/>
        <v>Lacine7_20171116_18_00</v>
      </c>
      <c r="I630" s="70">
        <f t="shared" si="310"/>
        <v>1</v>
      </c>
      <c r="J630" s="77" t="str">
        <f t="shared" si="310"/>
        <v>Lactuca</v>
      </c>
      <c r="K630" s="77" t="str">
        <f t="shared" si="310"/>
        <v>inermis</v>
      </c>
      <c r="L630" s="78">
        <f t="shared" si="310"/>
        <v>7</v>
      </c>
      <c r="M630" s="78">
        <f t="shared" si="310"/>
        <v>0</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2017</v>
      </c>
      <c r="B631" s="73" t="str">
        <f t="shared" si="282"/>
        <v>Nov</v>
      </c>
      <c r="C631" s="74">
        <f t="shared" si="305"/>
        <v>16</v>
      </c>
      <c r="D631" s="75">
        <f t="shared" si="283"/>
        <v>18</v>
      </c>
      <c r="E631" s="76">
        <f t="shared" si="284"/>
        <v>46</v>
      </c>
      <c r="F631" s="80"/>
      <c r="G631" s="83"/>
      <c r="H631" s="69" t="str">
        <f t="shared" si="306"/>
        <v>Lacine7_20171116_18_00</v>
      </c>
      <c r="I631" s="70">
        <f t="shared" si="310"/>
        <v>1</v>
      </c>
      <c r="J631" s="77" t="str">
        <f t="shared" si="310"/>
        <v>Lactuca</v>
      </c>
      <c r="K631" s="77" t="str">
        <f t="shared" si="310"/>
        <v>inermis</v>
      </c>
      <c r="L631" s="78">
        <f t="shared" si="310"/>
        <v>7</v>
      </c>
      <c r="M631" s="78">
        <f t="shared" si="310"/>
        <v>0</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2017</v>
      </c>
      <c r="B632" s="73" t="str">
        <f t="shared" si="282"/>
        <v>Nov</v>
      </c>
      <c r="C632" s="74">
        <f t="shared" si="305"/>
        <v>16</v>
      </c>
      <c r="D632" s="75">
        <f t="shared" si="283"/>
        <v>18</v>
      </c>
      <c r="E632" s="76">
        <f t="shared" si="284"/>
        <v>47</v>
      </c>
      <c r="F632" s="80"/>
      <c r="G632" s="83"/>
      <c r="H632" s="69" t="str">
        <f t="shared" si="306"/>
        <v>Lacine7_20171116_18_00</v>
      </c>
      <c r="I632" s="70">
        <f t="shared" si="310"/>
        <v>1</v>
      </c>
      <c r="J632" s="77" t="str">
        <f t="shared" si="310"/>
        <v>Lactuca</v>
      </c>
      <c r="K632" s="77" t="str">
        <f t="shared" si="310"/>
        <v>inermis</v>
      </c>
      <c r="L632" s="78">
        <f t="shared" si="310"/>
        <v>7</v>
      </c>
      <c r="M632" s="78">
        <f t="shared" si="310"/>
        <v>0</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2017</v>
      </c>
      <c r="B633" s="73" t="str">
        <f t="shared" si="282"/>
        <v>Nov</v>
      </c>
      <c r="C633" s="74">
        <f t="shared" si="305"/>
        <v>16</v>
      </c>
      <c r="D633" s="75">
        <f t="shared" si="283"/>
        <v>18</v>
      </c>
      <c r="E633" s="76">
        <f t="shared" si="284"/>
        <v>48</v>
      </c>
      <c r="F633" s="80"/>
      <c r="G633" s="83"/>
      <c r="H633" s="69" t="str">
        <f t="shared" si="306"/>
        <v>Lacine7_20171116_18_00</v>
      </c>
      <c r="I633" s="70">
        <f t="shared" si="310"/>
        <v>1</v>
      </c>
      <c r="J633" s="77" t="str">
        <f t="shared" si="310"/>
        <v>Lactuca</v>
      </c>
      <c r="K633" s="77" t="str">
        <f t="shared" si="310"/>
        <v>inermis</v>
      </c>
      <c r="L633" s="78">
        <f t="shared" si="310"/>
        <v>7</v>
      </c>
      <c r="M633" s="78">
        <f t="shared" si="310"/>
        <v>0</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2017</v>
      </c>
      <c r="B634" s="73" t="str">
        <f t="shared" si="282"/>
        <v>Nov</v>
      </c>
      <c r="C634" s="74">
        <f t="shared" si="305"/>
        <v>16</v>
      </c>
      <c r="D634" s="75">
        <f t="shared" si="283"/>
        <v>18</v>
      </c>
      <c r="E634" s="76">
        <f t="shared" si="284"/>
        <v>49</v>
      </c>
      <c r="F634" s="80"/>
      <c r="G634" s="83"/>
      <c r="H634" s="69" t="str">
        <f t="shared" si="306"/>
        <v>Lacine7_20171116_18_00</v>
      </c>
      <c r="I634" s="70">
        <f t="shared" si="310"/>
        <v>1</v>
      </c>
      <c r="J634" s="77" t="str">
        <f t="shared" si="310"/>
        <v>Lactuca</v>
      </c>
      <c r="K634" s="77" t="str">
        <f t="shared" si="310"/>
        <v>inermis</v>
      </c>
      <c r="L634" s="78">
        <f t="shared" si="310"/>
        <v>7</v>
      </c>
      <c r="M634" s="78">
        <f t="shared" si="310"/>
        <v>0</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2017</v>
      </c>
      <c r="B635" s="73" t="str">
        <f t="shared" si="282"/>
        <v>Nov</v>
      </c>
      <c r="C635" s="74">
        <f t="shared" si="305"/>
        <v>16</v>
      </c>
      <c r="D635" s="75">
        <f t="shared" si="283"/>
        <v>18</v>
      </c>
      <c r="E635" s="76">
        <f t="shared" si="284"/>
        <v>50</v>
      </c>
      <c r="F635" s="80"/>
      <c r="G635" s="83"/>
      <c r="H635" s="69" t="str">
        <f t="shared" si="306"/>
        <v>Lacine7_20171116_18_00</v>
      </c>
      <c r="I635" s="70">
        <f t="shared" si="310"/>
        <v>1</v>
      </c>
      <c r="J635" s="77" t="str">
        <f t="shared" si="310"/>
        <v>Lactuca</v>
      </c>
      <c r="K635" s="77" t="str">
        <f t="shared" si="310"/>
        <v>inermis</v>
      </c>
      <c r="L635" s="78">
        <f t="shared" si="310"/>
        <v>7</v>
      </c>
      <c r="M635" s="78">
        <f t="shared" si="310"/>
        <v>0</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2017</v>
      </c>
      <c r="B636" s="73" t="str">
        <f t="shared" si="282"/>
        <v>Nov</v>
      </c>
      <c r="C636" s="74">
        <f t="shared" si="305"/>
        <v>16</v>
      </c>
      <c r="D636" s="75">
        <f t="shared" si="283"/>
        <v>18</v>
      </c>
      <c r="E636" s="76">
        <f t="shared" si="284"/>
        <v>51</v>
      </c>
      <c r="F636" s="80"/>
      <c r="G636" s="83"/>
      <c r="H636" s="69" t="str">
        <f t="shared" si="306"/>
        <v>Lacine7_20171116_18_00</v>
      </c>
      <c r="I636" s="70">
        <f t="shared" si="310"/>
        <v>1</v>
      </c>
      <c r="J636" s="77" t="str">
        <f t="shared" si="310"/>
        <v>Lactuca</v>
      </c>
      <c r="K636" s="77" t="str">
        <f t="shared" si="310"/>
        <v>inermis</v>
      </c>
      <c r="L636" s="78">
        <f t="shared" si="310"/>
        <v>7</v>
      </c>
      <c r="M636" s="78">
        <f t="shared" si="310"/>
        <v>0</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2017</v>
      </c>
      <c r="B637" s="73" t="str">
        <f t="shared" si="282"/>
        <v>Nov</v>
      </c>
      <c r="C637" s="74">
        <f t="shared" si="305"/>
        <v>16</v>
      </c>
      <c r="D637" s="75">
        <f t="shared" si="283"/>
        <v>18</v>
      </c>
      <c r="E637" s="76">
        <f t="shared" si="284"/>
        <v>52</v>
      </c>
      <c r="F637" s="80"/>
      <c r="G637" s="83"/>
      <c r="H637" s="69" t="str">
        <f t="shared" si="306"/>
        <v>Lacine7_20171116_18_00</v>
      </c>
      <c r="I637" s="70">
        <f t="shared" si="310"/>
        <v>1</v>
      </c>
      <c r="J637" s="77" t="str">
        <f t="shared" si="310"/>
        <v>Lactuca</v>
      </c>
      <c r="K637" s="77" t="str">
        <f t="shared" si="310"/>
        <v>inermis</v>
      </c>
      <c r="L637" s="78">
        <f t="shared" si="310"/>
        <v>7</v>
      </c>
      <c r="M637" s="78">
        <f t="shared" si="310"/>
        <v>0</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2017</v>
      </c>
      <c r="B638" s="73" t="str">
        <f t="shared" si="282"/>
        <v>Nov</v>
      </c>
      <c r="C638" s="74">
        <f t="shared" si="305"/>
        <v>16</v>
      </c>
      <c r="D638" s="75">
        <f t="shared" si="283"/>
        <v>18</v>
      </c>
      <c r="E638" s="76">
        <f t="shared" si="284"/>
        <v>53</v>
      </c>
      <c r="F638" s="80"/>
      <c r="G638" s="83"/>
      <c r="H638" s="69" t="str">
        <f t="shared" si="306"/>
        <v>Lacine7_20171116_18_00</v>
      </c>
      <c r="I638" s="70">
        <f t="shared" si="310"/>
        <v>1</v>
      </c>
      <c r="J638" s="77" t="str">
        <f t="shared" si="310"/>
        <v>Lactuca</v>
      </c>
      <c r="K638" s="77" t="str">
        <f t="shared" si="310"/>
        <v>inermis</v>
      </c>
      <c r="L638" s="78">
        <f t="shared" si="310"/>
        <v>7</v>
      </c>
      <c r="M638" s="78">
        <f t="shared" si="310"/>
        <v>0</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2017</v>
      </c>
      <c r="B639" s="73" t="str">
        <f t="shared" si="282"/>
        <v>Nov</v>
      </c>
      <c r="C639" s="74">
        <f t="shared" si="305"/>
        <v>16</v>
      </c>
      <c r="D639" s="75">
        <f t="shared" si="283"/>
        <v>18</v>
      </c>
      <c r="E639" s="76">
        <f t="shared" si="284"/>
        <v>54</v>
      </c>
      <c r="F639" s="80"/>
      <c r="G639" s="83"/>
      <c r="H639" s="69" t="str">
        <f t="shared" si="306"/>
        <v>Lacine7_20171116_18_00</v>
      </c>
      <c r="I639" s="70">
        <f t="shared" si="310"/>
        <v>1</v>
      </c>
      <c r="J639" s="77" t="str">
        <f t="shared" si="310"/>
        <v>Lactuca</v>
      </c>
      <c r="K639" s="77" t="str">
        <f t="shared" si="310"/>
        <v>inermis</v>
      </c>
      <c r="L639" s="78">
        <f t="shared" si="310"/>
        <v>7</v>
      </c>
      <c r="M639" s="78">
        <f t="shared" si="310"/>
        <v>0</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2017</v>
      </c>
      <c r="B640" s="73" t="str">
        <f t="shared" si="282"/>
        <v>Nov</v>
      </c>
      <c r="C640" s="74">
        <f t="shared" si="305"/>
        <v>16</v>
      </c>
      <c r="D640" s="75">
        <f t="shared" si="283"/>
        <v>18</v>
      </c>
      <c r="E640" s="76">
        <f t="shared" si="284"/>
        <v>55</v>
      </c>
      <c r="F640" s="80"/>
      <c r="G640" s="83"/>
      <c r="H640" s="69" t="str">
        <f t="shared" si="306"/>
        <v>Lacine7_20171116_18_00</v>
      </c>
      <c r="I640" s="70">
        <f t="shared" si="310"/>
        <v>1</v>
      </c>
      <c r="J640" s="77" t="str">
        <f t="shared" si="310"/>
        <v>Lactuca</v>
      </c>
      <c r="K640" s="77" t="str">
        <f t="shared" si="310"/>
        <v>inermis</v>
      </c>
      <c r="L640" s="78">
        <f t="shared" si="310"/>
        <v>7</v>
      </c>
      <c r="M640" s="78">
        <f t="shared" si="310"/>
        <v>0</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2017</v>
      </c>
      <c r="B641" s="73" t="str">
        <f t="shared" si="282"/>
        <v>Nov</v>
      </c>
      <c r="C641" s="74">
        <f t="shared" si="305"/>
        <v>16</v>
      </c>
      <c r="D641" s="75">
        <f t="shared" si="283"/>
        <v>18</v>
      </c>
      <c r="E641" s="76">
        <f t="shared" si="284"/>
        <v>56</v>
      </c>
      <c r="F641" s="80"/>
      <c r="G641" s="83"/>
      <c r="H641" s="69" t="str">
        <f t="shared" si="306"/>
        <v>Lacine7_20171116_18_00</v>
      </c>
      <c r="I641" s="70">
        <f t="shared" si="310"/>
        <v>1</v>
      </c>
      <c r="J641" s="77" t="str">
        <f t="shared" si="310"/>
        <v>Lactuca</v>
      </c>
      <c r="K641" s="77" t="str">
        <f t="shared" si="310"/>
        <v>inermis</v>
      </c>
      <c r="L641" s="78">
        <f t="shared" si="310"/>
        <v>7</v>
      </c>
      <c r="M641" s="78">
        <f t="shared" si="310"/>
        <v>0</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2017</v>
      </c>
      <c r="B642" s="73" t="str">
        <f t="shared" si="282"/>
        <v>Nov</v>
      </c>
      <c r="C642" s="74">
        <f t="shared" si="305"/>
        <v>16</v>
      </c>
      <c r="D642" s="75">
        <f t="shared" si="283"/>
        <v>18</v>
      </c>
      <c r="E642" s="76">
        <f t="shared" si="284"/>
        <v>57</v>
      </c>
      <c r="F642" s="80"/>
      <c r="G642" s="83"/>
      <c r="H642" s="69" t="str">
        <f t="shared" si="306"/>
        <v>Lacine7_20171116_18_00</v>
      </c>
      <c r="I642" s="70">
        <f t="shared" si="310"/>
        <v>1</v>
      </c>
      <c r="J642" s="77" t="str">
        <f t="shared" si="310"/>
        <v>Lactuca</v>
      </c>
      <c r="K642" s="77" t="str">
        <f t="shared" si="310"/>
        <v>inermis</v>
      </c>
      <c r="L642" s="78">
        <f t="shared" si="310"/>
        <v>7</v>
      </c>
      <c r="M642" s="78">
        <f t="shared" si="310"/>
        <v>0</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2017</v>
      </c>
      <c r="B643" s="73" t="str">
        <f t="shared" si="282"/>
        <v>Nov</v>
      </c>
      <c r="C643" s="74">
        <f t="shared" si="305"/>
        <v>16</v>
      </c>
      <c r="D643" s="75">
        <f t="shared" si="283"/>
        <v>18</v>
      </c>
      <c r="E643" s="76">
        <f t="shared" si="284"/>
        <v>58</v>
      </c>
      <c r="F643" s="80"/>
      <c r="G643" s="83"/>
      <c r="H643" s="69" t="str">
        <f t="shared" si="306"/>
        <v>Lacine7_20171116_18_00</v>
      </c>
      <c r="I643" s="70">
        <f t="shared" si="310"/>
        <v>1</v>
      </c>
      <c r="J643" s="77" t="str">
        <f t="shared" si="310"/>
        <v>Lactuca</v>
      </c>
      <c r="K643" s="77" t="str">
        <f t="shared" si="310"/>
        <v>inermis</v>
      </c>
      <c r="L643" s="78">
        <f t="shared" si="310"/>
        <v>7</v>
      </c>
      <c r="M643" s="78">
        <f t="shared" si="310"/>
        <v>0</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2017</v>
      </c>
      <c r="B644" s="73" t="str">
        <f t="shared" ref="B644:B707" si="313">IF(C643-C644&gt;0, TEXT(DATE(2016,(MONTH(DATEVALUE(B643&amp;"1"))+1),1),"mmm"), B643)</f>
        <v>Nov</v>
      </c>
      <c r="C644" s="74">
        <f t="shared" si="305"/>
        <v>16</v>
      </c>
      <c r="D644" s="75">
        <f t="shared" ref="D644:D707" si="314">IF(IF(E643=59,D643+1,D643)=24,0,IF(E643=59,D643+1,D643))</f>
        <v>18</v>
      </c>
      <c r="E644" s="76">
        <f t="shared" ref="E644:E707" si="315">IF(E643&lt;59,E643+1,0)</f>
        <v>59</v>
      </c>
      <c r="F644" s="80"/>
      <c r="G644" s="83"/>
      <c r="H644" s="69" t="str">
        <f t="shared" si="306"/>
        <v>Lacine7_20171116_18_00</v>
      </c>
      <c r="I644" s="70">
        <f t="shared" si="310"/>
        <v>1</v>
      </c>
      <c r="J644" s="77" t="str">
        <f t="shared" si="310"/>
        <v>Lactuca</v>
      </c>
      <c r="K644" s="77" t="str">
        <f t="shared" si="310"/>
        <v>inermis</v>
      </c>
      <c r="L644" s="78">
        <f t="shared" si="310"/>
        <v>7</v>
      </c>
      <c r="M644" s="78">
        <f t="shared" si="310"/>
        <v>0</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2017</v>
      </c>
      <c r="B645" s="73" t="str">
        <f t="shared" si="313"/>
        <v>Nov</v>
      </c>
      <c r="C645" s="74">
        <f t="shared" ref="C645:C708" si="336">IF(AND(D645=0, E645=0), IF(TEXT(C644,"dd")=TEXT(EOMONTH(DATE(A644,MONTH(DATEVALUE(B644&amp;"1")),C644),0), "dd"), 1, C644+1), C644)</f>
        <v>16</v>
      </c>
      <c r="D645" s="75">
        <f t="shared" si="314"/>
        <v>19</v>
      </c>
      <c r="E645" s="76">
        <f t="shared" si="315"/>
        <v>0</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Lacine7_20171116_19_00</v>
      </c>
      <c r="I645" s="70">
        <f t="shared" ref="I645:N660" si="338">I644</f>
        <v>1</v>
      </c>
      <c r="J645" s="77" t="str">
        <f t="shared" si="338"/>
        <v>Lactuca</v>
      </c>
      <c r="K645" s="77" t="str">
        <f t="shared" si="338"/>
        <v>inermis</v>
      </c>
      <c r="L645" s="78">
        <f t="shared" si="338"/>
        <v>7</v>
      </c>
      <c r="M645" s="78">
        <f t="shared" si="338"/>
        <v>0</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2017</v>
      </c>
      <c r="B646" s="73" t="str">
        <f t="shared" si="313"/>
        <v>Nov</v>
      </c>
      <c r="C646" s="74">
        <f t="shared" si="336"/>
        <v>16</v>
      </c>
      <c r="D646" s="75">
        <f t="shared" si="314"/>
        <v>19</v>
      </c>
      <c r="E646" s="76">
        <f t="shared" si="315"/>
        <v>1</v>
      </c>
      <c r="F646" s="80"/>
      <c r="G646" s="83"/>
      <c r="H646" s="69" t="str">
        <f t="shared" si="337"/>
        <v>Lacine7_20171116_19_00</v>
      </c>
      <c r="I646" s="70">
        <f t="shared" si="338"/>
        <v>1</v>
      </c>
      <c r="J646" s="77" t="str">
        <f t="shared" si="338"/>
        <v>Lactuca</v>
      </c>
      <c r="K646" s="77" t="str">
        <f t="shared" si="338"/>
        <v>inermis</v>
      </c>
      <c r="L646" s="78">
        <f t="shared" si="338"/>
        <v>7</v>
      </c>
      <c r="M646" s="78">
        <f t="shared" si="338"/>
        <v>0</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2017</v>
      </c>
      <c r="B647" s="73" t="str">
        <f t="shared" si="313"/>
        <v>Nov</v>
      </c>
      <c r="C647" s="74">
        <f t="shared" si="336"/>
        <v>16</v>
      </c>
      <c r="D647" s="75">
        <f t="shared" si="314"/>
        <v>19</v>
      </c>
      <c r="E647" s="76">
        <f t="shared" si="315"/>
        <v>2</v>
      </c>
      <c r="F647" s="80"/>
      <c r="G647" s="83"/>
      <c r="H647" s="69" t="str">
        <f t="shared" si="337"/>
        <v>Lacine7_20171116_19_00</v>
      </c>
      <c r="I647" s="70">
        <f t="shared" si="338"/>
        <v>1</v>
      </c>
      <c r="J647" s="77" t="str">
        <f t="shared" si="338"/>
        <v>Lactuca</v>
      </c>
      <c r="K647" s="77" t="str">
        <f t="shared" si="338"/>
        <v>inermis</v>
      </c>
      <c r="L647" s="78">
        <f t="shared" si="338"/>
        <v>7</v>
      </c>
      <c r="M647" s="78">
        <f t="shared" si="338"/>
        <v>0</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2017</v>
      </c>
      <c r="B648" s="73" t="str">
        <f t="shared" si="313"/>
        <v>Nov</v>
      </c>
      <c r="C648" s="74">
        <f t="shared" si="336"/>
        <v>16</v>
      </c>
      <c r="D648" s="75">
        <f t="shared" si="314"/>
        <v>19</v>
      </c>
      <c r="E648" s="76">
        <f t="shared" si="315"/>
        <v>3</v>
      </c>
      <c r="F648" s="80"/>
      <c r="G648" s="83"/>
      <c r="H648" s="69" t="str">
        <f t="shared" si="337"/>
        <v>Lacine7_20171116_19_00</v>
      </c>
      <c r="I648" s="70">
        <f t="shared" si="338"/>
        <v>1</v>
      </c>
      <c r="J648" s="77" t="str">
        <f t="shared" si="338"/>
        <v>Lactuca</v>
      </c>
      <c r="K648" s="77" t="str">
        <f t="shared" si="338"/>
        <v>inermis</v>
      </c>
      <c r="L648" s="78">
        <f t="shared" si="338"/>
        <v>7</v>
      </c>
      <c r="M648" s="78">
        <f t="shared" si="338"/>
        <v>0</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2017</v>
      </c>
      <c r="B649" s="73" t="str">
        <f t="shared" si="313"/>
        <v>Nov</v>
      </c>
      <c r="C649" s="74">
        <f t="shared" si="336"/>
        <v>16</v>
      </c>
      <c r="D649" s="75">
        <f t="shared" si="314"/>
        <v>19</v>
      </c>
      <c r="E649" s="76">
        <f t="shared" si="315"/>
        <v>4</v>
      </c>
      <c r="F649" s="80"/>
      <c r="G649" s="83"/>
      <c r="H649" s="69" t="str">
        <f t="shared" si="337"/>
        <v>Lacine7_20171116_19_00</v>
      </c>
      <c r="I649" s="70">
        <f t="shared" si="338"/>
        <v>1</v>
      </c>
      <c r="J649" s="77" t="str">
        <f t="shared" si="338"/>
        <v>Lactuca</v>
      </c>
      <c r="K649" s="77" t="str">
        <f t="shared" si="338"/>
        <v>inermis</v>
      </c>
      <c r="L649" s="78">
        <f t="shared" si="338"/>
        <v>7</v>
      </c>
      <c r="M649" s="78">
        <f t="shared" si="338"/>
        <v>0</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2017</v>
      </c>
      <c r="B650" s="73" t="str">
        <f t="shared" si="313"/>
        <v>Nov</v>
      </c>
      <c r="C650" s="74">
        <f t="shared" si="336"/>
        <v>16</v>
      </c>
      <c r="D650" s="75">
        <f t="shared" si="314"/>
        <v>19</v>
      </c>
      <c r="E650" s="76">
        <f t="shared" si="315"/>
        <v>5</v>
      </c>
      <c r="F650" s="80"/>
      <c r="G650" s="83"/>
      <c r="H650" s="69" t="str">
        <f t="shared" si="337"/>
        <v>Lacine7_20171116_19_00</v>
      </c>
      <c r="I650" s="70">
        <f t="shared" si="338"/>
        <v>1</v>
      </c>
      <c r="J650" s="77" t="str">
        <f t="shared" si="338"/>
        <v>Lactuca</v>
      </c>
      <c r="K650" s="77" t="str">
        <f t="shared" si="338"/>
        <v>inermis</v>
      </c>
      <c r="L650" s="78">
        <f t="shared" si="338"/>
        <v>7</v>
      </c>
      <c r="M650" s="78">
        <f t="shared" si="338"/>
        <v>0</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2017</v>
      </c>
      <c r="B651" s="73" t="str">
        <f t="shared" si="313"/>
        <v>Nov</v>
      </c>
      <c r="C651" s="74">
        <f t="shared" si="336"/>
        <v>16</v>
      </c>
      <c r="D651" s="75">
        <f t="shared" si="314"/>
        <v>19</v>
      </c>
      <c r="E651" s="76">
        <f t="shared" si="315"/>
        <v>6</v>
      </c>
      <c r="F651" s="80"/>
      <c r="G651" s="83"/>
      <c r="H651" s="69" t="str">
        <f t="shared" si="337"/>
        <v>Lacine7_20171116_19_00</v>
      </c>
      <c r="I651" s="70">
        <f t="shared" si="338"/>
        <v>1</v>
      </c>
      <c r="J651" s="77" t="str">
        <f t="shared" si="338"/>
        <v>Lactuca</v>
      </c>
      <c r="K651" s="77" t="str">
        <f t="shared" si="338"/>
        <v>inermis</v>
      </c>
      <c r="L651" s="78">
        <f t="shared" si="338"/>
        <v>7</v>
      </c>
      <c r="M651" s="78">
        <f t="shared" si="338"/>
        <v>0</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2017</v>
      </c>
      <c r="B652" s="73" t="str">
        <f t="shared" si="313"/>
        <v>Nov</v>
      </c>
      <c r="C652" s="74">
        <f t="shared" si="336"/>
        <v>16</v>
      </c>
      <c r="D652" s="75">
        <f t="shared" si="314"/>
        <v>19</v>
      </c>
      <c r="E652" s="76">
        <f t="shared" si="315"/>
        <v>7</v>
      </c>
      <c r="F652" s="80"/>
      <c r="G652" s="83"/>
      <c r="H652" s="69" t="str">
        <f t="shared" si="337"/>
        <v>Lacine7_20171116_19_00</v>
      </c>
      <c r="I652" s="70">
        <f t="shared" si="338"/>
        <v>1</v>
      </c>
      <c r="J652" s="77" t="str">
        <f t="shared" si="338"/>
        <v>Lactuca</v>
      </c>
      <c r="K652" s="77" t="str">
        <f t="shared" si="338"/>
        <v>inermis</v>
      </c>
      <c r="L652" s="78">
        <f t="shared" si="338"/>
        <v>7</v>
      </c>
      <c r="M652" s="78">
        <f t="shared" si="338"/>
        <v>0</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2017</v>
      </c>
      <c r="B653" s="73" t="str">
        <f t="shared" si="313"/>
        <v>Nov</v>
      </c>
      <c r="C653" s="74">
        <f t="shared" si="336"/>
        <v>16</v>
      </c>
      <c r="D653" s="75">
        <f t="shared" si="314"/>
        <v>19</v>
      </c>
      <c r="E653" s="76">
        <f t="shared" si="315"/>
        <v>8</v>
      </c>
      <c r="F653" s="80"/>
      <c r="G653" s="83"/>
      <c r="H653" s="69" t="str">
        <f t="shared" si="337"/>
        <v>Lacine7_20171116_19_00</v>
      </c>
      <c r="I653" s="70">
        <f t="shared" si="338"/>
        <v>1</v>
      </c>
      <c r="J653" s="77" t="str">
        <f t="shared" si="338"/>
        <v>Lactuca</v>
      </c>
      <c r="K653" s="77" t="str">
        <f t="shared" si="338"/>
        <v>inermis</v>
      </c>
      <c r="L653" s="78">
        <f t="shared" si="338"/>
        <v>7</v>
      </c>
      <c r="M653" s="78">
        <f t="shared" si="338"/>
        <v>0</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2017</v>
      </c>
      <c r="B654" s="73" t="str">
        <f t="shared" si="313"/>
        <v>Nov</v>
      </c>
      <c r="C654" s="74">
        <f t="shared" si="336"/>
        <v>16</v>
      </c>
      <c r="D654" s="75">
        <f t="shared" si="314"/>
        <v>19</v>
      </c>
      <c r="E654" s="76">
        <f t="shared" si="315"/>
        <v>9</v>
      </c>
      <c r="F654" s="80"/>
      <c r="G654" s="83"/>
      <c r="H654" s="69" t="str">
        <f t="shared" si="337"/>
        <v>Lacine7_20171116_19_00</v>
      </c>
      <c r="I654" s="70">
        <f t="shared" si="338"/>
        <v>1</v>
      </c>
      <c r="J654" s="77" t="str">
        <f t="shared" si="338"/>
        <v>Lactuca</v>
      </c>
      <c r="K654" s="77" t="str">
        <f t="shared" si="338"/>
        <v>inermis</v>
      </c>
      <c r="L654" s="78">
        <f t="shared" si="338"/>
        <v>7</v>
      </c>
      <c r="M654" s="78">
        <f t="shared" si="338"/>
        <v>0</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2017</v>
      </c>
      <c r="B655" s="73" t="str">
        <f t="shared" si="313"/>
        <v>Nov</v>
      </c>
      <c r="C655" s="74">
        <f t="shared" si="336"/>
        <v>16</v>
      </c>
      <c r="D655" s="75">
        <f t="shared" si="314"/>
        <v>19</v>
      </c>
      <c r="E655" s="76">
        <f t="shared" si="315"/>
        <v>10</v>
      </c>
      <c r="F655" s="80"/>
      <c r="G655" s="83"/>
      <c r="H655" s="69" t="str">
        <f t="shared" si="337"/>
        <v>Lacine7_20171116_19_00</v>
      </c>
      <c r="I655" s="70">
        <f t="shared" si="338"/>
        <v>1</v>
      </c>
      <c r="J655" s="77" t="str">
        <f t="shared" si="338"/>
        <v>Lactuca</v>
      </c>
      <c r="K655" s="77" t="str">
        <f t="shared" si="338"/>
        <v>inermis</v>
      </c>
      <c r="L655" s="78">
        <f t="shared" si="338"/>
        <v>7</v>
      </c>
      <c r="M655" s="78">
        <f t="shared" si="338"/>
        <v>0</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2017</v>
      </c>
      <c r="B656" s="73" t="str">
        <f t="shared" si="313"/>
        <v>Nov</v>
      </c>
      <c r="C656" s="74">
        <f t="shared" si="336"/>
        <v>16</v>
      </c>
      <c r="D656" s="75">
        <f t="shared" si="314"/>
        <v>19</v>
      </c>
      <c r="E656" s="76">
        <f t="shared" si="315"/>
        <v>11</v>
      </c>
      <c r="F656" s="80"/>
      <c r="G656" s="83"/>
      <c r="H656" s="69" t="str">
        <f t="shared" si="337"/>
        <v>Lacine7_20171116_19_00</v>
      </c>
      <c r="I656" s="70">
        <f t="shared" si="338"/>
        <v>1</v>
      </c>
      <c r="J656" s="77" t="str">
        <f t="shared" si="338"/>
        <v>Lactuca</v>
      </c>
      <c r="K656" s="77" t="str">
        <f t="shared" si="338"/>
        <v>inermis</v>
      </c>
      <c r="L656" s="78">
        <f t="shared" si="338"/>
        <v>7</v>
      </c>
      <c r="M656" s="78">
        <f t="shared" si="338"/>
        <v>0</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2017</v>
      </c>
      <c r="B657" s="73" t="str">
        <f t="shared" si="313"/>
        <v>Nov</v>
      </c>
      <c r="C657" s="74">
        <f t="shared" si="336"/>
        <v>16</v>
      </c>
      <c r="D657" s="75">
        <f t="shared" si="314"/>
        <v>19</v>
      </c>
      <c r="E657" s="76">
        <f t="shared" si="315"/>
        <v>12</v>
      </c>
      <c r="F657" s="80"/>
      <c r="G657" s="83"/>
      <c r="H657" s="69" t="str">
        <f t="shared" si="337"/>
        <v>Lacine7_20171116_19_00</v>
      </c>
      <c r="I657" s="70">
        <f t="shared" si="338"/>
        <v>1</v>
      </c>
      <c r="J657" s="77" t="str">
        <f t="shared" si="338"/>
        <v>Lactuca</v>
      </c>
      <c r="K657" s="77" t="str">
        <f t="shared" si="338"/>
        <v>inermis</v>
      </c>
      <c r="L657" s="78">
        <f t="shared" si="338"/>
        <v>7</v>
      </c>
      <c r="M657" s="78">
        <f t="shared" si="338"/>
        <v>0</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2017</v>
      </c>
      <c r="B658" s="73" t="str">
        <f t="shared" si="313"/>
        <v>Nov</v>
      </c>
      <c r="C658" s="74">
        <f t="shared" si="336"/>
        <v>16</v>
      </c>
      <c r="D658" s="75">
        <f t="shared" si="314"/>
        <v>19</v>
      </c>
      <c r="E658" s="76">
        <f t="shared" si="315"/>
        <v>13</v>
      </c>
      <c r="F658" s="80"/>
      <c r="G658" s="83"/>
      <c r="H658" s="69" t="str">
        <f t="shared" si="337"/>
        <v>Lacine7_20171116_19_00</v>
      </c>
      <c r="I658" s="70">
        <f t="shared" si="338"/>
        <v>1</v>
      </c>
      <c r="J658" s="77" t="str">
        <f t="shared" si="338"/>
        <v>Lactuca</v>
      </c>
      <c r="K658" s="77" t="str">
        <f t="shared" si="338"/>
        <v>inermis</v>
      </c>
      <c r="L658" s="78">
        <f t="shared" si="338"/>
        <v>7</v>
      </c>
      <c r="M658" s="78">
        <f t="shared" si="338"/>
        <v>0</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2017</v>
      </c>
      <c r="B659" s="73" t="str">
        <f t="shared" si="313"/>
        <v>Nov</v>
      </c>
      <c r="C659" s="74">
        <f t="shared" si="336"/>
        <v>16</v>
      </c>
      <c r="D659" s="75">
        <f t="shared" si="314"/>
        <v>19</v>
      </c>
      <c r="E659" s="76">
        <f t="shared" si="315"/>
        <v>14</v>
      </c>
      <c r="F659" s="80"/>
      <c r="G659" s="83"/>
      <c r="H659" s="69" t="str">
        <f t="shared" si="337"/>
        <v>Lacine7_20171116_19_00</v>
      </c>
      <c r="I659" s="70">
        <f t="shared" si="338"/>
        <v>1</v>
      </c>
      <c r="J659" s="77" t="str">
        <f t="shared" si="338"/>
        <v>Lactuca</v>
      </c>
      <c r="K659" s="77" t="str">
        <f t="shared" si="338"/>
        <v>inermis</v>
      </c>
      <c r="L659" s="78">
        <f t="shared" si="338"/>
        <v>7</v>
      </c>
      <c r="M659" s="78">
        <f t="shared" si="338"/>
        <v>0</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2017</v>
      </c>
      <c r="B660" s="73" t="str">
        <f t="shared" si="313"/>
        <v>Nov</v>
      </c>
      <c r="C660" s="74">
        <f t="shared" si="336"/>
        <v>16</v>
      </c>
      <c r="D660" s="75">
        <f t="shared" si="314"/>
        <v>19</v>
      </c>
      <c r="E660" s="76">
        <f t="shared" si="315"/>
        <v>15</v>
      </c>
      <c r="F660" s="80"/>
      <c r="G660" s="83"/>
      <c r="H660" s="69" t="str">
        <f t="shared" si="337"/>
        <v>Lacine7_20171116_19_00</v>
      </c>
      <c r="I660" s="70">
        <f t="shared" si="338"/>
        <v>1</v>
      </c>
      <c r="J660" s="77" t="str">
        <f t="shared" si="338"/>
        <v>Lactuca</v>
      </c>
      <c r="K660" s="77" t="str">
        <f t="shared" si="338"/>
        <v>inermis</v>
      </c>
      <c r="L660" s="78">
        <f t="shared" si="338"/>
        <v>7</v>
      </c>
      <c r="M660" s="78">
        <f t="shared" si="338"/>
        <v>0</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2017</v>
      </c>
      <c r="B661" s="73" t="str">
        <f t="shared" si="313"/>
        <v>Nov</v>
      </c>
      <c r="C661" s="74">
        <f t="shared" si="336"/>
        <v>16</v>
      </c>
      <c r="D661" s="75">
        <f t="shared" si="314"/>
        <v>19</v>
      </c>
      <c r="E661" s="76">
        <f t="shared" si="315"/>
        <v>16</v>
      </c>
      <c r="F661" s="80"/>
      <c r="G661" s="83"/>
      <c r="H661" s="69" t="str">
        <f t="shared" si="337"/>
        <v>Lacine7_20171116_19_00</v>
      </c>
      <c r="I661" s="70">
        <f t="shared" ref="I661:N676" si="339">I660</f>
        <v>1</v>
      </c>
      <c r="J661" s="77" t="str">
        <f t="shared" si="339"/>
        <v>Lactuca</v>
      </c>
      <c r="K661" s="77" t="str">
        <f t="shared" si="339"/>
        <v>inermis</v>
      </c>
      <c r="L661" s="78">
        <f t="shared" si="339"/>
        <v>7</v>
      </c>
      <c r="M661" s="78">
        <f t="shared" si="339"/>
        <v>0</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2017</v>
      </c>
      <c r="B662" s="73" t="str">
        <f t="shared" si="313"/>
        <v>Nov</v>
      </c>
      <c r="C662" s="74">
        <f t="shared" si="336"/>
        <v>16</v>
      </c>
      <c r="D662" s="75">
        <f t="shared" si="314"/>
        <v>19</v>
      </c>
      <c r="E662" s="76">
        <f t="shared" si="315"/>
        <v>17</v>
      </c>
      <c r="F662" s="80"/>
      <c r="G662" s="83"/>
      <c r="H662" s="69" t="str">
        <f t="shared" si="337"/>
        <v>Lacine7_20171116_19_00</v>
      </c>
      <c r="I662" s="70">
        <f t="shared" si="339"/>
        <v>1</v>
      </c>
      <c r="J662" s="77" t="str">
        <f t="shared" si="339"/>
        <v>Lactuca</v>
      </c>
      <c r="K662" s="77" t="str">
        <f t="shared" si="339"/>
        <v>inermis</v>
      </c>
      <c r="L662" s="78">
        <f t="shared" si="339"/>
        <v>7</v>
      </c>
      <c r="M662" s="78">
        <f t="shared" si="339"/>
        <v>0</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2017</v>
      </c>
      <c r="B663" s="73" t="str">
        <f t="shared" si="313"/>
        <v>Nov</v>
      </c>
      <c r="C663" s="74">
        <f t="shared" si="336"/>
        <v>16</v>
      </c>
      <c r="D663" s="75">
        <f t="shared" si="314"/>
        <v>19</v>
      </c>
      <c r="E663" s="76">
        <f t="shared" si="315"/>
        <v>18</v>
      </c>
      <c r="F663" s="80"/>
      <c r="G663" s="83"/>
      <c r="H663" s="69" t="str">
        <f t="shared" si="337"/>
        <v>Lacine7_20171116_19_00</v>
      </c>
      <c r="I663" s="70">
        <f t="shared" si="339"/>
        <v>1</v>
      </c>
      <c r="J663" s="77" t="str">
        <f t="shared" si="339"/>
        <v>Lactuca</v>
      </c>
      <c r="K663" s="77" t="str">
        <f t="shared" si="339"/>
        <v>inermis</v>
      </c>
      <c r="L663" s="78">
        <f t="shared" si="339"/>
        <v>7</v>
      </c>
      <c r="M663" s="78">
        <f t="shared" si="339"/>
        <v>0</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2017</v>
      </c>
      <c r="B664" s="73" t="str">
        <f t="shared" si="313"/>
        <v>Nov</v>
      </c>
      <c r="C664" s="74">
        <f t="shared" si="336"/>
        <v>16</v>
      </c>
      <c r="D664" s="75">
        <f t="shared" si="314"/>
        <v>19</v>
      </c>
      <c r="E664" s="76">
        <f t="shared" si="315"/>
        <v>19</v>
      </c>
      <c r="F664" s="80"/>
      <c r="G664" s="83"/>
      <c r="H664" s="69" t="str">
        <f t="shared" si="337"/>
        <v>Lacine7_20171116_19_00</v>
      </c>
      <c r="I664" s="70">
        <f t="shared" si="339"/>
        <v>1</v>
      </c>
      <c r="J664" s="77" t="str">
        <f t="shared" si="339"/>
        <v>Lactuca</v>
      </c>
      <c r="K664" s="77" t="str">
        <f t="shared" si="339"/>
        <v>inermis</v>
      </c>
      <c r="L664" s="78">
        <f t="shared" si="339"/>
        <v>7</v>
      </c>
      <c r="M664" s="78">
        <f t="shared" si="339"/>
        <v>0</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2017</v>
      </c>
      <c r="B665" s="73" t="str">
        <f t="shared" si="313"/>
        <v>Nov</v>
      </c>
      <c r="C665" s="74">
        <f t="shared" si="336"/>
        <v>16</v>
      </c>
      <c r="D665" s="75">
        <f t="shared" si="314"/>
        <v>19</v>
      </c>
      <c r="E665" s="76">
        <f t="shared" si="315"/>
        <v>20</v>
      </c>
      <c r="F665" s="80"/>
      <c r="G665" s="83"/>
      <c r="H665" s="69" t="str">
        <f t="shared" si="337"/>
        <v>Lacine7_20171116_19_00</v>
      </c>
      <c r="I665" s="70">
        <f t="shared" si="339"/>
        <v>1</v>
      </c>
      <c r="J665" s="77" t="str">
        <f t="shared" si="339"/>
        <v>Lactuca</v>
      </c>
      <c r="K665" s="77" t="str">
        <f t="shared" si="339"/>
        <v>inermis</v>
      </c>
      <c r="L665" s="78">
        <f t="shared" si="339"/>
        <v>7</v>
      </c>
      <c r="M665" s="78">
        <f t="shared" si="339"/>
        <v>0</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2017</v>
      </c>
      <c r="B666" s="73" t="str">
        <f t="shared" si="313"/>
        <v>Nov</v>
      </c>
      <c r="C666" s="74">
        <f t="shared" si="336"/>
        <v>16</v>
      </c>
      <c r="D666" s="75">
        <f t="shared" si="314"/>
        <v>19</v>
      </c>
      <c r="E666" s="76">
        <f t="shared" si="315"/>
        <v>21</v>
      </c>
      <c r="F666" s="80"/>
      <c r="G666" s="83"/>
      <c r="H666" s="69" t="str">
        <f t="shared" si="337"/>
        <v>Lacine7_20171116_19_00</v>
      </c>
      <c r="I666" s="70">
        <f t="shared" si="339"/>
        <v>1</v>
      </c>
      <c r="J666" s="77" t="str">
        <f t="shared" si="339"/>
        <v>Lactuca</v>
      </c>
      <c r="K666" s="77" t="str">
        <f t="shared" si="339"/>
        <v>inermis</v>
      </c>
      <c r="L666" s="78">
        <f t="shared" si="339"/>
        <v>7</v>
      </c>
      <c r="M666" s="78">
        <f t="shared" si="339"/>
        <v>0</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2017</v>
      </c>
      <c r="B667" s="73" t="str">
        <f t="shared" si="313"/>
        <v>Nov</v>
      </c>
      <c r="C667" s="74">
        <f t="shared" si="336"/>
        <v>16</v>
      </c>
      <c r="D667" s="75">
        <f t="shared" si="314"/>
        <v>19</v>
      </c>
      <c r="E667" s="76">
        <f t="shared" si="315"/>
        <v>22</v>
      </c>
      <c r="F667" s="80"/>
      <c r="G667" s="83"/>
      <c r="H667" s="69" t="str">
        <f t="shared" si="337"/>
        <v>Lacine7_20171116_19_00</v>
      </c>
      <c r="I667" s="70">
        <f t="shared" si="339"/>
        <v>1</v>
      </c>
      <c r="J667" s="77" t="str">
        <f t="shared" si="339"/>
        <v>Lactuca</v>
      </c>
      <c r="K667" s="77" t="str">
        <f t="shared" si="339"/>
        <v>inermis</v>
      </c>
      <c r="L667" s="78">
        <f t="shared" si="339"/>
        <v>7</v>
      </c>
      <c r="M667" s="78">
        <f t="shared" si="339"/>
        <v>0</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2017</v>
      </c>
      <c r="B668" s="73" t="str">
        <f t="shared" si="313"/>
        <v>Nov</v>
      </c>
      <c r="C668" s="74">
        <f t="shared" si="336"/>
        <v>16</v>
      </c>
      <c r="D668" s="75">
        <f t="shared" si="314"/>
        <v>19</v>
      </c>
      <c r="E668" s="76">
        <f t="shared" si="315"/>
        <v>23</v>
      </c>
      <c r="F668" s="80"/>
      <c r="G668" s="83"/>
      <c r="H668" s="69" t="str">
        <f t="shared" si="337"/>
        <v>Lacine7_20171116_19_00</v>
      </c>
      <c r="I668" s="70">
        <f t="shared" si="339"/>
        <v>1</v>
      </c>
      <c r="J668" s="77" t="str">
        <f t="shared" si="339"/>
        <v>Lactuca</v>
      </c>
      <c r="K668" s="77" t="str">
        <f t="shared" si="339"/>
        <v>inermis</v>
      </c>
      <c r="L668" s="78">
        <f t="shared" si="339"/>
        <v>7</v>
      </c>
      <c r="M668" s="78">
        <f t="shared" si="339"/>
        <v>0</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2017</v>
      </c>
      <c r="B669" s="73" t="str">
        <f t="shared" si="313"/>
        <v>Nov</v>
      </c>
      <c r="C669" s="74">
        <f t="shared" si="336"/>
        <v>16</v>
      </c>
      <c r="D669" s="75">
        <f t="shared" si="314"/>
        <v>19</v>
      </c>
      <c r="E669" s="76">
        <f t="shared" si="315"/>
        <v>24</v>
      </c>
      <c r="F669" s="80"/>
      <c r="G669" s="83"/>
      <c r="H669" s="69" t="str">
        <f t="shared" si="337"/>
        <v>Lacine7_20171116_19_00</v>
      </c>
      <c r="I669" s="70">
        <f t="shared" si="339"/>
        <v>1</v>
      </c>
      <c r="J669" s="77" t="str">
        <f t="shared" si="339"/>
        <v>Lactuca</v>
      </c>
      <c r="K669" s="77" t="str">
        <f t="shared" si="339"/>
        <v>inermis</v>
      </c>
      <c r="L669" s="78">
        <f t="shared" si="339"/>
        <v>7</v>
      </c>
      <c r="M669" s="78">
        <f t="shared" si="339"/>
        <v>0</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2017</v>
      </c>
      <c r="B670" s="73" t="str">
        <f t="shared" si="313"/>
        <v>Nov</v>
      </c>
      <c r="C670" s="74">
        <f t="shared" si="336"/>
        <v>16</v>
      </c>
      <c r="D670" s="75">
        <f t="shared" si="314"/>
        <v>19</v>
      </c>
      <c r="E670" s="76">
        <f t="shared" si="315"/>
        <v>25</v>
      </c>
      <c r="F670" s="80"/>
      <c r="G670" s="83"/>
      <c r="H670" s="69" t="str">
        <f t="shared" si="337"/>
        <v>Lacine7_20171116_19_00</v>
      </c>
      <c r="I670" s="70">
        <f t="shared" si="339"/>
        <v>1</v>
      </c>
      <c r="J670" s="77" t="str">
        <f t="shared" si="339"/>
        <v>Lactuca</v>
      </c>
      <c r="K670" s="77" t="str">
        <f t="shared" si="339"/>
        <v>inermis</v>
      </c>
      <c r="L670" s="78">
        <f t="shared" si="339"/>
        <v>7</v>
      </c>
      <c r="M670" s="78">
        <f t="shared" si="339"/>
        <v>0</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2017</v>
      </c>
      <c r="B671" s="73" t="str">
        <f t="shared" si="313"/>
        <v>Nov</v>
      </c>
      <c r="C671" s="74">
        <f t="shared" si="336"/>
        <v>16</v>
      </c>
      <c r="D671" s="75">
        <f t="shared" si="314"/>
        <v>19</v>
      </c>
      <c r="E671" s="76">
        <f t="shared" si="315"/>
        <v>26</v>
      </c>
      <c r="F671" s="80"/>
      <c r="G671" s="83"/>
      <c r="H671" s="69" t="str">
        <f t="shared" si="337"/>
        <v>Lacine7_20171116_19_00</v>
      </c>
      <c r="I671" s="70">
        <f t="shared" si="339"/>
        <v>1</v>
      </c>
      <c r="J671" s="77" t="str">
        <f t="shared" si="339"/>
        <v>Lactuca</v>
      </c>
      <c r="K671" s="77" t="str">
        <f t="shared" si="339"/>
        <v>inermis</v>
      </c>
      <c r="L671" s="78">
        <f t="shared" si="339"/>
        <v>7</v>
      </c>
      <c r="M671" s="78">
        <f t="shared" si="339"/>
        <v>0</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2017</v>
      </c>
      <c r="B672" s="73" t="str">
        <f t="shared" si="313"/>
        <v>Nov</v>
      </c>
      <c r="C672" s="74">
        <f t="shared" si="336"/>
        <v>16</v>
      </c>
      <c r="D672" s="75">
        <f t="shared" si="314"/>
        <v>19</v>
      </c>
      <c r="E672" s="76">
        <f t="shared" si="315"/>
        <v>27</v>
      </c>
      <c r="F672" s="80"/>
      <c r="G672" s="83"/>
      <c r="H672" s="69" t="str">
        <f t="shared" si="337"/>
        <v>Lacine7_20171116_19_00</v>
      </c>
      <c r="I672" s="70">
        <f t="shared" si="339"/>
        <v>1</v>
      </c>
      <c r="J672" s="77" t="str">
        <f t="shared" si="339"/>
        <v>Lactuca</v>
      </c>
      <c r="K672" s="77" t="str">
        <f t="shared" si="339"/>
        <v>inermis</v>
      </c>
      <c r="L672" s="78">
        <f t="shared" si="339"/>
        <v>7</v>
      </c>
      <c r="M672" s="78">
        <f t="shared" si="339"/>
        <v>0</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2017</v>
      </c>
      <c r="B673" s="73" t="str">
        <f t="shared" si="313"/>
        <v>Nov</v>
      </c>
      <c r="C673" s="74">
        <f t="shared" si="336"/>
        <v>16</v>
      </c>
      <c r="D673" s="75">
        <f t="shared" si="314"/>
        <v>19</v>
      </c>
      <c r="E673" s="76">
        <f t="shared" si="315"/>
        <v>28</v>
      </c>
      <c r="F673" s="80"/>
      <c r="G673" s="83"/>
      <c r="H673" s="69" t="str">
        <f t="shared" si="337"/>
        <v>Lacine7_20171116_19_00</v>
      </c>
      <c r="I673" s="70">
        <f t="shared" si="339"/>
        <v>1</v>
      </c>
      <c r="J673" s="77" t="str">
        <f t="shared" si="339"/>
        <v>Lactuca</v>
      </c>
      <c r="K673" s="77" t="str">
        <f t="shared" si="339"/>
        <v>inermis</v>
      </c>
      <c r="L673" s="78">
        <f t="shared" si="339"/>
        <v>7</v>
      </c>
      <c r="M673" s="78">
        <f t="shared" si="339"/>
        <v>0</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2017</v>
      </c>
      <c r="B674" s="73" t="str">
        <f t="shared" si="313"/>
        <v>Nov</v>
      </c>
      <c r="C674" s="74">
        <f t="shared" si="336"/>
        <v>16</v>
      </c>
      <c r="D674" s="75">
        <f t="shared" si="314"/>
        <v>19</v>
      </c>
      <c r="E674" s="76">
        <f t="shared" si="315"/>
        <v>29</v>
      </c>
      <c r="F674" s="80"/>
      <c r="G674" s="83"/>
      <c r="H674" s="69" t="str">
        <f t="shared" si="337"/>
        <v>Lacine7_20171116_19_00</v>
      </c>
      <c r="I674" s="70">
        <f t="shared" si="339"/>
        <v>1</v>
      </c>
      <c r="J674" s="77" t="str">
        <f t="shared" si="339"/>
        <v>Lactuca</v>
      </c>
      <c r="K674" s="77" t="str">
        <f t="shared" si="339"/>
        <v>inermis</v>
      </c>
      <c r="L674" s="78">
        <f t="shared" si="339"/>
        <v>7</v>
      </c>
      <c r="M674" s="78">
        <f t="shared" si="339"/>
        <v>0</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2017</v>
      </c>
      <c r="B675" s="73" t="str">
        <f t="shared" si="313"/>
        <v>Nov</v>
      </c>
      <c r="C675" s="74">
        <f t="shared" si="336"/>
        <v>16</v>
      </c>
      <c r="D675" s="75">
        <f t="shared" si="314"/>
        <v>19</v>
      </c>
      <c r="E675" s="76">
        <f t="shared" si="315"/>
        <v>30</v>
      </c>
      <c r="F675" s="80"/>
      <c r="G675" s="83"/>
      <c r="H675" s="69" t="str">
        <f t="shared" si="337"/>
        <v>Lacine7_20171116_19_00</v>
      </c>
      <c r="I675" s="70">
        <f t="shared" si="339"/>
        <v>1</v>
      </c>
      <c r="J675" s="77" t="str">
        <f t="shared" si="339"/>
        <v>Lactuca</v>
      </c>
      <c r="K675" s="77" t="str">
        <f t="shared" si="339"/>
        <v>inermis</v>
      </c>
      <c r="L675" s="78">
        <f t="shared" si="339"/>
        <v>7</v>
      </c>
      <c r="M675" s="78">
        <f t="shared" si="339"/>
        <v>0</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2017</v>
      </c>
      <c r="B676" s="73" t="str">
        <f t="shared" si="313"/>
        <v>Nov</v>
      </c>
      <c r="C676" s="74">
        <f t="shared" si="336"/>
        <v>16</v>
      </c>
      <c r="D676" s="75">
        <f t="shared" si="314"/>
        <v>19</v>
      </c>
      <c r="E676" s="76">
        <f t="shared" si="315"/>
        <v>31</v>
      </c>
      <c r="F676" s="80"/>
      <c r="G676" s="83"/>
      <c r="H676" s="69" t="str">
        <f t="shared" si="337"/>
        <v>Lacine7_20171116_19_00</v>
      </c>
      <c r="I676" s="70">
        <f t="shared" si="339"/>
        <v>1</v>
      </c>
      <c r="J676" s="77" t="str">
        <f t="shared" si="339"/>
        <v>Lactuca</v>
      </c>
      <c r="K676" s="77" t="str">
        <f t="shared" si="339"/>
        <v>inermis</v>
      </c>
      <c r="L676" s="78">
        <f t="shared" si="339"/>
        <v>7</v>
      </c>
      <c r="M676" s="78">
        <f t="shared" si="339"/>
        <v>0</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2017</v>
      </c>
      <c r="B677" s="73" t="str">
        <f t="shared" si="313"/>
        <v>Nov</v>
      </c>
      <c r="C677" s="74">
        <f t="shared" si="336"/>
        <v>16</v>
      </c>
      <c r="D677" s="75">
        <f t="shared" si="314"/>
        <v>19</v>
      </c>
      <c r="E677" s="76">
        <f t="shared" si="315"/>
        <v>32</v>
      </c>
      <c r="F677" s="80"/>
      <c r="G677" s="83"/>
      <c r="H677" s="69" t="str">
        <f t="shared" si="337"/>
        <v>Lacine7_20171116_19_00</v>
      </c>
      <c r="I677" s="70">
        <f t="shared" ref="I677:N692" si="340">I676</f>
        <v>1</v>
      </c>
      <c r="J677" s="77" t="str">
        <f t="shared" si="340"/>
        <v>Lactuca</v>
      </c>
      <c r="K677" s="77" t="str">
        <f t="shared" si="340"/>
        <v>inermis</v>
      </c>
      <c r="L677" s="78">
        <f t="shared" si="340"/>
        <v>7</v>
      </c>
      <c r="M677" s="78">
        <f t="shared" si="340"/>
        <v>0</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2017</v>
      </c>
      <c r="B678" s="73" t="str">
        <f t="shared" si="313"/>
        <v>Nov</v>
      </c>
      <c r="C678" s="74">
        <f t="shared" si="336"/>
        <v>16</v>
      </c>
      <c r="D678" s="75">
        <f t="shared" si="314"/>
        <v>19</v>
      </c>
      <c r="E678" s="76">
        <f t="shared" si="315"/>
        <v>33</v>
      </c>
      <c r="F678" s="80"/>
      <c r="G678" s="83"/>
      <c r="H678" s="69" t="str">
        <f t="shared" si="337"/>
        <v>Lacine7_20171116_19_00</v>
      </c>
      <c r="I678" s="70">
        <f t="shared" si="340"/>
        <v>1</v>
      </c>
      <c r="J678" s="77" t="str">
        <f t="shared" si="340"/>
        <v>Lactuca</v>
      </c>
      <c r="K678" s="77" t="str">
        <f t="shared" si="340"/>
        <v>inermis</v>
      </c>
      <c r="L678" s="78">
        <f t="shared" si="340"/>
        <v>7</v>
      </c>
      <c r="M678" s="78">
        <f t="shared" si="340"/>
        <v>0</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2017</v>
      </c>
      <c r="B679" s="73" t="str">
        <f t="shared" si="313"/>
        <v>Nov</v>
      </c>
      <c r="C679" s="74">
        <f t="shared" si="336"/>
        <v>16</v>
      </c>
      <c r="D679" s="75">
        <f t="shared" si="314"/>
        <v>19</v>
      </c>
      <c r="E679" s="76">
        <f t="shared" si="315"/>
        <v>34</v>
      </c>
      <c r="F679" s="80"/>
      <c r="G679" s="83"/>
      <c r="H679" s="69" t="str">
        <f t="shared" si="337"/>
        <v>Lacine7_20171116_19_00</v>
      </c>
      <c r="I679" s="70">
        <f t="shared" si="340"/>
        <v>1</v>
      </c>
      <c r="J679" s="77" t="str">
        <f t="shared" si="340"/>
        <v>Lactuca</v>
      </c>
      <c r="K679" s="77" t="str">
        <f t="shared" si="340"/>
        <v>inermis</v>
      </c>
      <c r="L679" s="78">
        <f t="shared" si="340"/>
        <v>7</v>
      </c>
      <c r="M679" s="78">
        <f t="shared" si="340"/>
        <v>0</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2017</v>
      </c>
      <c r="B680" s="73" t="str">
        <f t="shared" si="313"/>
        <v>Nov</v>
      </c>
      <c r="C680" s="74">
        <f t="shared" si="336"/>
        <v>16</v>
      </c>
      <c r="D680" s="75">
        <f t="shared" si="314"/>
        <v>19</v>
      </c>
      <c r="E680" s="76">
        <f t="shared" si="315"/>
        <v>35</v>
      </c>
      <c r="F680" s="80"/>
      <c r="G680" s="83"/>
      <c r="H680" s="69" t="str">
        <f t="shared" si="337"/>
        <v>Lacine7_20171116_19_00</v>
      </c>
      <c r="I680" s="70">
        <f t="shared" si="340"/>
        <v>1</v>
      </c>
      <c r="J680" s="77" t="str">
        <f t="shared" si="340"/>
        <v>Lactuca</v>
      </c>
      <c r="K680" s="77" t="str">
        <f t="shared" si="340"/>
        <v>inermis</v>
      </c>
      <c r="L680" s="78">
        <f t="shared" si="340"/>
        <v>7</v>
      </c>
      <c r="M680" s="78">
        <f t="shared" si="340"/>
        <v>0</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2017</v>
      </c>
      <c r="B681" s="73" t="str">
        <f t="shared" si="313"/>
        <v>Nov</v>
      </c>
      <c r="C681" s="74">
        <f t="shared" si="336"/>
        <v>16</v>
      </c>
      <c r="D681" s="75">
        <f t="shared" si="314"/>
        <v>19</v>
      </c>
      <c r="E681" s="76">
        <f t="shared" si="315"/>
        <v>36</v>
      </c>
      <c r="F681" s="80"/>
      <c r="G681" s="83"/>
      <c r="H681" s="69" t="str">
        <f t="shared" si="337"/>
        <v>Lacine7_20171116_19_00</v>
      </c>
      <c r="I681" s="70">
        <f t="shared" si="340"/>
        <v>1</v>
      </c>
      <c r="J681" s="77" t="str">
        <f t="shared" si="340"/>
        <v>Lactuca</v>
      </c>
      <c r="K681" s="77" t="str">
        <f t="shared" si="340"/>
        <v>inermis</v>
      </c>
      <c r="L681" s="78">
        <f t="shared" si="340"/>
        <v>7</v>
      </c>
      <c r="M681" s="78">
        <f t="shared" si="340"/>
        <v>0</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2017</v>
      </c>
      <c r="B682" s="73" t="str">
        <f t="shared" si="313"/>
        <v>Nov</v>
      </c>
      <c r="C682" s="74">
        <f t="shared" si="336"/>
        <v>16</v>
      </c>
      <c r="D682" s="75">
        <f t="shared" si="314"/>
        <v>19</v>
      </c>
      <c r="E682" s="76">
        <f t="shared" si="315"/>
        <v>37</v>
      </c>
      <c r="F682" s="80"/>
      <c r="G682" s="83"/>
      <c r="H682" s="69" t="str">
        <f t="shared" si="337"/>
        <v>Lacine7_20171116_19_00</v>
      </c>
      <c r="I682" s="70">
        <f t="shared" si="340"/>
        <v>1</v>
      </c>
      <c r="J682" s="77" t="str">
        <f t="shared" si="340"/>
        <v>Lactuca</v>
      </c>
      <c r="K682" s="77" t="str">
        <f t="shared" si="340"/>
        <v>inermis</v>
      </c>
      <c r="L682" s="78">
        <f t="shared" si="340"/>
        <v>7</v>
      </c>
      <c r="M682" s="78">
        <f t="shared" si="340"/>
        <v>0</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2017</v>
      </c>
      <c r="B683" s="73" t="str">
        <f t="shared" si="313"/>
        <v>Nov</v>
      </c>
      <c r="C683" s="74">
        <f t="shared" si="336"/>
        <v>16</v>
      </c>
      <c r="D683" s="75">
        <f t="shared" si="314"/>
        <v>19</v>
      </c>
      <c r="E683" s="76">
        <f t="shared" si="315"/>
        <v>38</v>
      </c>
      <c r="F683" s="80"/>
      <c r="G683" s="83"/>
      <c r="H683" s="69" t="str">
        <f t="shared" si="337"/>
        <v>Lacine7_20171116_19_00</v>
      </c>
      <c r="I683" s="70">
        <f t="shared" si="340"/>
        <v>1</v>
      </c>
      <c r="J683" s="77" t="str">
        <f t="shared" si="340"/>
        <v>Lactuca</v>
      </c>
      <c r="K683" s="77" t="str">
        <f t="shared" si="340"/>
        <v>inermis</v>
      </c>
      <c r="L683" s="78">
        <f t="shared" si="340"/>
        <v>7</v>
      </c>
      <c r="M683" s="78">
        <f t="shared" si="340"/>
        <v>0</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2017</v>
      </c>
      <c r="B684" s="73" t="str">
        <f t="shared" si="313"/>
        <v>Nov</v>
      </c>
      <c r="C684" s="74">
        <f t="shared" si="336"/>
        <v>16</v>
      </c>
      <c r="D684" s="75">
        <f t="shared" si="314"/>
        <v>19</v>
      </c>
      <c r="E684" s="76">
        <f t="shared" si="315"/>
        <v>39</v>
      </c>
      <c r="F684" s="80"/>
      <c r="G684" s="83"/>
      <c r="H684" s="69" t="str">
        <f t="shared" si="337"/>
        <v>Lacine7_20171116_19_00</v>
      </c>
      <c r="I684" s="70">
        <f t="shared" si="340"/>
        <v>1</v>
      </c>
      <c r="J684" s="77" t="str">
        <f t="shared" si="340"/>
        <v>Lactuca</v>
      </c>
      <c r="K684" s="77" t="str">
        <f t="shared" si="340"/>
        <v>inermis</v>
      </c>
      <c r="L684" s="78">
        <f t="shared" si="340"/>
        <v>7</v>
      </c>
      <c r="M684" s="78">
        <f t="shared" si="340"/>
        <v>0</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2017</v>
      </c>
      <c r="B685" s="73" t="str">
        <f t="shared" si="313"/>
        <v>Nov</v>
      </c>
      <c r="C685" s="74">
        <f t="shared" si="336"/>
        <v>16</v>
      </c>
      <c r="D685" s="75">
        <f t="shared" si="314"/>
        <v>19</v>
      </c>
      <c r="E685" s="76">
        <f t="shared" si="315"/>
        <v>40</v>
      </c>
      <c r="F685" s="80"/>
      <c r="G685" s="83"/>
      <c r="H685" s="69" t="str">
        <f t="shared" si="337"/>
        <v>Lacine7_20171116_19_00</v>
      </c>
      <c r="I685" s="70">
        <f t="shared" si="340"/>
        <v>1</v>
      </c>
      <c r="J685" s="77" t="str">
        <f t="shared" si="340"/>
        <v>Lactuca</v>
      </c>
      <c r="K685" s="77" t="str">
        <f t="shared" si="340"/>
        <v>inermis</v>
      </c>
      <c r="L685" s="78">
        <f t="shared" si="340"/>
        <v>7</v>
      </c>
      <c r="M685" s="78">
        <f t="shared" si="340"/>
        <v>0</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2017</v>
      </c>
      <c r="B686" s="73" t="str">
        <f t="shared" si="313"/>
        <v>Nov</v>
      </c>
      <c r="C686" s="74">
        <f t="shared" si="336"/>
        <v>16</v>
      </c>
      <c r="D686" s="75">
        <f t="shared" si="314"/>
        <v>19</v>
      </c>
      <c r="E686" s="76">
        <f t="shared" si="315"/>
        <v>41</v>
      </c>
      <c r="F686" s="80"/>
      <c r="G686" s="83"/>
      <c r="H686" s="69" t="str">
        <f t="shared" si="337"/>
        <v>Lacine7_20171116_19_00</v>
      </c>
      <c r="I686" s="70">
        <f t="shared" si="340"/>
        <v>1</v>
      </c>
      <c r="J686" s="77" t="str">
        <f t="shared" si="340"/>
        <v>Lactuca</v>
      </c>
      <c r="K686" s="77" t="str">
        <f t="shared" si="340"/>
        <v>inermis</v>
      </c>
      <c r="L686" s="78">
        <f t="shared" si="340"/>
        <v>7</v>
      </c>
      <c r="M686" s="78">
        <f t="shared" si="340"/>
        <v>0</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2017</v>
      </c>
      <c r="B687" s="73" t="str">
        <f t="shared" si="313"/>
        <v>Nov</v>
      </c>
      <c r="C687" s="74">
        <f t="shared" si="336"/>
        <v>16</v>
      </c>
      <c r="D687" s="75">
        <f t="shared" si="314"/>
        <v>19</v>
      </c>
      <c r="E687" s="76">
        <f t="shared" si="315"/>
        <v>42</v>
      </c>
      <c r="F687" s="80"/>
      <c r="G687" s="83"/>
      <c r="H687" s="69" t="str">
        <f t="shared" si="337"/>
        <v>Lacine7_20171116_19_00</v>
      </c>
      <c r="I687" s="70">
        <f t="shared" si="340"/>
        <v>1</v>
      </c>
      <c r="J687" s="77" t="str">
        <f t="shared" si="340"/>
        <v>Lactuca</v>
      </c>
      <c r="K687" s="77" t="str">
        <f t="shared" si="340"/>
        <v>inermis</v>
      </c>
      <c r="L687" s="78">
        <f t="shared" si="340"/>
        <v>7</v>
      </c>
      <c r="M687" s="78">
        <f t="shared" si="340"/>
        <v>0</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2017</v>
      </c>
      <c r="B688" s="73" t="str">
        <f t="shared" si="313"/>
        <v>Nov</v>
      </c>
      <c r="C688" s="74">
        <f t="shared" si="336"/>
        <v>16</v>
      </c>
      <c r="D688" s="75">
        <f t="shared" si="314"/>
        <v>19</v>
      </c>
      <c r="E688" s="76">
        <f t="shared" si="315"/>
        <v>43</v>
      </c>
      <c r="F688" s="80"/>
      <c r="G688" s="83"/>
      <c r="H688" s="69" t="str">
        <f t="shared" si="337"/>
        <v>Lacine7_20171116_19_00</v>
      </c>
      <c r="I688" s="70">
        <f t="shared" si="340"/>
        <v>1</v>
      </c>
      <c r="J688" s="77" t="str">
        <f t="shared" si="340"/>
        <v>Lactuca</v>
      </c>
      <c r="K688" s="77" t="str">
        <f t="shared" si="340"/>
        <v>inermis</v>
      </c>
      <c r="L688" s="78">
        <f t="shared" si="340"/>
        <v>7</v>
      </c>
      <c r="M688" s="78">
        <f t="shared" si="340"/>
        <v>0</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2017</v>
      </c>
      <c r="B689" s="73" t="str">
        <f t="shared" si="313"/>
        <v>Nov</v>
      </c>
      <c r="C689" s="74">
        <f t="shared" si="336"/>
        <v>16</v>
      </c>
      <c r="D689" s="75">
        <f t="shared" si="314"/>
        <v>19</v>
      </c>
      <c r="E689" s="76">
        <f t="shared" si="315"/>
        <v>44</v>
      </c>
      <c r="F689" s="80"/>
      <c r="G689" s="83"/>
      <c r="H689" s="69" t="str">
        <f t="shared" si="337"/>
        <v>Lacine7_20171116_19_00</v>
      </c>
      <c r="I689" s="70">
        <f t="shared" si="340"/>
        <v>1</v>
      </c>
      <c r="J689" s="77" t="str">
        <f t="shared" si="340"/>
        <v>Lactuca</v>
      </c>
      <c r="K689" s="77" t="str">
        <f t="shared" si="340"/>
        <v>inermis</v>
      </c>
      <c r="L689" s="78">
        <f t="shared" si="340"/>
        <v>7</v>
      </c>
      <c r="M689" s="78">
        <f t="shared" si="340"/>
        <v>0</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2017</v>
      </c>
      <c r="B690" s="73" t="str">
        <f t="shared" si="313"/>
        <v>Nov</v>
      </c>
      <c r="C690" s="74">
        <f t="shared" si="336"/>
        <v>16</v>
      </c>
      <c r="D690" s="75">
        <f t="shared" si="314"/>
        <v>19</v>
      </c>
      <c r="E690" s="76">
        <f t="shared" si="315"/>
        <v>45</v>
      </c>
      <c r="F690" s="80"/>
      <c r="G690" s="83"/>
      <c r="H690" s="69" t="str">
        <f t="shared" si="337"/>
        <v>Lacine7_20171116_19_00</v>
      </c>
      <c r="I690" s="70">
        <f t="shared" si="340"/>
        <v>1</v>
      </c>
      <c r="J690" s="77" t="str">
        <f t="shared" si="340"/>
        <v>Lactuca</v>
      </c>
      <c r="K690" s="77" t="str">
        <f t="shared" si="340"/>
        <v>inermis</v>
      </c>
      <c r="L690" s="78">
        <f t="shared" si="340"/>
        <v>7</v>
      </c>
      <c r="M690" s="78">
        <f t="shared" si="340"/>
        <v>0</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2017</v>
      </c>
      <c r="B691" s="73" t="str">
        <f t="shared" si="313"/>
        <v>Nov</v>
      </c>
      <c r="C691" s="74">
        <f t="shared" si="336"/>
        <v>16</v>
      </c>
      <c r="D691" s="75">
        <f t="shared" si="314"/>
        <v>19</v>
      </c>
      <c r="E691" s="76">
        <f t="shared" si="315"/>
        <v>46</v>
      </c>
      <c r="F691" s="80"/>
      <c r="G691" s="83"/>
      <c r="H691" s="69" t="str">
        <f t="shared" si="337"/>
        <v>Lacine7_20171116_19_00</v>
      </c>
      <c r="I691" s="70">
        <f t="shared" si="340"/>
        <v>1</v>
      </c>
      <c r="J691" s="77" t="str">
        <f t="shared" si="340"/>
        <v>Lactuca</v>
      </c>
      <c r="K691" s="77" t="str">
        <f t="shared" si="340"/>
        <v>inermis</v>
      </c>
      <c r="L691" s="78">
        <f t="shared" si="340"/>
        <v>7</v>
      </c>
      <c r="M691" s="78">
        <f t="shared" si="340"/>
        <v>0</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2017</v>
      </c>
      <c r="B692" s="73" t="str">
        <f t="shared" si="313"/>
        <v>Nov</v>
      </c>
      <c r="C692" s="74">
        <f t="shared" si="336"/>
        <v>16</v>
      </c>
      <c r="D692" s="75">
        <f t="shared" si="314"/>
        <v>19</v>
      </c>
      <c r="E692" s="76">
        <f t="shared" si="315"/>
        <v>47</v>
      </c>
      <c r="F692" s="80"/>
      <c r="G692" s="83"/>
      <c r="H692" s="69" t="str">
        <f t="shared" si="337"/>
        <v>Lacine7_20171116_19_00</v>
      </c>
      <c r="I692" s="70">
        <f t="shared" si="340"/>
        <v>1</v>
      </c>
      <c r="J692" s="77" t="str">
        <f t="shared" si="340"/>
        <v>Lactuca</v>
      </c>
      <c r="K692" s="77" t="str">
        <f t="shared" si="340"/>
        <v>inermis</v>
      </c>
      <c r="L692" s="78">
        <f t="shared" si="340"/>
        <v>7</v>
      </c>
      <c r="M692" s="78">
        <f t="shared" si="340"/>
        <v>0</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2017</v>
      </c>
      <c r="B693" s="73" t="str">
        <f t="shared" si="313"/>
        <v>Nov</v>
      </c>
      <c r="C693" s="74">
        <f t="shared" si="336"/>
        <v>16</v>
      </c>
      <c r="D693" s="75">
        <f t="shared" si="314"/>
        <v>19</v>
      </c>
      <c r="E693" s="76">
        <f t="shared" si="315"/>
        <v>48</v>
      </c>
      <c r="F693" s="80"/>
      <c r="G693" s="83"/>
      <c r="H693" s="69" t="str">
        <f t="shared" si="337"/>
        <v>Lacine7_20171116_19_00</v>
      </c>
      <c r="I693" s="70">
        <f t="shared" ref="I693:N708" si="341">I692</f>
        <v>1</v>
      </c>
      <c r="J693" s="77" t="str">
        <f t="shared" si="341"/>
        <v>Lactuca</v>
      </c>
      <c r="K693" s="77" t="str">
        <f t="shared" si="341"/>
        <v>inermis</v>
      </c>
      <c r="L693" s="78">
        <f t="shared" si="341"/>
        <v>7</v>
      </c>
      <c r="M693" s="78">
        <f t="shared" si="341"/>
        <v>0</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2017</v>
      </c>
      <c r="B694" s="73" t="str">
        <f t="shared" si="313"/>
        <v>Nov</v>
      </c>
      <c r="C694" s="74">
        <f t="shared" si="336"/>
        <v>16</v>
      </c>
      <c r="D694" s="75">
        <f t="shared" si="314"/>
        <v>19</v>
      </c>
      <c r="E694" s="76">
        <f t="shared" si="315"/>
        <v>49</v>
      </c>
      <c r="F694" s="80"/>
      <c r="G694" s="83"/>
      <c r="H694" s="69" t="str">
        <f t="shared" si="337"/>
        <v>Lacine7_20171116_19_00</v>
      </c>
      <c r="I694" s="70">
        <f t="shared" si="341"/>
        <v>1</v>
      </c>
      <c r="J694" s="77" t="str">
        <f t="shared" si="341"/>
        <v>Lactuca</v>
      </c>
      <c r="K694" s="77" t="str">
        <f t="shared" si="341"/>
        <v>inermis</v>
      </c>
      <c r="L694" s="78">
        <f t="shared" si="341"/>
        <v>7</v>
      </c>
      <c r="M694" s="78">
        <f t="shared" si="341"/>
        <v>0</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2017</v>
      </c>
      <c r="B695" s="73" t="str">
        <f t="shared" si="313"/>
        <v>Nov</v>
      </c>
      <c r="C695" s="74">
        <f t="shared" si="336"/>
        <v>16</v>
      </c>
      <c r="D695" s="75">
        <f t="shared" si="314"/>
        <v>19</v>
      </c>
      <c r="E695" s="76">
        <f t="shared" si="315"/>
        <v>50</v>
      </c>
      <c r="F695" s="80"/>
      <c r="G695" s="83"/>
      <c r="H695" s="69" t="str">
        <f t="shared" si="337"/>
        <v>Lacine7_20171116_19_00</v>
      </c>
      <c r="I695" s="70">
        <f t="shared" si="341"/>
        <v>1</v>
      </c>
      <c r="J695" s="77" t="str">
        <f t="shared" si="341"/>
        <v>Lactuca</v>
      </c>
      <c r="K695" s="77" t="str">
        <f t="shared" si="341"/>
        <v>inermis</v>
      </c>
      <c r="L695" s="78">
        <f t="shared" si="341"/>
        <v>7</v>
      </c>
      <c r="M695" s="78">
        <f t="shared" si="341"/>
        <v>0</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2017</v>
      </c>
      <c r="B696" s="73" t="str">
        <f t="shared" si="313"/>
        <v>Nov</v>
      </c>
      <c r="C696" s="74">
        <f t="shared" si="336"/>
        <v>16</v>
      </c>
      <c r="D696" s="75">
        <f t="shared" si="314"/>
        <v>19</v>
      </c>
      <c r="E696" s="76">
        <f t="shared" si="315"/>
        <v>51</v>
      </c>
      <c r="F696" s="80"/>
      <c r="G696" s="83"/>
      <c r="H696" s="69" t="str">
        <f t="shared" si="337"/>
        <v>Lacine7_20171116_19_00</v>
      </c>
      <c r="I696" s="70">
        <f t="shared" si="341"/>
        <v>1</v>
      </c>
      <c r="J696" s="77" t="str">
        <f t="shared" si="341"/>
        <v>Lactuca</v>
      </c>
      <c r="K696" s="77" t="str">
        <f t="shared" si="341"/>
        <v>inermis</v>
      </c>
      <c r="L696" s="78">
        <f t="shared" si="341"/>
        <v>7</v>
      </c>
      <c r="M696" s="78">
        <f t="shared" si="341"/>
        <v>0</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2017</v>
      </c>
      <c r="B697" s="73" t="str">
        <f t="shared" si="313"/>
        <v>Nov</v>
      </c>
      <c r="C697" s="74">
        <f t="shared" si="336"/>
        <v>16</v>
      </c>
      <c r="D697" s="75">
        <f t="shared" si="314"/>
        <v>19</v>
      </c>
      <c r="E697" s="76">
        <f t="shared" si="315"/>
        <v>52</v>
      </c>
      <c r="F697" s="80"/>
      <c r="G697" s="83"/>
      <c r="H697" s="69" t="str">
        <f t="shared" si="337"/>
        <v>Lacine7_20171116_19_00</v>
      </c>
      <c r="I697" s="70">
        <f t="shared" si="341"/>
        <v>1</v>
      </c>
      <c r="J697" s="77" t="str">
        <f t="shared" si="341"/>
        <v>Lactuca</v>
      </c>
      <c r="K697" s="77" t="str">
        <f t="shared" si="341"/>
        <v>inermis</v>
      </c>
      <c r="L697" s="78">
        <f t="shared" si="341"/>
        <v>7</v>
      </c>
      <c r="M697" s="78">
        <f t="shared" si="341"/>
        <v>0</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2017</v>
      </c>
      <c r="B698" s="73" t="str">
        <f t="shared" si="313"/>
        <v>Nov</v>
      </c>
      <c r="C698" s="74">
        <f t="shared" si="336"/>
        <v>16</v>
      </c>
      <c r="D698" s="75">
        <f t="shared" si="314"/>
        <v>19</v>
      </c>
      <c r="E698" s="76">
        <f t="shared" si="315"/>
        <v>53</v>
      </c>
      <c r="F698" s="80"/>
      <c r="G698" s="83"/>
      <c r="H698" s="69" t="str">
        <f t="shared" si="337"/>
        <v>Lacine7_20171116_19_00</v>
      </c>
      <c r="I698" s="70">
        <f t="shared" si="341"/>
        <v>1</v>
      </c>
      <c r="J698" s="77" t="str">
        <f t="shared" si="341"/>
        <v>Lactuca</v>
      </c>
      <c r="K698" s="77" t="str">
        <f t="shared" si="341"/>
        <v>inermis</v>
      </c>
      <c r="L698" s="78">
        <f t="shared" si="341"/>
        <v>7</v>
      </c>
      <c r="M698" s="78">
        <f t="shared" si="341"/>
        <v>0</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2017</v>
      </c>
      <c r="B699" s="73" t="str">
        <f t="shared" si="313"/>
        <v>Nov</v>
      </c>
      <c r="C699" s="74">
        <f t="shared" si="336"/>
        <v>16</v>
      </c>
      <c r="D699" s="75">
        <f t="shared" si="314"/>
        <v>19</v>
      </c>
      <c r="E699" s="76">
        <f t="shared" si="315"/>
        <v>54</v>
      </c>
      <c r="F699" s="80"/>
      <c r="G699" s="83"/>
      <c r="H699" s="69" t="str">
        <f t="shared" si="337"/>
        <v>Lacine7_20171116_19_00</v>
      </c>
      <c r="I699" s="70">
        <f t="shared" si="341"/>
        <v>1</v>
      </c>
      <c r="J699" s="77" t="str">
        <f t="shared" si="341"/>
        <v>Lactuca</v>
      </c>
      <c r="K699" s="77" t="str">
        <f t="shared" si="341"/>
        <v>inermis</v>
      </c>
      <c r="L699" s="78">
        <f t="shared" si="341"/>
        <v>7</v>
      </c>
      <c r="M699" s="78">
        <f t="shared" si="341"/>
        <v>0</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2017</v>
      </c>
      <c r="B700" s="73" t="str">
        <f t="shared" si="313"/>
        <v>Nov</v>
      </c>
      <c r="C700" s="74">
        <f t="shared" si="336"/>
        <v>16</v>
      </c>
      <c r="D700" s="75">
        <f t="shared" si="314"/>
        <v>19</v>
      </c>
      <c r="E700" s="76">
        <f t="shared" si="315"/>
        <v>55</v>
      </c>
      <c r="F700" s="80"/>
      <c r="G700" s="83"/>
      <c r="H700" s="69" t="str">
        <f t="shared" si="337"/>
        <v>Lacine7_20171116_19_00</v>
      </c>
      <c r="I700" s="70">
        <f t="shared" si="341"/>
        <v>1</v>
      </c>
      <c r="J700" s="77" t="str">
        <f t="shared" si="341"/>
        <v>Lactuca</v>
      </c>
      <c r="K700" s="77" t="str">
        <f t="shared" si="341"/>
        <v>inermis</v>
      </c>
      <c r="L700" s="78">
        <f t="shared" si="341"/>
        <v>7</v>
      </c>
      <c r="M700" s="78">
        <f t="shared" si="341"/>
        <v>0</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2017</v>
      </c>
      <c r="B701" s="73" t="str">
        <f t="shared" si="313"/>
        <v>Nov</v>
      </c>
      <c r="C701" s="74">
        <f t="shared" si="336"/>
        <v>16</v>
      </c>
      <c r="D701" s="75">
        <f t="shared" si="314"/>
        <v>19</v>
      </c>
      <c r="E701" s="76">
        <f t="shared" si="315"/>
        <v>56</v>
      </c>
      <c r="F701" s="80"/>
      <c r="G701" s="83"/>
      <c r="H701" s="69" t="str">
        <f t="shared" si="337"/>
        <v>Lacine7_20171116_19_00</v>
      </c>
      <c r="I701" s="70">
        <f t="shared" si="341"/>
        <v>1</v>
      </c>
      <c r="J701" s="77" t="str">
        <f t="shared" si="341"/>
        <v>Lactuca</v>
      </c>
      <c r="K701" s="77" t="str">
        <f t="shared" si="341"/>
        <v>inermis</v>
      </c>
      <c r="L701" s="78">
        <f t="shared" si="341"/>
        <v>7</v>
      </c>
      <c r="M701" s="78">
        <f t="shared" si="341"/>
        <v>0</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2017</v>
      </c>
      <c r="B702" s="73" t="str">
        <f t="shared" si="313"/>
        <v>Nov</v>
      </c>
      <c r="C702" s="74">
        <f t="shared" si="336"/>
        <v>16</v>
      </c>
      <c r="D702" s="75">
        <f t="shared" si="314"/>
        <v>19</v>
      </c>
      <c r="E702" s="76">
        <f t="shared" si="315"/>
        <v>57</v>
      </c>
      <c r="F702" s="80"/>
      <c r="G702" s="83"/>
      <c r="H702" s="69" t="str">
        <f t="shared" si="337"/>
        <v>Lacine7_20171116_19_00</v>
      </c>
      <c r="I702" s="70">
        <f t="shared" si="341"/>
        <v>1</v>
      </c>
      <c r="J702" s="77" t="str">
        <f t="shared" si="341"/>
        <v>Lactuca</v>
      </c>
      <c r="K702" s="77" t="str">
        <f t="shared" si="341"/>
        <v>inermis</v>
      </c>
      <c r="L702" s="78">
        <f t="shared" si="341"/>
        <v>7</v>
      </c>
      <c r="M702" s="78">
        <f t="shared" si="341"/>
        <v>0</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2017</v>
      </c>
      <c r="B703" s="73" t="str">
        <f t="shared" si="313"/>
        <v>Nov</v>
      </c>
      <c r="C703" s="74">
        <f t="shared" si="336"/>
        <v>16</v>
      </c>
      <c r="D703" s="75">
        <f t="shared" si="314"/>
        <v>19</v>
      </c>
      <c r="E703" s="76">
        <f t="shared" si="315"/>
        <v>58</v>
      </c>
      <c r="F703" s="80"/>
      <c r="G703" s="83"/>
      <c r="H703" s="69" t="str">
        <f t="shared" si="337"/>
        <v>Lacine7_20171116_19_00</v>
      </c>
      <c r="I703" s="70">
        <f t="shared" si="341"/>
        <v>1</v>
      </c>
      <c r="J703" s="77" t="str">
        <f t="shared" si="341"/>
        <v>Lactuca</v>
      </c>
      <c r="K703" s="77" t="str">
        <f t="shared" si="341"/>
        <v>inermis</v>
      </c>
      <c r="L703" s="78">
        <f t="shared" si="341"/>
        <v>7</v>
      </c>
      <c r="M703" s="78">
        <f t="shared" si="341"/>
        <v>0</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2017</v>
      </c>
      <c r="B704" s="73" t="str">
        <f t="shared" si="313"/>
        <v>Nov</v>
      </c>
      <c r="C704" s="74">
        <f t="shared" si="336"/>
        <v>16</v>
      </c>
      <c r="D704" s="75">
        <f t="shared" si="314"/>
        <v>19</v>
      </c>
      <c r="E704" s="76">
        <f t="shared" si="315"/>
        <v>59</v>
      </c>
      <c r="F704" s="80"/>
      <c r="G704" s="83"/>
      <c r="H704" s="69" t="str">
        <f t="shared" si="337"/>
        <v>Lacine7_20171116_19_00</v>
      </c>
      <c r="I704" s="70">
        <f t="shared" si="341"/>
        <v>1</v>
      </c>
      <c r="J704" s="77" t="str">
        <f t="shared" si="341"/>
        <v>Lactuca</v>
      </c>
      <c r="K704" s="77" t="str">
        <f t="shared" si="341"/>
        <v>inermis</v>
      </c>
      <c r="L704" s="78">
        <f t="shared" si="341"/>
        <v>7</v>
      </c>
      <c r="M704" s="78">
        <f t="shared" si="341"/>
        <v>0</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2017</v>
      </c>
      <c r="B705" s="73" t="str">
        <f t="shared" si="313"/>
        <v>Nov</v>
      </c>
      <c r="C705" s="74">
        <f t="shared" si="336"/>
        <v>16</v>
      </c>
      <c r="D705" s="75">
        <f t="shared" si="314"/>
        <v>20</v>
      </c>
      <c r="E705" s="76">
        <f t="shared" si="315"/>
        <v>0</v>
      </c>
      <c r="F705" s="80"/>
      <c r="G705" s="83"/>
      <c r="H705" s="69" t="str">
        <f t="shared" si="337"/>
        <v>Lacine7_20171116_20_00</v>
      </c>
      <c r="I705" s="70">
        <f t="shared" si="341"/>
        <v>1</v>
      </c>
      <c r="J705" s="77" t="str">
        <f t="shared" si="341"/>
        <v>Lactuca</v>
      </c>
      <c r="K705" s="77" t="str">
        <f t="shared" si="341"/>
        <v>inermis</v>
      </c>
      <c r="L705" s="78">
        <f t="shared" si="341"/>
        <v>7</v>
      </c>
      <c r="M705" s="78">
        <f t="shared" si="341"/>
        <v>0</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2017</v>
      </c>
      <c r="B706" s="73" t="str">
        <f t="shared" si="313"/>
        <v>Nov</v>
      </c>
      <c r="C706" s="74">
        <f t="shared" si="336"/>
        <v>16</v>
      </c>
      <c r="D706" s="75">
        <f t="shared" si="314"/>
        <v>20</v>
      </c>
      <c r="E706" s="76">
        <f t="shared" si="315"/>
        <v>1</v>
      </c>
      <c r="F706" s="80"/>
      <c r="G706" s="83"/>
      <c r="H706" s="69" t="str">
        <f t="shared" si="337"/>
        <v>Lacine7_20171116_20_00</v>
      </c>
      <c r="I706" s="70">
        <f t="shared" si="341"/>
        <v>1</v>
      </c>
      <c r="J706" s="77" t="str">
        <f t="shared" si="341"/>
        <v>Lactuca</v>
      </c>
      <c r="K706" s="77" t="str">
        <f t="shared" si="341"/>
        <v>inermis</v>
      </c>
      <c r="L706" s="78">
        <f t="shared" si="341"/>
        <v>7</v>
      </c>
      <c r="M706" s="78">
        <f t="shared" si="341"/>
        <v>0</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2017</v>
      </c>
      <c r="B707" s="73" t="str">
        <f t="shared" si="313"/>
        <v>Nov</v>
      </c>
      <c r="C707" s="74">
        <f t="shared" si="336"/>
        <v>16</v>
      </c>
      <c r="D707" s="75">
        <f t="shared" si="314"/>
        <v>20</v>
      </c>
      <c r="E707" s="76">
        <f t="shared" si="315"/>
        <v>2</v>
      </c>
      <c r="F707" s="80"/>
      <c r="G707" s="83"/>
      <c r="H707" s="69" t="str">
        <f t="shared" si="337"/>
        <v>Lacine7_20171116_20_00</v>
      </c>
      <c r="I707" s="70">
        <f t="shared" si="341"/>
        <v>1</v>
      </c>
      <c r="J707" s="77" t="str">
        <f t="shared" si="341"/>
        <v>Lactuca</v>
      </c>
      <c r="K707" s="77" t="str">
        <f t="shared" si="341"/>
        <v>inermis</v>
      </c>
      <c r="L707" s="78">
        <f t="shared" si="341"/>
        <v>7</v>
      </c>
      <c r="M707" s="78">
        <f t="shared" si="341"/>
        <v>0</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2017</v>
      </c>
      <c r="B708" s="73" t="str">
        <f t="shared" ref="B708:B771" si="344">IF(C707-C708&gt;0, TEXT(DATE(2016,(MONTH(DATEVALUE(B707&amp;"1"))+1),1),"mmm"), B707)</f>
        <v>Nov</v>
      </c>
      <c r="C708" s="74">
        <f t="shared" si="336"/>
        <v>16</v>
      </c>
      <c r="D708" s="75">
        <f t="shared" ref="D708:D771" si="345">IF(IF(E707=59,D707+1,D707)=24,0,IF(E707=59,D707+1,D707))</f>
        <v>20</v>
      </c>
      <c r="E708" s="76">
        <f t="shared" ref="E708:E771" si="346">IF(E707&lt;59,E707+1,0)</f>
        <v>3</v>
      </c>
      <c r="F708" s="80"/>
      <c r="G708" s="83"/>
      <c r="H708" s="69" t="str">
        <f t="shared" si="337"/>
        <v>Lacine7_20171116_20_00</v>
      </c>
      <c r="I708" s="70">
        <f t="shared" si="341"/>
        <v>1</v>
      </c>
      <c r="J708" s="77" t="str">
        <f t="shared" si="341"/>
        <v>Lactuca</v>
      </c>
      <c r="K708" s="77" t="str">
        <f t="shared" si="341"/>
        <v>inermis</v>
      </c>
      <c r="L708" s="78">
        <f t="shared" si="341"/>
        <v>7</v>
      </c>
      <c r="M708" s="78">
        <f t="shared" si="341"/>
        <v>0</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2017</v>
      </c>
      <c r="B709" s="73" t="str">
        <f t="shared" si="344"/>
        <v>Nov</v>
      </c>
      <c r="C709" s="74">
        <f t="shared" ref="C709:C772" si="367">IF(AND(D709=0, E709=0), IF(TEXT(C708,"dd")=TEXT(EOMONTH(DATE(A708,MONTH(DATEVALUE(B708&amp;"1")),C708),0), "dd"), 1, C708+1), C708)</f>
        <v>16</v>
      </c>
      <c r="D709" s="75">
        <f t="shared" si="345"/>
        <v>20</v>
      </c>
      <c r="E709" s="76">
        <f t="shared" si="346"/>
        <v>4</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Lacine7_20171116_20_00</v>
      </c>
      <c r="I709" s="70">
        <f t="shared" ref="I709:N724" si="369">I708</f>
        <v>1</v>
      </c>
      <c r="J709" s="77" t="str">
        <f t="shared" si="369"/>
        <v>Lactuca</v>
      </c>
      <c r="K709" s="77" t="str">
        <f t="shared" si="369"/>
        <v>inermis</v>
      </c>
      <c r="L709" s="78">
        <f t="shared" si="369"/>
        <v>7</v>
      </c>
      <c r="M709" s="78">
        <f t="shared" si="369"/>
        <v>0</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2017</v>
      </c>
      <c r="B710" s="73" t="str">
        <f t="shared" si="344"/>
        <v>Nov</v>
      </c>
      <c r="C710" s="74">
        <f t="shared" si="367"/>
        <v>16</v>
      </c>
      <c r="D710" s="75">
        <f t="shared" si="345"/>
        <v>20</v>
      </c>
      <c r="E710" s="76">
        <f t="shared" si="346"/>
        <v>5</v>
      </c>
      <c r="F710" s="80"/>
      <c r="G710" s="83"/>
      <c r="H710" s="69" t="str">
        <f t="shared" si="368"/>
        <v>Lacine7_20171116_20_00</v>
      </c>
      <c r="I710" s="70">
        <f t="shared" si="369"/>
        <v>1</v>
      </c>
      <c r="J710" s="77" t="str">
        <f t="shared" si="369"/>
        <v>Lactuca</v>
      </c>
      <c r="K710" s="77" t="str">
        <f t="shared" si="369"/>
        <v>inermis</v>
      </c>
      <c r="L710" s="78">
        <f t="shared" si="369"/>
        <v>7</v>
      </c>
      <c r="M710" s="78">
        <f t="shared" si="369"/>
        <v>0</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2017</v>
      </c>
      <c r="B711" s="73" t="str">
        <f t="shared" si="344"/>
        <v>Nov</v>
      </c>
      <c r="C711" s="74">
        <f t="shared" si="367"/>
        <v>16</v>
      </c>
      <c r="D711" s="75">
        <f t="shared" si="345"/>
        <v>20</v>
      </c>
      <c r="E711" s="76">
        <f t="shared" si="346"/>
        <v>6</v>
      </c>
      <c r="F711" s="80"/>
      <c r="G711" s="83"/>
      <c r="H711" s="69" t="str">
        <f t="shared" si="368"/>
        <v>Lacine7_20171116_20_00</v>
      </c>
      <c r="I711" s="70">
        <f t="shared" si="369"/>
        <v>1</v>
      </c>
      <c r="J711" s="77" t="str">
        <f t="shared" si="369"/>
        <v>Lactuca</v>
      </c>
      <c r="K711" s="77" t="str">
        <f t="shared" si="369"/>
        <v>inermis</v>
      </c>
      <c r="L711" s="78">
        <f t="shared" si="369"/>
        <v>7</v>
      </c>
      <c r="M711" s="78">
        <f t="shared" si="369"/>
        <v>0</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2017</v>
      </c>
      <c r="B712" s="73" t="str">
        <f t="shared" si="344"/>
        <v>Nov</v>
      </c>
      <c r="C712" s="74">
        <f t="shared" si="367"/>
        <v>16</v>
      </c>
      <c r="D712" s="75">
        <f t="shared" si="345"/>
        <v>20</v>
      </c>
      <c r="E712" s="76">
        <f t="shared" si="346"/>
        <v>7</v>
      </c>
      <c r="F712" s="80"/>
      <c r="G712" s="83"/>
      <c r="H712" s="69" t="str">
        <f t="shared" si="368"/>
        <v>Lacine7_20171116_20_00</v>
      </c>
      <c r="I712" s="70">
        <f t="shared" si="369"/>
        <v>1</v>
      </c>
      <c r="J712" s="77" t="str">
        <f t="shared" si="369"/>
        <v>Lactuca</v>
      </c>
      <c r="K712" s="77" t="str">
        <f t="shared" si="369"/>
        <v>inermis</v>
      </c>
      <c r="L712" s="78">
        <f t="shared" si="369"/>
        <v>7</v>
      </c>
      <c r="M712" s="78">
        <f t="shared" si="369"/>
        <v>0</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2017</v>
      </c>
      <c r="B713" s="73" t="str">
        <f t="shared" si="344"/>
        <v>Nov</v>
      </c>
      <c r="C713" s="74">
        <f t="shared" si="367"/>
        <v>16</v>
      </c>
      <c r="D713" s="75">
        <f t="shared" si="345"/>
        <v>20</v>
      </c>
      <c r="E713" s="76">
        <f t="shared" si="346"/>
        <v>8</v>
      </c>
      <c r="F713" s="80"/>
      <c r="G713" s="83"/>
      <c r="H713" s="69" t="str">
        <f t="shared" si="368"/>
        <v>Lacine7_20171116_20_00</v>
      </c>
      <c r="I713" s="70">
        <f t="shared" si="369"/>
        <v>1</v>
      </c>
      <c r="J713" s="77" t="str">
        <f t="shared" si="369"/>
        <v>Lactuca</v>
      </c>
      <c r="K713" s="77" t="str">
        <f t="shared" si="369"/>
        <v>inermis</v>
      </c>
      <c r="L713" s="78">
        <f t="shared" si="369"/>
        <v>7</v>
      </c>
      <c r="M713" s="78">
        <f t="shared" si="369"/>
        <v>0</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2017</v>
      </c>
      <c r="B714" s="73" t="str">
        <f t="shared" si="344"/>
        <v>Nov</v>
      </c>
      <c r="C714" s="74">
        <f t="shared" si="367"/>
        <v>16</v>
      </c>
      <c r="D714" s="75">
        <f t="shared" si="345"/>
        <v>20</v>
      </c>
      <c r="E714" s="76">
        <f t="shared" si="346"/>
        <v>9</v>
      </c>
      <c r="F714" s="80"/>
      <c r="G714" s="83"/>
      <c r="H714" s="69" t="str">
        <f t="shared" si="368"/>
        <v>Lacine7_20171116_20_00</v>
      </c>
      <c r="I714" s="70">
        <f t="shared" si="369"/>
        <v>1</v>
      </c>
      <c r="J714" s="77" t="str">
        <f t="shared" si="369"/>
        <v>Lactuca</v>
      </c>
      <c r="K714" s="77" t="str">
        <f t="shared" si="369"/>
        <v>inermis</v>
      </c>
      <c r="L714" s="78">
        <f t="shared" si="369"/>
        <v>7</v>
      </c>
      <c r="M714" s="78">
        <f t="shared" si="369"/>
        <v>0</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2017</v>
      </c>
      <c r="B715" s="73" t="str">
        <f t="shared" si="344"/>
        <v>Nov</v>
      </c>
      <c r="C715" s="74">
        <f t="shared" si="367"/>
        <v>16</v>
      </c>
      <c r="D715" s="75">
        <f t="shared" si="345"/>
        <v>20</v>
      </c>
      <c r="E715" s="76">
        <f t="shared" si="346"/>
        <v>10</v>
      </c>
      <c r="F715" s="80"/>
      <c r="G715" s="83"/>
      <c r="H715" s="69" t="str">
        <f t="shared" si="368"/>
        <v>Lacine7_20171116_20_00</v>
      </c>
      <c r="I715" s="70">
        <f t="shared" si="369"/>
        <v>1</v>
      </c>
      <c r="J715" s="77" t="str">
        <f t="shared" si="369"/>
        <v>Lactuca</v>
      </c>
      <c r="K715" s="77" t="str">
        <f t="shared" si="369"/>
        <v>inermis</v>
      </c>
      <c r="L715" s="78">
        <f t="shared" si="369"/>
        <v>7</v>
      </c>
      <c r="M715" s="78">
        <f t="shared" si="369"/>
        <v>0</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2017</v>
      </c>
      <c r="B716" s="73" t="str">
        <f t="shared" si="344"/>
        <v>Nov</v>
      </c>
      <c r="C716" s="74">
        <f t="shared" si="367"/>
        <v>16</v>
      </c>
      <c r="D716" s="75">
        <f t="shared" si="345"/>
        <v>20</v>
      </c>
      <c r="E716" s="76">
        <f t="shared" si="346"/>
        <v>11</v>
      </c>
      <c r="F716" s="80"/>
      <c r="G716" s="83"/>
      <c r="H716" s="69" t="str">
        <f t="shared" si="368"/>
        <v>Lacine7_20171116_20_00</v>
      </c>
      <c r="I716" s="70">
        <f t="shared" si="369"/>
        <v>1</v>
      </c>
      <c r="J716" s="77" t="str">
        <f t="shared" si="369"/>
        <v>Lactuca</v>
      </c>
      <c r="K716" s="77" t="str">
        <f t="shared" si="369"/>
        <v>inermis</v>
      </c>
      <c r="L716" s="78">
        <f t="shared" si="369"/>
        <v>7</v>
      </c>
      <c r="M716" s="78">
        <f t="shared" si="369"/>
        <v>0</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2017</v>
      </c>
      <c r="B717" s="73" t="str">
        <f t="shared" si="344"/>
        <v>Nov</v>
      </c>
      <c r="C717" s="74">
        <f t="shared" si="367"/>
        <v>16</v>
      </c>
      <c r="D717" s="75">
        <f t="shared" si="345"/>
        <v>20</v>
      </c>
      <c r="E717" s="76">
        <f t="shared" si="346"/>
        <v>12</v>
      </c>
      <c r="F717" s="80"/>
      <c r="G717" s="83"/>
      <c r="H717" s="69" t="str">
        <f t="shared" si="368"/>
        <v>Lacine7_20171116_20_00</v>
      </c>
      <c r="I717" s="70">
        <f t="shared" si="369"/>
        <v>1</v>
      </c>
      <c r="J717" s="77" t="str">
        <f t="shared" si="369"/>
        <v>Lactuca</v>
      </c>
      <c r="K717" s="77" t="str">
        <f t="shared" si="369"/>
        <v>inermis</v>
      </c>
      <c r="L717" s="78">
        <f t="shared" si="369"/>
        <v>7</v>
      </c>
      <c r="M717" s="78">
        <f t="shared" si="369"/>
        <v>0</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2017</v>
      </c>
      <c r="B718" s="73" t="str">
        <f t="shared" si="344"/>
        <v>Nov</v>
      </c>
      <c r="C718" s="74">
        <f t="shared" si="367"/>
        <v>16</v>
      </c>
      <c r="D718" s="75">
        <f t="shared" si="345"/>
        <v>20</v>
      </c>
      <c r="E718" s="76">
        <f t="shared" si="346"/>
        <v>13</v>
      </c>
      <c r="F718" s="80"/>
      <c r="G718" s="83"/>
      <c r="H718" s="69" t="str">
        <f t="shared" si="368"/>
        <v>Lacine7_20171116_20_00</v>
      </c>
      <c r="I718" s="70">
        <f t="shared" si="369"/>
        <v>1</v>
      </c>
      <c r="J718" s="77" t="str">
        <f t="shared" si="369"/>
        <v>Lactuca</v>
      </c>
      <c r="K718" s="77" t="str">
        <f t="shared" si="369"/>
        <v>inermis</v>
      </c>
      <c r="L718" s="78">
        <f t="shared" si="369"/>
        <v>7</v>
      </c>
      <c r="M718" s="78">
        <f t="shared" si="369"/>
        <v>0</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2017</v>
      </c>
      <c r="B719" s="73" t="str">
        <f t="shared" si="344"/>
        <v>Nov</v>
      </c>
      <c r="C719" s="74">
        <f t="shared" si="367"/>
        <v>16</v>
      </c>
      <c r="D719" s="75">
        <f t="shared" si="345"/>
        <v>20</v>
      </c>
      <c r="E719" s="76">
        <f t="shared" si="346"/>
        <v>14</v>
      </c>
      <c r="F719" s="80"/>
      <c r="G719" s="83"/>
      <c r="H719" s="69" t="str">
        <f t="shared" si="368"/>
        <v>Lacine7_20171116_20_00</v>
      </c>
      <c r="I719" s="70">
        <f t="shared" si="369"/>
        <v>1</v>
      </c>
      <c r="J719" s="77" t="str">
        <f t="shared" si="369"/>
        <v>Lactuca</v>
      </c>
      <c r="K719" s="77" t="str">
        <f t="shared" si="369"/>
        <v>inermis</v>
      </c>
      <c r="L719" s="78">
        <f t="shared" si="369"/>
        <v>7</v>
      </c>
      <c r="M719" s="78">
        <f t="shared" si="369"/>
        <v>0</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2017</v>
      </c>
      <c r="B720" s="73" t="str">
        <f t="shared" si="344"/>
        <v>Nov</v>
      </c>
      <c r="C720" s="74">
        <f t="shared" si="367"/>
        <v>16</v>
      </c>
      <c r="D720" s="75">
        <f t="shared" si="345"/>
        <v>20</v>
      </c>
      <c r="E720" s="76">
        <f t="shared" si="346"/>
        <v>15</v>
      </c>
      <c r="F720" s="80"/>
      <c r="G720" s="83"/>
      <c r="H720" s="69" t="str">
        <f t="shared" si="368"/>
        <v>Lacine7_20171116_20_00</v>
      </c>
      <c r="I720" s="70">
        <f t="shared" si="369"/>
        <v>1</v>
      </c>
      <c r="J720" s="77" t="str">
        <f t="shared" si="369"/>
        <v>Lactuca</v>
      </c>
      <c r="K720" s="77" t="str">
        <f t="shared" si="369"/>
        <v>inermis</v>
      </c>
      <c r="L720" s="78">
        <f t="shared" si="369"/>
        <v>7</v>
      </c>
      <c r="M720" s="78">
        <f t="shared" si="369"/>
        <v>0</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2017</v>
      </c>
      <c r="B721" s="73" t="str">
        <f t="shared" si="344"/>
        <v>Nov</v>
      </c>
      <c r="C721" s="74">
        <f t="shared" si="367"/>
        <v>16</v>
      </c>
      <c r="D721" s="75">
        <f t="shared" si="345"/>
        <v>20</v>
      </c>
      <c r="E721" s="76">
        <f t="shared" si="346"/>
        <v>16</v>
      </c>
      <c r="F721" s="80"/>
      <c r="G721" s="83"/>
      <c r="H721" s="69" t="str">
        <f t="shared" si="368"/>
        <v>Lacine7_20171116_20_00</v>
      </c>
      <c r="I721" s="70">
        <f t="shared" si="369"/>
        <v>1</v>
      </c>
      <c r="J721" s="77" t="str">
        <f t="shared" si="369"/>
        <v>Lactuca</v>
      </c>
      <c r="K721" s="77" t="str">
        <f t="shared" si="369"/>
        <v>inermis</v>
      </c>
      <c r="L721" s="78">
        <f t="shared" si="369"/>
        <v>7</v>
      </c>
      <c r="M721" s="78">
        <f t="shared" si="369"/>
        <v>0</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2017</v>
      </c>
      <c r="B722" s="73" t="str">
        <f t="shared" si="344"/>
        <v>Nov</v>
      </c>
      <c r="C722" s="74">
        <f t="shared" si="367"/>
        <v>16</v>
      </c>
      <c r="D722" s="75">
        <f t="shared" si="345"/>
        <v>20</v>
      </c>
      <c r="E722" s="76">
        <f t="shared" si="346"/>
        <v>17</v>
      </c>
      <c r="F722" s="80"/>
      <c r="G722" s="83"/>
      <c r="H722" s="69" t="str">
        <f t="shared" si="368"/>
        <v>Lacine7_20171116_20_00</v>
      </c>
      <c r="I722" s="70">
        <f t="shared" si="369"/>
        <v>1</v>
      </c>
      <c r="J722" s="77" t="str">
        <f t="shared" si="369"/>
        <v>Lactuca</v>
      </c>
      <c r="K722" s="77" t="str">
        <f t="shared" si="369"/>
        <v>inermis</v>
      </c>
      <c r="L722" s="78">
        <f t="shared" si="369"/>
        <v>7</v>
      </c>
      <c r="M722" s="78">
        <f t="shared" si="369"/>
        <v>0</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2017</v>
      </c>
      <c r="B723" s="73" t="str">
        <f t="shared" si="344"/>
        <v>Nov</v>
      </c>
      <c r="C723" s="74">
        <f t="shared" si="367"/>
        <v>16</v>
      </c>
      <c r="D723" s="75">
        <f t="shared" si="345"/>
        <v>20</v>
      </c>
      <c r="E723" s="76">
        <f t="shared" si="346"/>
        <v>18</v>
      </c>
      <c r="F723" s="80"/>
      <c r="G723" s="83"/>
      <c r="H723" s="69" t="str">
        <f t="shared" si="368"/>
        <v>Lacine7_20171116_20_00</v>
      </c>
      <c r="I723" s="70">
        <f t="shared" si="369"/>
        <v>1</v>
      </c>
      <c r="J723" s="77" t="str">
        <f t="shared" si="369"/>
        <v>Lactuca</v>
      </c>
      <c r="K723" s="77" t="str">
        <f t="shared" si="369"/>
        <v>inermis</v>
      </c>
      <c r="L723" s="78">
        <f t="shared" si="369"/>
        <v>7</v>
      </c>
      <c r="M723" s="78">
        <f t="shared" si="369"/>
        <v>0</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2017</v>
      </c>
      <c r="B724" s="73" t="str">
        <f t="shared" si="344"/>
        <v>Nov</v>
      </c>
      <c r="C724" s="74">
        <f t="shared" si="367"/>
        <v>16</v>
      </c>
      <c r="D724" s="75">
        <f t="shared" si="345"/>
        <v>20</v>
      </c>
      <c r="E724" s="76">
        <f t="shared" si="346"/>
        <v>19</v>
      </c>
      <c r="F724" s="80"/>
      <c r="G724" s="83"/>
      <c r="H724" s="69" t="str">
        <f t="shared" si="368"/>
        <v>Lacine7_20171116_20_00</v>
      </c>
      <c r="I724" s="70">
        <f t="shared" si="369"/>
        <v>1</v>
      </c>
      <c r="J724" s="77" t="str">
        <f t="shared" si="369"/>
        <v>Lactuca</v>
      </c>
      <c r="K724" s="77" t="str">
        <f t="shared" si="369"/>
        <v>inermis</v>
      </c>
      <c r="L724" s="78">
        <f t="shared" si="369"/>
        <v>7</v>
      </c>
      <c r="M724" s="78">
        <f t="shared" si="369"/>
        <v>0</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2017</v>
      </c>
      <c r="B725" s="73" t="str">
        <f t="shared" si="344"/>
        <v>Nov</v>
      </c>
      <c r="C725" s="74">
        <f t="shared" si="367"/>
        <v>16</v>
      </c>
      <c r="D725" s="75">
        <f t="shared" si="345"/>
        <v>20</v>
      </c>
      <c r="E725" s="76">
        <f t="shared" si="346"/>
        <v>20</v>
      </c>
      <c r="F725" s="80"/>
      <c r="G725" s="83"/>
      <c r="H725" s="69" t="str">
        <f t="shared" si="368"/>
        <v>Lacine7_20171116_20_00</v>
      </c>
      <c r="I725" s="70">
        <f t="shared" ref="I725:N740" si="370">I724</f>
        <v>1</v>
      </c>
      <c r="J725" s="77" t="str">
        <f t="shared" si="370"/>
        <v>Lactuca</v>
      </c>
      <c r="K725" s="77" t="str">
        <f t="shared" si="370"/>
        <v>inermis</v>
      </c>
      <c r="L725" s="78">
        <f t="shared" si="370"/>
        <v>7</v>
      </c>
      <c r="M725" s="78">
        <f t="shared" si="370"/>
        <v>0</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2017</v>
      </c>
      <c r="B726" s="73" t="str">
        <f t="shared" si="344"/>
        <v>Nov</v>
      </c>
      <c r="C726" s="74">
        <f t="shared" si="367"/>
        <v>16</v>
      </c>
      <c r="D726" s="75">
        <f t="shared" si="345"/>
        <v>20</v>
      </c>
      <c r="E726" s="76">
        <f t="shared" si="346"/>
        <v>21</v>
      </c>
      <c r="F726" s="80"/>
      <c r="G726" s="83"/>
      <c r="H726" s="69" t="str">
        <f t="shared" si="368"/>
        <v>Lacine7_20171116_20_00</v>
      </c>
      <c r="I726" s="70">
        <f t="shared" si="370"/>
        <v>1</v>
      </c>
      <c r="J726" s="77" t="str">
        <f t="shared" si="370"/>
        <v>Lactuca</v>
      </c>
      <c r="K726" s="77" t="str">
        <f t="shared" si="370"/>
        <v>inermis</v>
      </c>
      <c r="L726" s="78">
        <f t="shared" si="370"/>
        <v>7</v>
      </c>
      <c r="M726" s="78">
        <f t="shared" si="370"/>
        <v>0</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2017</v>
      </c>
      <c r="B727" s="73" t="str">
        <f t="shared" si="344"/>
        <v>Nov</v>
      </c>
      <c r="C727" s="74">
        <f t="shared" si="367"/>
        <v>16</v>
      </c>
      <c r="D727" s="75">
        <f t="shared" si="345"/>
        <v>20</v>
      </c>
      <c r="E727" s="76">
        <f t="shared" si="346"/>
        <v>22</v>
      </c>
      <c r="F727" s="80"/>
      <c r="G727" s="83"/>
      <c r="H727" s="69" t="str">
        <f t="shared" si="368"/>
        <v>Lacine7_20171116_20_00</v>
      </c>
      <c r="I727" s="70">
        <f t="shared" si="370"/>
        <v>1</v>
      </c>
      <c r="J727" s="77" t="str">
        <f t="shared" si="370"/>
        <v>Lactuca</v>
      </c>
      <c r="K727" s="77" t="str">
        <f t="shared" si="370"/>
        <v>inermis</v>
      </c>
      <c r="L727" s="78">
        <f t="shared" si="370"/>
        <v>7</v>
      </c>
      <c r="M727" s="78">
        <f t="shared" si="370"/>
        <v>0</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2017</v>
      </c>
      <c r="B728" s="73" t="str">
        <f t="shared" si="344"/>
        <v>Nov</v>
      </c>
      <c r="C728" s="74">
        <f t="shared" si="367"/>
        <v>16</v>
      </c>
      <c r="D728" s="75">
        <f t="shared" si="345"/>
        <v>20</v>
      </c>
      <c r="E728" s="76">
        <f t="shared" si="346"/>
        <v>23</v>
      </c>
      <c r="F728" s="80"/>
      <c r="G728" s="83"/>
      <c r="H728" s="69" t="str">
        <f t="shared" si="368"/>
        <v>Lacine7_20171116_20_00</v>
      </c>
      <c r="I728" s="70">
        <f t="shared" si="370"/>
        <v>1</v>
      </c>
      <c r="J728" s="77" t="str">
        <f t="shared" si="370"/>
        <v>Lactuca</v>
      </c>
      <c r="K728" s="77" t="str">
        <f t="shared" si="370"/>
        <v>inermis</v>
      </c>
      <c r="L728" s="78">
        <f t="shared" si="370"/>
        <v>7</v>
      </c>
      <c r="M728" s="78">
        <f t="shared" si="370"/>
        <v>0</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2017</v>
      </c>
      <c r="B729" s="73" t="str">
        <f t="shared" si="344"/>
        <v>Nov</v>
      </c>
      <c r="C729" s="74">
        <f t="shared" si="367"/>
        <v>16</v>
      </c>
      <c r="D729" s="75">
        <f t="shared" si="345"/>
        <v>20</v>
      </c>
      <c r="E729" s="76">
        <f t="shared" si="346"/>
        <v>24</v>
      </c>
      <c r="F729" s="80"/>
      <c r="G729" s="83"/>
      <c r="H729" s="69" t="str">
        <f t="shared" si="368"/>
        <v>Lacine7_20171116_20_00</v>
      </c>
      <c r="I729" s="70">
        <f t="shared" si="370"/>
        <v>1</v>
      </c>
      <c r="J729" s="77" t="str">
        <f t="shared" si="370"/>
        <v>Lactuca</v>
      </c>
      <c r="K729" s="77" t="str">
        <f t="shared" si="370"/>
        <v>inermis</v>
      </c>
      <c r="L729" s="78">
        <f t="shared" si="370"/>
        <v>7</v>
      </c>
      <c r="M729" s="78">
        <f t="shared" si="370"/>
        <v>0</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2017</v>
      </c>
      <c r="B730" s="73" t="str">
        <f t="shared" si="344"/>
        <v>Nov</v>
      </c>
      <c r="C730" s="74">
        <f t="shared" si="367"/>
        <v>16</v>
      </c>
      <c r="D730" s="75">
        <f t="shared" si="345"/>
        <v>20</v>
      </c>
      <c r="E730" s="76">
        <f t="shared" si="346"/>
        <v>25</v>
      </c>
      <c r="F730" s="80"/>
      <c r="G730" s="83"/>
      <c r="H730" s="69" t="str">
        <f t="shared" si="368"/>
        <v>Lacine7_20171116_20_00</v>
      </c>
      <c r="I730" s="70">
        <f t="shared" si="370"/>
        <v>1</v>
      </c>
      <c r="J730" s="77" t="str">
        <f t="shared" si="370"/>
        <v>Lactuca</v>
      </c>
      <c r="K730" s="77" t="str">
        <f t="shared" si="370"/>
        <v>inermis</v>
      </c>
      <c r="L730" s="78">
        <f t="shared" si="370"/>
        <v>7</v>
      </c>
      <c r="M730" s="78">
        <f t="shared" si="370"/>
        <v>0</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2017</v>
      </c>
      <c r="B731" s="73" t="str">
        <f t="shared" si="344"/>
        <v>Nov</v>
      </c>
      <c r="C731" s="74">
        <f t="shared" si="367"/>
        <v>16</v>
      </c>
      <c r="D731" s="75">
        <f t="shared" si="345"/>
        <v>20</v>
      </c>
      <c r="E731" s="76">
        <f t="shared" si="346"/>
        <v>26</v>
      </c>
      <c r="F731" s="80"/>
      <c r="G731" s="83"/>
      <c r="H731" s="69" t="str">
        <f t="shared" si="368"/>
        <v>Lacine7_20171116_20_00</v>
      </c>
      <c r="I731" s="70">
        <f t="shared" si="370"/>
        <v>1</v>
      </c>
      <c r="J731" s="77" t="str">
        <f t="shared" si="370"/>
        <v>Lactuca</v>
      </c>
      <c r="K731" s="77" t="str">
        <f t="shared" si="370"/>
        <v>inermis</v>
      </c>
      <c r="L731" s="78">
        <f t="shared" si="370"/>
        <v>7</v>
      </c>
      <c r="M731" s="78">
        <f t="shared" si="370"/>
        <v>0</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2017</v>
      </c>
      <c r="B732" s="73" t="str">
        <f t="shared" si="344"/>
        <v>Nov</v>
      </c>
      <c r="C732" s="74">
        <f t="shared" si="367"/>
        <v>16</v>
      </c>
      <c r="D732" s="75">
        <f t="shared" si="345"/>
        <v>20</v>
      </c>
      <c r="E732" s="76">
        <f t="shared" si="346"/>
        <v>27</v>
      </c>
      <c r="F732" s="80"/>
      <c r="G732" s="83"/>
      <c r="H732" s="69" t="str">
        <f t="shared" si="368"/>
        <v>Lacine7_20171116_20_00</v>
      </c>
      <c r="I732" s="70">
        <f t="shared" si="370"/>
        <v>1</v>
      </c>
      <c r="J732" s="77" t="str">
        <f t="shared" si="370"/>
        <v>Lactuca</v>
      </c>
      <c r="K732" s="77" t="str">
        <f t="shared" si="370"/>
        <v>inermis</v>
      </c>
      <c r="L732" s="78">
        <f t="shared" si="370"/>
        <v>7</v>
      </c>
      <c r="M732" s="78">
        <f t="shared" si="370"/>
        <v>0</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2017</v>
      </c>
      <c r="B733" s="73" t="str">
        <f t="shared" si="344"/>
        <v>Nov</v>
      </c>
      <c r="C733" s="74">
        <f t="shared" si="367"/>
        <v>16</v>
      </c>
      <c r="D733" s="75">
        <f t="shared" si="345"/>
        <v>20</v>
      </c>
      <c r="E733" s="76">
        <f t="shared" si="346"/>
        <v>28</v>
      </c>
      <c r="F733" s="80"/>
      <c r="G733" s="83"/>
      <c r="H733" s="69" t="str">
        <f t="shared" si="368"/>
        <v>Lacine7_20171116_20_00</v>
      </c>
      <c r="I733" s="70">
        <f t="shared" si="370"/>
        <v>1</v>
      </c>
      <c r="J733" s="77" t="str">
        <f t="shared" si="370"/>
        <v>Lactuca</v>
      </c>
      <c r="K733" s="77" t="str">
        <f t="shared" si="370"/>
        <v>inermis</v>
      </c>
      <c r="L733" s="78">
        <f t="shared" si="370"/>
        <v>7</v>
      </c>
      <c r="M733" s="78">
        <f t="shared" si="370"/>
        <v>0</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2017</v>
      </c>
      <c r="B734" s="73" t="str">
        <f t="shared" si="344"/>
        <v>Nov</v>
      </c>
      <c r="C734" s="74">
        <f t="shared" si="367"/>
        <v>16</v>
      </c>
      <c r="D734" s="75">
        <f t="shared" si="345"/>
        <v>20</v>
      </c>
      <c r="E734" s="76">
        <f t="shared" si="346"/>
        <v>29</v>
      </c>
      <c r="F734" s="80"/>
      <c r="G734" s="83"/>
      <c r="H734" s="69" t="str">
        <f t="shared" si="368"/>
        <v>Lacine7_20171116_20_00</v>
      </c>
      <c r="I734" s="70">
        <f t="shared" si="370"/>
        <v>1</v>
      </c>
      <c r="J734" s="77" t="str">
        <f t="shared" si="370"/>
        <v>Lactuca</v>
      </c>
      <c r="K734" s="77" t="str">
        <f t="shared" si="370"/>
        <v>inermis</v>
      </c>
      <c r="L734" s="78">
        <f t="shared" si="370"/>
        <v>7</v>
      </c>
      <c r="M734" s="78">
        <f t="shared" si="370"/>
        <v>0</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2017</v>
      </c>
      <c r="B735" s="73" t="str">
        <f t="shared" si="344"/>
        <v>Nov</v>
      </c>
      <c r="C735" s="74">
        <f t="shared" si="367"/>
        <v>16</v>
      </c>
      <c r="D735" s="75">
        <f t="shared" si="345"/>
        <v>20</v>
      </c>
      <c r="E735" s="76">
        <f t="shared" si="346"/>
        <v>30</v>
      </c>
      <c r="F735" s="80"/>
      <c r="G735" s="83"/>
      <c r="H735" s="69" t="str">
        <f t="shared" si="368"/>
        <v>Lacine7_20171116_20_00</v>
      </c>
      <c r="I735" s="70">
        <f t="shared" si="370"/>
        <v>1</v>
      </c>
      <c r="J735" s="77" t="str">
        <f t="shared" si="370"/>
        <v>Lactuca</v>
      </c>
      <c r="K735" s="77" t="str">
        <f t="shared" si="370"/>
        <v>inermis</v>
      </c>
      <c r="L735" s="78">
        <f t="shared" si="370"/>
        <v>7</v>
      </c>
      <c r="M735" s="78">
        <f t="shared" si="370"/>
        <v>0</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2017</v>
      </c>
      <c r="B736" s="73" t="str">
        <f t="shared" si="344"/>
        <v>Nov</v>
      </c>
      <c r="C736" s="74">
        <f t="shared" si="367"/>
        <v>16</v>
      </c>
      <c r="D736" s="75">
        <f t="shared" si="345"/>
        <v>20</v>
      </c>
      <c r="E736" s="76">
        <f t="shared" si="346"/>
        <v>31</v>
      </c>
      <c r="F736" s="80"/>
      <c r="G736" s="83"/>
      <c r="H736" s="69" t="str">
        <f t="shared" si="368"/>
        <v>Lacine7_20171116_20_00</v>
      </c>
      <c r="I736" s="70">
        <f t="shared" si="370"/>
        <v>1</v>
      </c>
      <c r="J736" s="77" t="str">
        <f t="shared" si="370"/>
        <v>Lactuca</v>
      </c>
      <c r="K736" s="77" t="str">
        <f t="shared" si="370"/>
        <v>inermis</v>
      </c>
      <c r="L736" s="78">
        <f t="shared" si="370"/>
        <v>7</v>
      </c>
      <c r="M736" s="78">
        <f t="shared" si="370"/>
        <v>0</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2017</v>
      </c>
      <c r="B737" s="73" t="str">
        <f t="shared" si="344"/>
        <v>Nov</v>
      </c>
      <c r="C737" s="74">
        <f t="shared" si="367"/>
        <v>16</v>
      </c>
      <c r="D737" s="75">
        <f t="shared" si="345"/>
        <v>20</v>
      </c>
      <c r="E737" s="76">
        <f t="shared" si="346"/>
        <v>32</v>
      </c>
      <c r="F737" s="80"/>
      <c r="G737" s="83"/>
      <c r="H737" s="69" t="str">
        <f t="shared" si="368"/>
        <v>Lacine7_20171116_20_00</v>
      </c>
      <c r="I737" s="70">
        <f t="shared" si="370"/>
        <v>1</v>
      </c>
      <c r="J737" s="77" t="str">
        <f t="shared" si="370"/>
        <v>Lactuca</v>
      </c>
      <c r="K737" s="77" t="str">
        <f t="shared" si="370"/>
        <v>inermis</v>
      </c>
      <c r="L737" s="78">
        <f t="shared" si="370"/>
        <v>7</v>
      </c>
      <c r="M737" s="78">
        <f t="shared" si="370"/>
        <v>0</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2017</v>
      </c>
      <c r="B738" s="73" t="str">
        <f t="shared" si="344"/>
        <v>Nov</v>
      </c>
      <c r="C738" s="74">
        <f t="shared" si="367"/>
        <v>16</v>
      </c>
      <c r="D738" s="75">
        <f t="shared" si="345"/>
        <v>20</v>
      </c>
      <c r="E738" s="76">
        <f t="shared" si="346"/>
        <v>33</v>
      </c>
      <c r="F738" s="80"/>
      <c r="G738" s="83"/>
      <c r="H738" s="69" t="str">
        <f t="shared" si="368"/>
        <v>Lacine7_20171116_20_00</v>
      </c>
      <c r="I738" s="70">
        <f t="shared" si="370"/>
        <v>1</v>
      </c>
      <c r="J738" s="77" t="str">
        <f t="shared" si="370"/>
        <v>Lactuca</v>
      </c>
      <c r="K738" s="77" t="str">
        <f t="shared" si="370"/>
        <v>inermis</v>
      </c>
      <c r="L738" s="78">
        <f t="shared" si="370"/>
        <v>7</v>
      </c>
      <c r="M738" s="78">
        <f t="shared" si="370"/>
        <v>0</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2017</v>
      </c>
      <c r="B739" s="73" t="str">
        <f t="shared" si="344"/>
        <v>Nov</v>
      </c>
      <c r="C739" s="74">
        <f t="shared" si="367"/>
        <v>16</v>
      </c>
      <c r="D739" s="75">
        <f t="shared" si="345"/>
        <v>20</v>
      </c>
      <c r="E739" s="76">
        <f t="shared" si="346"/>
        <v>34</v>
      </c>
      <c r="F739" s="80"/>
      <c r="G739" s="83"/>
      <c r="H739" s="69" t="str">
        <f t="shared" si="368"/>
        <v>Lacine7_20171116_20_00</v>
      </c>
      <c r="I739" s="70">
        <f t="shared" si="370"/>
        <v>1</v>
      </c>
      <c r="J739" s="77" t="str">
        <f t="shared" si="370"/>
        <v>Lactuca</v>
      </c>
      <c r="K739" s="77" t="str">
        <f t="shared" si="370"/>
        <v>inermis</v>
      </c>
      <c r="L739" s="78">
        <f t="shared" si="370"/>
        <v>7</v>
      </c>
      <c r="M739" s="78">
        <f t="shared" si="370"/>
        <v>0</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2017</v>
      </c>
      <c r="B740" s="73" t="str">
        <f t="shared" si="344"/>
        <v>Nov</v>
      </c>
      <c r="C740" s="74">
        <f t="shared" si="367"/>
        <v>16</v>
      </c>
      <c r="D740" s="75">
        <f t="shared" si="345"/>
        <v>20</v>
      </c>
      <c r="E740" s="76">
        <f t="shared" si="346"/>
        <v>35</v>
      </c>
      <c r="F740" s="80"/>
      <c r="G740" s="83"/>
      <c r="H740" s="69" t="str">
        <f t="shared" si="368"/>
        <v>Lacine7_20171116_20_00</v>
      </c>
      <c r="I740" s="70">
        <f t="shared" si="370"/>
        <v>1</v>
      </c>
      <c r="J740" s="77" t="str">
        <f t="shared" si="370"/>
        <v>Lactuca</v>
      </c>
      <c r="K740" s="77" t="str">
        <f t="shared" si="370"/>
        <v>inermis</v>
      </c>
      <c r="L740" s="78">
        <f t="shared" si="370"/>
        <v>7</v>
      </c>
      <c r="M740" s="78">
        <f t="shared" si="370"/>
        <v>0</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2017</v>
      </c>
      <c r="B741" s="73" t="str">
        <f t="shared" si="344"/>
        <v>Nov</v>
      </c>
      <c r="C741" s="74">
        <f t="shared" si="367"/>
        <v>16</v>
      </c>
      <c r="D741" s="75">
        <f t="shared" si="345"/>
        <v>20</v>
      </c>
      <c r="E741" s="76">
        <f t="shared" si="346"/>
        <v>36</v>
      </c>
      <c r="F741" s="80"/>
      <c r="G741" s="83"/>
      <c r="H741" s="69" t="str">
        <f t="shared" si="368"/>
        <v>Lacine7_20171116_20_00</v>
      </c>
      <c r="I741" s="70">
        <f t="shared" ref="I741:N756" si="371">I740</f>
        <v>1</v>
      </c>
      <c r="J741" s="77" t="str">
        <f t="shared" si="371"/>
        <v>Lactuca</v>
      </c>
      <c r="K741" s="77" t="str">
        <f t="shared" si="371"/>
        <v>inermis</v>
      </c>
      <c r="L741" s="78">
        <f t="shared" si="371"/>
        <v>7</v>
      </c>
      <c r="M741" s="78">
        <f t="shared" si="371"/>
        <v>0</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2017</v>
      </c>
      <c r="B742" s="73" t="str">
        <f t="shared" si="344"/>
        <v>Nov</v>
      </c>
      <c r="C742" s="74">
        <f t="shared" si="367"/>
        <v>16</v>
      </c>
      <c r="D742" s="75">
        <f t="shared" si="345"/>
        <v>20</v>
      </c>
      <c r="E742" s="76">
        <f t="shared" si="346"/>
        <v>37</v>
      </c>
      <c r="F742" s="80"/>
      <c r="G742" s="83"/>
      <c r="H742" s="69" t="str">
        <f t="shared" si="368"/>
        <v>Lacine7_20171116_20_00</v>
      </c>
      <c r="I742" s="70">
        <f t="shared" si="371"/>
        <v>1</v>
      </c>
      <c r="J742" s="77" t="str">
        <f t="shared" si="371"/>
        <v>Lactuca</v>
      </c>
      <c r="K742" s="77" t="str">
        <f t="shared" si="371"/>
        <v>inermis</v>
      </c>
      <c r="L742" s="78">
        <f t="shared" si="371"/>
        <v>7</v>
      </c>
      <c r="M742" s="78">
        <f t="shared" si="371"/>
        <v>0</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2017</v>
      </c>
      <c r="B743" s="73" t="str">
        <f t="shared" si="344"/>
        <v>Nov</v>
      </c>
      <c r="C743" s="74">
        <f t="shared" si="367"/>
        <v>16</v>
      </c>
      <c r="D743" s="75">
        <f t="shared" si="345"/>
        <v>20</v>
      </c>
      <c r="E743" s="76">
        <f t="shared" si="346"/>
        <v>38</v>
      </c>
      <c r="F743" s="80"/>
      <c r="G743" s="83"/>
      <c r="H743" s="69" t="str">
        <f t="shared" si="368"/>
        <v>Lacine7_20171116_20_00</v>
      </c>
      <c r="I743" s="70">
        <f t="shared" si="371"/>
        <v>1</v>
      </c>
      <c r="J743" s="77" t="str">
        <f t="shared" si="371"/>
        <v>Lactuca</v>
      </c>
      <c r="K743" s="77" t="str">
        <f t="shared" si="371"/>
        <v>inermis</v>
      </c>
      <c r="L743" s="78">
        <f t="shared" si="371"/>
        <v>7</v>
      </c>
      <c r="M743" s="78">
        <f t="shared" si="371"/>
        <v>0</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2017</v>
      </c>
      <c r="B744" s="73" t="str">
        <f t="shared" si="344"/>
        <v>Nov</v>
      </c>
      <c r="C744" s="74">
        <f t="shared" si="367"/>
        <v>16</v>
      </c>
      <c r="D744" s="75">
        <f t="shared" si="345"/>
        <v>20</v>
      </c>
      <c r="E744" s="76">
        <f t="shared" si="346"/>
        <v>39</v>
      </c>
      <c r="F744" s="80"/>
      <c r="G744" s="83"/>
      <c r="H744" s="69" t="str">
        <f t="shared" si="368"/>
        <v>Lacine7_20171116_20_00</v>
      </c>
      <c r="I744" s="70">
        <f t="shared" si="371"/>
        <v>1</v>
      </c>
      <c r="J744" s="77" t="str">
        <f t="shared" si="371"/>
        <v>Lactuca</v>
      </c>
      <c r="K744" s="77" t="str">
        <f t="shared" si="371"/>
        <v>inermis</v>
      </c>
      <c r="L744" s="78">
        <f t="shared" si="371"/>
        <v>7</v>
      </c>
      <c r="M744" s="78">
        <f t="shared" si="371"/>
        <v>0</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2017</v>
      </c>
      <c r="B745" s="73" t="str">
        <f t="shared" si="344"/>
        <v>Nov</v>
      </c>
      <c r="C745" s="74">
        <f t="shared" si="367"/>
        <v>16</v>
      </c>
      <c r="D745" s="75">
        <f t="shared" si="345"/>
        <v>20</v>
      </c>
      <c r="E745" s="76">
        <f t="shared" si="346"/>
        <v>40</v>
      </c>
      <c r="F745" s="80"/>
      <c r="G745" s="83"/>
      <c r="H745" s="69" t="str">
        <f t="shared" si="368"/>
        <v>Lacine7_20171116_20_00</v>
      </c>
      <c r="I745" s="70">
        <f t="shared" si="371"/>
        <v>1</v>
      </c>
      <c r="J745" s="77" t="str">
        <f t="shared" si="371"/>
        <v>Lactuca</v>
      </c>
      <c r="K745" s="77" t="str">
        <f t="shared" si="371"/>
        <v>inermis</v>
      </c>
      <c r="L745" s="78">
        <f t="shared" si="371"/>
        <v>7</v>
      </c>
      <c r="M745" s="78">
        <f t="shared" si="371"/>
        <v>0</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2017</v>
      </c>
      <c r="B746" s="73" t="str">
        <f t="shared" si="344"/>
        <v>Nov</v>
      </c>
      <c r="C746" s="74">
        <f t="shared" si="367"/>
        <v>16</v>
      </c>
      <c r="D746" s="75">
        <f t="shared" si="345"/>
        <v>20</v>
      </c>
      <c r="E746" s="76">
        <f t="shared" si="346"/>
        <v>41</v>
      </c>
      <c r="F746" s="80"/>
      <c r="G746" s="83"/>
      <c r="H746" s="69" t="str">
        <f t="shared" si="368"/>
        <v>Lacine7_20171116_20_00</v>
      </c>
      <c r="I746" s="70">
        <f t="shared" si="371"/>
        <v>1</v>
      </c>
      <c r="J746" s="77" t="str">
        <f t="shared" si="371"/>
        <v>Lactuca</v>
      </c>
      <c r="K746" s="77" t="str">
        <f t="shared" si="371"/>
        <v>inermis</v>
      </c>
      <c r="L746" s="78">
        <f t="shared" si="371"/>
        <v>7</v>
      </c>
      <c r="M746" s="78">
        <f t="shared" si="371"/>
        <v>0</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2017</v>
      </c>
      <c r="B747" s="73" t="str">
        <f t="shared" si="344"/>
        <v>Nov</v>
      </c>
      <c r="C747" s="74">
        <f t="shared" si="367"/>
        <v>16</v>
      </c>
      <c r="D747" s="75">
        <f t="shared" si="345"/>
        <v>20</v>
      </c>
      <c r="E747" s="76">
        <f t="shared" si="346"/>
        <v>42</v>
      </c>
      <c r="F747" s="80"/>
      <c r="G747" s="83"/>
      <c r="H747" s="69" t="str">
        <f t="shared" si="368"/>
        <v>Lacine7_20171116_20_00</v>
      </c>
      <c r="I747" s="70">
        <f t="shared" si="371"/>
        <v>1</v>
      </c>
      <c r="J747" s="77" t="str">
        <f t="shared" si="371"/>
        <v>Lactuca</v>
      </c>
      <c r="K747" s="77" t="str">
        <f t="shared" si="371"/>
        <v>inermis</v>
      </c>
      <c r="L747" s="78">
        <f t="shared" si="371"/>
        <v>7</v>
      </c>
      <c r="M747" s="78">
        <f t="shared" si="371"/>
        <v>0</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2017</v>
      </c>
      <c r="B748" s="73" t="str">
        <f t="shared" si="344"/>
        <v>Nov</v>
      </c>
      <c r="C748" s="74">
        <f t="shared" si="367"/>
        <v>16</v>
      </c>
      <c r="D748" s="75">
        <f t="shared" si="345"/>
        <v>20</v>
      </c>
      <c r="E748" s="76">
        <f t="shared" si="346"/>
        <v>43</v>
      </c>
      <c r="F748" s="80"/>
      <c r="G748" s="83"/>
      <c r="H748" s="69" t="str">
        <f t="shared" si="368"/>
        <v>Lacine7_20171116_20_00</v>
      </c>
      <c r="I748" s="70">
        <f t="shared" si="371"/>
        <v>1</v>
      </c>
      <c r="J748" s="77" t="str">
        <f t="shared" si="371"/>
        <v>Lactuca</v>
      </c>
      <c r="K748" s="77" t="str">
        <f t="shared" si="371"/>
        <v>inermis</v>
      </c>
      <c r="L748" s="78">
        <f t="shared" si="371"/>
        <v>7</v>
      </c>
      <c r="M748" s="78">
        <f t="shared" si="371"/>
        <v>0</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2017</v>
      </c>
      <c r="B749" s="73" t="str">
        <f t="shared" si="344"/>
        <v>Nov</v>
      </c>
      <c r="C749" s="74">
        <f t="shared" si="367"/>
        <v>16</v>
      </c>
      <c r="D749" s="75">
        <f t="shared" si="345"/>
        <v>20</v>
      </c>
      <c r="E749" s="76">
        <f t="shared" si="346"/>
        <v>44</v>
      </c>
      <c r="F749" s="80"/>
      <c r="G749" s="83"/>
      <c r="H749" s="69" t="str">
        <f t="shared" si="368"/>
        <v>Lacine7_20171116_20_00</v>
      </c>
      <c r="I749" s="70">
        <f t="shared" si="371"/>
        <v>1</v>
      </c>
      <c r="J749" s="77" t="str">
        <f t="shared" si="371"/>
        <v>Lactuca</v>
      </c>
      <c r="K749" s="77" t="str">
        <f t="shared" si="371"/>
        <v>inermis</v>
      </c>
      <c r="L749" s="78">
        <f t="shared" si="371"/>
        <v>7</v>
      </c>
      <c r="M749" s="78">
        <f t="shared" si="371"/>
        <v>0</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2017</v>
      </c>
      <c r="B750" s="73" t="str">
        <f t="shared" si="344"/>
        <v>Nov</v>
      </c>
      <c r="C750" s="74">
        <f t="shared" si="367"/>
        <v>16</v>
      </c>
      <c r="D750" s="75">
        <f t="shared" si="345"/>
        <v>20</v>
      </c>
      <c r="E750" s="76">
        <f t="shared" si="346"/>
        <v>45</v>
      </c>
      <c r="F750" s="80"/>
      <c r="G750" s="83"/>
      <c r="H750" s="69" t="str">
        <f t="shared" si="368"/>
        <v>Lacine7_20171116_20_00</v>
      </c>
      <c r="I750" s="70">
        <f t="shared" si="371"/>
        <v>1</v>
      </c>
      <c r="J750" s="77" t="str">
        <f t="shared" si="371"/>
        <v>Lactuca</v>
      </c>
      <c r="K750" s="77" t="str">
        <f t="shared" si="371"/>
        <v>inermis</v>
      </c>
      <c r="L750" s="78">
        <f t="shared" si="371"/>
        <v>7</v>
      </c>
      <c r="M750" s="78">
        <f t="shared" si="371"/>
        <v>0</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2017</v>
      </c>
      <c r="B751" s="73" t="str">
        <f t="shared" si="344"/>
        <v>Nov</v>
      </c>
      <c r="C751" s="74">
        <f t="shared" si="367"/>
        <v>16</v>
      </c>
      <c r="D751" s="75">
        <f t="shared" si="345"/>
        <v>20</v>
      </c>
      <c r="E751" s="76">
        <f t="shared" si="346"/>
        <v>46</v>
      </c>
      <c r="F751" s="80"/>
      <c r="G751" s="83"/>
      <c r="H751" s="69" t="str">
        <f t="shared" si="368"/>
        <v>Lacine7_20171116_20_00</v>
      </c>
      <c r="I751" s="70">
        <f t="shared" si="371"/>
        <v>1</v>
      </c>
      <c r="J751" s="77" t="str">
        <f t="shared" si="371"/>
        <v>Lactuca</v>
      </c>
      <c r="K751" s="77" t="str">
        <f t="shared" si="371"/>
        <v>inermis</v>
      </c>
      <c r="L751" s="78">
        <f t="shared" si="371"/>
        <v>7</v>
      </c>
      <c r="M751" s="78">
        <f t="shared" si="371"/>
        <v>0</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2017</v>
      </c>
      <c r="B752" s="73" t="str">
        <f t="shared" si="344"/>
        <v>Nov</v>
      </c>
      <c r="C752" s="74">
        <f t="shared" si="367"/>
        <v>16</v>
      </c>
      <c r="D752" s="75">
        <f t="shared" si="345"/>
        <v>20</v>
      </c>
      <c r="E752" s="76">
        <f t="shared" si="346"/>
        <v>47</v>
      </c>
      <c r="F752" s="80"/>
      <c r="G752" s="83"/>
      <c r="H752" s="69" t="str">
        <f t="shared" si="368"/>
        <v>Lacine7_20171116_20_00</v>
      </c>
      <c r="I752" s="70">
        <f t="shared" si="371"/>
        <v>1</v>
      </c>
      <c r="J752" s="77" t="str">
        <f t="shared" si="371"/>
        <v>Lactuca</v>
      </c>
      <c r="K752" s="77" t="str">
        <f t="shared" si="371"/>
        <v>inermis</v>
      </c>
      <c r="L752" s="78">
        <f t="shared" si="371"/>
        <v>7</v>
      </c>
      <c r="M752" s="78">
        <f t="shared" si="371"/>
        <v>0</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2017</v>
      </c>
      <c r="B753" s="73" t="str">
        <f t="shared" si="344"/>
        <v>Nov</v>
      </c>
      <c r="C753" s="74">
        <f t="shared" si="367"/>
        <v>16</v>
      </c>
      <c r="D753" s="75">
        <f t="shared" si="345"/>
        <v>20</v>
      </c>
      <c r="E753" s="76">
        <f t="shared" si="346"/>
        <v>48</v>
      </c>
      <c r="F753" s="80"/>
      <c r="G753" s="83"/>
      <c r="H753" s="69" t="str">
        <f t="shared" si="368"/>
        <v>Lacine7_20171116_20_00</v>
      </c>
      <c r="I753" s="70">
        <f t="shared" si="371"/>
        <v>1</v>
      </c>
      <c r="J753" s="77" t="str">
        <f t="shared" si="371"/>
        <v>Lactuca</v>
      </c>
      <c r="K753" s="77" t="str">
        <f t="shared" si="371"/>
        <v>inermis</v>
      </c>
      <c r="L753" s="78">
        <f t="shared" si="371"/>
        <v>7</v>
      </c>
      <c r="M753" s="78">
        <f t="shared" si="371"/>
        <v>0</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2017</v>
      </c>
      <c r="B754" s="73" t="str">
        <f t="shared" si="344"/>
        <v>Nov</v>
      </c>
      <c r="C754" s="74">
        <f t="shared" si="367"/>
        <v>16</v>
      </c>
      <c r="D754" s="75">
        <f t="shared" si="345"/>
        <v>20</v>
      </c>
      <c r="E754" s="76">
        <f t="shared" si="346"/>
        <v>49</v>
      </c>
      <c r="F754" s="80"/>
      <c r="G754" s="83"/>
      <c r="H754" s="69" t="str">
        <f t="shared" si="368"/>
        <v>Lacine7_20171116_20_00</v>
      </c>
      <c r="I754" s="70">
        <f t="shared" si="371"/>
        <v>1</v>
      </c>
      <c r="J754" s="77" t="str">
        <f t="shared" si="371"/>
        <v>Lactuca</v>
      </c>
      <c r="K754" s="77" t="str">
        <f t="shared" si="371"/>
        <v>inermis</v>
      </c>
      <c r="L754" s="78">
        <f t="shared" si="371"/>
        <v>7</v>
      </c>
      <c r="M754" s="78">
        <f t="shared" si="371"/>
        <v>0</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2017</v>
      </c>
      <c r="B755" s="73" t="str">
        <f t="shared" si="344"/>
        <v>Nov</v>
      </c>
      <c r="C755" s="74">
        <f t="shared" si="367"/>
        <v>16</v>
      </c>
      <c r="D755" s="75">
        <f t="shared" si="345"/>
        <v>20</v>
      </c>
      <c r="E755" s="76">
        <f t="shared" si="346"/>
        <v>50</v>
      </c>
      <c r="F755" s="80"/>
      <c r="G755" s="83"/>
      <c r="H755" s="69" t="str">
        <f t="shared" si="368"/>
        <v>Lacine7_20171116_20_00</v>
      </c>
      <c r="I755" s="70">
        <f t="shared" si="371"/>
        <v>1</v>
      </c>
      <c r="J755" s="77" t="str">
        <f t="shared" si="371"/>
        <v>Lactuca</v>
      </c>
      <c r="K755" s="77" t="str">
        <f t="shared" si="371"/>
        <v>inermis</v>
      </c>
      <c r="L755" s="78">
        <f t="shared" si="371"/>
        <v>7</v>
      </c>
      <c r="M755" s="78">
        <f t="shared" si="371"/>
        <v>0</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2017</v>
      </c>
      <c r="B756" s="73" t="str">
        <f t="shared" si="344"/>
        <v>Nov</v>
      </c>
      <c r="C756" s="74">
        <f t="shared" si="367"/>
        <v>16</v>
      </c>
      <c r="D756" s="75">
        <f t="shared" si="345"/>
        <v>20</v>
      </c>
      <c r="E756" s="76">
        <f t="shared" si="346"/>
        <v>51</v>
      </c>
      <c r="F756" s="80"/>
      <c r="G756" s="83"/>
      <c r="H756" s="69" t="str">
        <f t="shared" si="368"/>
        <v>Lacine7_20171116_20_00</v>
      </c>
      <c r="I756" s="70">
        <f t="shared" si="371"/>
        <v>1</v>
      </c>
      <c r="J756" s="77" t="str">
        <f t="shared" si="371"/>
        <v>Lactuca</v>
      </c>
      <c r="K756" s="77" t="str">
        <f t="shared" si="371"/>
        <v>inermis</v>
      </c>
      <c r="L756" s="78">
        <f t="shared" si="371"/>
        <v>7</v>
      </c>
      <c r="M756" s="78">
        <f t="shared" si="371"/>
        <v>0</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2017</v>
      </c>
      <c r="B757" s="73" t="str">
        <f t="shared" si="344"/>
        <v>Nov</v>
      </c>
      <c r="C757" s="74">
        <f t="shared" si="367"/>
        <v>16</v>
      </c>
      <c r="D757" s="75">
        <f t="shared" si="345"/>
        <v>20</v>
      </c>
      <c r="E757" s="76">
        <f t="shared" si="346"/>
        <v>52</v>
      </c>
      <c r="F757" s="80"/>
      <c r="G757" s="83"/>
      <c r="H757" s="69" t="str">
        <f t="shared" si="368"/>
        <v>Lacine7_20171116_20_00</v>
      </c>
      <c r="I757" s="70">
        <f t="shared" ref="I757:N772" si="372">I756</f>
        <v>1</v>
      </c>
      <c r="J757" s="77" t="str">
        <f t="shared" si="372"/>
        <v>Lactuca</v>
      </c>
      <c r="K757" s="77" t="str">
        <f t="shared" si="372"/>
        <v>inermis</v>
      </c>
      <c r="L757" s="78">
        <f t="shared" si="372"/>
        <v>7</v>
      </c>
      <c r="M757" s="78">
        <f t="shared" si="372"/>
        <v>0</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2017</v>
      </c>
      <c r="B758" s="73" t="str">
        <f t="shared" si="344"/>
        <v>Nov</v>
      </c>
      <c r="C758" s="74">
        <f t="shared" si="367"/>
        <v>16</v>
      </c>
      <c r="D758" s="75">
        <f t="shared" si="345"/>
        <v>20</v>
      </c>
      <c r="E758" s="76">
        <f t="shared" si="346"/>
        <v>53</v>
      </c>
      <c r="F758" s="80"/>
      <c r="G758" s="83"/>
      <c r="H758" s="69" t="str">
        <f t="shared" si="368"/>
        <v>Lacine7_20171116_20_00</v>
      </c>
      <c r="I758" s="70">
        <f t="shared" si="372"/>
        <v>1</v>
      </c>
      <c r="J758" s="77" t="str">
        <f t="shared" si="372"/>
        <v>Lactuca</v>
      </c>
      <c r="K758" s="77" t="str">
        <f t="shared" si="372"/>
        <v>inermis</v>
      </c>
      <c r="L758" s="78">
        <f t="shared" si="372"/>
        <v>7</v>
      </c>
      <c r="M758" s="78">
        <f t="shared" si="372"/>
        <v>0</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2017</v>
      </c>
      <c r="B759" s="73" t="str">
        <f t="shared" si="344"/>
        <v>Nov</v>
      </c>
      <c r="C759" s="74">
        <f t="shared" si="367"/>
        <v>16</v>
      </c>
      <c r="D759" s="75">
        <f t="shared" si="345"/>
        <v>20</v>
      </c>
      <c r="E759" s="76">
        <f t="shared" si="346"/>
        <v>54</v>
      </c>
      <c r="F759" s="80"/>
      <c r="G759" s="83"/>
      <c r="H759" s="69" t="str">
        <f t="shared" si="368"/>
        <v>Lacine7_20171116_20_00</v>
      </c>
      <c r="I759" s="70">
        <f t="shared" si="372"/>
        <v>1</v>
      </c>
      <c r="J759" s="77" t="str">
        <f t="shared" si="372"/>
        <v>Lactuca</v>
      </c>
      <c r="K759" s="77" t="str">
        <f t="shared" si="372"/>
        <v>inermis</v>
      </c>
      <c r="L759" s="78">
        <f t="shared" si="372"/>
        <v>7</v>
      </c>
      <c r="M759" s="78">
        <f t="shared" si="372"/>
        <v>0</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2017</v>
      </c>
      <c r="B760" s="73" t="str">
        <f t="shared" si="344"/>
        <v>Nov</v>
      </c>
      <c r="C760" s="74">
        <f t="shared" si="367"/>
        <v>16</v>
      </c>
      <c r="D760" s="75">
        <f t="shared" si="345"/>
        <v>20</v>
      </c>
      <c r="E760" s="76">
        <f t="shared" si="346"/>
        <v>55</v>
      </c>
      <c r="F760" s="80"/>
      <c r="G760" s="83"/>
      <c r="H760" s="69" t="str">
        <f t="shared" si="368"/>
        <v>Lacine7_20171116_20_00</v>
      </c>
      <c r="I760" s="70">
        <f t="shared" si="372"/>
        <v>1</v>
      </c>
      <c r="J760" s="77" t="str">
        <f t="shared" si="372"/>
        <v>Lactuca</v>
      </c>
      <c r="K760" s="77" t="str">
        <f t="shared" si="372"/>
        <v>inermis</v>
      </c>
      <c r="L760" s="78">
        <f t="shared" si="372"/>
        <v>7</v>
      </c>
      <c r="M760" s="78">
        <f t="shared" si="372"/>
        <v>0</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2017</v>
      </c>
      <c r="B761" s="73" t="str">
        <f t="shared" si="344"/>
        <v>Nov</v>
      </c>
      <c r="C761" s="74">
        <f t="shared" si="367"/>
        <v>16</v>
      </c>
      <c r="D761" s="75">
        <f t="shared" si="345"/>
        <v>20</v>
      </c>
      <c r="E761" s="76">
        <f t="shared" si="346"/>
        <v>56</v>
      </c>
      <c r="F761" s="80"/>
      <c r="G761" s="83"/>
      <c r="H761" s="69" t="str">
        <f t="shared" si="368"/>
        <v>Lacine7_20171116_20_00</v>
      </c>
      <c r="I761" s="70">
        <f t="shared" si="372"/>
        <v>1</v>
      </c>
      <c r="J761" s="77" t="str">
        <f t="shared" si="372"/>
        <v>Lactuca</v>
      </c>
      <c r="K761" s="77" t="str">
        <f t="shared" si="372"/>
        <v>inermis</v>
      </c>
      <c r="L761" s="78">
        <f t="shared" si="372"/>
        <v>7</v>
      </c>
      <c r="M761" s="78">
        <f t="shared" si="372"/>
        <v>0</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2017</v>
      </c>
      <c r="B762" s="73" t="str">
        <f t="shared" si="344"/>
        <v>Nov</v>
      </c>
      <c r="C762" s="74">
        <f t="shared" si="367"/>
        <v>16</v>
      </c>
      <c r="D762" s="75">
        <f t="shared" si="345"/>
        <v>20</v>
      </c>
      <c r="E762" s="76">
        <f t="shared" si="346"/>
        <v>57</v>
      </c>
      <c r="F762" s="80"/>
      <c r="G762" s="83"/>
      <c r="H762" s="69" t="str">
        <f t="shared" si="368"/>
        <v>Lacine7_20171116_20_00</v>
      </c>
      <c r="I762" s="70">
        <f t="shared" si="372"/>
        <v>1</v>
      </c>
      <c r="J762" s="77" t="str">
        <f t="shared" si="372"/>
        <v>Lactuca</v>
      </c>
      <c r="K762" s="77" t="str">
        <f t="shared" si="372"/>
        <v>inermis</v>
      </c>
      <c r="L762" s="78">
        <f t="shared" si="372"/>
        <v>7</v>
      </c>
      <c r="M762" s="78">
        <f t="shared" si="372"/>
        <v>0</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2017</v>
      </c>
      <c r="B763" s="73" t="str">
        <f t="shared" si="344"/>
        <v>Nov</v>
      </c>
      <c r="C763" s="74">
        <f t="shared" si="367"/>
        <v>16</v>
      </c>
      <c r="D763" s="75">
        <f t="shared" si="345"/>
        <v>20</v>
      </c>
      <c r="E763" s="76">
        <f t="shared" si="346"/>
        <v>58</v>
      </c>
      <c r="F763" s="80"/>
      <c r="G763" s="83"/>
      <c r="H763" s="69" t="str">
        <f t="shared" si="368"/>
        <v>Lacine7_20171116_20_00</v>
      </c>
      <c r="I763" s="70">
        <f t="shared" si="372"/>
        <v>1</v>
      </c>
      <c r="J763" s="77" t="str">
        <f t="shared" si="372"/>
        <v>Lactuca</v>
      </c>
      <c r="K763" s="77" t="str">
        <f t="shared" si="372"/>
        <v>inermis</v>
      </c>
      <c r="L763" s="78">
        <f t="shared" si="372"/>
        <v>7</v>
      </c>
      <c r="M763" s="78">
        <f t="shared" si="372"/>
        <v>0</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2017</v>
      </c>
      <c r="B764" s="73" t="str">
        <f t="shared" si="344"/>
        <v>Nov</v>
      </c>
      <c r="C764" s="74">
        <f t="shared" si="367"/>
        <v>16</v>
      </c>
      <c r="D764" s="75">
        <f t="shared" si="345"/>
        <v>20</v>
      </c>
      <c r="E764" s="76">
        <f t="shared" si="346"/>
        <v>59</v>
      </c>
      <c r="F764" s="80"/>
      <c r="G764" s="83"/>
      <c r="H764" s="69" t="str">
        <f t="shared" si="368"/>
        <v>Lacine7_20171116_20_00</v>
      </c>
      <c r="I764" s="70">
        <f t="shared" si="372"/>
        <v>1</v>
      </c>
      <c r="J764" s="77" t="str">
        <f t="shared" si="372"/>
        <v>Lactuca</v>
      </c>
      <c r="K764" s="77" t="str">
        <f t="shared" si="372"/>
        <v>inermis</v>
      </c>
      <c r="L764" s="78">
        <f t="shared" si="372"/>
        <v>7</v>
      </c>
      <c r="M764" s="78">
        <f t="shared" si="372"/>
        <v>0</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2017</v>
      </c>
      <c r="B765" s="73" t="str">
        <f t="shared" si="344"/>
        <v>Nov</v>
      </c>
      <c r="C765" s="74">
        <f t="shared" si="367"/>
        <v>16</v>
      </c>
      <c r="D765" s="75">
        <f t="shared" si="345"/>
        <v>21</v>
      </c>
      <c r="E765" s="76">
        <f t="shared" si="346"/>
        <v>0</v>
      </c>
      <c r="F765" s="80"/>
      <c r="G765" s="83"/>
      <c r="H765" s="69" t="str">
        <f t="shared" si="368"/>
        <v>Lacine7_20171116_21_00</v>
      </c>
      <c r="I765" s="70">
        <f t="shared" si="372"/>
        <v>1</v>
      </c>
      <c r="J765" s="77" t="str">
        <f t="shared" si="372"/>
        <v>Lactuca</v>
      </c>
      <c r="K765" s="77" t="str">
        <f t="shared" si="372"/>
        <v>inermis</v>
      </c>
      <c r="L765" s="78">
        <f t="shared" si="372"/>
        <v>7</v>
      </c>
      <c r="M765" s="78">
        <f t="shared" si="372"/>
        <v>0</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2017</v>
      </c>
      <c r="B766" s="73" t="str">
        <f t="shared" si="344"/>
        <v>Nov</v>
      </c>
      <c r="C766" s="74">
        <f t="shared" si="367"/>
        <v>16</v>
      </c>
      <c r="D766" s="75">
        <f t="shared" si="345"/>
        <v>21</v>
      </c>
      <c r="E766" s="76">
        <f t="shared" si="346"/>
        <v>1</v>
      </c>
      <c r="F766" s="80"/>
      <c r="G766" s="83"/>
      <c r="H766" s="69" t="str">
        <f t="shared" si="368"/>
        <v>Lacine7_20171116_21_00</v>
      </c>
      <c r="I766" s="70">
        <f t="shared" si="372"/>
        <v>1</v>
      </c>
      <c r="J766" s="77" t="str">
        <f t="shared" si="372"/>
        <v>Lactuca</v>
      </c>
      <c r="K766" s="77" t="str">
        <f t="shared" si="372"/>
        <v>inermis</v>
      </c>
      <c r="L766" s="78">
        <f t="shared" si="372"/>
        <v>7</v>
      </c>
      <c r="M766" s="78">
        <f t="shared" si="372"/>
        <v>0</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2017</v>
      </c>
      <c r="B767" s="73" t="str">
        <f t="shared" si="344"/>
        <v>Nov</v>
      </c>
      <c r="C767" s="74">
        <f t="shared" si="367"/>
        <v>16</v>
      </c>
      <c r="D767" s="75">
        <f t="shared" si="345"/>
        <v>21</v>
      </c>
      <c r="E767" s="76">
        <f t="shared" si="346"/>
        <v>2</v>
      </c>
      <c r="F767" s="80"/>
      <c r="G767" s="83"/>
      <c r="H767" s="69" t="str">
        <f t="shared" si="368"/>
        <v>Lacine7_20171116_21_00</v>
      </c>
      <c r="I767" s="70">
        <f t="shared" si="372"/>
        <v>1</v>
      </c>
      <c r="J767" s="77" t="str">
        <f t="shared" si="372"/>
        <v>Lactuca</v>
      </c>
      <c r="K767" s="77" t="str">
        <f t="shared" si="372"/>
        <v>inermis</v>
      </c>
      <c r="L767" s="78">
        <f t="shared" si="372"/>
        <v>7</v>
      </c>
      <c r="M767" s="78">
        <f t="shared" si="372"/>
        <v>0</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2017</v>
      </c>
      <c r="B768" s="73" t="str">
        <f t="shared" si="344"/>
        <v>Nov</v>
      </c>
      <c r="C768" s="74">
        <f t="shared" si="367"/>
        <v>16</v>
      </c>
      <c r="D768" s="75">
        <f t="shared" si="345"/>
        <v>21</v>
      </c>
      <c r="E768" s="76">
        <f t="shared" si="346"/>
        <v>3</v>
      </c>
      <c r="F768" s="80"/>
      <c r="G768" s="83"/>
      <c r="H768" s="69" t="str">
        <f t="shared" si="368"/>
        <v>Lacine7_20171116_21_00</v>
      </c>
      <c r="I768" s="70">
        <f t="shared" si="372"/>
        <v>1</v>
      </c>
      <c r="J768" s="77" t="str">
        <f t="shared" si="372"/>
        <v>Lactuca</v>
      </c>
      <c r="K768" s="77" t="str">
        <f t="shared" si="372"/>
        <v>inermis</v>
      </c>
      <c r="L768" s="78">
        <f t="shared" si="372"/>
        <v>7</v>
      </c>
      <c r="M768" s="78">
        <f t="shared" si="372"/>
        <v>0</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2017</v>
      </c>
      <c r="B769" s="73" t="str">
        <f t="shared" si="344"/>
        <v>Nov</v>
      </c>
      <c r="C769" s="74">
        <f t="shared" si="367"/>
        <v>16</v>
      </c>
      <c r="D769" s="75">
        <f t="shared" si="345"/>
        <v>21</v>
      </c>
      <c r="E769" s="76">
        <f t="shared" si="346"/>
        <v>4</v>
      </c>
      <c r="F769" s="80"/>
      <c r="G769" s="83"/>
      <c r="H769" s="69" t="str">
        <f t="shared" si="368"/>
        <v>Lacine7_20171116_21_00</v>
      </c>
      <c r="I769" s="70">
        <f t="shared" si="372"/>
        <v>1</v>
      </c>
      <c r="J769" s="77" t="str">
        <f t="shared" si="372"/>
        <v>Lactuca</v>
      </c>
      <c r="K769" s="77" t="str">
        <f t="shared" si="372"/>
        <v>inermis</v>
      </c>
      <c r="L769" s="78">
        <f t="shared" si="372"/>
        <v>7</v>
      </c>
      <c r="M769" s="78">
        <f t="shared" si="372"/>
        <v>0</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2017</v>
      </c>
      <c r="B770" s="73" t="str">
        <f t="shared" si="344"/>
        <v>Nov</v>
      </c>
      <c r="C770" s="74">
        <f t="shared" si="367"/>
        <v>16</v>
      </c>
      <c r="D770" s="75">
        <f t="shared" si="345"/>
        <v>21</v>
      </c>
      <c r="E770" s="76">
        <f t="shared" si="346"/>
        <v>5</v>
      </c>
      <c r="F770" s="80"/>
      <c r="G770" s="83"/>
      <c r="H770" s="69" t="str">
        <f t="shared" si="368"/>
        <v>Lacine7_20171116_21_00</v>
      </c>
      <c r="I770" s="70">
        <f t="shared" si="372"/>
        <v>1</v>
      </c>
      <c r="J770" s="77" t="str">
        <f t="shared" si="372"/>
        <v>Lactuca</v>
      </c>
      <c r="K770" s="77" t="str">
        <f t="shared" si="372"/>
        <v>inermis</v>
      </c>
      <c r="L770" s="78">
        <f t="shared" si="372"/>
        <v>7</v>
      </c>
      <c r="M770" s="78">
        <f t="shared" si="372"/>
        <v>0</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2017</v>
      </c>
      <c r="B771" s="73" t="str">
        <f t="shared" si="344"/>
        <v>Nov</v>
      </c>
      <c r="C771" s="74">
        <f t="shared" si="367"/>
        <v>16</v>
      </c>
      <c r="D771" s="75">
        <f t="shared" si="345"/>
        <v>21</v>
      </c>
      <c r="E771" s="76">
        <f t="shared" si="346"/>
        <v>6</v>
      </c>
      <c r="F771" s="80"/>
      <c r="G771" s="83"/>
      <c r="H771" s="69" t="str">
        <f t="shared" si="368"/>
        <v>Lacine7_20171116_21_00</v>
      </c>
      <c r="I771" s="70">
        <f t="shared" si="372"/>
        <v>1</v>
      </c>
      <c r="J771" s="77" t="str">
        <f t="shared" si="372"/>
        <v>Lactuca</v>
      </c>
      <c r="K771" s="77" t="str">
        <f t="shared" si="372"/>
        <v>inermis</v>
      </c>
      <c r="L771" s="78">
        <f t="shared" si="372"/>
        <v>7</v>
      </c>
      <c r="M771" s="78">
        <f t="shared" si="372"/>
        <v>0</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2017</v>
      </c>
      <c r="B772" s="73" t="str">
        <f t="shared" ref="B772:B835" si="375">IF(C771-C772&gt;0, TEXT(DATE(2016,(MONTH(DATEVALUE(B771&amp;"1"))+1),1),"mmm"), B771)</f>
        <v>Nov</v>
      </c>
      <c r="C772" s="74">
        <f t="shared" si="367"/>
        <v>16</v>
      </c>
      <c r="D772" s="75">
        <f t="shared" ref="D772:D835" si="376">IF(IF(E771=59,D771+1,D771)=24,0,IF(E771=59,D771+1,D771))</f>
        <v>21</v>
      </c>
      <c r="E772" s="76">
        <f t="shared" ref="E772:E835" si="377">IF(E771&lt;59,E771+1,0)</f>
        <v>7</v>
      </c>
      <c r="F772" s="80"/>
      <c r="G772" s="83"/>
      <c r="H772" s="69" t="str">
        <f t="shared" si="368"/>
        <v>Lacine7_20171116_21_00</v>
      </c>
      <c r="I772" s="70">
        <f t="shared" si="372"/>
        <v>1</v>
      </c>
      <c r="J772" s="77" t="str">
        <f t="shared" si="372"/>
        <v>Lactuca</v>
      </c>
      <c r="K772" s="77" t="str">
        <f t="shared" si="372"/>
        <v>inermis</v>
      </c>
      <c r="L772" s="78">
        <f t="shared" si="372"/>
        <v>7</v>
      </c>
      <c r="M772" s="78">
        <f t="shared" si="372"/>
        <v>0</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2017</v>
      </c>
      <c r="B773" s="73" t="str">
        <f t="shared" si="375"/>
        <v>Nov</v>
      </c>
      <c r="C773" s="74">
        <f t="shared" ref="C773:C836" si="398">IF(AND(D773=0, E773=0), IF(TEXT(C772,"dd")=TEXT(EOMONTH(DATE(A772,MONTH(DATEVALUE(B772&amp;"1")),C772),0), "dd"), 1, C772+1), C772)</f>
        <v>16</v>
      </c>
      <c r="D773" s="75">
        <f t="shared" si="376"/>
        <v>21</v>
      </c>
      <c r="E773" s="76">
        <f t="shared" si="377"/>
        <v>8</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Lacine7_20171116_21_00</v>
      </c>
      <c r="I773" s="70">
        <f t="shared" ref="I773:N788" si="400">I772</f>
        <v>1</v>
      </c>
      <c r="J773" s="77" t="str">
        <f t="shared" si="400"/>
        <v>Lactuca</v>
      </c>
      <c r="K773" s="77" t="str">
        <f t="shared" si="400"/>
        <v>inermis</v>
      </c>
      <c r="L773" s="78">
        <f t="shared" si="400"/>
        <v>7</v>
      </c>
      <c r="M773" s="78">
        <f t="shared" si="400"/>
        <v>0</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2017</v>
      </c>
      <c r="B774" s="73" t="str">
        <f t="shared" si="375"/>
        <v>Nov</v>
      </c>
      <c r="C774" s="74">
        <f t="shared" si="398"/>
        <v>16</v>
      </c>
      <c r="D774" s="75">
        <f t="shared" si="376"/>
        <v>21</v>
      </c>
      <c r="E774" s="76">
        <f t="shared" si="377"/>
        <v>9</v>
      </c>
      <c r="F774" s="80"/>
      <c r="G774" s="83"/>
      <c r="H774" s="69" t="str">
        <f t="shared" si="399"/>
        <v>Lacine7_20171116_21_00</v>
      </c>
      <c r="I774" s="70">
        <f t="shared" si="400"/>
        <v>1</v>
      </c>
      <c r="J774" s="77" t="str">
        <f t="shared" si="400"/>
        <v>Lactuca</v>
      </c>
      <c r="K774" s="77" t="str">
        <f t="shared" si="400"/>
        <v>inermis</v>
      </c>
      <c r="L774" s="78">
        <f t="shared" si="400"/>
        <v>7</v>
      </c>
      <c r="M774" s="78">
        <f t="shared" si="400"/>
        <v>0</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2017</v>
      </c>
      <c r="B775" s="73" t="str">
        <f t="shared" si="375"/>
        <v>Nov</v>
      </c>
      <c r="C775" s="74">
        <f t="shared" si="398"/>
        <v>16</v>
      </c>
      <c r="D775" s="75">
        <f t="shared" si="376"/>
        <v>21</v>
      </c>
      <c r="E775" s="76">
        <f t="shared" si="377"/>
        <v>10</v>
      </c>
      <c r="F775" s="80"/>
      <c r="G775" s="83"/>
      <c r="H775" s="69" t="str">
        <f t="shared" si="399"/>
        <v>Lacine7_20171116_21_00</v>
      </c>
      <c r="I775" s="70">
        <f t="shared" si="400"/>
        <v>1</v>
      </c>
      <c r="J775" s="77" t="str">
        <f t="shared" si="400"/>
        <v>Lactuca</v>
      </c>
      <c r="K775" s="77" t="str">
        <f t="shared" si="400"/>
        <v>inermis</v>
      </c>
      <c r="L775" s="78">
        <f t="shared" si="400"/>
        <v>7</v>
      </c>
      <c r="M775" s="78">
        <f t="shared" si="400"/>
        <v>0</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2017</v>
      </c>
      <c r="B776" s="73" t="str">
        <f t="shared" si="375"/>
        <v>Nov</v>
      </c>
      <c r="C776" s="74">
        <f t="shared" si="398"/>
        <v>16</v>
      </c>
      <c r="D776" s="75">
        <f t="shared" si="376"/>
        <v>21</v>
      </c>
      <c r="E776" s="76">
        <f t="shared" si="377"/>
        <v>11</v>
      </c>
      <c r="F776" s="80"/>
      <c r="G776" s="83"/>
      <c r="H776" s="69" t="str">
        <f t="shared" si="399"/>
        <v>Lacine7_20171116_21_00</v>
      </c>
      <c r="I776" s="70">
        <f t="shared" si="400"/>
        <v>1</v>
      </c>
      <c r="J776" s="77" t="str">
        <f t="shared" si="400"/>
        <v>Lactuca</v>
      </c>
      <c r="K776" s="77" t="str">
        <f t="shared" si="400"/>
        <v>inermis</v>
      </c>
      <c r="L776" s="78">
        <f t="shared" si="400"/>
        <v>7</v>
      </c>
      <c r="M776" s="78">
        <f t="shared" si="400"/>
        <v>0</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2017</v>
      </c>
      <c r="B777" s="73" t="str">
        <f t="shared" si="375"/>
        <v>Nov</v>
      </c>
      <c r="C777" s="74">
        <f t="shared" si="398"/>
        <v>16</v>
      </c>
      <c r="D777" s="75">
        <f t="shared" si="376"/>
        <v>21</v>
      </c>
      <c r="E777" s="76">
        <f t="shared" si="377"/>
        <v>12</v>
      </c>
      <c r="F777" s="80"/>
      <c r="G777" s="83"/>
      <c r="H777" s="69" t="str">
        <f t="shared" si="399"/>
        <v>Lacine7_20171116_21_00</v>
      </c>
      <c r="I777" s="70">
        <f t="shared" si="400"/>
        <v>1</v>
      </c>
      <c r="J777" s="77" t="str">
        <f t="shared" si="400"/>
        <v>Lactuca</v>
      </c>
      <c r="K777" s="77" t="str">
        <f t="shared" si="400"/>
        <v>inermis</v>
      </c>
      <c r="L777" s="78">
        <f t="shared" si="400"/>
        <v>7</v>
      </c>
      <c r="M777" s="78">
        <f t="shared" si="400"/>
        <v>0</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2017</v>
      </c>
      <c r="B778" s="73" t="str">
        <f t="shared" si="375"/>
        <v>Nov</v>
      </c>
      <c r="C778" s="74">
        <f t="shared" si="398"/>
        <v>16</v>
      </c>
      <c r="D778" s="75">
        <f t="shared" si="376"/>
        <v>21</v>
      </c>
      <c r="E778" s="76">
        <f t="shared" si="377"/>
        <v>13</v>
      </c>
      <c r="F778" s="80"/>
      <c r="G778" s="83"/>
      <c r="H778" s="69" t="str">
        <f t="shared" si="399"/>
        <v>Lacine7_20171116_21_00</v>
      </c>
      <c r="I778" s="70">
        <f t="shared" si="400"/>
        <v>1</v>
      </c>
      <c r="J778" s="77" t="str">
        <f t="shared" si="400"/>
        <v>Lactuca</v>
      </c>
      <c r="K778" s="77" t="str">
        <f t="shared" si="400"/>
        <v>inermis</v>
      </c>
      <c r="L778" s="78">
        <f t="shared" si="400"/>
        <v>7</v>
      </c>
      <c r="M778" s="78">
        <f t="shared" si="400"/>
        <v>0</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2017</v>
      </c>
      <c r="B779" s="73" t="str">
        <f t="shared" si="375"/>
        <v>Nov</v>
      </c>
      <c r="C779" s="74">
        <f t="shared" si="398"/>
        <v>16</v>
      </c>
      <c r="D779" s="75">
        <f t="shared" si="376"/>
        <v>21</v>
      </c>
      <c r="E779" s="76">
        <f t="shared" si="377"/>
        <v>14</v>
      </c>
      <c r="F779" s="80"/>
      <c r="G779" s="83"/>
      <c r="H779" s="69" t="str">
        <f t="shared" si="399"/>
        <v>Lacine7_20171116_21_00</v>
      </c>
      <c r="I779" s="70">
        <f t="shared" si="400"/>
        <v>1</v>
      </c>
      <c r="J779" s="77" t="str">
        <f t="shared" si="400"/>
        <v>Lactuca</v>
      </c>
      <c r="K779" s="77" t="str">
        <f t="shared" si="400"/>
        <v>inermis</v>
      </c>
      <c r="L779" s="78">
        <f t="shared" si="400"/>
        <v>7</v>
      </c>
      <c r="M779" s="78">
        <f t="shared" si="400"/>
        <v>0</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2017</v>
      </c>
      <c r="B780" s="73" t="str">
        <f t="shared" si="375"/>
        <v>Nov</v>
      </c>
      <c r="C780" s="74">
        <f t="shared" si="398"/>
        <v>16</v>
      </c>
      <c r="D780" s="75">
        <f t="shared" si="376"/>
        <v>21</v>
      </c>
      <c r="E780" s="76">
        <f t="shared" si="377"/>
        <v>15</v>
      </c>
      <c r="F780" s="80"/>
      <c r="G780" s="83"/>
      <c r="H780" s="69" t="str">
        <f t="shared" si="399"/>
        <v>Lacine7_20171116_21_00</v>
      </c>
      <c r="I780" s="70">
        <f t="shared" si="400"/>
        <v>1</v>
      </c>
      <c r="J780" s="77" t="str">
        <f t="shared" si="400"/>
        <v>Lactuca</v>
      </c>
      <c r="K780" s="77" t="str">
        <f t="shared" si="400"/>
        <v>inermis</v>
      </c>
      <c r="L780" s="78">
        <f t="shared" si="400"/>
        <v>7</v>
      </c>
      <c r="M780" s="78">
        <f t="shared" si="400"/>
        <v>0</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2017</v>
      </c>
      <c r="B781" s="73" t="str">
        <f t="shared" si="375"/>
        <v>Nov</v>
      </c>
      <c r="C781" s="74">
        <f t="shared" si="398"/>
        <v>16</v>
      </c>
      <c r="D781" s="75">
        <f t="shared" si="376"/>
        <v>21</v>
      </c>
      <c r="E781" s="76">
        <f t="shared" si="377"/>
        <v>16</v>
      </c>
      <c r="F781" s="80"/>
      <c r="G781" s="83"/>
      <c r="H781" s="69" t="str">
        <f t="shared" si="399"/>
        <v>Lacine7_20171116_21_00</v>
      </c>
      <c r="I781" s="70">
        <f t="shared" si="400"/>
        <v>1</v>
      </c>
      <c r="J781" s="77" t="str">
        <f t="shared" si="400"/>
        <v>Lactuca</v>
      </c>
      <c r="K781" s="77" t="str">
        <f t="shared" si="400"/>
        <v>inermis</v>
      </c>
      <c r="L781" s="78">
        <f t="shared" si="400"/>
        <v>7</v>
      </c>
      <c r="M781" s="78">
        <f t="shared" si="400"/>
        <v>0</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2017</v>
      </c>
      <c r="B782" s="73" t="str">
        <f t="shared" si="375"/>
        <v>Nov</v>
      </c>
      <c r="C782" s="74">
        <f t="shared" si="398"/>
        <v>16</v>
      </c>
      <c r="D782" s="75">
        <f t="shared" si="376"/>
        <v>21</v>
      </c>
      <c r="E782" s="76">
        <f t="shared" si="377"/>
        <v>17</v>
      </c>
      <c r="F782" s="80"/>
      <c r="G782" s="83"/>
      <c r="H782" s="69" t="str">
        <f t="shared" si="399"/>
        <v>Lacine7_20171116_21_00</v>
      </c>
      <c r="I782" s="70">
        <f t="shared" si="400"/>
        <v>1</v>
      </c>
      <c r="J782" s="77" t="str">
        <f t="shared" si="400"/>
        <v>Lactuca</v>
      </c>
      <c r="K782" s="77" t="str">
        <f t="shared" si="400"/>
        <v>inermis</v>
      </c>
      <c r="L782" s="78">
        <f t="shared" si="400"/>
        <v>7</v>
      </c>
      <c r="M782" s="78">
        <f t="shared" si="400"/>
        <v>0</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2017</v>
      </c>
      <c r="B783" s="73" t="str">
        <f t="shared" si="375"/>
        <v>Nov</v>
      </c>
      <c r="C783" s="74">
        <f t="shared" si="398"/>
        <v>16</v>
      </c>
      <c r="D783" s="75">
        <f t="shared" si="376"/>
        <v>21</v>
      </c>
      <c r="E783" s="76">
        <f t="shared" si="377"/>
        <v>18</v>
      </c>
      <c r="F783" s="80"/>
      <c r="G783" s="83"/>
      <c r="H783" s="69" t="str">
        <f t="shared" si="399"/>
        <v>Lacine7_20171116_21_00</v>
      </c>
      <c r="I783" s="70">
        <f t="shared" si="400"/>
        <v>1</v>
      </c>
      <c r="J783" s="77" t="str">
        <f t="shared" si="400"/>
        <v>Lactuca</v>
      </c>
      <c r="K783" s="77" t="str">
        <f t="shared" si="400"/>
        <v>inermis</v>
      </c>
      <c r="L783" s="78">
        <f t="shared" si="400"/>
        <v>7</v>
      </c>
      <c r="M783" s="78">
        <f t="shared" si="400"/>
        <v>0</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2017</v>
      </c>
      <c r="B784" s="73" t="str">
        <f t="shared" si="375"/>
        <v>Nov</v>
      </c>
      <c r="C784" s="74">
        <f t="shared" si="398"/>
        <v>16</v>
      </c>
      <c r="D784" s="75">
        <f t="shared" si="376"/>
        <v>21</v>
      </c>
      <c r="E784" s="76">
        <f t="shared" si="377"/>
        <v>19</v>
      </c>
      <c r="F784" s="80"/>
      <c r="G784" s="83"/>
      <c r="H784" s="69" t="str">
        <f t="shared" si="399"/>
        <v>Lacine7_20171116_21_00</v>
      </c>
      <c r="I784" s="70">
        <f t="shared" si="400"/>
        <v>1</v>
      </c>
      <c r="J784" s="77" t="str">
        <f t="shared" si="400"/>
        <v>Lactuca</v>
      </c>
      <c r="K784" s="77" t="str">
        <f t="shared" si="400"/>
        <v>inermis</v>
      </c>
      <c r="L784" s="78">
        <f t="shared" si="400"/>
        <v>7</v>
      </c>
      <c r="M784" s="78">
        <f t="shared" si="400"/>
        <v>0</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2017</v>
      </c>
      <c r="B785" s="73" t="str">
        <f t="shared" si="375"/>
        <v>Nov</v>
      </c>
      <c r="C785" s="74">
        <f t="shared" si="398"/>
        <v>16</v>
      </c>
      <c r="D785" s="75">
        <f t="shared" si="376"/>
        <v>21</v>
      </c>
      <c r="E785" s="76">
        <f t="shared" si="377"/>
        <v>20</v>
      </c>
      <c r="F785" s="80"/>
      <c r="G785" s="83"/>
      <c r="H785" s="69" t="str">
        <f t="shared" si="399"/>
        <v>Lacine7_20171116_21_00</v>
      </c>
      <c r="I785" s="70">
        <f t="shared" si="400"/>
        <v>1</v>
      </c>
      <c r="J785" s="77" t="str">
        <f t="shared" si="400"/>
        <v>Lactuca</v>
      </c>
      <c r="K785" s="77" t="str">
        <f t="shared" si="400"/>
        <v>inermis</v>
      </c>
      <c r="L785" s="78">
        <f t="shared" si="400"/>
        <v>7</v>
      </c>
      <c r="M785" s="78">
        <f t="shared" si="400"/>
        <v>0</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2017</v>
      </c>
      <c r="B786" s="73" t="str">
        <f t="shared" si="375"/>
        <v>Nov</v>
      </c>
      <c r="C786" s="74">
        <f t="shared" si="398"/>
        <v>16</v>
      </c>
      <c r="D786" s="75">
        <f t="shared" si="376"/>
        <v>21</v>
      </c>
      <c r="E786" s="76">
        <f t="shared" si="377"/>
        <v>21</v>
      </c>
      <c r="F786" s="80"/>
      <c r="G786" s="83"/>
      <c r="H786" s="69" t="str">
        <f t="shared" si="399"/>
        <v>Lacine7_20171116_21_00</v>
      </c>
      <c r="I786" s="70">
        <f t="shared" si="400"/>
        <v>1</v>
      </c>
      <c r="J786" s="77" t="str">
        <f t="shared" si="400"/>
        <v>Lactuca</v>
      </c>
      <c r="K786" s="77" t="str">
        <f t="shared" si="400"/>
        <v>inermis</v>
      </c>
      <c r="L786" s="78">
        <f t="shared" si="400"/>
        <v>7</v>
      </c>
      <c r="M786" s="78">
        <f t="shared" si="400"/>
        <v>0</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2017</v>
      </c>
      <c r="B787" s="73" t="str">
        <f t="shared" si="375"/>
        <v>Nov</v>
      </c>
      <c r="C787" s="74">
        <f t="shared" si="398"/>
        <v>16</v>
      </c>
      <c r="D787" s="75">
        <f t="shared" si="376"/>
        <v>21</v>
      </c>
      <c r="E787" s="76">
        <f t="shared" si="377"/>
        <v>22</v>
      </c>
      <c r="F787" s="80"/>
      <c r="G787" s="83"/>
      <c r="H787" s="69" t="str">
        <f t="shared" si="399"/>
        <v>Lacine7_20171116_21_00</v>
      </c>
      <c r="I787" s="70">
        <f t="shared" si="400"/>
        <v>1</v>
      </c>
      <c r="J787" s="77" t="str">
        <f t="shared" si="400"/>
        <v>Lactuca</v>
      </c>
      <c r="K787" s="77" t="str">
        <f t="shared" si="400"/>
        <v>inermis</v>
      </c>
      <c r="L787" s="78">
        <f t="shared" si="400"/>
        <v>7</v>
      </c>
      <c r="M787" s="78">
        <f t="shared" si="400"/>
        <v>0</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2017</v>
      </c>
      <c r="B788" s="73" t="str">
        <f t="shared" si="375"/>
        <v>Nov</v>
      </c>
      <c r="C788" s="74">
        <f t="shared" si="398"/>
        <v>16</v>
      </c>
      <c r="D788" s="75">
        <f t="shared" si="376"/>
        <v>21</v>
      </c>
      <c r="E788" s="76">
        <f t="shared" si="377"/>
        <v>23</v>
      </c>
      <c r="F788" s="80"/>
      <c r="G788" s="83"/>
      <c r="H788" s="69" t="str">
        <f t="shared" si="399"/>
        <v>Lacine7_20171116_21_00</v>
      </c>
      <c r="I788" s="70">
        <f t="shared" si="400"/>
        <v>1</v>
      </c>
      <c r="J788" s="77" t="str">
        <f t="shared" si="400"/>
        <v>Lactuca</v>
      </c>
      <c r="K788" s="77" t="str">
        <f t="shared" si="400"/>
        <v>inermis</v>
      </c>
      <c r="L788" s="78">
        <f t="shared" si="400"/>
        <v>7</v>
      </c>
      <c r="M788" s="78">
        <f t="shared" si="400"/>
        <v>0</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2017</v>
      </c>
      <c r="B789" s="73" t="str">
        <f t="shared" si="375"/>
        <v>Nov</v>
      </c>
      <c r="C789" s="74">
        <f t="shared" si="398"/>
        <v>16</v>
      </c>
      <c r="D789" s="75">
        <f t="shared" si="376"/>
        <v>21</v>
      </c>
      <c r="E789" s="76">
        <f t="shared" si="377"/>
        <v>24</v>
      </c>
      <c r="F789" s="80"/>
      <c r="G789" s="83"/>
      <c r="H789" s="69" t="str">
        <f t="shared" si="399"/>
        <v>Lacine7_20171116_21_00</v>
      </c>
      <c r="I789" s="70">
        <f t="shared" ref="I789:N804" si="401">I788</f>
        <v>1</v>
      </c>
      <c r="J789" s="77" t="str">
        <f t="shared" si="401"/>
        <v>Lactuca</v>
      </c>
      <c r="K789" s="77" t="str">
        <f t="shared" si="401"/>
        <v>inermis</v>
      </c>
      <c r="L789" s="78">
        <f t="shared" si="401"/>
        <v>7</v>
      </c>
      <c r="M789" s="78">
        <f t="shared" si="401"/>
        <v>0</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2017</v>
      </c>
      <c r="B790" s="73" t="str">
        <f t="shared" si="375"/>
        <v>Nov</v>
      </c>
      <c r="C790" s="74">
        <f t="shared" si="398"/>
        <v>16</v>
      </c>
      <c r="D790" s="75">
        <f t="shared" si="376"/>
        <v>21</v>
      </c>
      <c r="E790" s="76">
        <f t="shared" si="377"/>
        <v>25</v>
      </c>
      <c r="F790" s="80"/>
      <c r="G790" s="83"/>
      <c r="H790" s="69" t="str">
        <f t="shared" si="399"/>
        <v>Lacine7_20171116_21_00</v>
      </c>
      <c r="I790" s="70">
        <f t="shared" si="401"/>
        <v>1</v>
      </c>
      <c r="J790" s="77" t="str">
        <f t="shared" si="401"/>
        <v>Lactuca</v>
      </c>
      <c r="K790" s="77" t="str">
        <f t="shared" si="401"/>
        <v>inermis</v>
      </c>
      <c r="L790" s="78">
        <f t="shared" si="401"/>
        <v>7</v>
      </c>
      <c r="M790" s="78">
        <f t="shared" si="401"/>
        <v>0</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2017</v>
      </c>
      <c r="B791" s="73" t="str">
        <f t="shared" si="375"/>
        <v>Nov</v>
      </c>
      <c r="C791" s="74">
        <f t="shared" si="398"/>
        <v>16</v>
      </c>
      <c r="D791" s="75">
        <f t="shared" si="376"/>
        <v>21</v>
      </c>
      <c r="E791" s="76">
        <f t="shared" si="377"/>
        <v>26</v>
      </c>
      <c r="F791" s="80"/>
      <c r="G791" s="83"/>
      <c r="H791" s="69" t="str">
        <f t="shared" si="399"/>
        <v>Lacine7_20171116_21_00</v>
      </c>
      <c r="I791" s="70">
        <f t="shared" si="401"/>
        <v>1</v>
      </c>
      <c r="J791" s="77" t="str">
        <f t="shared" si="401"/>
        <v>Lactuca</v>
      </c>
      <c r="K791" s="77" t="str">
        <f t="shared" si="401"/>
        <v>inermis</v>
      </c>
      <c r="L791" s="78">
        <f t="shared" si="401"/>
        <v>7</v>
      </c>
      <c r="M791" s="78">
        <f t="shared" si="401"/>
        <v>0</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2017</v>
      </c>
      <c r="B792" s="73" t="str">
        <f t="shared" si="375"/>
        <v>Nov</v>
      </c>
      <c r="C792" s="74">
        <f t="shared" si="398"/>
        <v>16</v>
      </c>
      <c r="D792" s="75">
        <f t="shared" si="376"/>
        <v>21</v>
      </c>
      <c r="E792" s="76">
        <f t="shared" si="377"/>
        <v>27</v>
      </c>
      <c r="F792" s="80"/>
      <c r="G792" s="83"/>
      <c r="H792" s="69" t="str">
        <f t="shared" si="399"/>
        <v>Lacine7_20171116_21_00</v>
      </c>
      <c r="I792" s="70">
        <f t="shared" si="401"/>
        <v>1</v>
      </c>
      <c r="J792" s="77" t="str">
        <f t="shared" si="401"/>
        <v>Lactuca</v>
      </c>
      <c r="K792" s="77" t="str">
        <f t="shared" si="401"/>
        <v>inermis</v>
      </c>
      <c r="L792" s="78">
        <f t="shared" si="401"/>
        <v>7</v>
      </c>
      <c r="M792" s="78">
        <f t="shared" si="401"/>
        <v>0</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2017</v>
      </c>
      <c r="B793" s="73" t="str">
        <f t="shared" si="375"/>
        <v>Nov</v>
      </c>
      <c r="C793" s="74">
        <f t="shared" si="398"/>
        <v>16</v>
      </c>
      <c r="D793" s="75">
        <f t="shared" si="376"/>
        <v>21</v>
      </c>
      <c r="E793" s="76">
        <f t="shared" si="377"/>
        <v>28</v>
      </c>
      <c r="F793" s="80"/>
      <c r="G793" s="83"/>
      <c r="H793" s="69" t="str">
        <f t="shared" si="399"/>
        <v>Lacine7_20171116_21_00</v>
      </c>
      <c r="I793" s="70">
        <f t="shared" si="401"/>
        <v>1</v>
      </c>
      <c r="J793" s="77" t="str">
        <f t="shared" si="401"/>
        <v>Lactuca</v>
      </c>
      <c r="K793" s="77" t="str">
        <f t="shared" si="401"/>
        <v>inermis</v>
      </c>
      <c r="L793" s="78">
        <f t="shared" si="401"/>
        <v>7</v>
      </c>
      <c r="M793" s="78">
        <f t="shared" si="401"/>
        <v>0</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2017</v>
      </c>
      <c r="B794" s="73" t="str">
        <f t="shared" si="375"/>
        <v>Nov</v>
      </c>
      <c r="C794" s="74">
        <f t="shared" si="398"/>
        <v>16</v>
      </c>
      <c r="D794" s="75">
        <f t="shared" si="376"/>
        <v>21</v>
      </c>
      <c r="E794" s="76">
        <f t="shared" si="377"/>
        <v>29</v>
      </c>
      <c r="F794" s="80"/>
      <c r="G794" s="83"/>
      <c r="H794" s="69" t="str">
        <f t="shared" si="399"/>
        <v>Lacine7_20171116_21_00</v>
      </c>
      <c r="I794" s="70">
        <f t="shared" si="401"/>
        <v>1</v>
      </c>
      <c r="J794" s="77" t="str">
        <f t="shared" si="401"/>
        <v>Lactuca</v>
      </c>
      <c r="K794" s="77" t="str">
        <f t="shared" si="401"/>
        <v>inermis</v>
      </c>
      <c r="L794" s="78">
        <f t="shared" si="401"/>
        <v>7</v>
      </c>
      <c r="M794" s="78">
        <f t="shared" si="401"/>
        <v>0</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2017</v>
      </c>
      <c r="B795" s="73" t="str">
        <f t="shared" si="375"/>
        <v>Nov</v>
      </c>
      <c r="C795" s="74">
        <f t="shared" si="398"/>
        <v>16</v>
      </c>
      <c r="D795" s="75">
        <f t="shared" si="376"/>
        <v>21</v>
      </c>
      <c r="E795" s="76">
        <f t="shared" si="377"/>
        <v>30</v>
      </c>
      <c r="F795" s="80"/>
      <c r="G795" s="83"/>
      <c r="H795" s="69" t="str">
        <f t="shared" si="399"/>
        <v>Lacine7_20171116_21_00</v>
      </c>
      <c r="I795" s="70">
        <f t="shared" si="401"/>
        <v>1</v>
      </c>
      <c r="J795" s="77" t="str">
        <f t="shared" si="401"/>
        <v>Lactuca</v>
      </c>
      <c r="K795" s="77" t="str">
        <f t="shared" si="401"/>
        <v>inermis</v>
      </c>
      <c r="L795" s="78">
        <f t="shared" si="401"/>
        <v>7</v>
      </c>
      <c r="M795" s="78">
        <f t="shared" si="401"/>
        <v>0</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2017</v>
      </c>
      <c r="B796" s="73" t="str">
        <f t="shared" si="375"/>
        <v>Nov</v>
      </c>
      <c r="C796" s="74">
        <f t="shared" si="398"/>
        <v>16</v>
      </c>
      <c r="D796" s="75">
        <f t="shared" si="376"/>
        <v>21</v>
      </c>
      <c r="E796" s="76">
        <f t="shared" si="377"/>
        <v>31</v>
      </c>
      <c r="F796" s="80"/>
      <c r="G796" s="83"/>
      <c r="H796" s="69" t="str">
        <f t="shared" si="399"/>
        <v>Lacine7_20171116_21_00</v>
      </c>
      <c r="I796" s="70">
        <f t="shared" si="401"/>
        <v>1</v>
      </c>
      <c r="J796" s="77" t="str">
        <f t="shared" si="401"/>
        <v>Lactuca</v>
      </c>
      <c r="K796" s="77" t="str">
        <f t="shared" si="401"/>
        <v>inermis</v>
      </c>
      <c r="L796" s="78">
        <f t="shared" si="401"/>
        <v>7</v>
      </c>
      <c r="M796" s="78">
        <f t="shared" si="401"/>
        <v>0</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2017</v>
      </c>
      <c r="B797" s="73" t="str">
        <f t="shared" si="375"/>
        <v>Nov</v>
      </c>
      <c r="C797" s="74">
        <f t="shared" si="398"/>
        <v>16</v>
      </c>
      <c r="D797" s="75">
        <f t="shared" si="376"/>
        <v>21</v>
      </c>
      <c r="E797" s="76">
        <f t="shared" si="377"/>
        <v>32</v>
      </c>
      <c r="F797" s="80"/>
      <c r="G797" s="83"/>
      <c r="H797" s="69" t="str">
        <f t="shared" si="399"/>
        <v>Lacine7_20171116_21_00</v>
      </c>
      <c r="I797" s="70">
        <f t="shared" si="401"/>
        <v>1</v>
      </c>
      <c r="J797" s="77" t="str">
        <f t="shared" si="401"/>
        <v>Lactuca</v>
      </c>
      <c r="K797" s="77" t="str">
        <f t="shared" si="401"/>
        <v>inermis</v>
      </c>
      <c r="L797" s="78">
        <f t="shared" si="401"/>
        <v>7</v>
      </c>
      <c r="M797" s="78">
        <f t="shared" si="401"/>
        <v>0</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2017</v>
      </c>
      <c r="B798" s="73" t="str">
        <f t="shared" si="375"/>
        <v>Nov</v>
      </c>
      <c r="C798" s="74">
        <f t="shared" si="398"/>
        <v>16</v>
      </c>
      <c r="D798" s="75">
        <f t="shared" si="376"/>
        <v>21</v>
      </c>
      <c r="E798" s="76">
        <f t="shared" si="377"/>
        <v>33</v>
      </c>
      <c r="F798" s="80"/>
      <c r="G798" s="83"/>
      <c r="H798" s="69" t="str">
        <f t="shared" si="399"/>
        <v>Lacine7_20171116_21_00</v>
      </c>
      <c r="I798" s="70">
        <f t="shared" si="401"/>
        <v>1</v>
      </c>
      <c r="J798" s="77" t="str">
        <f t="shared" si="401"/>
        <v>Lactuca</v>
      </c>
      <c r="K798" s="77" t="str">
        <f t="shared" si="401"/>
        <v>inermis</v>
      </c>
      <c r="L798" s="78">
        <f t="shared" si="401"/>
        <v>7</v>
      </c>
      <c r="M798" s="78">
        <f t="shared" si="401"/>
        <v>0</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2017</v>
      </c>
      <c r="B799" s="73" t="str">
        <f t="shared" si="375"/>
        <v>Nov</v>
      </c>
      <c r="C799" s="74">
        <f t="shared" si="398"/>
        <v>16</v>
      </c>
      <c r="D799" s="75">
        <f t="shared" si="376"/>
        <v>21</v>
      </c>
      <c r="E799" s="76">
        <f t="shared" si="377"/>
        <v>34</v>
      </c>
      <c r="F799" s="80"/>
      <c r="G799" s="83"/>
      <c r="H799" s="69" t="str">
        <f t="shared" si="399"/>
        <v>Lacine7_20171116_21_00</v>
      </c>
      <c r="I799" s="70">
        <f t="shared" si="401"/>
        <v>1</v>
      </c>
      <c r="J799" s="77" t="str">
        <f t="shared" si="401"/>
        <v>Lactuca</v>
      </c>
      <c r="K799" s="77" t="str">
        <f t="shared" si="401"/>
        <v>inermis</v>
      </c>
      <c r="L799" s="78">
        <f t="shared" si="401"/>
        <v>7</v>
      </c>
      <c r="M799" s="78">
        <f t="shared" si="401"/>
        <v>0</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2017</v>
      </c>
      <c r="B800" s="73" t="str">
        <f t="shared" si="375"/>
        <v>Nov</v>
      </c>
      <c r="C800" s="74">
        <f t="shared" si="398"/>
        <v>16</v>
      </c>
      <c r="D800" s="75">
        <f t="shared" si="376"/>
        <v>21</v>
      </c>
      <c r="E800" s="76">
        <f t="shared" si="377"/>
        <v>35</v>
      </c>
      <c r="F800" s="80"/>
      <c r="G800" s="83"/>
      <c r="H800" s="69" t="str">
        <f t="shared" si="399"/>
        <v>Lacine7_20171116_21_00</v>
      </c>
      <c r="I800" s="70">
        <f t="shared" si="401"/>
        <v>1</v>
      </c>
      <c r="J800" s="77" t="str">
        <f t="shared" si="401"/>
        <v>Lactuca</v>
      </c>
      <c r="K800" s="77" t="str">
        <f t="shared" si="401"/>
        <v>inermis</v>
      </c>
      <c r="L800" s="78">
        <f t="shared" si="401"/>
        <v>7</v>
      </c>
      <c r="M800" s="78">
        <f t="shared" si="401"/>
        <v>0</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2017</v>
      </c>
      <c r="B801" s="73" t="str">
        <f t="shared" si="375"/>
        <v>Nov</v>
      </c>
      <c r="C801" s="74">
        <f t="shared" si="398"/>
        <v>16</v>
      </c>
      <c r="D801" s="75">
        <f t="shared" si="376"/>
        <v>21</v>
      </c>
      <c r="E801" s="76">
        <f t="shared" si="377"/>
        <v>36</v>
      </c>
      <c r="F801" s="80"/>
      <c r="G801" s="83"/>
      <c r="H801" s="69" t="str">
        <f t="shared" si="399"/>
        <v>Lacine7_20171116_21_00</v>
      </c>
      <c r="I801" s="70">
        <f t="shared" si="401"/>
        <v>1</v>
      </c>
      <c r="J801" s="77" t="str">
        <f t="shared" si="401"/>
        <v>Lactuca</v>
      </c>
      <c r="K801" s="77" t="str">
        <f t="shared" si="401"/>
        <v>inermis</v>
      </c>
      <c r="L801" s="78">
        <f t="shared" si="401"/>
        <v>7</v>
      </c>
      <c r="M801" s="78">
        <f t="shared" si="401"/>
        <v>0</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2017</v>
      </c>
      <c r="B802" s="73" t="str">
        <f t="shared" si="375"/>
        <v>Nov</v>
      </c>
      <c r="C802" s="74">
        <f t="shared" si="398"/>
        <v>16</v>
      </c>
      <c r="D802" s="75">
        <f t="shared" si="376"/>
        <v>21</v>
      </c>
      <c r="E802" s="76">
        <f t="shared" si="377"/>
        <v>37</v>
      </c>
      <c r="F802" s="80"/>
      <c r="G802" s="83"/>
      <c r="H802" s="69" t="str">
        <f t="shared" si="399"/>
        <v>Lacine7_20171116_21_00</v>
      </c>
      <c r="I802" s="70">
        <f t="shared" si="401"/>
        <v>1</v>
      </c>
      <c r="J802" s="77" t="str">
        <f t="shared" si="401"/>
        <v>Lactuca</v>
      </c>
      <c r="K802" s="77" t="str">
        <f t="shared" si="401"/>
        <v>inermis</v>
      </c>
      <c r="L802" s="78">
        <f t="shared" si="401"/>
        <v>7</v>
      </c>
      <c r="M802" s="78">
        <f t="shared" si="401"/>
        <v>0</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2017</v>
      </c>
      <c r="B803" s="73" t="str">
        <f t="shared" si="375"/>
        <v>Nov</v>
      </c>
      <c r="C803" s="74">
        <f t="shared" si="398"/>
        <v>16</v>
      </c>
      <c r="D803" s="75">
        <f t="shared" si="376"/>
        <v>21</v>
      </c>
      <c r="E803" s="76">
        <f t="shared" si="377"/>
        <v>38</v>
      </c>
      <c r="F803" s="80"/>
      <c r="G803" s="83"/>
      <c r="H803" s="69" t="str">
        <f t="shared" si="399"/>
        <v>Lacine7_20171116_21_00</v>
      </c>
      <c r="I803" s="70">
        <f t="shared" si="401"/>
        <v>1</v>
      </c>
      <c r="J803" s="77" t="str">
        <f t="shared" si="401"/>
        <v>Lactuca</v>
      </c>
      <c r="K803" s="77" t="str">
        <f t="shared" si="401"/>
        <v>inermis</v>
      </c>
      <c r="L803" s="78">
        <f t="shared" si="401"/>
        <v>7</v>
      </c>
      <c r="M803" s="78">
        <f t="shared" si="401"/>
        <v>0</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2017</v>
      </c>
      <c r="B804" s="73" t="str">
        <f t="shared" si="375"/>
        <v>Nov</v>
      </c>
      <c r="C804" s="74">
        <f t="shared" si="398"/>
        <v>16</v>
      </c>
      <c r="D804" s="75">
        <f t="shared" si="376"/>
        <v>21</v>
      </c>
      <c r="E804" s="76">
        <f t="shared" si="377"/>
        <v>39</v>
      </c>
      <c r="F804" s="80"/>
      <c r="G804" s="83"/>
      <c r="H804" s="69" t="str">
        <f t="shared" si="399"/>
        <v>Lacine7_20171116_21_00</v>
      </c>
      <c r="I804" s="70">
        <f t="shared" si="401"/>
        <v>1</v>
      </c>
      <c r="J804" s="77" t="str">
        <f t="shared" si="401"/>
        <v>Lactuca</v>
      </c>
      <c r="K804" s="77" t="str">
        <f t="shared" si="401"/>
        <v>inermis</v>
      </c>
      <c r="L804" s="78">
        <f t="shared" si="401"/>
        <v>7</v>
      </c>
      <c r="M804" s="78">
        <f t="shared" si="401"/>
        <v>0</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2017</v>
      </c>
      <c r="B805" s="73" t="str">
        <f t="shared" si="375"/>
        <v>Nov</v>
      </c>
      <c r="C805" s="74">
        <f t="shared" si="398"/>
        <v>16</v>
      </c>
      <c r="D805" s="75">
        <f t="shared" si="376"/>
        <v>21</v>
      </c>
      <c r="E805" s="76">
        <f t="shared" si="377"/>
        <v>40</v>
      </c>
      <c r="F805" s="80"/>
      <c r="G805" s="83"/>
      <c r="H805" s="69" t="str">
        <f t="shared" si="399"/>
        <v>Lacine7_20171116_21_00</v>
      </c>
      <c r="I805" s="70">
        <f t="shared" ref="I805:N820" si="402">I804</f>
        <v>1</v>
      </c>
      <c r="J805" s="77" t="str">
        <f t="shared" si="402"/>
        <v>Lactuca</v>
      </c>
      <c r="K805" s="77" t="str">
        <f t="shared" si="402"/>
        <v>inermis</v>
      </c>
      <c r="L805" s="78">
        <f t="shared" si="402"/>
        <v>7</v>
      </c>
      <c r="M805" s="78">
        <f t="shared" si="402"/>
        <v>0</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2017</v>
      </c>
      <c r="B806" s="73" t="str">
        <f t="shared" si="375"/>
        <v>Nov</v>
      </c>
      <c r="C806" s="74">
        <f t="shared" si="398"/>
        <v>16</v>
      </c>
      <c r="D806" s="75">
        <f t="shared" si="376"/>
        <v>21</v>
      </c>
      <c r="E806" s="76">
        <f t="shared" si="377"/>
        <v>41</v>
      </c>
      <c r="F806" s="80"/>
      <c r="G806" s="83"/>
      <c r="H806" s="69" t="str">
        <f t="shared" si="399"/>
        <v>Lacine7_20171116_21_00</v>
      </c>
      <c r="I806" s="70">
        <f t="shared" si="402"/>
        <v>1</v>
      </c>
      <c r="J806" s="77" t="str">
        <f t="shared" si="402"/>
        <v>Lactuca</v>
      </c>
      <c r="K806" s="77" t="str">
        <f t="shared" si="402"/>
        <v>inermis</v>
      </c>
      <c r="L806" s="78">
        <f t="shared" si="402"/>
        <v>7</v>
      </c>
      <c r="M806" s="78">
        <f t="shared" si="402"/>
        <v>0</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2017</v>
      </c>
      <c r="B807" s="73" t="str">
        <f t="shared" si="375"/>
        <v>Nov</v>
      </c>
      <c r="C807" s="74">
        <f t="shared" si="398"/>
        <v>16</v>
      </c>
      <c r="D807" s="75">
        <f t="shared" si="376"/>
        <v>21</v>
      </c>
      <c r="E807" s="76">
        <f t="shared" si="377"/>
        <v>42</v>
      </c>
      <c r="F807" s="80"/>
      <c r="G807" s="83"/>
      <c r="H807" s="69" t="str">
        <f t="shared" si="399"/>
        <v>Lacine7_20171116_21_00</v>
      </c>
      <c r="I807" s="70">
        <f t="shared" si="402"/>
        <v>1</v>
      </c>
      <c r="J807" s="77" t="str">
        <f t="shared" si="402"/>
        <v>Lactuca</v>
      </c>
      <c r="K807" s="77" t="str">
        <f t="shared" si="402"/>
        <v>inermis</v>
      </c>
      <c r="L807" s="78">
        <f t="shared" si="402"/>
        <v>7</v>
      </c>
      <c r="M807" s="78">
        <f t="shared" si="402"/>
        <v>0</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2017</v>
      </c>
      <c r="B808" s="73" t="str">
        <f t="shared" si="375"/>
        <v>Nov</v>
      </c>
      <c r="C808" s="74">
        <f t="shared" si="398"/>
        <v>16</v>
      </c>
      <c r="D808" s="75">
        <f t="shared" si="376"/>
        <v>21</v>
      </c>
      <c r="E808" s="76">
        <f t="shared" si="377"/>
        <v>43</v>
      </c>
      <c r="F808" s="80"/>
      <c r="G808" s="83"/>
      <c r="H808" s="69" t="str">
        <f t="shared" si="399"/>
        <v>Lacine7_20171116_21_00</v>
      </c>
      <c r="I808" s="70">
        <f t="shared" si="402"/>
        <v>1</v>
      </c>
      <c r="J808" s="77" t="str">
        <f t="shared" si="402"/>
        <v>Lactuca</v>
      </c>
      <c r="K808" s="77" t="str">
        <f t="shared" si="402"/>
        <v>inermis</v>
      </c>
      <c r="L808" s="78">
        <f t="shared" si="402"/>
        <v>7</v>
      </c>
      <c r="M808" s="78">
        <f t="shared" si="402"/>
        <v>0</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2017</v>
      </c>
      <c r="B809" s="73" t="str">
        <f t="shared" si="375"/>
        <v>Nov</v>
      </c>
      <c r="C809" s="74">
        <f t="shared" si="398"/>
        <v>16</v>
      </c>
      <c r="D809" s="75">
        <f t="shared" si="376"/>
        <v>21</v>
      </c>
      <c r="E809" s="76">
        <f t="shared" si="377"/>
        <v>44</v>
      </c>
      <c r="F809" s="80"/>
      <c r="G809" s="83"/>
      <c r="H809" s="69" t="str">
        <f t="shared" si="399"/>
        <v>Lacine7_20171116_21_00</v>
      </c>
      <c r="I809" s="70">
        <f t="shared" si="402"/>
        <v>1</v>
      </c>
      <c r="J809" s="77" t="str">
        <f t="shared" si="402"/>
        <v>Lactuca</v>
      </c>
      <c r="K809" s="77" t="str">
        <f t="shared" si="402"/>
        <v>inermis</v>
      </c>
      <c r="L809" s="78">
        <f t="shared" si="402"/>
        <v>7</v>
      </c>
      <c r="M809" s="78">
        <f t="shared" si="402"/>
        <v>0</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2017</v>
      </c>
      <c r="B810" s="73" t="str">
        <f t="shared" si="375"/>
        <v>Nov</v>
      </c>
      <c r="C810" s="74">
        <f t="shared" si="398"/>
        <v>16</v>
      </c>
      <c r="D810" s="75">
        <f t="shared" si="376"/>
        <v>21</v>
      </c>
      <c r="E810" s="76">
        <f t="shared" si="377"/>
        <v>45</v>
      </c>
      <c r="F810" s="80"/>
      <c r="G810" s="83"/>
      <c r="H810" s="69" t="str">
        <f t="shared" si="399"/>
        <v>Lacine7_20171116_21_00</v>
      </c>
      <c r="I810" s="70">
        <f t="shared" si="402"/>
        <v>1</v>
      </c>
      <c r="J810" s="77" t="str">
        <f t="shared" si="402"/>
        <v>Lactuca</v>
      </c>
      <c r="K810" s="77" t="str">
        <f t="shared" si="402"/>
        <v>inermis</v>
      </c>
      <c r="L810" s="78">
        <f t="shared" si="402"/>
        <v>7</v>
      </c>
      <c r="M810" s="78">
        <f t="shared" si="402"/>
        <v>0</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2017</v>
      </c>
      <c r="B811" s="73" t="str">
        <f t="shared" si="375"/>
        <v>Nov</v>
      </c>
      <c r="C811" s="74">
        <f t="shared" si="398"/>
        <v>16</v>
      </c>
      <c r="D811" s="75">
        <f t="shared" si="376"/>
        <v>21</v>
      </c>
      <c r="E811" s="76">
        <f t="shared" si="377"/>
        <v>46</v>
      </c>
      <c r="F811" s="80"/>
      <c r="G811" s="83"/>
      <c r="H811" s="69" t="str">
        <f t="shared" si="399"/>
        <v>Lacine7_20171116_21_00</v>
      </c>
      <c r="I811" s="70">
        <f t="shared" si="402"/>
        <v>1</v>
      </c>
      <c r="J811" s="77" t="str">
        <f t="shared" si="402"/>
        <v>Lactuca</v>
      </c>
      <c r="K811" s="77" t="str">
        <f t="shared" si="402"/>
        <v>inermis</v>
      </c>
      <c r="L811" s="78">
        <f t="shared" si="402"/>
        <v>7</v>
      </c>
      <c r="M811" s="78">
        <f t="shared" si="402"/>
        <v>0</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2017</v>
      </c>
      <c r="B812" s="73" t="str">
        <f t="shared" si="375"/>
        <v>Nov</v>
      </c>
      <c r="C812" s="74">
        <f t="shared" si="398"/>
        <v>16</v>
      </c>
      <c r="D812" s="75">
        <f t="shared" si="376"/>
        <v>21</v>
      </c>
      <c r="E812" s="76">
        <f t="shared" si="377"/>
        <v>47</v>
      </c>
      <c r="F812" s="80"/>
      <c r="G812" s="83"/>
      <c r="H812" s="69" t="str">
        <f t="shared" si="399"/>
        <v>Lacine7_20171116_21_00</v>
      </c>
      <c r="I812" s="70">
        <f t="shared" si="402"/>
        <v>1</v>
      </c>
      <c r="J812" s="77" t="str">
        <f t="shared" si="402"/>
        <v>Lactuca</v>
      </c>
      <c r="K812" s="77" t="str">
        <f t="shared" si="402"/>
        <v>inermis</v>
      </c>
      <c r="L812" s="78">
        <f t="shared" si="402"/>
        <v>7</v>
      </c>
      <c r="M812" s="78">
        <f t="shared" si="402"/>
        <v>0</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2017</v>
      </c>
      <c r="B813" s="73" t="str">
        <f t="shared" si="375"/>
        <v>Nov</v>
      </c>
      <c r="C813" s="74">
        <f t="shared" si="398"/>
        <v>16</v>
      </c>
      <c r="D813" s="75">
        <f t="shared" si="376"/>
        <v>21</v>
      </c>
      <c r="E813" s="76">
        <f t="shared" si="377"/>
        <v>48</v>
      </c>
      <c r="F813" s="80"/>
      <c r="G813" s="83"/>
      <c r="H813" s="69" t="str">
        <f t="shared" si="399"/>
        <v>Lacine7_20171116_21_00</v>
      </c>
      <c r="I813" s="70">
        <f t="shared" si="402"/>
        <v>1</v>
      </c>
      <c r="J813" s="77" t="str">
        <f t="shared" si="402"/>
        <v>Lactuca</v>
      </c>
      <c r="K813" s="77" t="str">
        <f t="shared" si="402"/>
        <v>inermis</v>
      </c>
      <c r="L813" s="78">
        <f t="shared" si="402"/>
        <v>7</v>
      </c>
      <c r="M813" s="78">
        <f t="shared" si="402"/>
        <v>0</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2017</v>
      </c>
      <c r="B814" s="73" t="str">
        <f t="shared" si="375"/>
        <v>Nov</v>
      </c>
      <c r="C814" s="74">
        <f t="shared" si="398"/>
        <v>16</v>
      </c>
      <c r="D814" s="75">
        <f t="shared" si="376"/>
        <v>21</v>
      </c>
      <c r="E814" s="76">
        <f t="shared" si="377"/>
        <v>49</v>
      </c>
      <c r="F814" s="80"/>
      <c r="G814" s="83"/>
      <c r="H814" s="69" t="str">
        <f t="shared" si="399"/>
        <v>Lacine7_20171116_21_00</v>
      </c>
      <c r="I814" s="70">
        <f t="shared" si="402"/>
        <v>1</v>
      </c>
      <c r="J814" s="77" t="str">
        <f t="shared" si="402"/>
        <v>Lactuca</v>
      </c>
      <c r="K814" s="77" t="str">
        <f t="shared" si="402"/>
        <v>inermis</v>
      </c>
      <c r="L814" s="78">
        <f t="shared" si="402"/>
        <v>7</v>
      </c>
      <c r="M814" s="78">
        <f t="shared" si="402"/>
        <v>0</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2017</v>
      </c>
      <c r="B815" s="73" t="str">
        <f t="shared" si="375"/>
        <v>Nov</v>
      </c>
      <c r="C815" s="74">
        <f t="shared" si="398"/>
        <v>16</v>
      </c>
      <c r="D815" s="75">
        <f t="shared" si="376"/>
        <v>21</v>
      </c>
      <c r="E815" s="76">
        <f t="shared" si="377"/>
        <v>50</v>
      </c>
      <c r="F815" s="80"/>
      <c r="G815" s="83"/>
      <c r="H815" s="69" t="str">
        <f t="shared" si="399"/>
        <v>Lacine7_20171116_21_00</v>
      </c>
      <c r="I815" s="70">
        <f t="shared" si="402"/>
        <v>1</v>
      </c>
      <c r="J815" s="77" t="str">
        <f t="shared" si="402"/>
        <v>Lactuca</v>
      </c>
      <c r="K815" s="77" t="str">
        <f t="shared" si="402"/>
        <v>inermis</v>
      </c>
      <c r="L815" s="78">
        <f t="shared" si="402"/>
        <v>7</v>
      </c>
      <c r="M815" s="78">
        <f t="shared" si="402"/>
        <v>0</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2017</v>
      </c>
      <c r="B816" s="73" t="str">
        <f t="shared" si="375"/>
        <v>Nov</v>
      </c>
      <c r="C816" s="74">
        <f t="shared" si="398"/>
        <v>16</v>
      </c>
      <c r="D816" s="75">
        <f t="shared" si="376"/>
        <v>21</v>
      </c>
      <c r="E816" s="76">
        <f t="shared" si="377"/>
        <v>51</v>
      </c>
      <c r="F816" s="80"/>
      <c r="G816" s="83"/>
      <c r="H816" s="69" t="str">
        <f t="shared" si="399"/>
        <v>Lacine7_20171116_21_00</v>
      </c>
      <c r="I816" s="70">
        <f t="shared" si="402"/>
        <v>1</v>
      </c>
      <c r="J816" s="77" t="str">
        <f t="shared" si="402"/>
        <v>Lactuca</v>
      </c>
      <c r="K816" s="77" t="str">
        <f t="shared" si="402"/>
        <v>inermis</v>
      </c>
      <c r="L816" s="78">
        <f t="shared" si="402"/>
        <v>7</v>
      </c>
      <c r="M816" s="78">
        <f t="shared" si="402"/>
        <v>0</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2017</v>
      </c>
      <c r="B817" s="73" t="str">
        <f t="shared" si="375"/>
        <v>Nov</v>
      </c>
      <c r="C817" s="74">
        <f t="shared" si="398"/>
        <v>16</v>
      </c>
      <c r="D817" s="75">
        <f t="shared" si="376"/>
        <v>21</v>
      </c>
      <c r="E817" s="76">
        <f t="shared" si="377"/>
        <v>52</v>
      </c>
      <c r="F817" s="80"/>
      <c r="G817" s="83"/>
      <c r="H817" s="69" t="str">
        <f t="shared" si="399"/>
        <v>Lacine7_20171116_21_00</v>
      </c>
      <c r="I817" s="70">
        <f t="shared" si="402"/>
        <v>1</v>
      </c>
      <c r="J817" s="77" t="str">
        <f t="shared" si="402"/>
        <v>Lactuca</v>
      </c>
      <c r="K817" s="77" t="str">
        <f t="shared" si="402"/>
        <v>inermis</v>
      </c>
      <c r="L817" s="78">
        <f t="shared" si="402"/>
        <v>7</v>
      </c>
      <c r="M817" s="78">
        <f t="shared" si="402"/>
        <v>0</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2017</v>
      </c>
      <c r="B818" s="73" t="str">
        <f t="shared" si="375"/>
        <v>Nov</v>
      </c>
      <c r="C818" s="74">
        <f t="shared" si="398"/>
        <v>16</v>
      </c>
      <c r="D818" s="75">
        <f t="shared" si="376"/>
        <v>21</v>
      </c>
      <c r="E818" s="76">
        <f t="shared" si="377"/>
        <v>53</v>
      </c>
      <c r="F818" s="80"/>
      <c r="G818" s="83"/>
      <c r="H818" s="69" t="str">
        <f t="shared" si="399"/>
        <v>Lacine7_20171116_21_00</v>
      </c>
      <c r="I818" s="70">
        <f t="shared" si="402"/>
        <v>1</v>
      </c>
      <c r="J818" s="77" t="str">
        <f t="shared" si="402"/>
        <v>Lactuca</v>
      </c>
      <c r="K818" s="77" t="str">
        <f t="shared" si="402"/>
        <v>inermis</v>
      </c>
      <c r="L818" s="78">
        <f t="shared" si="402"/>
        <v>7</v>
      </c>
      <c r="M818" s="78">
        <f t="shared" si="402"/>
        <v>0</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2017</v>
      </c>
      <c r="B819" s="73" t="str">
        <f t="shared" si="375"/>
        <v>Nov</v>
      </c>
      <c r="C819" s="74">
        <f t="shared" si="398"/>
        <v>16</v>
      </c>
      <c r="D819" s="75">
        <f t="shared" si="376"/>
        <v>21</v>
      </c>
      <c r="E819" s="76">
        <f t="shared" si="377"/>
        <v>54</v>
      </c>
      <c r="F819" s="80"/>
      <c r="G819" s="83"/>
      <c r="H819" s="69" t="str">
        <f t="shared" si="399"/>
        <v>Lacine7_20171116_21_00</v>
      </c>
      <c r="I819" s="70">
        <f t="shared" si="402"/>
        <v>1</v>
      </c>
      <c r="J819" s="77" t="str">
        <f t="shared" si="402"/>
        <v>Lactuca</v>
      </c>
      <c r="K819" s="77" t="str">
        <f t="shared" si="402"/>
        <v>inermis</v>
      </c>
      <c r="L819" s="78">
        <f t="shared" si="402"/>
        <v>7</v>
      </c>
      <c r="M819" s="78">
        <f t="shared" si="402"/>
        <v>0</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2017</v>
      </c>
      <c r="B820" s="73" t="str">
        <f t="shared" si="375"/>
        <v>Nov</v>
      </c>
      <c r="C820" s="74">
        <f t="shared" si="398"/>
        <v>16</v>
      </c>
      <c r="D820" s="75">
        <f t="shared" si="376"/>
        <v>21</v>
      </c>
      <c r="E820" s="76">
        <f t="shared" si="377"/>
        <v>55</v>
      </c>
      <c r="F820" s="80"/>
      <c r="G820" s="83"/>
      <c r="H820" s="69" t="str">
        <f t="shared" si="399"/>
        <v>Lacine7_20171116_21_00</v>
      </c>
      <c r="I820" s="70">
        <f t="shared" si="402"/>
        <v>1</v>
      </c>
      <c r="J820" s="77" t="str">
        <f t="shared" si="402"/>
        <v>Lactuca</v>
      </c>
      <c r="K820" s="77" t="str">
        <f t="shared" si="402"/>
        <v>inermis</v>
      </c>
      <c r="L820" s="78">
        <f t="shared" si="402"/>
        <v>7</v>
      </c>
      <c r="M820" s="78">
        <f t="shared" si="402"/>
        <v>0</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2017</v>
      </c>
      <c r="B821" s="73" t="str">
        <f t="shared" si="375"/>
        <v>Nov</v>
      </c>
      <c r="C821" s="74">
        <f t="shared" si="398"/>
        <v>16</v>
      </c>
      <c r="D821" s="75">
        <f t="shared" si="376"/>
        <v>21</v>
      </c>
      <c r="E821" s="76">
        <f t="shared" si="377"/>
        <v>56</v>
      </c>
      <c r="F821" s="80"/>
      <c r="G821" s="83"/>
      <c r="H821" s="69" t="str">
        <f t="shared" si="399"/>
        <v>Lacine7_20171116_21_00</v>
      </c>
      <c r="I821" s="70">
        <f t="shared" ref="I821:N836" si="403">I820</f>
        <v>1</v>
      </c>
      <c r="J821" s="77" t="str">
        <f t="shared" si="403"/>
        <v>Lactuca</v>
      </c>
      <c r="K821" s="77" t="str">
        <f t="shared" si="403"/>
        <v>inermis</v>
      </c>
      <c r="L821" s="78">
        <f t="shared" si="403"/>
        <v>7</v>
      </c>
      <c r="M821" s="78">
        <f t="shared" si="403"/>
        <v>0</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2017</v>
      </c>
      <c r="B822" s="73" t="str">
        <f t="shared" si="375"/>
        <v>Nov</v>
      </c>
      <c r="C822" s="74">
        <f t="shared" si="398"/>
        <v>16</v>
      </c>
      <c r="D822" s="75">
        <f t="shared" si="376"/>
        <v>21</v>
      </c>
      <c r="E822" s="76">
        <f t="shared" si="377"/>
        <v>57</v>
      </c>
      <c r="F822" s="80"/>
      <c r="G822" s="83"/>
      <c r="H822" s="69" t="str">
        <f t="shared" si="399"/>
        <v>Lacine7_20171116_21_00</v>
      </c>
      <c r="I822" s="70">
        <f t="shared" si="403"/>
        <v>1</v>
      </c>
      <c r="J822" s="77" t="str">
        <f t="shared" si="403"/>
        <v>Lactuca</v>
      </c>
      <c r="K822" s="77" t="str">
        <f t="shared" si="403"/>
        <v>inermis</v>
      </c>
      <c r="L822" s="78">
        <f t="shared" si="403"/>
        <v>7</v>
      </c>
      <c r="M822" s="78">
        <f t="shared" si="403"/>
        <v>0</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2017</v>
      </c>
      <c r="B823" s="73" t="str">
        <f t="shared" si="375"/>
        <v>Nov</v>
      </c>
      <c r="C823" s="74">
        <f t="shared" si="398"/>
        <v>16</v>
      </c>
      <c r="D823" s="75">
        <f t="shared" si="376"/>
        <v>21</v>
      </c>
      <c r="E823" s="76">
        <f t="shared" si="377"/>
        <v>58</v>
      </c>
      <c r="F823" s="80"/>
      <c r="G823" s="83"/>
      <c r="H823" s="69" t="str">
        <f t="shared" si="399"/>
        <v>Lacine7_20171116_21_00</v>
      </c>
      <c r="I823" s="70">
        <f t="shared" si="403"/>
        <v>1</v>
      </c>
      <c r="J823" s="77" t="str">
        <f t="shared" si="403"/>
        <v>Lactuca</v>
      </c>
      <c r="K823" s="77" t="str">
        <f t="shared" si="403"/>
        <v>inermis</v>
      </c>
      <c r="L823" s="78">
        <f t="shared" si="403"/>
        <v>7</v>
      </c>
      <c r="M823" s="78">
        <f t="shared" si="403"/>
        <v>0</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2017</v>
      </c>
      <c r="B824" s="73" t="str">
        <f t="shared" si="375"/>
        <v>Nov</v>
      </c>
      <c r="C824" s="74">
        <f t="shared" si="398"/>
        <v>16</v>
      </c>
      <c r="D824" s="75">
        <f t="shared" si="376"/>
        <v>21</v>
      </c>
      <c r="E824" s="76">
        <f t="shared" si="377"/>
        <v>59</v>
      </c>
      <c r="F824" s="80"/>
      <c r="G824" s="83"/>
      <c r="H824" s="69" t="str">
        <f t="shared" si="399"/>
        <v>Lacine7_20171116_21_00</v>
      </c>
      <c r="I824" s="70">
        <f t="shared" si="403"/>
        <v>1</v>
      </c>
      <c r="J824" s="77" t="str">
        <f t="shared" si="403"/>
        <v>Lactuca</v>
      </c>
      <c r="K824" s="77" t="str">
        <f t="shared" si="403"/>
        <v>inermis</v>
      </c>
      <c r="L824" s="78">
        <f t="shared" si="403"/>
        <v>7</v>
      </c>
      <c r="M824" s="78">
        <f t="shared" si="403"/>
        <v>0</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2017</v>
      </c>
      <c r="B825" s="73" t="str">
        <f t="shared" si="375"/>
        <v>Nov</v>
      </c>
      <c r="C825" s="74">
        <f t="shared" si="398"/>
        <v>16</v>
      </c>
      <c r="D825" s="75">
        <f t="shared" si="376"/>
        <v>22</v>
      </c>
      <c r="E825" s="76">
        <f t="shared" si="377"/>
        <v>0</v>
      </c>
      <c r="F825" s="80"/>
      <c r="G825" s="83"/>
      <c r="H825" s="69" t="str">
        <f t="shared" si="399"/>
        <v>Lacine7_20171116_22_00</v>
      </c>
      <c r="I825" s="70">
        <f t="shared" si="403"/>
        <v>1</v>
      </c>
      <c r="J825" s="77" t="str">
        <f t="shared" si="403"/>
        <v>Lactuca</v>
      </c>
      <c r="K825" s="77" t="str">
        <f t="shared" si="403"/>
        <v>inermis</v>
      </c>
      <c r="L825" s="78">
        <f t="shared" si="403"/>
        <v>7</v>
      </c>
      <c r="M825" s="78">
        <f t="shared" si="403"/>
        <v>0</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2017</v>
      </c>
      <c r="B826" s="73" t="str">
        <f t="shared" si="375"/>
        <v>Nov</v>
      </c>
      <c r="C826" s="74">
        <f t="shared" si="398"/>
        <v>16</v>
      </c>
      <c r="D826" s="75">
        <f t="shared" si="376"/>
        <v>22</v>
      </c>
      <c r="E826" s="76">
        <f t="shared" si="377"/>
        <v>1</v>
      </c>
      <c r="F826" s="80"/>
      <c r="G826" s="83"/>
      <c r="H826" s="69" t="str">
        <f t="shared" si="399"/>
        <v>Lacine7_20171116_22_00</v>
      </c>
      <c r="I826" s="70">
        <f t="shared" si="403"/>
        <v>1</v>
      </c>
      <c r="J826" s="77" t="str">
        <f t="shared" si="403"/>
        <v>Lactuca</v>
      </c>
      <c r="K826" s="77" t="str">
        <f t="shared" si="403"/>
        <v>inermis</v>
      </c>
      <c r="L826" s="78">
        <f t="shared" si="403"/>
        <v>7</v>
      </c>
      <c r="M826" s="78">
        <f t="shared" si="403"/>
        <v>0</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2017</v>
      </c>
      <c r="B827" s="73" t="str">
        <f t="shared" si="375"/>
        <v>Nov</v>
      </c>
      <c r="C827" s="74">
        <f t="shared" si="398"/>
        <v>16</v>
      </c>
      <c r="D827" s="75">
        <f t="shared" si="376"/>
        <v>22</v>
      </c>
      <c r="E827" s="76">
        <f t="shared" si="377"/>
        <v>2</v>
      </c>
      <c r="F827" s="80"/>
      <c r="G827" s="83"/>
      <c r="H827" s="69" t="str">
        <f t="shared" si="399"/>
        <v>Lacine7_20171116_22_00</v>
      </c>
      <c r="I827" s="70">
        <f t="shared" si="403"/>
        <v>1</v>
      </c>
      <c r="J827" s="77" t="str">
        <f t="shared" si="403"/>
        <v>Lactuca</v>
      </c>
      <c r="K827" s="77" t="str">
        <f t="shared" si="403"/>
        <v>inermis</v>
      </c>
      <c r="L827" s="78">
        <f t="shared" si="403"/>
        <v>7</v>
      </c>
      <c r="M827" s="78">
        <f t="shared" si="403"/>
        <v>0</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2017</v>
      </c>
      <c r="B828" s="73" t="str">
        <f t="shared" si="375"/>
        <v>Nov</v>
      </c>
      <c r="C828" s="74">
        <f t="shared" si="398"/>
        <v>16</v>
      </c>
      <c r="D828" s="75">
        <f t="shared" si="376"/>
        <v>22</v>
      </c>
      <c r="E828" s="76">
        <f t="shared" si="377"/>
        <v>3</v>
      </c>
      <c r="F828" s="80"/>
      <c r="G828" s="83"/>
      <c r="H828" s="69" t="str">
        <f t="shared" si="399"/>
        <v>Lacine7_20171116_22_00</v>
      </c>
      <c r="I828" s="70">
        <f t="shared" si="403"/>
        <v>1</v>
      </c>
      <c r="J828" s="77" t="str">
        <f t="shared" si="403"/>
        <v>Lactuca</v>
      </c>
      <c r="K828" s="77" t="str">
        <f t="shared" si="403"/>
        <v>inermis</v>
      </c>
      <c r="L828" s="78">
        <f t="shared" si="403"/>
        <v>7</v>
      </c>
      <c r="M828" s="78">
        <f t="shared" si="403"/>
        <v>0</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2017</v>
      </c>
      <c r="B829" s="73" t="str">
        <f t="shared" si="375"/>
        <v>Nov</v>
      </c>
      <c r="C829" s="74">
        <f t="shared" si="398"/>
        <v>16</v>
      </c>
      <c r="D829" s="75">
        <f t="shared" si="376"/>
        <v>22</v>
      </c>
      <c r="E829" s="76">
        <f t="shared" si="377"/>
        <v>4</v>
      </c>
      <c r="F829" s="80"/>
      <c r="G829" s="83"/>
      <c r="H829" s="69" t="str">
        <f t="shared" si="399"/>
        <v>Lacine7_20171116_22_00</v>
      </c>
      <c r="I829" s="70">
        <f t="shared" si="403"/>
        <v>1</v>
      </c>
      <c r="J829" s="77" t="str">
        <f t="shared" si="403"/>
        <v>Lactuca</v>
      </c>
      <c r="K829" s="77" t="str">
        <f t="shared" si="403"/>
        <v>inermis</v>
      </c>
      <c r="L829" s="78">
        <f t="shared" si="403"/>
        <v>7</v>
      </c>
      <c r="M829" s="78">
        <f t="shared" si="403"/>
        <v>0</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2017</v>
      </c>
      <c r="B830" s="73" t="str">
        <f t="shared" si="375"/>
        <v>Nov</v>
      </c>
      <c r="C830" s="74">
        <f t="shared" si="398"/>
        <v>16</v>
      </c>
      <c r="D830" s="75">
        <f t="shared" si="376"/>
        <v>22</v>
      </c>
      <c r="E830" s="76">
        <f t="shared" si="377"/>
        <v>5</v>
      </c>
      <c r="F830" s="80"/>
      <c r="G830" s="83"/>
      <c r="H830" s="69" t="str">
        <f t="shared" si="399"/>
        <v>Lacine7_20171116_22_00</v>
      </c>
      <c r="I830" s="70">
        <f t="shared" si="403"/>
        <v>1</v>
      </c>
      <c r="J830" s="77" t="str">
        <f t="shared" si="403"/>
        <v>Lactuca</v>
      </c>
      <c r="K830" s="77" t="str">
        <f t="shared" si="403"/>
        <v>inermis</v>
      </c>
      <c r="L830" s="78">
        <f t="shared" si="403"/>
        <v>7</v>
      </c>
      <c r="M830" s="78">
        <f t="shared" si="403"/>
        <v>0</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2017</v>
      </c>
      <c r="B831" s="73" t="str">
        <f t="shared" si="375"/>
        <v>Nov</v>
      </c>
      <c r="C831" s="74">
        <f t="shared" si="398"/>
        <v>16</v>
      </c>
      <c r="D831" s="75">
        <f t="shared" si="376"/>
        <v>22</v>
      </c>
      <c r="E831" s="76">
        <f t="shared" si="377"/>
        <v>6</v>
      </c>
      <c r="F831" s="80"/>
      <c r="G831" s="83"/>
      <c r="H831" s="69" t="str">
        <f t="shared" si="399"/>
        <v>Lacine7_20171116_22_00</v>
      </c>
      <c r="I831" s="70">
        <f t="shared" si="403"/>
        <v>1</v>
      </c>
      <c r="J831" s="77" t="str">
        <f t="shared" si="403"/>
        <v>Lactuca</v>
      </c>
      <c r="K831" s="77" t="str">
        <f t="shared" si="403"/>
        <v>inermis</v>
      </c>
      <c r="L831" s="78">
        <f t="shared" si="403"/>
        <v>7</v>
      </c>
      <c r="M831" s="78">
        <f t="shared" si="403"/>
        <v>0</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2017</v>
      </c>
      <c r="B832" s="73" t="str">
        <f t="shared" si="375"/>
        <v>Nov</v>
      </c>
      <c r="C832" s="74">
        <f t="shared" si="398"/>
        <v>16</v>
      </c>
      <c r="D832" s="75">
        <f t="shared" si="376"/>
        <v>22</v>
      </c>
      <c r="E832" s="76">
        <f t="shared" si="377"/>
        <v>7</v>
      </c>
      <c r="F832" s="80"/>
      <c r="G832" s="83"/>
      <c r="H832" s="69" t="str">
        <f t="shared" si="399"/>
        <v>Lacine7_20171116_22_00</v>
      </c>
      <c r="I832" s="70">
        <f t="shared" si="403"/>
        <v>1</v>
      </c>
      <c r="J832" s="77" t="str">
        <f t="shared" si="403"/>
        <v>Lactuca</v>
      </c>
      <c r="K832" s="77" t="str">
        <f t="shared" si="403"/>
        <v>inermis</v>
      </c>
      <c r="L832" s="78">
        <f t="shared" si="403"/>
        <v>7</v>
      </c>
      <c r="M832" s="78">
        <f t="shared" si="403"/>
        <v>0</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2017</v>
      </c>
      <c r="B833" s="73" t="str">
        <f t="shared" si="375"/>
        <v>Nov</v>
      </c>
      <c r="C833" s="74">
        <f t="shared" si="398"/>
        <v>16</v>
      </c>
      <c r="D833" s="75">
        <f t="shared" si="376"/>
        <v>22</v>
      </c>
      <c r="E833" s="76">
        <f t="shared" si="377"/>
        <v>8</v>
      </c>
      <c r="F833" s="80"/>
      <c r="G833" s="83"/>
      <c r="H833" s="69" t="str">
        <f t="shared" si="399"/>
        <v>Lacine7_20171116_22_00</v>
      </c>
      <c r="I833" s="70">
        <f t="shared" si="403"/>
        <v>1</v>
      </c>
      <c r="J833" s="77" t="str">
        <f t="shared" si="403"/>
        <v>Lactuca</v>
      </c>
      <c r="K833" s="77" t="str">
        <f t="shared" si="403"/>
        <v>inermis</v>
      </c>
      <c r="L833" s="78">
        <f t="shared" si="403"/>
        <v>7</v>
      </c>
      <c r="M833" s="78">
        <f t="shared" si="403"/>
        <v>0</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2017</v>
      </c>
      <c r="B834" s="73" t="str">
        <f t="shared" si="375"/>
        <v>Nov</v>
      </c>
      <c r="C834" s="74">
        <f t="shared" si="398"/>
        <v>16</v>
      </c>
      <c r="D834" s="75">
        <f t="shared" si="376"/>
        <v>22</v>
      </c>
      <c r="E834" s="76">
        <f t="shared" si="377"/>
        <v>9</v>
      </c>
      <c r="F834" s="80"/>
      <c r="G834" s="83"/>
      <c r="H834" s="69" t="str">
        <f t="shared" si="399"/>
        <v>Lacine7_20171116_22_00</v>
      </c>
      <c r="I834" s="70">
        <f t="shared" si="403"/>
        <v>1</v>
      </c>
      <c r="J834" s="77" t="str">
        <f t="shared" si="403"/>
        <v>Lactuca</v>
      </c>
      <c r="K834" s="77" t="str">
        <f t="shared" si="403"/>
        <v>inermis</v>
      </c>
      <c r="L834" s="78">
        <f t="shared" si="403"/>
        <v>7</v>
      </c>
      <c r="M834" s="78">
        <f t="shared" si="403"/>
        <v>0</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2017</v>
      </c>
      <c r="B835" s="73" t="str">
        <f t="shared" si="375"/>
        <v>Nov</v>
      </c>
      <c r="C835" s="74">
        <f t="shared" si="398"/>
        <v>16</v>
      </c>
      <c r="D835" s="75">
        <f t="shared" si="376"/>
        <v>22</v>
      </c>
      <c r="E835" s="76">
        <f t="shared" si="377"/>
        <v>10</v>
      </c>
      <c r="F835" s="80"/>
      <c r="G835" s="83"/>
      <c r="H835" s="69" t="str">
        <f t="shared" si="399"/>
        <v>Lacine7_20171116_22_00</v>
      </c>
      <c r="I835" s="70">
        <f t="shared" si="403"/>
        <v>1</v>
      </c>
      <c r="J835" s="77" t="str">
        <f t="shared" si="403"/>
        <v>Lactuca</v>
      </c>
      <c r="K835" s="77" t="str">
        <f t="shared" si="403"/>
        <v>inermis</v>
      </c>
      <c r="L835" s="78">
        <f t="shared" si="403"/>
        <v>7</v>
      </c>
      <c r="M835" s="78">
        <f t="shared" si="403"/>
        <v>0</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2017</v>
      </c>
      <c r="B836" s="73" t="str">
        <f t="shared" ref="B836:B899" si="406">IF(C835-C836&gt;0, TEXT(DATE(2016,(MONTH(DATEVALUE(B835&amp;"1"))+1),1),"mmm"), B835)</f>
        <v>Nov</v>
      </c>
      <c r="C836" s="74">
        <f t="shared" si="398"/>
        <v>16</v>
      </c>
      <c r="D836" s="75">
        <f t="shared" ref="D836:D899" si="407">IF(IF(E835=59,D835+1,D835)=24,0,IF(E835=59,D835+1,D835))</f>
        <v>22</v>
      </c>
      <c r="E836" s="76">
        <f t="shared" ref="E836:E899" si="408">IF(E835&lt;59,E835+1,0)</f>
        <v>11</v>
      </c>
      <c r="F836" s="80"/>
      <c r="G836" s="83"/>
      <c r="H836" s="69" t="str">
        <f t="shared" si="399"/>
        <v>Lacine7_20171116_22_00</v>
      </c>
      <c r="I836" s="70">
        <f t="shared" si="403"/>
        <v>1</v>
      </c>
      <c r="J836" s="77" t="str">
        <f t="shared" si="403"/>
        <v>Lactuca</v>
      </c>
      <c r="K836" s="77" t="str">
        <f t="shared" si="403"/>
        <v>inermis</v>
      </c>
      <c r="L836" s="78">
        <f t="shared" si="403"/>
        <v>7</v>
      </c>
      <c r="M836" s="78">
        <f t="shared" si="403"/>
        <v>0</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2017</v>
      </c>
      <c r="B837" s="73" t="str">
        <f t="shared" si="406"/>
        <v>Nov</v>
      </c>
      <c r="C837" s="74">
        <f t="shared" ref="C837:C900" si="429">IF(AND(D837=0, E837=0), IF(TEXT(C836,"dd")=TEXT(EOMONTH(DATE(A836,MONTH(DATEVALUE(B836&amp;"1")),C836),0), "dd"), 1, C836+1), C836)</f>
        <v>16</v>
      </c>
      <c r="D837" s="75">
        <f t="shared" si="407"/>
        <v>22</v>
      </c>
      <c r="E837" s="76">
        <f t="shared" si="408"/>
        <v>12</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Lacine7_20171116_22_00</v>
      </c>
      <c r="I837" s="70">
        <f t="shared" ref="I837:N852" si="431">I836</f>
        <v>1</v>
      </c>
      <c r="J837" s="77" t="str">
        <f t="shared" si="431"/>
        <v>Lactuca</v>
      </c>
      <c r="K837" s="77" t="str">
        <f t="shared" si="431"/>
        <v>inermis</v>
      </c>
      <c r="L837" s="78">
        <f t="shared" si="431"/>
        <v>7</v>
      </c>
      <c r="M837" s="78">
        <f t="shared" si="431"/>
        <v>0</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2017</v>
      </c>
      <c r="B838" s="73" t="str">
        <f t="shared" si="406"/>
        <v>Nov</v>
      </c>
      <c r="C838" s="74">
        <f t="shared" si="429"/>
        <v>16</v>
      </c>
      <c r="D838" s="75">
        <f t="shared" si="407"/>
        <v>22</v>
      </c>
      <c r="E838" s="76">
        <f t="shared" si="408"/>
        <v>13</v>
      </c>
      <c r="F838" s="80"/>
      <c r="G838" s="83"/>
      <c r="H838" s="69" t="str">
        <f t="shared" si="430"/>
        <v>Lacine7_20171116_22_00</v>
      </c>
      <c r="I838" s="70">
        <f t="shared" si="431"/>
        <v>1</v>
      </c>
      <c r="J838" s="77" t="str">
        <f t="shared" si="431"/>
        <v>Lactuca</v>
      </c>
      <c r="K838" s="77" t="str">
        <f t="shared" si="431"/>
        <v>inermis</v>
      </c>
      <c r="L838" s="78">
        <f t="shared" si="431"/>
        <v>7</v>
      </c>
      <c r="M838" s="78">
        <f t="shared" si="431"/>
        <v>0</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2017</v>
      </c>
      <c r="B839" s="73" t="str">
        <f t="shared" si="406"/>
        <v>Nov</v>
      </c>
      <c r="C839" s="74">
        <f t="shared" si="429"/>
        <v>16</v>
      </c>
      <c r="D839" s="75">
        <f t="shared" si="407"/>
        <v>22</v>
      </c>
      <c r="E839" s="76">
        <f t="shared" si="408"/>
        <v>14</v>
      </c>
      <c r="F839" s="80"/>
      <c r="G839" s="83"/>
      <c r="H839" s="69" t="str">
        <f t="shared" si="430"/>
        <v>Lacine7_20171116_22_00</v>
      </c>
      <c r="I839" s="70">
        <f t="shared" si="431"/>
        <v>1</v>
      </c>
      <c r="J839" s="77" t="str">
        <f t="shared" si="431"/>
        <v>Lactuca</v>
      </c>
      <c r="K839" s="77" t="str">
        <f t="shared" si="431"/>
        <v>inermis</v>
      </c>
      <c r="L839" s="78">
        <f t="shared" si="431"/>
        <v>7</v>
      </c>
      <c r="M839" s="78">
        <f t="shared" si="431"/>
        <v>0</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2017</v>
      </c>
      <c r="B840" s="73" t="str">
        <f t="shared" si="406"/>
        <v>Nov</v>
      </c>
      <c r="C840" s="74">
        <f t="shared" si="429"/>
        <v>16</v>
      </c>
      <c r="D840" s="75">
        <f t="shared" si="407"/>
        <v>22</v>
      </c>
      <c r="E840" s="76">
        <f t="shared" si="408"/>
        <v>15</v>
      </c>
      <c r="F840" s="80"/>
      <c r="G840" s="83"/>
      <c r="H840" s="69" t="str">
        <f t="shared" si="430"/>
        <v>Lacine7_20171116_22_00</v>
      </c>
      <c r="I840" s="70">
        <f t="shared" si="431"/>
        <v>1</v>
      </c>
      <c r="J840" s="77" t="str">
        <f t="shared" si="431"/>
        <v>Lactuca</v>
      </c>
      <c r="K840" s="77" t="str">
        <f t="shared" si="431"/>
        <v>inermis</v>
      </c>
      <c r="L840" s="78">
        <f t="shared" si="431"/>
        <v>7</v>
      </c>
      <c r="M840" s="78">
        <f t="shared" si="431"/>
        <v>0</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2017</v>
      </c>
      <c r="B841" s="73" t="str">
        <f t="shared" si="406"/>
        <v>Nov</v>
      </c>
      <c r="C841" s="74">
        <f t="shared" si="429"/>
        <v>16</v>
      </c>
      <c r="D841" s="75">
        <f t="shared" si="407"/>
        <v>22</v>
      </c>
      <c r="E841" s="76">
        <f t="shared" si="408"/>
        <v>16</v>
      </c>
      <c r="F841" s="80"/>
      <c r="G841" s="83"/>
      <c r="H841" s="69" t="str">
        <f t="shared" si="430"/>
        <v>Lacine7_20171116_22_00</v>
      </c>
      <c r="I841" s="70">
        <f t="shared" si="431"/>
        <v>1</v>
      </c>
      <c r="J841" s="77" t="str">
        <f t="shared" si="431"/>
        <v>Lactuca</v>
      </c>
      <c r="K841" s="77" t="str">
        <f t="shared" si="431"/>
        <v>inermis</v>
      </c>
      <c r="L841" s="78">
        <f t="shared" si="431"/>
        <v>7</v>
      </c>
      <c r="M841" s="78">
        <f t="shared" si="431"/>
        <v>0</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2017</v>
      </c>
      <c r="B842" s="73" t="str">
        <f t="shared" si="406"/>
        <v>Nov</v>
      </c>
      <c r="C842" s="74">
        <f t="shared" si="429"/>
        <v>16</v>
      </c>
      <c r="D842" s="75">
        <f t="shared" si="407"/>
        <v>22</v>
      </c>
      <c r="E842" s="76">
        <f t="shared" si="408"/>
        <v>17</v>
      </c>
      <c r="F842" s="80"/>
      <c r="G842" s="83"/>
      <c r="H842" s="69" t="str">
        <f t="shared" si="430"/>
        <v>Lacine7_20171116_22_00</v>
      </c>
      <c r="I842" s="70">
        <f t="shared" si="431"/>
        <v>1</v>
      </c>
      <c r="J842" s="77" t="str">
        <f t="shared" si="431"/>
        <v>Lactuca</v>
      </c>
      <c r="K842" s="77" t="str">
        <f t="shared" si="431"/>
        <v>inermis</v>
      </c>
      <c r="L842" s="78">
        <f t="shared" si="431"/>
        <v>7</v>
      </c>
      <c r="M842" s="78">
        <f t="shared" si="431"/>
        <v>0</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2017</v>
      </c>
      <c r="B843" s="73" t="str">
        <f t="shared" si="406"/>
        <v>Nov</v>
      </c>
      <c r="C843" s="74">
        <f t="shared" si="429"/>
        <v>16</v>
      </c>
      <c r="D843" s="75">
        <f t="shared" si="407"/>
        <v>22</v>
      </c>
      <c r="E843" s="76">
        <f t="shared" si="408"/>
        <v>18</v>
      </c>
      <c r="F843" s="80"/>
      <c r="G843" s="83"/>
      <c r="H843" s="69" t="str">
        <f t="shared" si="430"/>
        <v>Lacine7_20171116_22_00</v>
      </c>
      <c r="I843" s="70">
        <f t="shared" si="431"/>
        <v>1</v>
      </c>
      <c r="J843" s="77" t="str">
        <f t="shared" si="431"/>
        <v>Lactuca</v>
      </c>
      <c r="K843" s="77" t="str">
        <f t="shared" si="431"/>
        <v>inermis</v>
      </c>
      <c r="L843" s="78">
        <f t="shared" si="431"/>
        <v>7</v>
      </c>
      <c r="M843" s="78">
        <f t="shared" si="431"/>
        <v>0</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2017</v>
      </c>
      <c r="B844" s="73" t="str">
        <f t="shared" si="406"/>
        <v>Nov</v>
      </c>
      <c r="C844" s="74">
        <f t="shared" si="429"/>
        <v>16</v>
      </c>
      <c r="D844" s="75">
        <f t="shared" si="407"/>
        <v>22</v>
      </c>
      <c r="E844" s="76">
        <f t="shared" si="408"/>
        <v>19</v>
      </c>
      <c r="F844" s="80"/>
      <c r="G844" s="83"/>
      <c r="H844" s="69" t="str">
        <f t="shared" si="430"/>
        <v>Lacine7_20171116_22_00</v>
      </c>
      <c r="I844" s="70">
        <f t="shared" si="431"/>
        <v>1</v>
      </c>
      <c r="J844" s="77" t="str">
        <f t="shared" si="431"/>
        <v>Lactuca</v>
      </c>
      <c r="K844" s="77" t="str">
        <f t="shared" si="431"/>
        <v>inermis</v>
      </c>
      <c r="L844" s="78">
        <f t="shared" si="431"/>
        <v>7</v>
      </c>
      <c r="M844" s="78">
        <f t="shared" si="431"/>
        <v>0</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2017</v>
      </c>
      <c r="B845" s="73" t="str">
        <f t="shared" si="406"/>
        <v>Nov</v>
      </c>
      <c r="C845" s="74">
        <f t="shared" si="429"/>
        <v>16</v>
      </c>
      <c r="D845" s="75">
        <f t="shared" si="407"/>
        <v>22</v>
      </c>
      <c r="E845" s="76">
        <f t="shared" si="408"/>
        <v>20</v>
      </c>
      <c r="F845" s="80"/>
      <c r="G845" s="83"/>
      <c r="H845" s="69" t="str">
        <f t="shared" si="430"/>
        <v>Lacine7_20171116_22_00</v>
      </c>
      <c r="I845" s="70">
        <f t="shared" si="431"/>
        <v>1</v>
      </c>
      <c r="J845" s="77" t="str">
        <f t="shared" si="431"/>
        <v>Lactuca</v>
      </c>
      <c r="K845" s="77" t="str">
        <f t="shared" si="431"/>
        <v>inermis</v>
      </c>
      <c r="L845" s="78">
        <f t="shared" si="431"/>
        <v>7</v>
      </c>
      <c r="M845" s="78">
        <f t="shared" si="431"/>
        <v>0</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2017</v>
      </c>
      <c r="B846" s="73" t="str">
        <f t="shared" si="406"/>
        <v>Nov</v>
      </c>
      <c r="C846" s="74">
        <f t="shared" si="429"/>
        <v>16</v>
      </c>
      <c r="D846" s="75">
        <f t="shared" si="407"/>
        <v>22</v>
      </c>
      <c r="E846" s="76">
        <f t="shared" si="408"/>
        <v>21</v>
      </c>
      <c r="F846" s="80"/>
      <c r="G846" s="83"/>
      <c r="H846" s="69" t="str">
        <f t="shared" si="430"/>
        <v>Lacine7_20171116_22_00</v>
      </c>
      <c r="I846" s="70">
        <f t="shared" si="431"/>
        <v>1</v>
      </c>
      <c r="J846" s="77" t="str">
        <f t="shared" si="431"/>
        <v>Lactuca</v>
      </c>
      <c r="K846" s="77" t="str">
        <f t="shared" si="431"/>
        <v>inermis</v>
      </c>
      <c r="L846" s="78">
        <f t="shared" si="431"/>
        <v>7</v>
      </c>
      <c r="M846" s="78">
        <f t="shared" si="431"/>
        <v>0</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2017</v>
      </c>
      <c r="B847" s="73" t="str">
        <f t="shared" si="406"/>
        <v>Nov</v>
      </c>
      <c r="C847" s="74">
        <f t="shared" si="429"/>
        <v>16</v>
      </c>
      <c r="D847" s="75">
        <f t="shared" si="407"/>
        <v>22</v>
      </c>
      <c r="E847" s="76">
        <f t="shared" si="408"/>
        <v>22</v>
      </c>
      <c r="F847" s="80"/>
      <c r="G847" s="83"/>
      <c r="H847" s="69" t="str">
        <f t="shared" si="430"/>
        <v>Lacine7_20171116_22_00</v>
      </c>
      <c r="I847" s="70">
        <f t="shared" si="431"/>
        <v>1</v>
      </c>
      <c r="J847" s="77" t="str">
        <f t="shared" si="431"/>
        <v>Lactuca</v>
      </c>
      <c r="K847" s="77" t="str">
        <f t="shared" si="431"/>
        <v>inermis</v>
      </c>
      <c r="L847" s="78">
        <f t="shared" si="431"/>
        <v>7</v>
      </c>
      <c r="M847" s="78">
        <f t="shared" si="431"/>
        <v>0</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2017</v>
      </c>
      <c r="B848" s="73" t="str">
        <f t="shared" si="406"/>
        <v>Nov</v>
      </c>
      <c r="C848" s="74">
        <f t="shared" si="429"/>
        <v>16</v>
      </c>
      <c r="D848" s="75">
        <f t="shared" si="407"/>
        <v>22</v>
      </c>
      <c r="E848" s="76">
        <f t="shared" si="408"/>
        <v>23</v>
      </c>
      <c r="F848" s="80"/>
      <c r="G848" s="83"/>
      <c r="H848" s="69" t="str">
        <f t="shared" si="430"/>
        <v>Lacine7_20171116_22_00</v>
      </c>
      <c r="I848" s="70">
        <f t="shared" si="431"/>
        <v>1</v>
      </c>
      <c r="J848" s="77" t="str">
        <f t="shared" si="431"/>
        <v>Lactuca</v>
      </c>
      <c r="K848" s="77" t="str">
        <f t="shared" si="431"/>
        <v>inermis</v>
      </c>
      <c r="L848" s="78">
        <f t="shared" si="431"/>
        <v>7</v>
      </c>
      <c r="M848" s="78">
        <f t="shared" si="431"/>
        <v>0</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2017</v>
      </c>
      <c r="B849" s="73" t="str">
        <f t="shared" si="406"/>
        <v>Nov</v>
      </c>
      <c r="C849" s="74">
        <f t="shared" si="429"/>
        <v>16</v>
      </c>
      <c r="D849" s="75">
        <f t="shared" si="407"/>
        <v>22</v>
      </c>
      <c r="E849" s="76">
        <f t="shared" si="408"/>
        <v>24</v>
      </c>
      <c r="F849" s="80"/>
      <c r="G849" s="83"/>
      <c r="H849" s="69" t="str">
        <f t="shared" si="430"/>
        <v>Lacine7_20171116_22_00</v>
      </c>
      <c r="I849" s="70">
        <f t="shared" si="431"/>
        <v>1</v>
      </c>
      <c r="J849" s="77" t="str">
        <f t="shared" si="431"/>
        <v>Lactuca</v>
      </c>
      <c r="K849" s="77" t="str">
        <f t="shared" si="431"/>
        <v>inermis</v>
      </c>
      <c r="L849" s="78">
        <f t="shared" si="431"/>
        <v>7</v>
      </c>
      <c r="M849" s="78">
        <f t="shared" si="431"/>
        <v>0</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2017</v>
      </c>
      <c r="B850" s="73" t="str">
        <f t="shared" si="406"/>
        <v>Nov</v>
      </c>
      <c r="C850" s="74">
        <f t="shared" si="429"/>
        <v>16</v>
      </c>
      <c r="D850" s="75">
        <f t="shared" si="407"/>
        <v>22</v>
      </c>
      <c r="E850" s="76">
        <f t="shared" si="408"/>
        <v>25</v>
      </c>
      <c r="F850" s="80"/>
      <c r="G850" s="83"/>
      <c r="H850" s="69" t="str">
        <f t="shared" si="430"/>
        <v>Lacine7_20171116_22_00</v>
      </c>
      <c r="I850" s="70">
        <f t="shared" si="431"/>
        <v>1</v>
      </c>
      <c r="J850" s="77" t="str">
        <f t="shared" si="431"/>
        <v>Lactuca</v>
      </c>
      <c r="K850" s="77" t="str">
        <f t="shared" si="431"/>
        <v>inermis</v>
      </c>
      <c r="L850" s="78">
        <f t="shared" si="431"/>
        <v>7</v>
      </c>
      <c r="M850" s="78">
        <f t="shared" si="431"/>
        <v>0</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2017</v>
      </c>
      <c r="B851" s="73" t="str">
        <f t="shared" si="406"/>
        <v>Nov</v>
      </c>
      <c r="C851" s="74">
        <f t="shared" si="429"/>
        <v>16</v>
      </c>
      <c r="D851" s="75">
        <f t="shared" si="407"/>
        <v>22</v>
      </c>
      <c r="E851" s="76">
        <f t="shared" si="408"/>
        <v>26</v>
      </c>
      <c r="F851" s="80"/>
      <c r="G851" s="83"/>
      <c r="H851" s="69" t="str">
        <f t="shared" si="430"/>
        <v>Lacine7_20171116_22_00</v>
      </c>
      <c r="I851" s="70">
        <f t="shared" si="431"/>
        <v>1</v>
      </c>
      <c r="J851" s="77" t="str">
        <f t="shared" si="431"/>
        <v>Lactuca</v>
      </c>
      <c r="K851" s="77" t="str">
        <f t="shared" si="431"/>
        <v>inermis</v>
      </c>
      <c r="L851" s="78">
        <f t="shared" si="431"/>
        <v>7</v>
      </c>
      <c r="M851" s="78">
        <f t="shared" si="431"/>
        <v>0</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2017</v>
      </c>
      <c r="B852" s="73" t="str">
        <f t="shared" si="406"/>
        <v>Nov</v>
      </c>
      <c r="C852" s="74">
        <f t="shared" si="429"/>
        <v>16</v>
      </c>
      <c r="D852" s="75">
        <f t="shared" si="407"/>
        <v>22</v>
      </c>
      <c r="E852" s="76">
        <f t="shared" si="408"/>
        <v>27</v>
      </c>
      <c r="F852" s="80"/>
      <c r="G852" s="83"/>
      <c r="H852" s="69" t="str">
        <f t="shared" si="430"/>
        <v>Lacine7_20171116_22_00</v>
      </c>
      <c r="I852" s="70">
        <f t="shared" si="431"/>
        <v>1</v>
      </c>
      <c r="J852" s="77" t="str">
        <f t="shared" si="431"/>
        <v>Lactuca</v>
      </c>
      <c r="K852" s="77" t="str">
        <f t="shared" si="431"/>
        <v>inermis</v>
      </c>
      <c r="L852" s="78">
        <f t="shared" si="431"/>
        <v>7</v>
      </c>
      <c r="M852" s="78">
        <f t="shared" si="431"/>
        <v>0</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2017</v>
      </c>
      <c r="B853" s="73" t="str">
        <f t="shared" si="406"/>
        <v>Nov</v>
      </c>
      <c r="C853" s="74">
        <f t="shared" si="429"/>
        <v>16</v>
      </c>
      <c r="D853" s="75">
        <f t="shared" si="407"/>
        <v>22</v>
      </c>
      <c r="E853" s="76">
        <f t="shared" si="408"/>
        <v>28</v>
      </c>
      <c r="F853" s="80"/>
      <c r="G853" s="83"/>
      <c r="H853" s="69" t="str">
        <f t="shared" si="430"/>
        <v>Lacine7_20171116_22_00</v>
      </c>
      <c r="I853" s="70">
        <f t="shared" ref="I853:N868" si="432">I852</f>
        <v>1</v>
      </c>
      <c r="J853" s="77" t="str">
        <f t="shared" si="432"/>
        <v>Lactuca</v>
      </c>
      <c r="K853" s="77" t="str">
        <f t="shared" si="432"/>
        <v>inermis</v>
      </c>
      <c r="L853" s="78">
        <f t="shared" si="432"/>
        <v>7</v>
      </c>
      <c r="M853" s="78">
        <f t="shared" si="432"/>
        <v>0</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2017</v>
      </c>
      <c r="B854" s="73" t="str">
        <f t="shared" si="406"/>
        <v>Nov</v>
      </c>
      <c r="C854" s="74">
        <f t="shared" si="429"/>
        <v>16</v>
      </c>
      <c r="D854" s="75">
        <f t="shared" si="407"/>
        <v>22</v>
      </c>
      <c r="E854" s="76">
        <f t="shared" si="408"/>
        <v>29</v>
      </c>
      <c r="F854" s="80"/>
      <c r="G854" s="83"/>
      <c r="H854" s="69" t="str">
        <f t="shared" si="430"/>
        <v>Lacine7_20171116_22_00</v>
      </c>
      <c r="I854" s="70">
        <f t="shared" si="432"/>
        <v>1</v>
      </c>
      <c r="J854" s="77" t="str">
        <f t="shared" si="432"/>
        <v>Lactuca</v>
      </c>
      <c r="K854" s="77" t="str">
        <f t="shared" si="432"/>
        <v>inermis</v>
      </c>
      <c r="L854" s="78">
        <f t="shared" si="432"/>
        <v>7</v>
      </c>
      <c r="M854" s="78">
        <f t="shared" si="432"/>
        <v>0</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2017</v>
      </c>
      <c r="B855" s="73" t="str">
        <f t="shared" si="406"/>
        <v>Nov</v>
      </c>
      <c r="C855" s="74">
        <f t="shared" si="429"/>
        <v>16</v>
      </c>
      <c r="D855" s="75">
        <f t="shared" si="407"/>
        <v>22</v>
      </c>
      <c r="E855" s="76">
        <f t="shared" si="408"/>
        <v>30</v>
      </c>
      <c r="F855" s="80"/>
      <c r="G855" s="83"/>
      <c r="H855" s="69" t="str">
        <f t="shared" si="430"/>
        <v>Lacine7_20171116_22_00</v>
      </c>
      <c r="I855" s="70">
        <f t="shared" si="432"/>
        <v>1</v>
      </c>
      <c r="J855" s="77" t="str">
        <f t="shared" si="432"/>
        <v>Lactuca</v>
      </c>
      <c r="K855" s="77" t="str">
        <f t="shared" si="432"/>
        <v>inermis</v>
      </c>
      <c r="L855" s="78">
        <f t="shared" si="432"/>
        <v>7</v>
      </c>
      <c r="M855" s="78">
        <f t="shared" si="432"/>
        <v>0</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2017</v>
      </c>
      <c r="B856" s="73" t="str">
        <f t="shared" si="406"/>
        <v>Nov</v>
      </c>
      <c r="C856" s="74">
        <f t="shared" si="429"/>
        <v>16</v>
      </c>
      <c r="D856" s="75">
        <f t="shared" si="407"/>
        <v>22</v>
      </c>
      <c r="E856" s="76">
        <f t="shared" si="408"/>
        <v>31</v>
      </c>
      <c r="F856" s="80"/>
      <c r="G856" s="83"/>
      <c r="H856" s="69" t="str">
        <f t="shared" si="430"/>
        <v>Lacine7_20171116_22_00</v>
      </c>
      <c r="I856" s="70">
        <f t="shared" si="432"/>
        <v>1</v>
      </c>
      <c r="J856" s="77" t="str">
        <f t="shared" si="432"/>
        <v>Lactuca</v>
      </c>
      <c r="K856" s="77" t="str">
        <f t="shared" si="432"/>
        <v>inermis</v>
      </c>
      <c r="L856" s="78">
        <f t="shared" si="432"/>
        <v>7</v>
      </c>
      <c r="M856" s="78">
        <f t="shared" si="432"/>
        <v>0</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2017</v>
      </c>
      <c r="B857" s="73" t="str">
        <f t="shared" si="406"/>
        <v>Nov</v>
      </c>
      <c r="C857" s="74">
        <f t="shared" si="429"/>
        <v>16</v>
      </c>
      <c r="D857" s="75">
        <f t="shared" si="407"/>
        <v>22</v>
      </c>
      <c r="E857" s="76">
        <f t="shared" si="408"/>
        <v>32</v>
      </c>
      <c r="F857" s="80"/>
      <c r="G857" s="83"/>
      <c r="H857" s="69" t="str">
        <f t="shared" si="430"/>
        <v>Lacine7_20171116_22_00</v>
      </c>
      <c r="I857" s="70">
        <f t="shared" si="432"/>
        <v>1</v>
      </c>
      <c r="J857" s="77" t="str">
        <f t="shared" si="432"/>
        <v>Lactuca</v>
      </c>
      <c r="K857" s="77" t="str">
        <f t="shared" si="432"/>
        <v>inermis</v>
      </c>
      <c r="L857" s="78">
        <f t="shared" si="432"/>
        <v>7</v>
      </c>
      <c r="M857" s="78">
        <f t="shared" si="432"/>
        <v>0</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2017</v>
      </c>
      <c r="B858" s="73" t="str">
        <f t="shared" si="406"/>
        <v>Nov</v>
      </c>
      <c r="C858" s="74">
        <f t="shared" si="429"/>
        <v>16</v>
      </c>
      <c r="D858" s="75">
        <f t="shared" si="407"/>
        <v>22</v>
      </c>
      <c r="E858" s="76">
        <f t="shared" si="408"/>
        <v>33</v>
      </c>
      <c r="F858" s="80"/>
      <c r="G858" s="83"/>
      <c r="H858" s="69" t="str">
        <f t="shared" si="430"/>
        <v>Lacine7_20171116_22_00</v>
      </c>
      <c r="I858" s="70">
        <f t="shared" si="432"/>
        <v>1</v>
      </c>
      <c r="J858" s="77" t="str">
        <f t="shared" si="432"/>
        <v>Lactuca</v>
      </c>
      <c r="K858" s="77" t="str">
        <f t="shared" si="432"/>
        <v>inermis</v>
      </c>
      <c r="L858" s="78">
        <f t="shared" si="432"/>
        <v>7</v>
      </c>
      <c r="M858" s="78">
        <f t="shared" si="432"/>
        <v>0</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2017</v>
      </c>
      <c r="B859" s="73" t="str">
        <f t="shared" si="406"/>
        <v>Nov</v>
      </c>
      <c r="C859" s="74">
        <f t="shared" si="429"/>
        <v>16</v>
      </c>
      <c r="D859" s="75">
        <f t="shared" si="407"/>
        <v>22</v>
      </c>
      <c r="E859" s="76">
        <f t="shared" si="408"/>
        <v>34</v>
      </c>
      <c r="F859" s="80"/>
      <c r="G859" s="83"/>
      <c r="H859" s="69" t="str">
        <f t="shared" si="430"/>
        <v>Lacine7_20171116_22_00</v>
      </c>
      <c r="I859" s="70">
        <f t="shared" si="432"/>
        <v>1</v>
      </c>
      <c r="J859" s="77" t="str">
        <f t="shared" si="432"/>
        <v>Lactuca</v>
      </c>
      <c r="K859" s="77" t="str">
        <f t="shared" si="432"/>
        <v>inermis</v>
      </c>
      <c r="L859" s="78">
        <f t="shared" si="432"/>
        <v>7</v>
      </c>
      <c r="M859" s="78">
        <f t="shared" si="432"/>
        <v>0</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2017</v>
      </c>
      <c r="B860" s="73" t="str">
        <f t="shared" si="406"/>
        <v>Nov</v>
      </c>
      <c r="C860" s="74">
        <f t="shared" si="429"/>
        <v>16</v>
      </c>
      <c r="D860" s="75">
        <f t="shared" si="407"/>
        <v>22</v>
      </c>
      <c r="E860" s="76">
        <f t="shared" si="408"/>
        <v>35</v>
      </c>
      <c r="F860" s="80"/>
      <c r="G860" s="83"/>
      <c r="H860" s="69" t="str">
        <f t="shared" si="430"/>
        <v>Lacine7_20171116_22_00</v>
      </c>
      <c r="I860" s="70">
        <f t="shared" si="432"/>
        <v>1</v>
      </c>
      <c r="J860" s="77" t="str">
        <f t="shared" si="432"/>
        <v>Lactuca</v>
      </c>
      <c r="K860" s="77" t="str">
        <f t="shared" si="432"/>
        <v>inermis</v>
      </c>
      <c r="L860" s="78">
        <f t="shared" si="432"/>
        <v>7</v>
      </c>
      <c r="M860" s="78">
        <f t="shared" si="432"/>
        <v>0</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2017</v>
      </c>
      <c r="B861" s="73" t="str">
        <f t="shared" si="406"/>
        <v>Nov</v>
      </c>
      <c r="C861" s="74">
        <f t="shared" si="429"/>
        <v>16</v>
      </c>
      <c r="D861" s="75">
        <f t="shared" si="407"/>
        <v>22</v>
      </c>
      <c r="E861" s="76">
        <f t="shared" si="408"/>
        <v>36</v>
      </c>
      <c r="F861" s="80"/>
      <c r="G861" s="83"/>
      <c r="H861" s="69" t="str">
        <f t="shared" si="430"/>
        <v>Lacine7_20171116_22_00</v>
      </c>
      <c r="I861" s="70">
        <f t="shared" si="432"/>
        <v>1</v>
      </c>
      <c r="J861" s="77" t="str">
        <f t="shared" si="432"/>
        <v>Lactuca</v>
      </c>
      <c r="K861" s="77" t="str">
        <f t="shared" si="432"/>
        <v>inermis</v>
      </c>
      <c r="L861" s="78">
        <f t="shared" si="432"/>
        <v>7</v>
      </c>
      <c r="M861" s="78">
        <f t="shared" si="432"/>
        <v>0</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2017</v>
      </c>
      <c r="B862" s="73" t="str">
        <f t="shared" si="406"/>
        <v>Nov</v>
      </c>
      <c r="C862" s="74">
        <f t="shared" si="429"/>
        <v>16</v>
      </c>
      <c r="D862" s="75">
        <f t="shared" si="407"/>
        <v>22</v>
      </c>
      <c r="E862" s="76">
        <f t="shared" si="408"/>
        <v>37</v>
      </c>
      <c r="F862" s="80"/>
      <c r="G862" s="83"/>
      <c r="H862" s="69" t="str">
        <f t="shared" si="430"/>
        <v>Lacine7_20171116_22_00</v>
      </c>
      <c r="I862" s="70">
        <f t="shared" si="432"/>
        <v>1</v>
      </c>
      <c r="J862" s="77" t="str">
        <f t="shared" si="432"/>
        <v>Lactuca</v>
      </c>
      <c r="K862" s="77" t="str">
        <f t="shared" si="432"/>
        <v>inermis</v>
      </c>
      <c r="L862" s="78">
        <f t="shared" si="432"/>
        <v>7</v>
      </c>
      <c r="M862" s="78">
        <f t="shared" si="432"/>
        <v>0</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2017</v>
      </c>
      <c r="B863" s="73" t="str">
        <f t="shared" si="406"/>
        <v>Nov</v>
      </c>
      <c r="C863" s="74">
        <f t="shared" si="429"/>
        <v>16</v>
      </c>
      <c r="D863" s="75">
        <f t="shared" si="407"/>
        <v>22</v>
      </c>
      <c r="E863" s="76">
        <f t="shared" si="408"/>
        <v>38</v>
      </c>
      <c r="F863" s="80"/>
      <c r="G863" s="83"/>
      <c r="H863" s="69" t="str">
        <f t="shared" si="430"/>
        <v>Lacine7_20171116_22_00</v>
      </c>
      <c r="I863" s="70">
        <f t="shared" si="432"/>
        <v>1</v>
      </c>
      <c r="J863" s="77" t="str">
        <f t="shared" si="432"/>
        <v>Lactuca</v>
      </c>
      <c r="K863" s="77" t="str">
        <f t="shared" si="432"/>
        <v>inermis</v>
      </c>
      <c r="L863" s="78">
        <f t="shared" si="432"/>
        <v>7</v>
      </c>
      <c r="M863" s="78">
        <f t="shared" si="432"/>
        <v>0</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2017</v>
      </c>
      <c r="B864" s="73" t="str">
        <f t="shared" si="406"/>
        <v>Nov</v>
      </c>
      <c r="C864" s="74">
        <f t="shared" si="429"/>
        <v>16</v>
      </c>
      <c r="D864" s="75">
        <f t="shared" si="407"/>
        <v>22</v>
      </c>
      <c r="E864" s="76">
        <f t="shared" si="408"/>
        <v>39</v>
      </c>
      <c r="F864" s="80"/>
      <c r="G864" s="83"/>
      <c r="H864" s="69" t="str">
        <f t="shared" si="430"/>
        <v>Lacine7_20171116_22_00</v>
      </c>
      <c r="I864" s="70">
        <f t="shared" si="432"/>
        <v>1</v>
      </c>
      <c r="J864" s="77" t="str">
        <f t="shared" si="432"/>
        <v>Lactuca</v>
      </c>
      <c r="K864" s="77" t="str">
        <f t="shared" si="432"/>
        <v>inermis</v>
      </c>
      <c r="L864" s="78">
        <f t="shared" si="432"/>
        <v>7</v>
      </c>
      <c r="M864" s="78">
        <f t="shared" si="432"/>
        <v>0</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2017</v>
      </c>
      <c r="B865" s="73" t="str">
        <f t="shared" si="406"/>
        <v>Nov</v>
      </c>
      <c r="C865" s="74">
        <f t="shared" si="429"/>
        <v>16</v>
      </c>
      <c r="D865" s="75">
        <f t="shared" si="407"/>
        <v>22</v>
      </c>
      <c r="E865" s="76">
        <f t="shared" si="408"/>
        <v>40</v>
      </c>
      <c r="F865" s="80"/>
      <c r="G865" s="83"/>
      <c r="H865" s="69" t="str">
        <f t="shared" si="430"/>
        <v>Lacine7_20171116_22_00</v>
      </c>
      <c r="I865" s="70">
        <f t="shared" si="432"/>
        <v>1</v>
      </c>
      <c r="J865" s="77" t="str">
        <f t="shared" si="432"/>
        <v>Lactuca</v>
      </c>
      <c r="K865" s="77" t="str">
        <f t="shared" si="432"/>
        <v>inermis</v>
      </c>
      <c r="L865" s="78">
        <f t="shared" si="432"/>
        <v>7</v>
      </c>
      <c r="M865" s="78">
        <f t="shared" si="432"/>
        <v>0</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2017</v>
      </c>
      <c r="B866" s="73" t="str">
        <f t="shared" si="406"/>
        <v>Nov</v>
      </c>
      <c r="C866" s="74">
        <f t="shared" si="429"/>
        <v>16</v>
      </c>
      <c r="D866" s="75">
        <f t="shared" si="407"/>
        <v>22</v>
      </c>
      <c r="E866" s="76">
        <f t="shared" si="408"/>
        <v>41</v>
      </c>
      <c r="F866" s="80"/>
      <c r="G866" s="83"/>
      <c r="H866" s="69" t="str">
        <f t="shared" si="430"/>
        <v>Lacine7_20171116_22_00</v>
      </c>
      <c r="I866" s="70">
        <f t="shared" si="432"/>
        <v>1</v>
      </c>
      <c r="J866" s="77" t="str">
        <f t="shared" si="432"/>
        <v>Lactuca</v>
      </c>
      <c r="K866" s="77" t="str">
        <f t="shared" si="432"/>
        <v>inermis</v>
      </c>
      <c r="L866" s="78">
        <f t="shared" si="432"/>
        <v>7</v>
      </c>
      <c r="M866" s="78">
        <f t="shared" si="432"/>
        <v>0</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2017</v>
      </c>
      <c r="B867" s="73" t="str">
        <f t="shared" si="406"/>
        <v>Nov</v>
      </c>
      <c r="C867" s="74">
        <f t="shared" si="429"/>
        <v>16</v>
      </c>
      <c r="D867" s="75">
        <f t="shared" si="407"/>
        <v>22</v>
      </c>
      <c r="E867" s="76">
        <f t="shared" si="408"/>
        <v>42</v>
      </c>
      <c r="F867" s="80"/>
      <c r="G867" s="83"/>
      <c r="H867" s="69" t="str">
        <f t="shared" si="430"/>
        <v>Lacine7_20171116_22_00</v>
      </c>
      <c r="I867" s="70">
        <f t="shared" si="432"/>
        <v>1</v>
      </c>
      <c r="J867" s="77" t="str">
        <f t="shared" si="432"/>
        <v>Lactuca</v>
      </c>
      <c r="K867" s="77" t="str">
        <f t="shared" si="432"/>
        <v>inermis</v>
      </c>
      <c r="L867" s="78">
        <f t="shared" si="432"/>
        <v>7</v>
      </c>
      <c r="M867" s="78">
        <f t="shared" si="432"/>
        <v>0</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2017</v>
      </c>
      <c r="B868" s="73" t="str">
        <f t="shared" si="406"/>
        <v>Nov</v>
      </c>
      <c r="C868" s="74">
        <f t="shared" si="429"/>
        <v>16</v>
      </c>
      <c r="D868" s="75">
        <f t="shared" si="407"/>
        <v>22</v>
      </c>
      <c r="E868" s="76">
        <f t="shared" si="408"/>
        <v>43</v>
      </c>
      <c r="F868" s="80"/>
      <c r="G868" s="83"/>
      <c r="H868" s="69" t="str">
        <f t="shared" si="430"/>
        <v>Lacine7_20171116_22_00</v>
      </c>
      <c r="I868" s="70">
        <f t="shared" si="432"/>
        <v>1</v>
      </c>
      <c r="J868" s="77" t="str">
        <f t="shared" si="432"/>
        <v>Lactuca</v>
      </c>
      <c r="K868" s="77" t="str">
        <f t="shared" si="432"/>
        <v>inermis</v>
      </c>
      <c r="L868" s="78">
        <f t="shared" si="432"/>
        <v>7</v>
      </c>
      <c r="M868" s="78">
        <f t="shared" si="432"/>
        <v>0</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2017</v>
      </c>
      <c r="B869" s="73" t="str">
        <f t="shared" si="406"/>
        <v>Nov</v>
      </c>
      <c r="C869" s="74">
        <f t="shared" si="429"/>
        <v>16</v>
      </c>
      <c r="D869" s="75">
        <f t="shared" si="407"/>
        <v>22</v>
      </c>
      <c r="E869" s="76">
        <f t="shared" si="408"/>
        <v>44</v>
      </c>
      <c r="F869" s="80"/>
      <c r="G869" s="83"/>
      <c r="H869" s="69" t="str">
        <f t="shared" si="430"/>
        <v>Lacine7_20171116_22_00</v>
      </c>
      <c r="I869" s="70">
        <f t="shared" ref="I869:N884" si="433">I868</f>
        <v>1</v>
      </c>
      <c r="J869" s="77" t="str">
        <f t="shared" si="433"/>
        <v>Lactuca</v>
      </c>
      <c r="K869" s="77" t="str">
        <f t="shared" si="433"/>
        <v>inermis</v>
      </c>
      <c r="L869" s="78">
        <f t="shared" si="433"/>
        <v>7</v>
      </c>
      <c r="M869" s="78">
        <f t="shared" si="433"/>
        <v>0</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2017</v>
      </c>
      <c r="B870" s="73" t="str">
        <f t="shared" si="406"/>
        <v>Nov</v>
      </c>
      <c r="C870" s="74">
        <f t="shared" si="429"/>
        <v>16</v>
      </c>
      <c r="D870" s="75">
        <f t="shared" si="407"/>
        <v>22</v>
      </c>
      <c r="E870" s="76">
        <f t="shared" si="408"/>
        <v>45</v>
      </c>
      <c r="F870" s="80"/>
      <c r="G870" s="83"/>
      <c r="H870" s="69" t="str">
        <f t="shared" si="430"/>
        <v>Lacine7_20171116_22_00</v>
      </c>
      <c r="I870" s="70">
        <f t="shared" si="433"/>
        <v>1</v>
      </c>
      <c r="J870" s="77" t="str">
        <f t="shared" si="433"/>
        <v>Lactuca</v>
      </c>
      <c r="K870" s="77" t="str">
        <f t="shared" si="433"/>
        <v>inermis</v>
      </c>
      <c r="L870" s="78">
        <f t="shared" si="433"/>
        <v>7</v>
      </c>
      <c r="M870" s="78">
        <f t="shared" si="433"/>
        <v>0</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2017</v>
      </c>
      <c r="B871" s="73" t="str">
        <f t="shared" si="406"/>
        <v>Nov</v>
      </c>
      <c r="C871" s="74">
        <f t="shared" si="429"/>
        <v>16</v>
      </c>
      <c r="D871" s="75">
        <f t="shared" si="407"/>
        <v>22</v>
      </c>
      <c r="E871" s="76">
        <f t="shared" si="408"/>
        <v>46</v>
      </c>
      <c r="F871" s="80"/>
      <c r="G871" s="83"/>
      <c r="H871" s="69" t="str">
        <f t="shared" si="430"/>
        <v>Lacine7_20171116_22_00</v>
      </c>
      <c r="I871" s="70">
        <f t="shared" si="433"/>
        <v>1</v>
      </c>
      <c r="J871" s="77" t="str">
        <f t="shared" si="433"/>
        <v>Lactuca</v>
      </c>
      <c r="K871" s="77" t="str">
        <f t="shared" si="433"/>
        <v>inermis</v>
      </c>
      <c r="L871" s="78">
        <f t="shared" si="433"/>
        <v>7</v>
      </c>
      <c r="M871" s="78">
        <f t="shared" si="433"/>
        <v>0</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2017</v>
      </c>
      <c r="B872" s="73" t="str">
        <f t="shared" si="406"/>
        <v>Nov</v>
      </c>
      <c r="C872" s="74">
        <f t="shared" si="429"/>
        <v>16</v>
      </c>
      <c r="D872" s="75">
        <f t="shared" si="407"/>
        <v>22</v>
      </c>
      <c r="E872" s="76">
        <f t="shared" si="408"/>
        <v>47</v>
      </c>
      <c r="F872" s="80"/>
      <c r="G872" s="83"/>
      <c r="H872" s="69" t="str">
        <f t="shared" si="430"/>
        <v>Lacine7_20171116_22_00</v>
      </c>
      <c r="I872" s="70">
        <f t="shared" si="433"/>
        <v>1</v>
      </c>
      <c r="J872" s="77" t="str">
        <f t="shared" si="433"/>
        <v>Lactuca</v>
      </c>
      <c r="K872" s="77" t="str">
        <f t="shared" si="433"/>
        <v>inermis</v>
      </c>
      <c r="L872" s="78">
        <f t="shared" si="433"/>
        <v>7</v>
      </c>
      <c r="M872" s="78">
        <f t="shared" si="433"/>
        <v>0</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2017</v>
      </c>
      <c r="B873" s="73" t="str">
        <f t="shared" si="406"/>
        <v>Nov</v>
      </c>
      <c r="C873" s="74">
        <f t="shared" si="429"/>
        <v>16</v>
      </c>
      <c r="D873" s="75">
        <f t="shared" si="407"/>
        <v>22</v>
      </c>
      <c r="E873" s="76">
        <f t="shared" si="408"/>
        <v>48</v>
      </c>
      <c r="F873" s="80"/>
      <c r="G873" s="83"/>
      <c r="H873" s="69" t="str">
        <f t="shared" si="430"/>
        <v>Lacine7_20171116_22_00</v>
      </c>
      <c r="I873" s="70">
        <f t="shared" si="433"/>
        <v>1</v>
      </c>
      <c r="J873" s="77" t="str">
        <f t="shared" si="433"/>
        <v>Lactuca</v>
      </c>
      <c r="K873" s="77" t="str">
        <f t="shared" si="433"/>
        <v>inermis</v>
      </c>
      <c r="L873" s="78">
        <f t="shared" si="433"/>
        <v>7</v>
      </c>
      <c r="M873" s="78">
        <f t="shared" si="433"/>
        <v>0</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2017</v>
      </c>
      <c r="B874" s="73" t="str">
        <f t="shared" si="406"/>
        <v>Nov</v>
      </c>
      <c r="C874" s="74">
        <f t="shared" si="429"/>
        <v>16</v>
      </c>
      <c r="D874" s="75">
        <f t="shared" si="407"/>
        <v>22</v>
      </c>
      <c r="E874" s="76">
        <f t="shared" si="408"/>
        <v>49</v>
      </c>
      <c r="F874" s="80"/>
      <c r="G874" s="83"/>
      <c r="H874" s="69" t="str">
        <f t="shared" si="430"/>
        <v>Lacine7_20171116_22_00</v>
      </c>
      <c r="I874" s="70">
        <f t="shared" si="433"/>
        <v>1</v>
      </c>
      <c r="J874" s="77" t="str">
        <f t="shared" si="433"/>
        <v>Lactuca</v>
      </c>
      <c r="K874" s="77" t="str">
        <f t="shared" si="433"/>
        <v>inermis</v>
      </c>
      <c r="L874" s="78">
        <f t="shared" si="433"/>
        <v>7</v>
      </c>
      <c r="M874" s="78">
        <f t="shared" si="433"/>
        <v>0</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2017</v>
      </c>
      <c r="B875" s="73" t="str">
        <f t="shared" si="406"/>
        <v>Nov</v>
      </c>
      <c r="C875" s="74">
        <f t="shared" si="429"/>
        <v>16</v>
      </c>
      <c r="D875" s="75">
        <f t="shared" si="407"/>
        <v>22</v>
      </c>
      <c r="E875" s="76">
        <f t="shared" si="408"/>
        <v>50</v>
      </c>
      <c r="F875" s="80"/>
      <c r="G875" s="83"/>
      <c r="H875" s="69" t="str">
        <f t="shared" si="430"/>
        <v>Lacine7_20171116_22_00</v>
      </c>
      <c r="I875" s="70">
        <f t="shared" si="433"/>
        <v>1</v>
      </c>
      <c r="J875" s="77" t="str">
        <f t="shared" si="433"/>
        <v>Lactuca</v>
      </c>
      <c r="K875" s="77" t="str">
        <f t="shared" si="433"/>
        <v>inermis</v>
      </c>
      <c r="L875" s="78">
        <f t="shared" si="433"/>
        <v>7</v>
      </c>
      <c r="M875" s="78">
        <f t="shared" si="433"/>
        <v>0</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2017</v>
      </c>
      <c r="B876" s="73" t="str">
        <f t="shared" si="406"/>
        <v>Nov</v>
      </c>
      <c r="C876" s="74">
        <f t="shared" si="429"/>
        <v>16</v>
      </c>
      <c r="D876" s="75">
        <f t="shared" si="407"/>
        <v>22</v>
      </c>
      <c r="E876" s="76">
        <f t="shared" si="408"/>
        <v>51</v>
      </c>
      <c r="F876" s="80"/>
      <c r="G876" s="83"/>
      <c r="H876" s="69" t="str">
        <f t="shared" si="430"/>
        <v>Lacine7_20171116_22_00</v>
      </c>
      <c r="I876" s="70">
        <f t="shared" si="433"/>
        <v>1</v>
      </c>
      <c r="J876" s="77" t="str">
        <f t="shared" si="433"/>
        <v>Lactuca</v>
      </c>
      <c r="K876" s="77" t="str">
        <f t="shared" si="433"/>
        <v>inermis</v>
      </c>
      <c r="L876" s="78">
        <f t="shared" si="433"/>
        <v>7</v>
      </c>
      <c r="M876" s="78">
        <f t="shared" si="433"/>
        <v>0</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2017</v>
      </c>
      <c r="B877" s="73" t="str">
        <f t="shared" si="406"/>
        <v>Nov</v>
      </c>
      <c r="C877" s="74">
        <f t="shared" si="429"/>
        <v>16</v>
      </c>
      <c r="D877" s="75">
        <f t="shared" si="407"/>
        <v>22</v>
      </c>
      <c r="E877" s="76">
        <f t="shared" si="408"/>
        <v>52</v>
      </c>
      <c r="F877" s="80"/>
      <c r="G877" s="83"/>
      <c r="H877" s="69" t="str">
        <f t="shared" si="430"/>
        <v>Lacine7_20171116_22_00</v>
      </c>
      <c r="I877" s="70">
        <f t="shared" si="433"/>
        <v>1</v>
      </c>
      <c r="J877" s="77" t="str">
        <f t="shared" si="433"/>
        <v>Lactuca</v>
      </c>
      <c r="K877" s="77" t="str">
        <f t="shared" si="433"/>
        <v>inermis</v>
      </c>
      <c r="L877" s="78">
        <f t="shared" si="433"/>
        <v>7</v>
      </c>
      <c r="M877" s="78">
        <f t="shared" si="433"/>
        <v>0</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2017</v>
      </c>
      <c r="B878" s="73" t="str">
        <f t="shared" si="406"/>
        <v>Nov</v>
      </c>
      <c r="C878" s="74">
        <f t="shared" si="429"/>
        <v>16</v>
      </c>
      <c r="D878" s="75">
        <f t="shared" si="407"/>
        <v>22</v>
      </c>
      <c r="E878" s="76">
        <f t="shared" si="408"/>
        <v>53</v>
      </c>
      <c r="F878" s="80"/>
      <c r="G878" s="83"/>
      <c r="H878" s="69" t="str">
        <f t="shared" si="430"/>
        <v>Lacine7_20171116_22_00</v>
      </c>
      <c r="I878" s="70">
        <f t="shared" si="433"/>
        <v>1</v>
      </c>
      <c r="J878" s="77" t="str">
        <f t="shared" si="433"/>
        <v>Lactuca</v>
      </c>
      <c r="K878" s="77" t="str">
        <f t="shared" si="433"/>
        <v>inermis</v>
      </c>
      <c r="L878" s="78">
        <f t="shared" si="433"/>
        <v>7</v>
      </c>
      <c r="M878" s="78">
        <f t="shared" si="433"/>
        <v>0</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2017</v>
      </c>
      <c r="B879" s="73" t="str">
        <f t="shared" si="406"/>
        <v>Nov</v>
      </c>
      <c r="C879" s="74">
        <f t="shared" si="429"/>
        <v>16</v>
      </c>
      <c r="D879" s="75">
        <f t="shared" si="407"/>
        <v>22</v>
      </c>
      <c r="E879" s="76">
        <f t="shared" si="408"/>
        <v>54</v>
      </c>
      <c r="F879" s="80"/>
      <c r="G879" s="83"/>
      <c r="H879" s="69" t="str">
        <f t="shared" si="430"/>
        <v>Lacine7_20171116_22_00</v>
      </c>
      <c r="I879" s="70">
        <f t="shared" si="433"/>
        <v>1</v>
      </c>
      <c r="J879" s="77" t="str">
        <f t="shared" si="433"/>
        <v>Lactuca</v>
      </c>
      <c r="K879" s="77" t="str">
        <f t="shared" si="433"/>
        <v>inermis</v>
      </c>
      <c r="L879" s="78">
        <f t="shared" si="433"/>
        <v>7</v>
      </c>
      <c r="M879" s="78">
        <f t="shared" si="433"/>
        <v>0</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2017</v>
      </c>
      <c r="B880" s="73" t="str">
        <f t="shared" si="406"/>
        <v>Nov</v>
      </c>
      <c r="C880" s="74">
        <f t="shared" si="429"/>
        <v>16</v>
      </c>
      <c r="D880" s="75">
        <f t="shared" si="407"/>
        <v>22</v>
      </c>
      <c r="E880" s="76">
        <f t="shared" si="408"/>
        <v>55</v>
      </c>
      <c r="F880" s="80"/>
      <c r="G880" s="83"/>
      <c r="H880" s="69" t="str">
        <f t="shared" si="430"/>
        <v>Lacine7_20171116_22_00</v>
      </c>
      <c r="I880" s="70">
        <f t="shared" si="433"/>
        <v>1</v>
      </c>
      <c r="J880" s="77" t="str">
        <f t="shared" si="433"/>
        <v>Lactuca</v>
      </c>
      <c r="K880" s="77" t="str">
        <f t="shared" si="433"/>
        <v>inermis</v>
      </c>
      <c r="L880" s="78">
        <f t="shared" si="433"/>
        <v>7</v>
      </c>
      <c r="M880" s="78">
        <f t="shared" si="433"/>
        <v>0</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2017</v>
      </c>
      <c r="B881" s="73" t="str">
        <f t="shared" si="406"/>
        <v>Nov</v>
      </c>
      <c r="C881" s="74">
        <f t="shared" si="429"/>
        <v>16</v>
      </c>
      <c r="D881" s="75">
        <f t="shared" si="407"/>
        <v>22</v>
      </c>
      <c r="E881" s="76">
        <f t="shared" si="408"/>
        <v>56</v>
      </c>
      <c r="F881" s="80"/>
      <c r="G881" s="83"/>
      <c r="H881" s="69" t="str">
        <f t="shared" si="430"/>
        <v>Lacine7_20171116_22_00</v>
      </c>
      <c r="I881" s="70">
        <f t="shared" si="433"/>
        <v>1</v>
      </c>
      <c r="J881" s="77" t="str">
        <f t="shared" si="433"/>
        <v>Lactuca</v>
      </c>
      <c r="K881" s="77" t="str">
        <f t="shared" si="433"/>
        <v>inermis</v>
      </c>
      <c r="L881" s="78">
        <f t="shared" si="433"/>
        <v>7</v>
      </c>
      <c r="M881" s="78">
        <f t="shared" si="433"/>
        <v>0</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2017</v>
      </c>
      <c r="B882" s="73" t="str">
        <f t="shared" si="406"/>
        <v>Nov</v>
      </c>
      <c r="C882" s="74">
        <f t="shared" si="429"/>
        <v>16</v>
      </c>
      <c r="D882" s="75">
        <f t="shared" si="407"/>
        <v>22</v>
      </c>
      <c r="E882" s="76">
        <f t="shared" si="408"/>
        <v>57</v>
      </c>
      <c r="F882" s="80"/>
      <c r="G882" s="83"/>
      <c r="H882" s="69" t="str">
        <f t="shared" si="430"/>
        <v>Lacine7_20171116_22_00</v>
      </c>
      <c r="I882" s="70">
        <f t="shared" si="433"/>
        <v>1</v>
      </c>
      <c r="J882" s="77" t="str">
        <f t="shared" si="433"/>
        <v>Lactuca</v>
      </c>
      <c r="K882" s="77" t="str">
        <f t="shared" si="433"/>
        <v>inermis</v>
      </c>
      <c r="L882" s="78">
        <f t="shared" si="433"/>
        <v>7</v>
      </c>
      <c r="M882" s="78">
        <f t="shared" si="433"/>
        <v>0</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2017</v>
      </c>
      <c r="B883" s="73" t="str">
        <f t="shared" si="406"/>
        <v>Nov</v>
      </c>
      <c r="C883" s="74">
        <f t="shared" si="429"/>
        <v>16</v>
      </c>
      <c r="D883" s="75">
        <f t="shared" si="407"/>
        <v>22</v>
      </c>
      <c r="E883" s="76">
        <f t="shared" si="408"/>
        <v>58</v>
      </c>
      <c r="F883" s="80"/>
      <c r="G883" s="83"/>
      <c r="H883" s="69" t="str">
        <f t="shared" si="430"/>
        <v>Lacine7_20171116_22_00</v>
      </c>
      <c r="I883" s="70">
        <f t="shared" si="433"/>
        <v>1</v>
      </c>
      <c r="J883" s="77" t="str">
        <f t="shared" si="433"/>
        <v>Lactuca</v>
      </c>
      <c r="K883" s="77" t="str">
        <f t="shared" si="433"/>
        <v>inermis</v>
      </c>
      <c r="L883" s="78">
        <f t="shared" si="433"/>
        <v>7</v>
      </c>
      <c r="M883" s="78">
        <f t="shared" si="433"/>
        <v>0</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2017</v>
      </c>
      <c r="B884" s="73" t="str">
        <f t="shared" si="406"/>
        <v>Nov</v>
      </c>
      <c r="C884" s="74">
        <f t="shared" si="429"/>
        <v>16</v>
      </c>
      <c r="D884" s="75">
        <f t="shared" si="407"/>
        <v>22</v>
      </c>
      <c r="E884" s="76">
        <f t="shared" si="408"/>
        <v>59</v>
      </c>
      <c r="F884" s="80"/>
      <c r="G884" s="83"/>
      <c r="H884" s="69" t="str">
        <f t="shared" si="430"/>
        <v>Lacine7_20171116_22_00</v>
      </c>
      <c r="I884" s="70">
        <f t="shared" si="433"/>
        <v>1</v>
      </c>
      <c r="J884" s="77" t="str">
        <f t="shared" si="433"/>
        <v>Lactuca</v>
      </c>
      <c r="K884" s="77" t="str">
        <f t="shared" si="433"/>
        <v>inermis</v>
      </c>
      <c r="L884" s="78">
        <f t="shared" si="433"/>
        <v>7</v>
      </c>
      <c r="M884" s="78">
        <f t="shared" si="433"/>
        <v>0</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2017</v>
      </c>
      <c r="B885" s="73" t="str">
        <f t="shared" si="406"/>
        <v>Nov</v>
      </c>
      <c r="C885" s="74">
        <f t="shared" si="429"/>
        <v>16</v>
      </c>
      <c r="D885" s="75">
        <f t="shared" si="407"/>
        <v>23</v>
      </c>
      <c r="E885" s="76">
        <f t="shared" si="408"/>
        <v>0</v>
      </c>
      <c r="F885" s="80"/>
      <c r="G885" s="83"/>
      <c r="H885" s="69" t="str">
        <f t="shared" si="430"/>
        <v>Lacine7_20171116_23_00</v>
      </c>
      <c r="I885" s="70">
        <f t="shared" ref="I885:N900" si="434">I884</f>
        <v>1</v>
      </c>
      <c r="J885" s="77" t="str">
        <f t="shared" si="434"/>
        <v>Lactuca</v>
      </c>
      <c r="K885" s="77" t="str">
        <f t="shared" si="434"/>
        <v>inermis</v>
      </c>
      <c r="L885" s="78">
        <f t="shared" si="434"/>
        <v>7</v>
      </c>
      <c r="M885" s="78">
        <f t="shared" si="434"/>
        <v>0</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2017</v>
      </c>
      <c r="B886" s="73" t="str">
        <f t="shared" si="406"/>
        <v>Nov</v>
      </c>
      <c r="C886" s="74">
        <f t="shared" si="429"/>
        <v>16</v>
      </c>
      <c r="D886" s="75">
        <f t="shared" si="407"/>
        <v>23</v>
      </c>
      <c r="E886" s="76">
        <f t="shared" si="408"/>
        <v>1</v>
      </c>
      <c r="F886" s="80"/>
      <c r="G886" s="83"/>
      <c r="H886" s="69" t="str">
        <f t="shared" si="430"/>
        <v>Lacine7_20171116_23_00</v>
      </c>
      <c r="I886" s="70">
        <f t="shared" si="434"/>
        <v>1</v>
      </c>
      <c r="J886" s="77" t="str">
        <f t="shared" si="434"/>
        <v>Lactuca</v>
      </c>
      <c r="K886" s="77" t="str">
        <f t="shared" si="434"/>
        <v>inermis</v>
      </c>
      <c r="L886" s="78">
        <f t="shared" si="434"/>
        <v>7</v>
      </c>
      <c r="M886" s="78">
        <f t="shared" si="434"/>
        <v>0</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2017</v>
      </c>
      <c r="B887" s="73" t="str">
        <f t="shared" si="406"/>
        <v>Nov</v>
      </c>
      <c r="C887" s="74">
        <f t="shared" si="429"/>
        <v>16</v>
      </c>
      <c r="D887" s="75">
        <f t="shared" si="407"/>
        <v>23</v>
      </c>
      <c r="E887" s="76">
        <f t="shared" si="408"/>
        <v>2</v>
      </c>
      <c r="F887" s="80"/>
      <c r="G887" s="83"/>
      <c r="H887" s="69" t="str">
        <f t="shared" si="430"/>
        <v>Lacine7_20171116_23_00</v>
      </c>
      <c r="I887" s="70">
        <f t="shared" si="434"/>
        <v>1</v>
      </c>
      <c r="J887" s="77" t="str">
        <f t="shared" si="434"/>
        <v>Lactuca</v>
      </c>
      <c r="K887" s="77" t="str">
        <f t="shared" si="434"/>
        <v>inermis</v>
      </c>
      <c r="L887" s="78">
        <f t="shared" si="434"/>
        <v>7</v>
      </c>
      <c r="M887" s="78">
        <f t="shared" si="434"/>
        <v>0</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2017</v>
      </c>
      <c r="B888" s="73" t="str">
        <f t="shared" si="406"/>
        <v>Nov</v>
      </c>
      <c r="C888" s="74">
        <f t="shared" si="429"/>
        <v>16</v>
      </c>
      <c r="D888" s="75">
        <f t="shared" si="407"/>
        <v>23</v>
      </c>
      <c r="E888" s="76">
        <f t="shared" si="408"/>
        <v>3</v>
      </c>
      <c r="F888" s="80"/>
      <c r="G888" s="83"/>
      <c r="H888" s="69" t="str">
        <f t="shared" si="430"/>
        <v>Lacine7_20171116_23_00</v>
      </c>
      <c r="I888" s="70">
        <f t="shared" si="434"/>
        <v>1</v>
      </c>
      <c r="J888" s="77" t="str">
        <f t="shared" si="434"/>
        <v>Lactuca</v>
      </c>
      <c r="K888" s="77" t="str">
        <f t="shared" si="434"/>
        <v>inermis</v>
      </c>
      <c r="L888" s="78">
        <f t="shared" si="434"/>
        <v>7</v>
      </c>
      <c r="M888" s="78">
        <f t="shared" si="434"/>
        <v>0</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2017</v>
      </c>
      <c r="B889" s="73" t="str">
        <f t="shared" si="406"/>
        <v>Nov</v>
      </c>
      <c r="C889" s="74">
        <f t="shared" si="429"/>
        <v>16</v>
      </c>
      <c r="D889" s="75">
        <f t="shared" si="407"/>
        <v>23</v>
      </c>
      <c r="E889" s="76">
        <f t="shared" si="408"/>
        <v>4</v>
      </c>
      <c r="F889" s="80"/>
      <c r="G889" s="83"/>
      <c r="H889" s="69" t="str">
        <f t="shared" si="430"/>
        <v>Lacine7_20171116_23_00</v>
      </c>
      <c r="I889" s="70">
        <f t="shared" si="434"/>
        <v>1</v>
      </c>
      <c r="J889" s="77" t="str">
        <f t="shared" si="434"/>
        <v>Lactuca</v>
      </c>
      <c r="K889" s="77" t="str">
        <f t="shared" si="434"/>
        <v>inermis</v>
      </c>
      <c r="L889" s="78">
        <f t="shared" si="434"/>
        <v>7</v>
      </c>
      <c r="M889" s="78">
        <f t="shared" si="434"/>
        <v>0</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2017</v>
      </c>
      <c r="B890" s="73" t="str">
        <f t="shared" si="406"/>
        <v>Nov</v>
      </c>
      <c r="C890" s="74">
        <f t="shared" si="429"/>
        <v>16</v>
      </c>
      <c r="D890" s="75">
        <f t="shared" si="407"/>
        <v>23</v>
      </c>
      <c r="E890" s="76">
        <f t="shared" si="408"/>
        <v>5</v>
      </c>
      <c r="F890" s="80"/>
      <c r="G890" s="83"/>
      <c r="H890" s="69" t="str">
        <f t="shared" si="430"/>
        <v>Lacine7_20171116_23_00</v>
      </c>
      <c r="I890" s="70">
        <f t="shared" si="434"/>
        <v>1</v>
      </c>
      <c r="J890" s="77" t="str">
        <f t="shared" si="434"/>
        <v>Lactuca</v>
      </c>
      <c r="K890" s="77" t="str">
        <f t="shared" si="434"/>
        <v>inermis</v>
      </c>
      <c r="L890" s="78">
        <f t="shared" si="434"/>
        <v>7</v>
      </c>
      <c r="M890" s="78">
        <f t="shared" si="434"/>
        <v>0</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2017</v>
      </c>
      <c r="B891" s="73" t="str">
        <f t="shared" si="406"/>
        <v>Nov</v>
      </c>
      <c r="C891" s="74">
        <f t="shared" si="429"/>
        <v>16</v>
      </c>
      <c r="D891" s="75">
        <f t="shared" si="407"/>
        <v>23</v>
      </c>
      <c r="E891" s="76">
        <f t="shared" si="408"/>
        <v>6</v>
      </c>
      <c r="F891" s="80"/>
      <c r="G891" s="83"/>
      <c r="H891" s="69" t="str">
        <f t="shared" si="430"/>
        <v>Lacine7_20171116_23_00</v>
      </c>
      <c r="I891" s="70">
        <f t="shared" si="434"/>
        <v>1</v>
      </c>
      <c r="J891" s="77" t="str">
        <f t="shared" si="434"/>
        <v>Lactuca</v>
      </c>
      <c r="K891" s="77" t="str">
        <f t="shared" si="434"/>
        <v>inermis</v>
      </c>
      <c r="L891" s="78">
        <f t="shared" si="434"/>
        <v>7</v>
      </c>
      <c r="M891" s="78">
        <f t="shared" si="434"/>
        <v>0</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2017</v>
      </c>
      <c r="B892" s="73" t="str">
        <f t="shared" si="406"/>
        <v>Nov</v>
      </c>
      <c r="C892" s="74">
        <f t="shared" si="429"/>
        <v>16</v>
      </c>
      <c r="D892" s="75">
        <f t="shared" si="407"/>
        <v>23</v>
      </c>
      <c r="E892" s="76">
        <f t="shared" si="408"/>
        <v>7</v>
      </c>
      <c r="F892" s="80"/>
      <c r="G892" s="83"/>
      <c r="H892" s="69" t="str">
        <f t="shared" si="430"/>
        <v>Lacine7_20171116_23_00</v>
      </c>
      <c r="I892" s="70">
        <f t="shared" si="434"/>
        <v>1</v>
      </c>
      <c r="J892" s="77" t="str">
        <f t="shared" si="434"/>
        <v>Lactuca</v>
      </c>
      <c r="K892" s="77" t="str">
        <f t="shared" si="434"/>
        <v>inermis</v>
      </c>
      <c r="L892" s="78">
        <f t="shared" si="434"/>
        <v>7</v>
      </c>
      <c r="M892" s="78">
        <f t="shared" si="434"/>
        <v>0</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2017</v>
      </c>
      <c r="B893" s="73" t="str">
        <f t="shared" si="406"/>
        <v>Nov</v>
      </c>
      <c r="C893" s="74">
        <f t="shared" si="429"/>
        <v>16</v>
      </c>
      <c r="D893" s="75">
        <f t="shared" si="407"/>
        <v>23</v>
      </c>
      <c r="E893" s="76">
        <f t="shared" si="408"/>
        <v>8</v>
      </c>
      <c r="F893" s="80"/>
      <c r="G893" s="83"/>
      <c r="H893" s="69" t="str">
        <f t="shared" si="430"/>
        <v>Lacine7_20171116_23_00</v>
      </c>
      <c r="I893" s="70">
        <f t="shared" si="434"/>
        <v>1</v>
      </c>
      <c r="J893" s="77" t="str">
        <f t="shared" si="434"/>
        <v>Lactuca</v>
      </c>
      <c r="K893" s="77" t="str">
        <f t="shared" si="434"/>
        <v>inermis</v>
      </c>
      <c r="L893" s="78">
        <f t="shared" si="434"/>
        <v>7</v>
      </c>
      <c r="M893" s="78">
        <f t="shared" si="434"/>
        <v>0</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2017</v>
      </c>
      <c r="B894" s="73" t="str">
        <f t="shared" si="406"/>
        <v>Nov</v>
      </c>
      <c r="C894" s="74">
        <f t="shared" si="429"/>
        <v>16</v>
      </c>
      <c r="D894" s="75">
        <f t="shared" si="407"/>
        <v>23</v>
      </c>
      <c r="E894" s="76">
        <f t="shared" si="408"/>
        <v>9</v>
      </c>
      <c r="F894" s="80"/>
      <c r="G894" s="83"/>
      <c r="H894" s="69" t="str">
        <f t="shared" si="430"/>
        <v>Lacine7_20171116_23_00</v>
      </c>
      <c r="I894" s="70">
        <f t="shared" si="434"/>
        <v>1</v>
      </c>
      <c r="J894" s="77" t="str">
        <f t="shared" si="434"/>
        <v>Lactuca</v>
      </c>
      <c r="K894" s="77" t="str">
        <f t="shared" si="434"/>
        <v>inermis</v>
      </c>
      <c r="L894" s="78">
        <f t="shared" si="434"/>
        <v>7</v>
      </c>
      <c r="M894" s="78">
        <f t="shared" si="434"/>
        <v>0</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2017</v>
      </c>
      <c r="B895" s="73" t="str">
        <f t="shared" si="406"/>
        <v>Nov</v>
      </c>
      <c r="C895" s="74">
        <f t="shared" si="429"/>
        <v>16</v>
      </c>
      <c r="D895" s="75">
        <f t="shared" si="407"/>
        <v>23</v>
      </c>
      <c r="E895" s="76">
        <f t="shared" si="408"/>
        <v>10</v>
      </c>
      <c r="F895" s="80"/>
      <c r="G895" s="83"/>
      <c r="H895" s="69" t="str">
        <f t="shared" si="430"/>
        <v>Lacine7_20171116_23_00</v>
      </c>
      <c r="I895" s="70">
        <f t="shared" si="434"/>
        <v>1</v>
      </c>
      <c r="J895" s="77" t="str">
        <f t="shared" si="434"/>
        <v>Lactuca</v>
      </c>
      <c r="K895" s="77" t="str">
        <f t="shared" si="434"/>
        <v>inermis</v>
      </c>
      <c r="L895" s="78">
        <f t="shared" si="434"/>
        <v>7</v>
      </c>
      <c r="M895" s="78">
        <f t="shared" si="434"/>
        <v>0</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2017</v>
      </c>
      <c r="B896" s="73" t="str">
        <f t="shared" si="406"/>
        <v>Nov</v>
      </c>
      <c r="C896" s="74">
        <f t="shared" si="429"/>
        <v>16</v>
      </c>
      <c r="D896" s="75">
        <f t="shared" si="407"/>
        <v>23</v>
      </c>
      <c r="E896" s="76">
        <f t="shared" si="408"/>
        <v>11</v>
      </c>
      <c r="F896" s="80"/>
      <c r="G896" s="83"/>
      <c r="H896" s="69" t="str">
        <f t="shared" si="430"/>
        <v>Lacine7_20171116_23_00</v>
      </c>
      <c r="I896" s="70">
        <f t="shared" si="434"/>
        <v>1</v>
      </c>
      <c r="J896" s="77" t="str">
        <f t="shared" si="434"/>
        <v>Lactuca</v>
      </c>
      <c r="K896" s="77" t="str">
        <f t="shared" si="434"/>
        <v>inermis</v>
      </c>
      <c r="L896" s="78">
        <f t="shared" si="434"/>
        <v>7</v>
      </c>
      <c r="M896" s="78">
        <f t="shared" si="434"/>
        <v>0</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2017</v>
      </c>
      <c r="B897" s="73" t="str">
        <f t="shared" si="406"/>
        <v>Nov</v>
      </c>
      <c r="C897" s="74">
        <f t="shared" si="429"/>
        <v>16</v>
      </c>
      <c r="D897" s="75">
        <f t="shared" si="407"/>
        <v>23</v>
      </c>
      <c r="E897" s="76">
        <f t="shared" si="408"/>
        <v>12</v>
      </c>
      <c r="F897" s="80"/>
      <c r="G897" s="83"/>
      <c r="H897" s="69" t="str">
        <f t="shared" si="430"/>
        <v>Lacine7_20171116_23_00</v>
      </c>
      <c r="I897" s="70">
        <f t="shared" si="434"/>
        <v>1</v>
      </c>
      <c r="J897" s="77" t="str">
        <f t="shared" si="434"/>
        <v>Lactuca</v>
      </c>
      <c r="K897" s="77" t="str">
        <f t="shared" si="434"/>
        <v>inermis</v>
      </c>
      <c r="L897" s="78">
        <f t="shared" si="434"/>
        <v>7</v>
      </c>
      <c r="M897" s="78">
        <f t="shared" si="434"/>
        <v>0</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2017</v>
      </c>
      <c r="B898" s="73" t="str">
        <f t="shared" si="406"/>
        <v>Nov</v>
      </c>
      <c r="C898" s="74">
        <f t="shared" si="429"/>
        <v>16</v>
      </c>
      <c r="D898" s="75">
        <f t="shared" si="407"/>
        <v>23</v>
      </c>
      <c r="E898" s="76">
        <f t="shared" si="408"/>
        <v>13</v>
      </c>
      <c r="F898" s="80"/>
      <c r="G898" s="83"/>
      <c r="H898" s="69" t="str">
        <f t="shared" si="430"/>
        <v>Lacine7_20171116_23_00</v>
      </c>
      <c r="I898" s="70">
        <f t="shared" si="434"/>
        <v>1</v>
      </c>
      <c r="J898" s="77" t="str">
        <f t="shared" si="434"/>
        <v>Lactuca</v>
      </c>
      <c r="K898" s="77" t="str">
        <f t="shared" si="434"/>
        <v>inermis</v>
      </c>
      <c r="L898" s="78">
        <f t="shared" si="434"/>
        <v>7</v>
      </c>
      <c r="M898" s="78">
        <f t="shared" si="434"/>
        <v>0</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2017</v>
      </c>
      <c r="B899" s="73" t="str">
        <f t="shared" si="406"/>
        <v>Nov</v>
      </c>
      <c r="C899" s="74">
        <f t="shared" si="429"/>
        <v>16</v>
      </c>
      <c r="D899" s="75">
        <f t="shared" si="407"/>
        <v>23</v>
      </c>
      <c r="E899" s="76">
        <f t="shared" si="408"/>
        <v>14</v>
      </c>
      <c r="F899" s="80"/>
      <c r="G899" s="83"/>
      <c r="H899" s="69" t="str">
        <f t="shared" si="430"/>
        <v>Lacine7_20171116_23_00</v>
      </c>
      <c r="I899" s="70">
        <f t="shared" si="434"/>
        <v>1</v>
      </c>
      <c r="J899" s="77" t="str">
        <f t="shared" si="434"/>
        <v>Lactuca</v>
      </c>
      <c r="K899" s="77" t="str">
        <f t="shared" si="434"/>
        <v>inermis</v>
      </c>
      <c r="L899" s="78">
        <f t="shared" si="434"/>
        <v>7</v>
      </c>
      <c r="M899" s="78">
        <f t="shared" si="434"/>
        <v>0</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2017</v>
      </c>
      <c r="B900" s="73" t="str">
        <f t="shared" ref="B900:B963" si="437">IF(C899-C900&gt;0, TEXT(DATE(2016,(MONTH(DATEVALUE(B899&amp;"1"))+1),1),"mmm"), B899)</f>
        <v>Nov</v>
      </c>
      <c r="C900" s="74">
        <f t="shared" si="429"/>
        <v>16</v>
      </c>
      <c r="D900" s="75">
        <f t="shared" ref="D900:D963" si="438">IF(IF(E899=59,D899+1,D899)=24,0,IF(E899=59,D899+1,D899))</f>
        <v>23</v>
      </c>
      <c r="E900" s="76">
        <f t="shared" ref="E900:E963" si="439">IF(E899&lt;59,E899+1,0)</f>
        <v>15</v>
      </c>
      <c r="F900" s="80"/>
      <c r="G900" s="83"/>
      <c r="H900" s="69" t="str">
        <f t="shared" si="430"/>
        <v>Lacine7_20171116_23_00</v>
      </c>
      <c r="I900" s="70">
        <f t="shared" si="434"/>
        <v>1</v>
      </c>
      <c r="J900" s="77" t="str">
        <f t="shared" si="434"/>
        <v>Lactuca</v>
      </c>
      <c r="K900" s="77" t="str">
        <f t="shared" si="434"/>
        <v>inermis</v>
      </c>
      <c r="L900" s="78">
        <f t="shared" si="434"/>
        <v>7</v>
      </c>
      <c r="M900" s="78">
        <f t="shared" si="434"/>
        <v>0</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2017</v>
      </c>
      <c r="B901" s="73" t="str">
        <f t="shared" si="437"/>
        <v>Nov</v>
      </c>
      <c r="C901" s="74">
        <f t="shared" ref="C901:C964" si="460">IF(AND(D901=0, E901=0), IF(TEXT(C900,"dd")=TEXT(EOMONTH(DATE(A900,MONTH(DATEVALUE(B900&amp;"1")),C900),0), "dd"), 1, C900+1), C900)</f>
        <v>16</v>
      </c>
      <c r="D901" s="75">
        <f t="shared" si="438"/>
        <v>23</v>
      </c>
      <c r="E901" s="76">
        <f t="shared" si="439"/>
        <v>16</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Lacine7_20171116_23_00</v>
      </c>
      <c r="I901" s="70">
        <f t="shared" ref="I901:N916" si="462">I900</f>
        <v>1</v>
      </c>
      <c r="J901" s="77" t="str">
        <f t="shared" si="462"/>
        <v>Lactuca</v>
      </c>
      <c r="K901" s="77" t="str">
        <f t="shared" si="462"/>
        <v>inermis</v>
      </c>
      <c r="L901" s="78">
        <f t="shared" si="462"/>
        <v>7</v>
      </c>
      <c r="M901" s="78">
        <f t="shared" si="462"/>
        <v>0</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2017</v>
      </c>
      <c r="B902" s="73" t="str">
        <f t="shared" si="437"/>
        <v>Nov</v>
      </c>
      <c r="C902" s="74">
        <f t="shared" si="460"/>
        <v>16</v>
      </c>
      <c r="D902" s="75">
        <f t="shared" si="438"/>
        <v>23</v>
      </c>
      <c r="E902" s="76">
        <f t="shared" si="439"/>
        <v>17</v>
      </c>
      <c r="F902" s="80"/>
      <c r="G902" s="83"/>
      <c r="H902" s="69" t="str">
        <f t="shared" si="461"/>
        <v>Lacine7_20171116_23_00</v>
      </c>
      <c r="I902" s="70">
        <f t="shared" si="462"/>
        <v>1</v>
      </c>
      <c r="J902" s="77" t="str">
        <f t="shared" si="462"/>
        <v>Lactuca</v>
      </c>
      <c r="K902" s="77" t="str">
        <f t="shared" si="462"/>
        <v>inermis</v>
      </c>
      <c r="L902" s="78">
        <f t="shared" si="462"/>
        <v>7</v>
      </c>
      <c r="M902" s="78">
        <f t="shared" si="462"/>
        <v>0</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2017</v>
      </c>
      <c r="B903" s="73" t="str">
        <f t="shared" si="437"/>
        <v>Nov</v>
      </c>
      <c r="C903" s="74">
        <f t="shared" si="460"/>
        <v>16</v>
      </c>
      <c r="D903" s="75">
        <f t="shared" si="438"/>
        <v>23</v>
      </c>
      <c r="E903" s="76">
        <f t="shared" si="439"/>
        <v>18</v>
      </c>
      <c r="F903" s="80"/>
      <c r="G903" s="83"/>
      <c r="H903" s="69" t="str">
        <f t="shared" si="461"/>
        <v>Lacine7_20171116_23_00</v>
      </c>
      <c r="I903" s="70">
        <f t="shared" si="462"/>
        <v>1</v>
      </c>
      <c r="J903" s="77" t="str">
        <f t="shared" si="462"/>
        <v>Lactuca</v>
      </c>
      <c r="K903" s="77" t="str">
        <f t="shared" si="462"/>
        <v>inermis</v>
      </c>
      <c r="L903" s="78">
        <f t="shared" si="462"/>
        <v>7</v>
      </c>
      <c r="M903" s="78">
        <f t="shared" si="462"/>
        <v>0</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2017</v>
      </c>
      <c r="B904" s="73" t="str">
        <f t="shared" si="437"/>
        <v>Nov</v>
      </c>
      <c r="C904" s="74">
        <f t="shared" si="460"/>
        <v>16</v>
      </c>
      <c r="D904" s="75">
        <f t="shared" si="438"/>
        <v>23</v>
      </c>
      <c r="E904" s="76">
        <f t="shared" si="439"/>
        <v>19</v>
      </c>
      <c r="F904" s="80"/>
      <c r="G904" s="83"/>
      <c r="H904" s="69" t="str">
        <f t="shared" si="461"/>
        <v>Lacine7_20171116_23_00</v>
      </c>
      <c r="I904" s="70">
        <f t="shared" si="462"/>
        <v>1</v>
      </c>
      <c r="J904" s="77" t="str">
        <f t="shared" si="462"/>
        <v>Lactuca</v>
      </c>
      <c r="K904" s="77" t="str">
        <f t="shared" si="462"/>
        <v>inermis</v>
      </c>
      <c r="L904" s="78">
        <f t="shared" si="462"/>
        <v>7</v>
      </c>
      <c r="M904" s="78">
        <f t="shared" si="462"/>
        <v>0</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2017</v>
      </c>
      <c r="B905" s="73" t="str">
        <f t="shared" si="437"/>
        <v>Nov</v>
      </c>
      <c r="C905" s="74">
        <f t="shared" si="460"/>
        <v>16</v>
      </c>
      <c r="D905" s="75">
        <f t="shared" si="438"/>
        <v>23</v>
      </c>
      <c r="E905" s="76">
        <f t="shared" si="439"/>
        <v>20</v>
      </c>
      <c r="F905" s="80"/>
      <c r="G905" s="83"/>
      <c r="H905" s="69" t="str">
        <f t="shared" si="461"/>
        <v>Lacine7_20171116_23_00</v>
      </c>
      <c r="I905" s="70">
        <f t="shared" si="462"/>
        <v>1</v>
      </c>
      <c r="J905" s="77" t="str">
        <f t="shared" si="462"/>
        <v>Lactuca</v>
      </c>
      <c r="K905" s="77" t="str">
        <f t="shared" si="462"/>
        <v>inermis</v>
      </c>
      <c r="L905" s="78">
        <f t="shared" si="462"/>
        <v>7</v>
      </c>
      <c r="M905" s="78">
        <f t="shared" si="462"/>
        <v>0</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2017</v>
      </c>
      <c r="B906" s="73" t="str">
        <f t="shared" si="437"/>
        <v>Nov</v>
      </c>
      <c r="C906" s="74">
        <f t="shared" si="460"/>
        <v>16</v>
      </c>
      <c r="D906" s="75">
        <f t="shared" si="438"/>
        <v>23</v>
      </c>
      <c r="E906" s="76">
        <f t="shared" si="439"/>
        <v>21</v>
      </c>
      <c r="F906" s="80"/>
      <c r="G906" s="83"/>
      <c r="H906" s="69" t="str">
        <f t="shared" si="461"/>
        <v>Lacine7_20171116_23_00</v>
      </c>
      <c r="I906" s="70">
        <f t="shared" si="462"/>
        <v>1</v>
      </c>
      <c r="J906" s="77" t="str">
        <f t="shared" si="462"/>
        <v>Lactuca</v>
      </c>
      <c r="K906" s="77" t="str">
        <f t="shared" si="462"/>
        <v>inermis</v>
      </c>
      <c r="L906" s="78">
        <f t="shared" si="462"/>
        <v>7</v>
      </c>
      <c r="M906" s="78">
        <f t="shared" si="462"/>
        <v>0</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2017</v>
      </c>
      <c r="B907" s="73" t="str">
        <f t="shared" si="437"/>
        <v>Nov</v>
      </c>
      <c r="C907" s="74">
        <f t="shared" si="460"/>
        <v>16</v>
      </c>
      <c r="D907" s="75">
        <f t="shared" si="438"/>
        <v>23</v>
      </c>
      <c r="E907" s="76">
        <f t="shared" si="439"/>
        <v>22</v>
      </c>
      <c r="F907" s="80"/>
      <c r="G907" s="83"/>
      <c r="H907" s="69" t="str">
        <f t="shared" si="461"/>
        <v>Lacine7_20171116_23_00</v>
      </c>
      <c r="I907" s="70">
        <f t="shared" si="462"/>
        <v>1</v>
      </c>
      <c r="J907" s="77" t="str">
        <f t="shared" si="462"/>
        <v>Lactuca</v>
      </c>
      <c r="K907" s="77" t="str">
        <f t="shared" si="462"/>
        <v>inermis</v>
      </c>
      <c r="L907" s="78">
        <f t="shared" si="462"/>
        <v>7</v>
      </c>
      <c r="M907" s="78">
        <f t="shared" si="462"/>
        <v>0</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2017</v>
      </c>
      <c r="B908" s="73" t="str">
        <f t="shared" si="437"/>
        <v>Nov</v>
      </c>
      <c r="C908" s="74">
        <f t="shared" si="460"/>
        <v>16</v>
      </c>
      <c r="D908" s="75">
        <f t="shared" si="438"/>
        <v>23</v>
      </c>
      <c r="E908" s="76">
        <f t="shared" si="439"/>
        <v>23</v>
      </c>
      <c r="F908" s="80"/>
      <c r="G908" s="83"/>
      <c r="H908" s="69" t="str">
        <f t="shared" si="461"/>
        <v>Lacine7_20171116_23_00</v>
      </c>
      <c r="I908" s="70">
        <f t="shared" si="462"/>
        <v>1</v>
      </c>
      <c r="J908" s="77" t="str">
        <f t="shared" si="462"/>
        <v>Lactuca</v>
      </c>
      <c r="K908" s="77" t="str">
        <f t="shared" si="462"/>
        <v>inermis</v>
      </c>
      <c r="L908" s="78">
        <f t="shared" si="462"/>
        <v>7</v>
      </c>
      <c r="M908" s="78">
        <f t="shared" si="462"/>
        <v>0</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2017</v>
      </c>
      <c r="B909" s="73" t="str">
        <f t="shared" si="437"/>
        <v>Nov</v>
      </c>
      <c r="C909" s="74">
        <f t="shared" si="460"/>
        <v>16</v>
      </c>
      <c r="D909" s="75">
        <f t="shared" si="438"/>
        <v>23</v>
      </c>
      <c r="E909" s="76">
        <f t="shared" si="439"/>
        <v>24</v>
      </c>
      <c r="F909" s="80"/>
      <c r="G909" s="83"/>
      <c r="H909" s="69" t="str">
        <f t="shared" si="461"/>
        <v>Lacine7_20171116_23_00</v>
      </c>
      <c r="I909" s="70">
        <f t="shared" si="462"/>
        <v>1</v>
      </c>
      <c r="J909" s="77" t="str">
        <f t="shared" si="462"/>
        <v>Lactuca</v>
      </c>
      <c r="K909" s="77" t="str">
        <f t="shared" si="462"/>
        <v>inermis</v>
      </c>
      <c r="L909" s="78">
        <f t="shared" si="462"/>
        <v>7</v>
      </c>
      <c r="M909" s="78">
        <f t="shared" si="462"/>
        <v>0</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2017</v>
      </c>
      <c r="B910" s="73" t="str">
        <f t="shared" si="437"/>
        <v>Nov</v>
      </c>
      <c r="C910" s="74">
        <f t="shared" si="460"/>
        <v>16</v>
      </c>
      <c r="D910" s="75">
        <f t="shared" si="438"/>
        <v>23</v>
      </c>
      <c r="E910" s="76">
        <f t="shared" si="439"/>
        <v>25</v>
      </c>
      <c r="F910" s="80"/>
      <c r="G910" s="83"/>
      <c r="H910" s="69" t="str">
        <f t="shared" si="461"/>
        <v>Lacine7_20171116_23_00</v>
      </c>
      <c r="I910" s="70">
        <f t="shared" si="462"/>
        <v>1</v>
      </c>
      <c r="J910" s="77" t="str">
        <f t="shared" si="462"/>
        <v>Lactuca</v>
      </c>
      <c r="K910" s="77" t="str">
        <f t="shared" si="462"/>
        <v>inermis</v>
      </c>
      <c r="L910" s="78">
        <f t="shared" si="462"/>
        <v>7</v>
      </c>
      <c r="M910" s="78">
        <f t="shared" si="462"/>
        <v>0</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2017</v>
      </c>
      <c r="B911" s="73" t="str">
        <f t="shared" si="437"/>
        <v>Nov</v>
      </c>
      <c r="C911" s="74">
        <f t="shared" si="460"/>
        <v>16</v>
      </c>
      <c r="D911" s="75">
        <f t="shared" si="438"/>
        <v>23</v>
      </c>
      <c r="E911" s="76">
        <f t="shared" si="439"/>
        <v>26</v>
      </c>
      <c r="F911" s="80"/>
      <c r="G911" s="83"/>
      <c r="H911" s="69" t="str">
        <f t="shared" si="461"/>
        <v>Lacine7_20171116_23_00</v>
      </c>
      <c r="I911" s="70">
        <f t="shared" si="462"/>
        <v>1</v>
      </c>
      <c r="J911" s="77" t="str">
        <f t="shared" si="462"/>
        <v>Lactuca</v>
      </c>
      <c r="K911" s="77" t="str">
        <f t="shared" si="462"/>
        <v>inermis</v>
      </c>
      <c r="L911" s="78">
        <f t="shared" si="462"/>
        <v>7</v>
      </c>
      <c r="M911" s="78">
        <f t="shared" si="462"/>
        <v>0</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2017</v>
      </c>
      <c r="B912" s="73" t="str">
        <f t="shared" si="437"/>
        <v>Nov</v>
      </c>
      <c r="C912" s="74">
        <f t="shared" si="460"/>
        <v>16</v>
      </c>
      <c r="D912" s="75">
        <f t="shared" si="438"/>
        <v>23</v>
      </c>
      <c r="E912" s="76">
        <f t="shared" si="439"/>
        <v>27</v>
      </c>
      <c r="F912" s="80"/>
      <c r="G912" s="83"/>
      <c r="H912" s="69" t="str">
        <f t="shared" si="461"/>
        <v>Lacine7_20171116_23_00</v>
      </c>
      <c r="I912" s="70">
        <f t="shared" si="462"/>
        <v>1</v>
      </c>
      <c r="J912" s="77" t="str">
        <f t="shared" si="462"/>
        <v>Lactuca</v>
      </c>
      <c r="K912" s="77" t="str">
        <f t="shared" si="462"/>
        <v>inermis</v>
      </c>
      <c r="L912" s="78">
        <f t="shared" si="462"/>
        <v>7</v>
      </c>
      <c r="M912" s="78">
        <f t="shared" si="462"/>
        <v>0</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2017</v>
      </c>
      <c r="B913" s="73" t="str">
        <f t="shared" si="437"/>
        <v>Nov</v>
      </c>
      <c r="C913" s="74">
        <f t="shared" si="460"/>
        <v>16</v>
      </c>
      <c r="D913" s="75">
        <f t="shared" si="438"/>
        <v>23</v>
      </c>
      <c r="E913" s="76">
        <f t="shared" si="439"/>
        <v>28</v>
      </c>
      <c r="F913" s="80"/>
      <c r="G913" s="83"/>
      <c r="H913" s="69" t="str">
        <f t="shared" si="461"/>
        <v>Lacine7_20171116_23_00</v>
      </c>
      <c r="I913" s="70">
        <f t="shared" si="462"/>
        <v>1</v>
      </c>
      <c r="J913" s="77" t="str">
        <f t="shared" si="462"/>
        <v>Lactuca</v>
      </c>
      <c r="K913" s="77" t="str">
        <f t="shared" si="462"/>
        <v>inermis</v>
      </c>
      <c r="L913" s="78">
        <f t="shared" si="462"/>
        <v>7</v>
      </c>
      <c r="M913" s="78">
        <f t="shared" si="462"/>
        <v>0</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2017</v>
      </c>
      <c r="B914" s="73" t="str">
        <f t="shared" si="437"/>
        <v>Nov</v>
      </c>
      <c r="C914" s="74">
        <f t="shared" si="460"/>
        <v>16</v>
      </c>
      <c r="D914" s="75">
        <f t="shared" si="438"/>
        <v>23</v>
      </c>
      <c r="E914" s="76">
        <f t="shared" si="439"/>
        <v>29</v>
      </c>
      <c r="F914" s="80"/>
      <c r="G914" s="83"/>
      <c r="H914" s="69" t="str">
        <f t="shared" si="461"/>
        <v>Lacine7_20171116_23_00</v>
      </c>
      <c r="I914" s="70">
        <f t="shared" si="462"/>
        <v>1</v>
      </c>
      <c r="J914" s="77" t="str">
        <f t="shared" si="462"/>
        <v>Lactuca</v>
      </c>
      <c r="K914" s="77" t="str">
        <f t="shared" si="462"/>
        <v>inermis</v>
      </c>
      <c r="L914" s="78">
        <f t="shared" si="462"/>
        <v>7</v>
      </c>
      <c r="M914" s="78">
        <f t="shared" si="462"/>
        <v>0</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2017</v>
      </c>
      <c r="B915" s="73" t="str">
        <f t="shared" si="437"/>
        <v>Nov</v>
      </c>
      <c r="C915" s="74">
        <f t="shared" si="460"/>
        <v>16</v>
      </c>
      <c r="D915" s="75">
        <f t="shared" si="438"/>
        <v>23</v>
      </c>
      <c r="E915" s="76">
        <f t="shared" si="439"/>
        <v>30</v>
      </c>
      <c r="F915" s="80"/>
      <c r="G915" s="83"/>
      <c r="H915" s="69" t="str">
        <f t="shared" si="461"/>
        <v>Lacine7_20171116_23_00</v>
      </c>
      <c r="I915" s="70">
        <f t="shared" si="462"/>
        <v>1</v>
      </c>
      <c r="J915" s="77" t="str">
        <f t="shared" si="462"/>
        <v>Lactuca</v>
      </c>
      <c r="K915" s="77" t="str">
        <f t="shared" si="462"/>
        <v>inermis</v>
      </c>
      <c r="L915" s="78">
        <f t="shared" si="462"/>
        <v>7</v>
      </c>
      <c r="M915" s="78">
        <f t="shared" si="462"/>
        <v>0</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2017</v>
      </c>
      <c r="B916" s="73" t="str">
        <f t="shared" si="437"/>
        <v>Nov</v>
      </c>
      <c r="C916" s="74">
        <f t="shared" si="460"/>
        <v>16</v>
      </c>
      <c r="D916" s="75">
        <f t="shared" si="438"/>
        <v>23</v>
      </c>
      <c r="E916" s="76">
        <f t="shared" si="439"/>
        <v>31</v>
      </c>
      <c r="F916" s="80"/>
      <c r="G916" s="83"/>
      <c r="H916" s="69" t="str">
        <f t="shared" si="461"/>
        <v>Lacine7_20171116_23_00</v>
      </c>
      <c r="I916" s="70">
        <f t="shared" si="462"/>
        <v>1</v>
      </c>
      <c r="J916" s="77" t="str">
        <f t="shared" si="462"/>
        <v>Lactuca</v>
      </c>
      <c r="K916" s="77" t="str">
        <f t="shared" si="462"/>
        <v>inermis</v>
      </c>
      <c r="L916" s="78">
        <f t="shared" si="462"/>
        <v>7</v>
      </c>
      <c r="M916" s="78">
        <f t="shared" si="462"/>
        <v>0</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2017</v>
      </c>
      <c r="B917" s="73" t="str">
        <f t="shared" si="437"/>
        <v>Nov</v>
      </c>
      <c r="C917" s="74">
        <f t="shared" si="460"/>
        <v>16</v>
      </c>
      <c r="D917" s="75">
        <f t="shared" si="438"/>
        <v>23</v>
      </c>
      <c r="E917" s="76">
        <f t="shared" si="439"/>
        <v>32</v>
      </c>
      <c r="F917" s="80"/>
      <c r="G917" s="83"/>
      <c r="H917" s="69" t="str">
        <f t="shared" si="461"/>
        <v>Lacine7_20171116_23_00</v>
      </c>
      <c r="I917" s="70">
        <f t="shared" ref="I917:N932" si="463">I916</f>
        <v>1</v>
      </c>
      <c r="J917" s="77" t="str">
        <f t="shared" si="463"/>
        <v>Lactuca</v>
      </c>
      <c r="K917" s="77" t="str">
        <f t="shared" si="463"/>
        <v>inermis</v>
      </c>
      <c r="L917" s="78">
        <f t="shared" si="463"/>
        <v>7</v>
      </c>
      <c r="M917" s="78">
        <f t="shared" si="463"/>
        <v>0</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2017</v>
      </c>
      <c r="B918" s="73" t="str">
        <f t="shared" si="437"/>
        <v>Nov</v>
      </c>
      <c r="C918" s="74">
        <f t="shared" si="460"/>
        <v>16</v>
      </c>
      <c r="D918" s="75">
        <f t="shared" si="438"/>
        <v>23</v>
      </c>
      <c r="E918" s="76">
        <f t="shared" si="439"/>
        <v>33</v>
      </c>
      <c r="F918" s="80"/>
      <c r="G918" s="83"/>
      <c r="H918" s="69" t="str">
        <f t="shared" si="461"/>
        <v>Lacine7_20171116_23_00</v>
      </c>
      <c r="I918" s="70">
        <f t="shared" si="463"/>
        <v>1</v>
      </c>
      <c r="J918" s="77" t="str">
        <f t="shared" si="463"/>
        <v>Lactuca</v>
      </c>
      <c r="K918" s="77" t="str">
        <f t="shared" si="463"/>
        <v>inermis</v>
      </c>
      <c r="L918" s="78">
        <f t="shared" si="463"/>
        <v>7</v>
      </c>
      <c r="M918" s="78">
        <f t="shared" si="463"/>
        <v>0</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2017</v>
      </c>
      <c r="B919" s="73" t="str">
        <f t="shared" si="437"/>
        <v>Nov</v>
      </c>
      <c r="C919" s="74">
        <f t="shared" si="460"/>
        <v>16</v>
      </c>
      <c r="D919" s="75">
        <f t="shared" si="438"/>
        <v>23</v>
      </c>
      <c r="E919" s="76">
        <f t="shared" si="439"/>
        <v>34</v>
      </c>
      <c r="F919" s="80"/>
      <c r="G919" s="83"/>
      <c r="H919" s="69" t="str">
        <f t="shared" si="461"/>
        <v>Lacine7_20171116_23_00</v>
      </c>
      <c r="I919" s="70">
        <f t="shared" si="463"/>
        <v>1</v>
      </c>
      <c r="J919" s="77" t="str">
        <f t="shared" si="463"/>
        <v>Lactuca</v>
      </c>
      <c r="K919" s="77" t="str">
        <f t="shared" si="463"/>
        <v>inermis</v>
      </c>
      <c r="L919" s="78">
        <f t="shared" si="463"/>
        <v>7</v>
      </c>
      <c r="M919" s="78">
        <f t="shared" si="463"/>
        <v>0</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2017</v>
      </c>
      <c r="B920" s="73" t="str">
        <f t="shared" si="437"/>
        <v>Nov</v>
      </c>
      <c r="C920" s="74">
        <f t="shared" si="460"/>
        <v>16</v>
      </c>
      <c r="D920" s="75">
        <f t="shared" si="438"/>
        <v>23</v>
      </c>
      <c r="E920" s="76">
        <f t="shared" si="439"/>
        <v>35</v>
      </c>
      <c r="F920" s="80"/>
      <c r="G920" s="83"/>
      <c r="H920" s="69" t="str">
        <f t="shared" si="461"/>
        <v>Lacine7_20171116_23_00</v>
      </c>
      <c r="I920" s="70">
        <f t="shared" si="463"/>
        <v>1</v>
      </c>
      <c r="J920" s="77" t="str">
        <f t="shared" si="463"/>
        <v>Lactuca</v>
      </c>
      <c r="K920" s="77" t="str">
        <f t="shared" si="463"/>
        <v>inermis</v>
      </c>
      <c r="L920" s="78">
        <f t="shared" si="463"/>
        <v>7</v>
      </c>
      <c r="M920" s="78">
        <f t="shared" si="463"/>
        <v>0</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2017</v>
      </c>
      <c r="B921" s="73" t="str">
        <f t="shared" si="437"/>
        <v>Nov</v>
      </c>
      <c r="C921" s="74">
        <f t="shared" si="460"/>
        <v>16</v>
      </c>
      <c r="D921" s="75">
        <f t="shared" si="438"/>
        <v>23</v>
      </c>
      <c r="E921" s="76">
        <f t="shared" si="439"/>
        <v>36</v>
      </c>
      <c r="F921" s="80"/>
      <c r="G921" s="83"/>
      <c r="H921" s="69" t="str">
        <f t="shared" si="461"/>
        <v>Lacine7_20171116_23_00</v>
      </c>
      <c r="I921" s="70">
        <f t="shared" si="463"/>
        <v>1</v>
      </c>
      <c r="J921" s="77" t="str">
        <f t="shared" si="463"/>
        <v>Lactuca</v>
      </c>
      <c r="K921" s="77" t="str">
        <f t="shared" si="463"/>
        <v>inermis</v>
      </c>
      <c r="L921" s="78">
        <f t="shared" si="463"/>
        <v>7</v>
      </c>
      <c r="M921" s="78">
        <f t="shared" si="463"/>
        <v>0</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2017</v>
      </c>
      <c r="B922" s="73" t="str">
        <f t="shared" si="437"/>
        <v>Nov</v>
      </c>
      <c r="C922" s="74">
        <f t="shared" si="460"/>
        <v>16</v>
      </c>
      <c r="D922" s="75">
        <f t="shared" si="438"/>
        <v>23</v>
      </c>
      <c r="E922" s="76">
        <f t="shared" si="439"/>
        <v>37</v>
      </c>
      <c r="F922" s="80"/>
      <c r="G922" s="83"/>
      <c r="H922" s="69" t="str">
        <f t="shared" si="461"/>
        <v>Lacine7_20171116_23_00</v>
      </c>
      <c r="I922" s="70">
        <f t="shared" si="463"/>
        <v>1</v>
      </c>
      <c r="J922" s="77" t="str">
        <f t="shared" si="463"/>
        <v>Lactuca</v>
      </c>
      <c r="K922" s="77" t="str">
        <f t="shared" si="463"/>
        <v>inermis</v>
      </c>
      <c r="L922" s="78">
        <f t="shared" si="463"/>
        <v>7</v>
      </c>
      <c r="M922" s="78">
        <f t="shared" si="463"/>
        <v>0</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2017</v>
      </c>
      <c r="B923" s="73" t="str">
        <f t="shared" si="437"/>
        <v>Nov</v>
      </c>
      <c r="C923" s="74">
        <f t="shared" si="460"/>
        <v>16</v>
      </c>
      <c r="D923" s="75">
        <f t="shared" si="438"/>
        <v>23</v>
      </c>
      <c r="E923" s="76">
        <f t="shared" si="439"/>
        <v>38</v>
      </c>
      <c r="F923" s="80"/>
      <c r="G923" s="83"/>
      <c r="H923" s="69" t="str">
        <f t="shared" si="461"/>
        <v>Lacine7_20171116_23_00</v>
      </c>
      <c r="I923" s="70">
        <f t="shared" si="463"/>
        <v>1</v>
      </c>
      <c r="J923" s="77" t="str">
        <f t="shared" si="463"/>
        <v>Lactuca</v>
      </c>
      <c r="K923" s="77" t="str">
        <f t="shared" si="463"/>
        <v>inermis</v>
      </c>
      <c r="L923" s="78">
        <f t="shared" si="463"/>
        <v>7</v>
      </c>
      <c r="M923" s="78">
        <f t="shared" si="463"/>
        <v>0</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2017</v>
      </c>
      <c r="B924" s="73" t="str">
        <f t="shared" si="437"/>
        <v>Nov</v>
      </c>
      <c r="C924" s="74">
        <f t="shared" si="460"/>
        <v>16</v>
      </c>
      <c r="D924" s="75">
        <f t="shared" si="438"/>
        <v>23</v>
      </c>
      <c r="E924" s="76">
        <f t="shared" si="439"/>
        <v>39</v>
      </c>
      <c r="F924" s="80"/>
      <c r="G924" s="83"/>
      <c r="H924" s="69" t="str">
        <f t="shared" si="461"/>
        <v>Lacine7_20171116_23_00</v>
      </c>
      <c r="I924" s="70">
        <f t="shared" si="463"/>
        <v>1</v>
      </c>
      <c r="J924" s="77" t="str">
        <f t="shared" si="463"/>
        <v>Lactuca</v>
      </c>
      <c r="K924" s="77" t="str">
        <f t="shared" si="463"/>
        <v>inermis</v>
      </c>
      <c r="L924" s="78">
        <f t="shared" si="463"/>
        <v>7</v>
      </c>
      <c r="M924" s="78">
        <f t="shared" si="463"/>
        <v>0</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2017</v>
      </c>
      <c r="B925" s="73" t="str">
        <f t="shared" si="437"/>
        <v>Nov</v>
      </c>
      <c r="C925" s="74">
        <f t="shared" si="460"/>
        <v>16</v>
      </c>
      <c r="D925" s="75">
        <f t="shared" si="438"/>
        <v>23</v>
      </c>
      <c r="E925" s="76">
        <f t="shared" si="439"/>
        <v>40</v>
      </c>
      <c r="F925" s="80"/>
      <c r="G925" s="83"/>
      <c r="H925" s="69" t="str">
        <f t="shared" si="461"/>
        <v>Lacine7_20171116_23_00</v>
      </c>
      <c r="I925" s="70">
        <f t="shared" si="463"/>
        <v>1</v>
      </c>
      <c r="J925" s="77" t="str">
        <f t="shared" si="463"/>
        <v>Lactuca</v>
      </c>
      <c r="K925" s="77" t="str">
        <f t="shared" si="463"/>
        <v>inermis</v>
      </c>
      <c r="L925" s="78">
        <f t="shared" si="463"/>
        <v>7</v>
      </c>
      <c r="M925" s="78">
        <f t="shared" si="463"/>
        <v>0</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2017</v>
      </c>
      <c r="B926" s="73" t="str">
        <f t="shared" si="437"/>
        <v>Nov</v>
      </c>
      <c r="C926" s="74">
        <f t="shared" si="460"/>
        <v>16</v>
      </c>
      <c r="D926" s="75">
        <f t="shared" si="438"/>
        <v>23</v>
      </c>
      <c r="E926" s="76">
        <f t="shared" si="439"/>
        <v>41</v>
      </c>
      <c r="F926" s="80"/>
      <c r="G926" s="83"/>
      <c r="H926" s="69" t="str">
        <f t="shared" si="461"/>
        <v>Lacine7_20171116_23_00</v>
      </c>
      <c r="I926" s="70">
        <f t="shared" si="463"/>
        <v>1</v>
      </c>
      <c r="J926" s="77" t="str">
        <f t="shared" si="463"/>
        <v>Lactuca</v>
      </c>
      <c r="K926" s="77" t="str">
        <f t="shared" si="463"/>
        <v>inermis</v>
      </c>
      <c r="L926" s="78">
        <f t="shared" si="463"/>
        <v>7</v>
      </c>
      <c r="M926" s="78">
        <f t="shared" si="463"/>
        <v>0</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2017</v>
      </c>
      <c r="B927" s="73" t="str">
        <f t="shared" si="437"/>
        <v>Nov</v>
      </c>
      <c r="C927" s="74">
        <f t="shared" si="460"/>
        <v>16</v>
      </c>
      <c r="D927" s="75">
        <f t="shared" si="438"/>
        <v>23</v>
      </c>
      <c r="E927" s="76">
        <f t="shared" si="439"/>
        <v>42</v>
      </c>
      <c r="F927" s="80"/>
      <c r="G927" s="83"/>
      <c r="H927" s="69" t="str">
        <f t="shared" si="461"/>
        <v>Lacine7_20171116_23_00</v>
      </c>
      <c r="I927" s="70">
        <f t="shared" si="463"/>
        <v>1</v>
      </c>
      <c r="J927" s="77" t="str">
        <f t="shared" si="463"/>
        <v>Lactuca</v>
      </c>
      <c r="K927" s="77" t="str">
        <f t="shared" si="463"/>
        <v>inermis</v>
      </c>
      <c r="L927" s="78">
        <f t="shared" si="463"/>
        <v>7</v>
      </c>
      <c r="M927" s="78">
        <f t="shared" si="463"/>
        <v>0</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2017</v>
      </c>
      <c r="B928" s="73" t="str">
        <f t="shared" si="437"/>
        <v>Nov</v>
      </c>
      <c r="C928" s="74">
        <f t="shared" si="460"/>
        <v>16</v>
      </c>
      <c r="D928" s="75">
        <f t="shared" si="438"/>
        <v>23</v>
      </c>
      <c r="E928" s="76">
        <f t="shared" si="439"/>
        <v>43</v>
      </c>
      <c r="F928" s="80"/>
      <c r="G928" s="83"/>
      <c r="H928" s="69" t="str">
        <f t="shared" si="461"/>
        <v>Lacine7_20171116_23_00</v>
      </c>
      <c r="I928" s="70">
        <f t="shared" si="463"/>
        <v>1</v>
      </c>
      <c r="J928" s="77" t="str">
        <f t="shared" si="463"/>
        <v>Lactuca</v>
      </c>
      <c r="K928" s="77" t="str">
        <f t="shared" si="463"/>
        <v>inermis</v>
      </c>
      <c r="L928" s="78">
        <f t="shared" si="463"/>
        <v>7</v>
      </c>
      <c r="M928" s="78">
        <f t="shared" si="463"/>
        <v>0</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2017</v>
      </c>
      <c r="B929" s="73" t="str">
        <f t="shared" si="437"/>
        <v>Nov</v>
      </c>
      <c r="C929" s="74">
        <f t="shared" si="460"/>
        <v>16</v>
      </c>
      <c r="D929" s="75">
        <f t="shared" si="438"/>
        <v>23</v>
      </c>
      <c r="E929" s="76">
        <f t="shared" si="439"/>
        <v>44</v>
      </c>
      <c r="F929" s="80"/>
      <c r="G929" s="83"/>
      <c r="H929" s="69" t="str">
        <f t="shared" si="461"/>
        <v>Lacine7_20171116_23_00</v>
      </c>
      <c r="I929" s="70">
        <f t="shared" si="463"/>
        <v>1</v>
      </c>
      <c r="J929" s="77" t="str">
        <f t="shared" si="463"/>
        <v>Lactuca</v>
      </c>
      <c r="K929" s="77" t="str">
        <f t="shared" si="463"/>
        <v>inermis</v>
      </c>
      <c r="L929" s="78">
        <f t="shared" si="463"/>
        <v>7</v>
      </c>
      <c r="M929" s="78">
        <f t="shared" si="463"/>
        <v>0</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2017</v>
      </c>
      <c r="B930" s="73" t="str">
        <f t="shared" si="437"/>
        <v>Nov</v>
      </c>
      <c r="C930" s="74">
        <f t="shared" si="460"/>
        <v>16</v>
      </c>
      <c r="D930" s="75">
        <f t="shared" si="438"/>
        <v>23</v>
      </c>
      <c r="E930" s="76">
        <f t="shared" si="439"/>
        <v>45</v>
      </c>
      <c r="F930" s="80"/>
      <c r="G930" s="83"/>
      <c r="H930" s="69" t="str">
        <f t="shared" si="461"/>
        <v>Lacine7_20171116_23_00</v>
      </c>
      <c r="I930" s="70">
        <f t="shared" si="463"/>
        <v>1</v>
      </c>
      <c r="J930" s="77" t="str">
        <f t="shared" si="463"/>
        <v>Lactuca</v>
      </c>
      <c r="K930" s="77" t="str">
        <f t="shared" si="463"/>
        <v>inermis</v>
      </c>
      <c r="L930" s="78">
        <f t="shared" si="463"/>
        <v>7</v>
      </c>
      <c r="M930" s="78">
        <f t="shared" si="463"/>
        <v>0</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2017</v>
      </c>
      <c r="B931" s="73" t="str">
        <f t="shared" si="437"/>
        <v>Nov</v>
      </c>
      <c r="C931" s="74">
        <f t="shared" si="460"/>
        <v>16</v>
      </c>
      <c r="D931" s="75">
        <f t="shared" si="438"/>
        <v>23</v>
      </c>
      <c r="E931" s="76">
        <f t="shared" si="439"/>
        <v>46</v>
      </c>
      <c r="F931" s="80"/>
      <c r="G931" s="83"/>
      <c r="H931" s="69" t="str">
        <f t="shared" si="461"/>
        <v>Lacine7_20171116_23_00</v>
      </c>
      <c r="I931" s="70">
        <f t="shared" si="463"/>
        <v>1</v>
      </c>
      <c r="J931" s="77" t="str">
        <f t="shared" si="463"/>
        <v>Lactuca</v>
      </c>
      <c r="K931" s="77" t="str">
        <f t="shared" si="463"/>
        <v>inermis</v>
      </c>
      <c r="L931" s="78">
        <f t="shared" si="463"/>
        <v>7</v>
      </c>
      <c r="M931" s="78">
        <f t="shared" si="463"/>
        <v>0</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2017</v>
      </c>
      <c r="B932" s="73" t="str">
        <f t="shared" si="437"/>
        <v>Nov</v>
      </c>
      <c r="C932" s="74">
        <f t="shared" si="460"/>
        <v>16</v>
      </c>
      <c r="D932" s="75">
        <f t="shared" si="438"/>
        <v>23</v>
      </c>
      <c r="E932" s="76">
        <f t="shared" si="439"/>
        <v>47</v>
      </c>
      <c r="F932" s="80"/>
      <c r="G932" s="83"/>
      <c r="H932" s="69" t="str">
        <f t="shared" si="461"/>
        <v>Lacine7_20171116_23_00</v>
      </c>
      <c r="I932" s="70">
        <f t="shared" si="463"/>
        <v>1</v>
      </c>
      <c r="J932" s="77" t="str">
        <f t="shared" si="463"/>
        <v>Lactuca</v>
      </c>
      <c r="K932" s="77" t="str">
        <f t="shared" si="463"/>
        <v>inermis</v>
      </c>
      <c r="L932" s="78">
        <f t="shared" si="463"/>
        <v>7</v>
      </c>
      <c r="M932" s="78">
        <f t="shared" si="463"/>
        <v>0</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2017</v>
      </c>
      <c r="B933" s="73" t="str">
        <f t="shared" si="437"/>
        <v>Nov</v>
      </c>
      <c r="C933" s="74">
        <f t="shared" si="460"/>
        <v>16</v>
      </c>
      <c r="D933" s="75">
        <f t="shared" si="438"/>
        <v>23</v>
      </c>
      <c r="E933" s="76">
        <f t="shared" si="439"/>
        <v>48</v>
      </c>
      <c r="F933" s="80"/>
      <c r="G933" s="83"/>
      <c r="H933" s="69" t="str">
        <f t="shared" si="461"/>
        <v>Lacine7_20171116_23_00</v>
      </c>
      <c r="I933" s="70">
        <f t="shared" ref="I933:N948" si="464">I932</f>
        <v>1</v>
      </c>
      <c r="J933" s="77" t="str">
        <f t="shared" si="464"/>
        <v>Lactuca</v>
      </c>
      <c r="K933" s="77" t="str">
        <f t="shared" si="464"/>
        <v>inermis</v>
      </c>
      <c r="L933" s="78">
        <f t="shared" si="464"/>
        <v>7</v>
      </c>
      <c r="M933" s="78">
        <f t="shared" si="464"/>
        <v>0</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2017</v>
      </c>
      <c r="B934" s="73" t="str">
        <f t="shared" si="437"/>
        <v>Nov</v>
      </c>
      <c r="C934" s="74">
        <f t="shared" si="460"/>
        <v>16</v>
      </c>
      <c r="D934" s="75">
        <f t="shared" si="438"/>
        <v>23</v>
      </c>
      <c r="E934" s="76">
        <f t="shared" si="439"/>
        <v>49</v>
      </c>
      <c r="F934" s="80"/>
      <c r="G934" s="83"/>
      <c r="H934" s="69" t="str">
        <f t="shared" si="461"/>
        <v>Lacine7_20171116_23_00</v>
      </c>
      <c r="I934" s="70">
        <f t="shared" si="464"/>
        <v>1</v>
      </c>
      <c r="J934" s="77" t="str">
        <f t="shared" si="464"/>
        <v>Lactuca</v>
      </c>
      <c r="K934" s="77" t="str">
        <f t="shared" si="464"/>
        <v>inermis</v>
      </c>
      <c r="L934" s="78">
        <f t="shared" si="464"/>
        <v>7</v>
      </c>
      <c r="M934" s="78">
        <f t="shared" si="464"/>
        <v>0</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2017</v>
      </c>
      <c r="B935" s="73" t="str">
        <f t="shared" si="437"/>
        <v>Nov</v>
      </c>
      <c r="C935" s="74">
        <f t="shared" si="460"/>
        <v>16</v>
      </c>
      <c r="D935" s="75">
        <f t="shared" si="438"/>
        <v>23</v>
      </c>
      <c r="E935" s="76">
        <f t="shared" si="439"/>
        <v>50</v>
      </c>
      <c r="F935" s="80"/>
      <c r="G935" s="83"/>
      <c r="H935" s="69" t="str">
        <f t="shared" si="461"/>
        <v>Lacine7_20171116_23_00</v>
      </c>
      <c r="I935" s="70">
        <f t="shared" si="464"/>
        <v>1</v>
      </c>
      <c r="J935" s="77" t="str">
        <f t="shared" si="464"/>
        <v>Lactuca</v>
      </c>
      <c r="K935" s="77" t="str">
        <f t="shared" si="464"/>
        <v>inermis</v>
      </c>
      <c r="L935" s="78">
        <f t="shared" si="464"/>
        <v>7</v>
      </c>
      <c r="M935" s="78">
        <f t="shared" si="464"/>
        <v>0</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2017</v>
      </c>
      <c r="B936" s="73" t="str">
        <f t="shared" si="437"/>
        <v>Nov</v>
      </c>
      <c r="C936" s="74">
        <f t="shared" si="460"/>
        <v>16</v>
      </c>
      <c r="D936" s="75">
        <f t="shared" si="438"/>
        <v>23</v>
      </c>
      <c r="E936" s="76">
        <f t="shared" si="439"/>
        <v>51</v>
      </c>
      <c r="F936" s="80"/>
      <c r="G936" s="83"/>
      <c r="H936" s="69" t="str">
        <f t="shared" si="461"/>
        <v>Lacine7_20171116_23_00</v>
      </c>
      <c r="I936" s="70">
        <f t="shared" si="464"/>
        <v>1</v>
      </c>
      <c r="J936" s="77" t="str">
        <f t="shared" si="464"/>
        <v>Lactuca</v>
      </c>
      <c r="K936" s="77" t="str">
        <f t="shared" si="464"/>
        <v>inermis</v>
      </c>
      <c r="L936" s="78">
        <f t="shared" si="464"/>
        <v>7</v>
      </c>
      <c r="M936" s="78">
        <f t="shared" si="464"/>
        <v>0</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2017</v>
      </c>
      <c r="B937" s="73" t="str">
        <f t="shared" si="437"/>
        <v>Nov</v>
      </c>
      <c r="C937" s="74">
        <f t="shared" si="460"/>
        <v>16</v>
      </c>
      <c r="D937" s="75">
        <f t="shared" si="438"/>
        <v>23</v>
      </c>
      <c r="E937" s="76">
        <f t="shared" si="439"/>
        <v>52</v>
      </c>
      <c r="F937" s="80"/>
      <c r="G937" s="83"/>
      <c r="H937" s="69" t="str">
        <f t="shared" si="461"/>
        <v>Lacine7_20171116_23_00</v>
      </c>
      <c r="I937" s="70">
        <f t="shared" si="464"/>
        <v>1</v>
      </c>
      <c r="J937" s="77" t="str">
        <f t="shared" si="464"/>
        <v>Lactuca</v>
      </c>
      <c r="K937" s="77" t="str">
        <f t="shared" si="464"/>
        <v>inermis</v>
      </c>
      <c r="L937" s="78">
        <f t="shared" si="464"/>
        <v>7</v>
      </c>
      <c r="M937" s="78">
        <f t="shared" si="464"/>
        <v>0</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2017</v>
      </c>
      <c r="B938" s="73" t="str">
        <f t="shared" si="437"/>
        <v>Nov</v>
      </c>
      <c r="C938" s="74">
        <f t="shared" si="460"/>
        <v>16</v>
      </c>
      <c r="D938" s="75">
        <f t="shared" si="438"/>
        <v>23</v>
      </c>
      <c r="E938" s="76">
        <f t="shared" si="439"/>
        <v>53</v>
      </c>
      <c r="F938" s="80"/>
      <c r="G938" s="83"/>
      <c r="H938" s="69" t="str">
        <f t="shared" si="461"/>
        <v>Lacine7_20171116_23_00</v>
      </c>
      <c r="I938" s="70">
        <f t="shared" si="464"/>
        <v>1</v>
      </c>
      <c r="J938" s="77" t="str">
        <f t="shared" si="464"/>
        <v>Lactuca</v>
      </c>
      <c r="K938" s="77" t="str">
        <f t="shared" si="464"/>
        <v>inermis</v>
      </c>
      <c r="L938" s="78">
        <f t="shared" si="464"/>
        <v>7</v>
      </c>
      <c r="M938" s="78">
        <f t="shared" si="464"/>
        <v>0</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2017</v>
      </c>
      <c r="B939" s="73" t="str">
        <f t="shared" si="437"/>
        <v>Nov</v>
      </c>
      <c r="C939" s="74">
        <f t="shared" si="460"/>
        <v>16</v>
      </c>
      <c r="D939" s="75">
        <f t="shared" si="438"/>
        <v>23</v>
      </c>
      <c r="E939" s="76">
        <f t="shared" si="439"/>
        <v>54</v>
      </c>
      <c r="F939" s="80"/>
      <c r="G939" s="83"/>
      <c r="H939" s="69" t="str">
        <f t="shared" si="461"/>
        <v>Lacine7_20171116_23_00</v>
      </c>
      <c r="I939" s="70">
        <f t="shared" si="464"/>
        <v>1</v>
      </c>
      <c r="J939" s="77" t="str">
        <f t="shared" si="464"/>
        <v>Lactuca</v>
      </c>
      <c r="K939" s="77" t="str">
        <f t="shared" si="464"/>
        <v>inermis</v>
      </c>
      <c r="L939" s="78">
        <f t="shared" si="464"/>
        <v>7</v>
      </c>
      <c r="M939" s="78">
        <f t="shared" si="464"/>
        <v>0</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2017</v>
      </c>
      <c r="B940" s="73" t="str">
        <f t="shared" si="437"/>
        <v>Nov</v>
      </c>
      <c r="C940" s="74">
        <f t="shared" si="460"/>
        <v>16</v>
      </c>
      <c r="D940" s="75">
        <f t="shared" si="438"/>
        <v>23</v>
      </c>
      <c r="E940" s="76">
        <f t="shared" si="439"/>
        <v>55</v>
      </c>
      <c r="F940" s="80"/>
      <c r="G940" s="83"/>
      <c r="H940" s="69" t="str">
        <f t="shared" si="461"/>
        <v>Lacine7_20171116_23_00</v>
      </c>
      <c r="I940" s="70">
        <f t="shared" si="464"/>
        <v>1</v>
      </c>
      <c r="J940" s="77" t="str">
        <f t="shared" si="464"/>
        <v>Lactuca</v>
      </c>
      <c r="K940" s="77" t="str">
        <f t="shared" si="464"/>
        <v>inermis</v>
      </c>
      <c r="L940" s="78">
        <f t="shared" si="464"/>
        <v>7</v>
      </c>
      <c r="M940" s="78">
        <f t="shared" si="464"/>
        <v>0</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2017</v>
      </c>
      <c r="B941" s="73" t="str">
        <f t="shared" si="437"/>
        <v>Nov</v>
      </c>
      <c r="C941" s="74">
        <f t="shared" si="460"/>
        <v>16</v>
      </c>
      <c r="D941" s="75">
        <f t="shared" si="438"/>
        <v>23</v>
      </c>
      <c r="E941" s="76">
        <f t="shared" si="439"/>
        <v>56</v>
      </c>
      <c r="F941" s="80"/>
      <c r="G941" s="83"/>
      <c r="H941" s="69" t="str">
        <f t="shared" si="461"/>
        <v>Lacine7_20171116_23_00</v>
      </c>
      <c r="I941" s="70">
        <f t="shared" si="464"/>
        <v>1</v>
      </c>
      <c r="J941" s="77" t="str">
        <f t="shared" si="464"/>
        <v>Lactuca</v>
      </c>
      <c r="K941" s="77" t="str">
        <f t="shared" si="464"/>
        <v>inermis</v>
      </c>
      <c r="L941" s="78">
        <f t="shared" si="464"/>
        <v>7</v>
      </c>
      <c r="M941" s="78">
        <f t="shared" si="464"/>
        <v>0</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2017</v>
      </c>
      <c r="B942" s="73" t="str">
        <f t="shared" si="437"/>
        <v>Nov</v>
      </c>
      <c r="C942" s="74">
        <f t="shared" si="460"/>
        <v>16</v>
      </c>
      <c r="D942" s="75">
        <f t="shared" si="438"/>
        <v>23</v>
      </c>
      <c r="E942" s="76">
        <f t="shared" si="439"/>
        <v>57</v>
      </c>
      <c r="F942" s="80"/>
      <c r="G942" s="83"/>
      <c r="H942" s="69" t="str">
        <f t="shared" si="461"/>
        <v>Lacine7_20171116_23_00</v>
      </c>
      <c r="I942" s="70">
        <f t="shared" si="464"/>
        <v>1</v>
      </c>
      <c r="J942" s="77" t="str">
        <f t="shared" si="464"/>
        <v>Lactuca</v>
      </c>
      <c r="K942" s="77" t="str">
        <f t="shared" si="464"/>
        <v>inermis</v>
      </c>
      <c r="L942" s="78">
        <f t="shared" si="464"/>
        <v>7</v>
      </c>
      <c r="M942" s="78">
        <f t="shared" si="464"/>
        <v>0</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2017</v>
      </c>
      <c r="B943" s="73" t="str">
        <f t="shared" si="437"/>
        <v>Nov</v>
      </c>
      <c r="C943" s="74">
        <f t="shared" si="460"/>
        <v>16</v>
      </c>
      <c r="D943" s="75">
        <f t="shared" si="438"/>
        <v>23</v>
      </c>
      <c r="E943" s="76">
        <f t="shared" si="439"/>
        <v>58</v>
      </c>
      <c r="F943" s="80"/>
      <c r="G943" s="83"/>
      <c r="H943" s="69" t="str">
        <f t="shared" si="461"/>
        <v>Lacine7_20171116_23_00</v>
      </c>
      <c r="I943" s="70">
        <f t="shared" si="464"/>
        <v>1</v>
      </c>
      <c r="J943" s="77" t="str">
        <f t="shared" si="464"/>
        <v>Lactuca</v>
      </c>
      <c r="K943" s="77" t="str">
        <f t="shared" si="464"/>
        <v>inermis</v>
      </c>
      <c r="L943" s="78">
        <f t="shared" si="464"/>
        <v>7</v>
      </c>
      <c r="M943" s="78">
        <f t="shared" si="464"/>
        <v>0</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2017</v>
      </c>
      <c r="B944" s="73" t="str">
        <f t="shared" si="437"/>
        <v>Nov</v>
      </c>
      <c r="C944" s="74">
        <f t="shared" si="460"/>
        <v>16</v>
      </c>
      <c r="D944" s="75">
        <f t="shared" si="438"/>
        <v>23</v>
      </c>
      <c r="E944" s="76">
        <f t="shared" si="439"/>
        <v>59</v>
      </c>
      <c r="F944" s="80"/>
      <c r="G944" s="83"/>
      <c r="H944" s="69" t="str">
        <f t="shared" si="461"/>
        <v>Lacine7_20171116_23_00</v>
      </c>
      <c r="I944" s="70">
        <f t="shared" si="464"/>
        <v>1</v>
      </c>
      <c r="J944" s="77" t="str">
        <f t="shared" si="464"/>
        <v>Lactuca</v>
      </c>
      <c r="K944" s="77" t="str">
        <f t="shared" si="464"/>
        <v>inermis</v>
      </c>
      <c r="L944" s="78">
        <f t="shared" si="464"/>
        <v>7</v>
      </c>
      <c r="M944" s="78">
        <f t="shared" si="464"/>
        <v>0</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2017</v>
      </c>
      <c r="B945" s="73" t="str">
        <f t="shared" si="437"/>
        <v>Nov</v>
      </c>
      <c r="C945" s="74">
        <f t="shared" si="460"/>
        <v>17</v>
      </c>
      <c r="D945" s="75">
        <f t="shared" si="438"/>
        <v>0</v>
      </c>
      <c r="E945" s="76">
        <f t="shared" si="439"/>
        <v>0</v>
      </c>
      <c r="F945" s="80"/>
      <c r="G945" s="83"/>
      <c r="H945" s="69" t="str">
        <f t="shared" si="461"/>
        <v>Lacine7_20171117_00_00</v>
      </c>
      <c r="I945" s="70">
        <f t="shared" si="464"/>
        <v>1</v>
      </c>
      <c r="J945" s="77" t="str">
        <f t="shared" si="464"/>
        <v>Lactuca</v>
      </c>
      <c r="K945" s="77" t="str">
        <f t="shared" si="464"/>
        <v>inermis</v>
      </c>
      <c r="L945" s="78">
        <f t="shared" si="464"/>
        <v>7</v>
      </c>
      <c r="M945" s="78">
        <f t="shared" si="464"/>
        <v>0</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2017</v>
      </c>
      <c r="B946" s="73" t="str">
        <f t="shared" si="437"/>
        <v>Nov</v>
      </c>
      <c r="C946" s="74">
        <f t="shared" si="460"/>
        <v>17</v>
      </c>
      <c r="D946" s="75">
        <f t="shared" si="438"/>
        <v>0</v>
      </c>
      <c r="E946" s="76">
        <f t="shared" si="439"/>
        <v>1</v>
      </c>
      <c r="F946" s="80"/>
      <c r="G946" s="83"/>
      <c r="H946" s="69" t="str">
        <f t="shared" si="461"/>
        <v>Lacine7_20171117_00_00</v>
      </c>
      <c r="I946" s="70">
        <f t="shared" si="464"/>
        <v>1</v>
      </c>
      <c r="J946" s="77" t="str">
        <f t="shared" si="464"/>
        <v>Lactuca</v>
      </c>
      <c r="K946" s="77" t="str">
        <f t="shared" si="464"/>
        <v>inermis</v>
      </c>
      <c r="L946" s="78">
        <f t="shared" si="464"/>
        <v>7</v>
      </c>
      <c r="M946" s="78">
        <f t="shared" si="464"/>
        <v>0</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2017</v>
      </c>
      <c r="B947" s="73" t="str">
        <f t="shared" si="437"/>
        <v>Nov</v>
      </c>
      <c r="C947" s="74">
        <f t="shared" si="460"/>
        <v>17</v>
      </c>
      <c r="D947" s="75">
        <f t="shared" si="438"/>
        <v>0</v>
      </c>
      <c r="E947" s="76">
        <f t="shared" si="439"/>
        <v>2</v>
      </c>
      <c r="F947" s="80"/>
      <c r="G947" s="83"/>
      <c r="H947" s="69" t="str">
        <f t="shared" si="461"/>
        <v>Lacine7_20171117_00_00</v>
      </c>
      <c r="I947" s="70">
        <f t="shared" si="464"/>
        <v>1</v>
      </c>
      <c r="J947" s="77" t="str">
        <f t="shared" si="464"/>
        <v>Lactuca</v>
      </c>
      <c r="K947" s="77" t="str">
        <f t="shared" si="464"/>
        <v>inermis</v>
      </c>
      <c r="L947" s="78">
        <f t="shared" si="464"/>
        <v>7</v>
      </c>
      <c r="M947" s="78">
        <f t="shared" si="464"/>
        <v>0</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2017</v>
      </c>
      <c r="B948" s="73" t="str">
        <f t="shared" si="437"/>
        <v>Nov</v>
      </c>
      <c r="C948" s="74">
        <f t="shared" si="460"/>
        <v>17</v>
      </c>
      <c r="D948" s="75">
        <f t="shared" si="438"/>
        <v>0</v>
      </c>
      <c r="E948" s="76">
        <f t="shared" si="439"/>
        <v>3</v>
      </c>
      <c r="F948" s="80"/>
      <c r="G948" s="83"/>
      <c r="H948" s="69" t="str">
        <f t="shared" si="461"/>
        <v>Lacine7_20171117_00_00</v>
      </c>
      <c r="I948" s="70">
        <f t="shared" si="464"/>
        <v>1</v>
      </c>
      <c r="J948" s="77" t="str">
        <f t="shared" si="464"/>
        <v>Lactuca</v>
      </c>
      <c r="K948" s="77" t="str">
        <f t="shared" si="464"/>
        <v>inermis</v>
      </c>
      <c r="L948" s="78">
        <f t="shared" si="464"/>
        <v>7</v>
      </c>
      <c r="M948" s="78">
        <f t="shared" si="464"/>
        <v>0</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2017</v>
      </c>
      <c r="B949" s="73" t="str">
        <f t="shared" si="437"/>
        <v>Nov</v>
      </c>
      <c r="C949" s="74">
        <f t="shared" si="460"/>
        <v>17</v>
      </c>
      <c r="D949" s="75">
        <f t="shared" si="438"/>
        <v>0</v>
      </c>
      <c r="E949" s="76">
        <f t="shared" si="439"/>
        <v>4</v>
      </c>
      <c r="F949" s="80"/>
      <c r="G949" s="83"/>
      <c r="H949" s="69" t="str">
        <f t="shared" si="461"/>
        <v>Lacine7_20171117_00_00</v>
      </c>
      <c r="I949" s="70">
        <f t="shared" ref="I949:N964" si="465">I948</f>
        <v>1</v>
      </c>
      <c r="J949" s="77" t="str">
        <f t="shared" si="465"/>
        <v>Lactuca</v>
      </c>
      <c r="K949" s="77" t="str">
        <f t="shared" si="465"/>
        <v>inermis</v>
      </c>
      <c r="L949" s="78">
        <f t="shared" si="465"/>
        <v>7</v>
      </c>
      <c r="M949" s="78">
        <f t="shared" si="465"/>
        <v>0</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2017</v>
      </c>
      <c r="B950" s="73" t="str">
        <f t="shared" si="437"/>
        <v>Nov</v>
      </c>
      <c r="C950" s="74">
        <f t="shared" si="460"/>
        <v>17</v>
      </c>
      <c r="D950" s="75">
        <f t="shared" si="438"/>
        <v>0</v>
      </c>
      <c r="E950" s="76">
        <f t="shared" si="439"/>
        <v>5</v>
      </c>
      <c r="F950" s="80"/>
      <c r="G950" s="83"/>
      <c r="H950" s="69" t="str">
        <f t="shared" si="461"/>
        <v>Lacine7_20171117_00_00</v>
      </c>
      <c r="I950" s="70">
        <f t="shared" si="465"/>
        <v>1</v>
      </c>
      <c r="J950" s="77" t="str">
        <f t="shared" si="465"/>
        <v>Lactuca</v>
      </c>
      <c r="K950" s="77" t="str">
        <f t="shared" si="465"/>
        <v>inermis</v>
      </c>
      <c r="L950" s="78">
        <f t="shared" si="465"/>
        <v>7</v>
      </c>
      <c r="M950" s="78">
        <f t="shared" si="465"/>
        <v>0</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2017</v>
      </c>
      <c r="B951" s="73" t="str">
        <f t="shared" si="437"/>
        <v>Nov</v>
      </c>
      <c r="C951" s="74">
        <f t="shared" si="460"/>
        <v>17</v>
      </c>
      <c r="D951" s="75">
        <f t="shared" si="438"/>
        <v>0</v>
      </c>
      <c r="E951" s="76">
        <f t="shared" si="439"/>
        <v>6</v>
      </c>
      <c r="F951" s="80"/>
      <c r="G951" s="83"/>
      <c r="H951" s="69" t="str">
        <f t="shared" si="461"/>
        <v>Lacine7_20171117_00_00</v>
      </c>
      <c r="I951" s="70">
        <f t="shared" si="465"/>
        <v>1</v>
      </c>
      <c r="J951" s="77" t="str">
        <f t="shared" si="465"/>
        <v>Lactuca</v>
      </c>
      <c r="K951" s="77" t="str">
        <f t="shared" si="465"/>
        <v>inermis</v>
      </c>
      <c r="L951" s="78">
        <f t="shared" si="465"/>
        <v>7</v>
      </c>
      <c r="M951" s="78">
        <f t="shared" si="465"/>
        <v>0</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2017</v>
      </c>
      <c r="B952" s="73" t="str">
        <f t="shared" si="437"/>
        <v>Nov</v>
      </c>
      <c r="C952" s="74">
        <f t="shared" si="460"/>
        <v>17</v>
      </c>
      <c r="D952" s="75">
        <f t="shared" si="438"/>
        <v>0</v>
      </c>
      <c r="E952" s="76">
        <f t="shared" si="439"/>
        <v>7</v>
      </c>
      <c r="F952" s="80"/>
      <c r="G952" s="83"/>
      <c r="H952" s="69" t="str">
        <f t="shared" si="461"/>
        <v>Lacine7_20171117_00_00</v>
      </c>
      <c r="I952" s="70">
        <f t="shared" si="465"/>
        <v>1</v>
      </c>
      <c r="J952" s="77" t="str">
        <f t="shared" si="465"/>
        <v>Lactuca</v>
      </c>
      <c r="K952" s="77" t="str">
        <f t="shared" si="465"/>
        <v>inermis</v>
      </c>
      <c r="L952" s="78">
        <f t="shared" si="465"/>
        <v>7</v>
      </c>
      <c r="M952" s="78">
        <f t="shared" si="465"/>
        <v>0</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2017</v>
      </c>
      <c r="B953" s="73" t="str">
        <f t="shared" si="437"/>
        <v>Nov</v>
      </c>
      <c r="C953" s="74">
        <f t="shared" si="460"/>
        <v>17</v>
      </c>
      <c r="D953" s="75">
        <f t="shared" si="438"/>
        <v>0</v>
      </c>
      <c r="E953" s="76">
        <f t="shared" si="439"/>
        <v>8</v>
      </c>
      <c r="F953" s="80"/>
      <c r="G953" s="83"/>
      <c r="H953" s="69" t="str">
        <f t="shared" si="461"/>
        <v>Lacine7_20171117_00_00</v>
      </c>
      <c r="I953" s="70">
        <f t="shared" si="465"/>
        <v>1</v>
      </c>
      <c r="J953" s="77" t="str">
        <f t="shared" si="465"/>
        <v>Lactuca</v>
      </c>
      <c r="K953" s="77" t="str">
        <f t="shared" si="465"/>
        <v>inermis</v>
      </c>
      <c r="L953" s="78">
        <f t="shared" si="465"/>
        <v>7</v>
      </c>
      <c r="M953" s="78">
        <f t="shared" si="465"/>
        <v>0</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2017</v>
      </c>
      <c r="B954" s="73" t="str">
        <f t="shared" si="437"/>
        <v>Nov</v>
      </c>
      <c r="C954" s="74">
        <f t="shared" si="460"/>
        <v>17</v>
      </c>
      <c r="D954" s="75">
        <f t="shared" si="438"/>
        <v>0</v>
      </c>
      <c r="E954" s="76">
        <f t="shared" si="439"/>
        <v>9</v>
      </c>
      <c r="F954" s="80"/>
      <c r="G954" s="83"/>
      <c r="H954" s="69" t="str">
        <f t="shared" si="461"/>
        <v>Lacine7_20171117_00_00</v>
      </c>
      <c r="I954" s="70">
        <f t="shared" si="465"/>
        <v>1</v>
      </c>
      <c r="J954" s="77" t="str">
        <f t="shared" si="465"/>
        <v>Lactuca</v>
      </c>
      <c r="K954" s="77" t="str">
        <f t="shared" si="465"/>
        <v>inermis</v>
      </c>
      <c r="L954" s="78">
        <f t="shared" si="465"/>
        <v>7</v>
      </c>
      <c r="M954" s="78">
        <f t="shared" si="465"/>
        <v>0</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2017</v>
      </c>
      <c r="B955" s="73" t="str">
        <f t="shared" si="437"/>
        <v>Nov</v>
      </c>
      <c r="C955" s="74">
        <f t="shared" si="460"/>
        <v>17</v>
      </c>
      <c r="D955" s="75">
        <f t="shared" si="438"/>
        <v>0</v>
      </c>
      <c r="E955" s="76">
        <f t="shared" si="439"/>
        <v>10</v>
      </c>
      <c r="F955" s="80"/>
      <c r="G955" s="83"/>
      <c r="H955" s="69" t="str">
        <f t="shared" si="461"/>
        <v>Lacine7_20171117_00_00</v>
      </c>
      <c r="I955" s="70">
        <f t="shared" si="465"/>
        <v>1</v>
      </c>
      <c r="J955" s="77" t="str">
        <f t="shared" si="465"/>
        <v>Lactuca</v>
      </c>
      <c r="K955" s="77" t="str">
        <f t="shared" si="465"/>
        <v>inermis</v>
      </c>
      <c r="L955" s="78">
        <f t="shared" si="465"/>
        <v>7</v>
      </c>
      <c r="M955" s="78">
        <f t="shared" si="465"/>
        <v>0</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2017</v>
      </c>
      <c r="B956" s="73" t="str">
        <f t="shared" si="437"/>
        <v>Nov</v>
      </c>
      <c r="C956" s="74">
        <f t="shared" si="460"/>
        <v>17</v>
      </c>
      <c r="D956" s="75">
        <f t="shared" si="438"/>
        <v>0</v>
      </c>
      <c r="E956" s="76">
        <f t="shared" si="439"/>
        <v>11</v>
      </c>
      <c r="F956" s="80"/>
      <c r="G956" s="83"/>
      <c r="H956" s="69" t="str">
        <f t="shared" si="461"/>
        <v>Lacine7_20171117_00_00</v>
      </c>
      <c r="I956" s="70">
        <f t="shared" si="465"/>
        <v>1</v>
      </c>
      <c r="J956" s="77" t="str">
        <f t="shared" si="465"/>
        <v>Lactuca</v>
      </c>
      <c r="K956" s="77" t="str">
        <f t="shared" si="465"/>
        <v>inermis</v>
      </c>
      <c r="L956" s="78">
        <f t="shared" si="465"/>
        <v>7</v>
      </c>
      <c r="M956" s="78">
        <f t="shared" si="465"/>
        <v>0</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2017</v>
      </c>
      <c r="B957" s="73" t="str">
        <f t="shared" si="437"/>
        <v>Nov</v>
      </c>
      <c r="C957" s="74">
        <f t="shared" si="460"/>
        <v>17</v>
      </c>
      <c r="D957" s="75">
        <f t="shared" si="438"/>
        <v>0</v>
      </c>
      <c r="E957" s="76">
        <f t="shared" si="439"/>
        <v>12</v>
      </c>
      <c r="F957" s="80"/>
      <c r="G957" s="83"/>
      <c r="H957" s="69" t="str">
        <f t="shared" si="461"/>
        <v>Lacine7_20171117_00_00</v>
      </c>
      <c r="I957" s="70">
        <f t="shared" si="465"/>
        <v>1</v>
      </c>
      <c r="J957" s="77" t="str">
        <f t="shared" si="465"/>
        <v>Lactuca</v>
      </c>
      <c r="K957" s="77" t="str">
        <f t="shared" si="465"/>
        <v>inermis</v>
      </c>
      <c r="L957" s="78">
        <f t="shared" si="465"/>
        <v>7</v>
      </c>
      <c r="M957" s="78">
        <f t="shared" si="465"/>
        <v>0</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2017</v>
      </c>
      <c r="B958" s="73" t="str">
        <f t="shared" si="437"/>
        <v>Nov</v>
      </c>
      <c r="C958" s="74">
        <f t="shared" si="460"/>
        <v>17</v>
      </c>
      <c r="D958" s="75">
        <f t="shared" si="438"/>
        <v>0</v>
      </c>
      <c r="E958" s="76">
        <f t="shared" si="439"/>
        <v>13</v>
      </c>
      <c r="F958" s="80"/>
      <c r="G958" s="83"/>
      <c r="H958" s="69" t="str">
        <f t="shared" si="461"/>
        <v>Lacine7_20171117_00_00</v>
      </c>
      <c r="I958" s="70">
        <f t="shared" si="465"/>
        <v>1</v>
      </c>
      <c r="J958" s="77" t="str">
        <f t="shared" si="465"/>
        <v>Lactuca</v>
      </c>
      <c r="K958" s="77" t="str">
        <f t="shared" si="465"/>
        <v>inermis</v>
      </c>
      <c r="L958" s="78">
        <f t="shared" si="465"/>
        <v>7</v>
      </c>
      <c r="M958" s="78">
        <f t="shared" si="465"/>
        <v>0</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2017</v>
      </c>
      <c r="B959" s="73" t="str">
        <f t="shared" si="437"/>
        <v>Nov</v>
      </c>
      <c r="C959" s="74">
        <f t="shared" si="460"/>
        <v>17</v>
      </c>
      <c r="D959" s="75">
        <f t="shared" si="438"/>
        <v>0</v>
      </c>
      <c r="E959" s="76">
        <f t="shared" si="439"/>
        <v>14</v>
      </c>
      <c r="F959" s="80"/>
      <c r="G959" s="83"/>
      <c r="H959" s="69" t="str">
        <f t="shared" si="461"/>
        <v>Lacine7_20171117_00_00</v>
      </c>
      <c r="I959" s="70">
        <f t="shared" si="465"/>
        <v>1</v>
      </c>
      <c r="J959" s="77" t="str">
        <f t="shared" si="465"/>
        <v>Lactuca</v>
      </c>
      <c r="K959" s="77" t="str">
        <f t="shared" si="465"/>
        <v>inermis</v>
      </c>
      <c r="L959" s="78">
        <f t="shared" si="465"/>
        <v>7</v>
      </c>
      <c r="M959" s="78">
        <f t="shared" si="465"/>
        <v>0</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2017</v>
      </c>
      <c r="B960" s="73" t="str">
        <f t="shared" si="437"/>
        <v>Nov</v>
      </c>
      <c r="C960" s="74">
        <f t="shared" si="460"/>
        <v>17</v>
      </c>
      <c r="D960" s="75">
        <f t="shared" si="438"/>
        <v>0</v>
      </c>
      <c r="E960" s="76">
        <f t="shared" si="439"/>
        <v>15</v>
      </c>
      <c r="F960" s="80"/>
      <c r="G960" s="83"/>
      <c r="H960" s="69" t="str">
        <f t="shared" si="461"/>
        <v>Lacine7_20171117_00_00</v>
      </c>
      <c r="I960" s="70">
        <f t="shared" si="465"/>
        <v>1</v>
      </c>
      <c r="J960" s="77" t="str">
        <f t="shared" si="465"/>
        <v>Lactuca</v>
      </c>
      <c r="K960" s="77" t="str">
        <f t="shared" si="465"/>
        <v>inermis</v>
      </c>
      <c r="L960" s="78">
        <f t="shared" si="465"/>
        <v>7</v>
      </c>
      <c r="M960" s="78">
        <f t="shared" si="465"/>
        <v>0</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2017</v>
      </c>
      <c r="B961" s="73" t="str">
        <f t="shared" si="437"/>
        <v>Nov</v>
      </c>
      <c r="C961" s="74">
        <f t="shared" si="460"/>
        <v>17</v>
      </c>
      <c r="D961" s="75">
        <f t="shared" si="438"/>
        <v>0</v>
      </c>
      <c r="E961" s="76">
        <f t="shared" si="439"/>
        <v>16</v>
      </c>
      <c r="F961" s="80"/>
      <c r="G961" s="83"/>
      <c r="H961" s="69" t="str">
        <f t="shared" si="461"/>
        <v>Lacine7_20171117_00_00</v>
      </c>
      <c r="I961" s="70">
        <f t="shared" si="465"/>
        <v>1</v>
      </c>
      <c r="J961" s="77" t="str">
        <f t="shared" si="465"/>
        <v>Lactuca</v>
      </c>
      <c r="K961" s="77" t="str">
        <f t="shared" si="465"/>
        <v>inermis</v>
      </c>
      <c r="L961" s="78">
        <f t="shared" si="465"/>
        <v>7</v>
      </c>
      <c r="M961" s="78">
        <f t="shared" si="465"/>
        <v>0</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2017</v>
      </c>
      <c r="B962" s="73" t="str">
        <f t="shared" si="437"/>
        <v>Nov</v>
      </c>
      <c r="C962" s="74">
        <f t="shared" si="460"/>
        <v>17</v>
      </c>
      <c r="D962" s="75">
        <f t="shared" si="438"/>
        <v>0</v>
      </c>
      <c r="E962" s="76">
        <f t="shared" si="439"/>
        <v>17</v>
      </c>
      <c r="F962" s="80"/>
      <c r="G962" s="83"/>
      <c r="H962" s="69" t="str">
        <f t="shared" si="461"/>
        <v>Lacine7_20171117_00_00</v>
      </c>
      <c r="I962" s="70">
        <f t="shared" si="465"/>
        <v>1</v>
      </c>
      <c r="J962" s="77" t="str">
        <f t="shared" si="465"/>
        <v>Lactuca</v>
      </c>
      <c r="K962" s="77" t="str">
        <f t="shared" si="465"/>
        <v>inermis</v>
      </c>
      <c r="L962" s="78">
        <f t="shared" si="465"/>
        <v>7</v>
      </c>
      <c r="M962" s="78">
        <f t="shared" si="465"/>
        <v>0</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2017</v>
      </c>
      <c r="B963" s="73" t="str">
        <f t="shared" si="437"/>
        <v>Nov</v>
      </c>
      <c r="C963" s="74">
        <f t="shared" si="460"/>
        <v>17</v>
      </c>
      <c r="D963" s="75">
        <f t="shared" si="438"/>
        <v>0</v>
      </c>
      <c r="E963" s="76">
        <f t="shared" si="439"/>
        <v>18</v>
      </c>
      <c r="F963" s="80"/>
      <c r="G963" s="83"/>
      <c r="H963" s="69" t="str">
        <f t="shared" si="461"/>
        <v>Lacine7_20171117_00_00</v>
      </c>
      <c r="I963" s="70">
        <f t="shared" si="465"/>
        <v>1</v>
      </c>
      <c r="J963" s="77" t="str">
        <f t="shared" si="465"/>
        <v>Lactuca</v>
      </c>
      <c r="K963" s="77" t="str">
        <f t="shared" si="465"/>
        <v>inermis</v>
      </c>
      <c r="L963" s="78">
        <f t="shared" si="465"/>
        <v>7</v>
      </c>
      <c r="M963" s="78">
        <f t="shared" si="465"/>
        <v>0</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2017</v>
      </c>
      <c r="B964" s="73" t="str">
        <f t="shared" ref="B964:B1027" si="468">IF(C963-C964&gt;0, TEXT(DATE(2016,(MONTH(DATEVALUE(B963&amp;"1"))+1),1),"mmm"), B963)</f>
        <v>Nov</v>
      </c>
      <c r="C964" s="74">
        <f t="shared" si="460"/>
        <v>17</v>
      </c>
      <c r="D964" s="75">
        <f t="shared" ref="D964:D1027" si="469">IF(IF(E963=59,D963+1,D963)=24,0,IF(E963=59,D963+1,D963))</f>
        <v>0</v>
      </c>
      <c r="E964" s="76">
        <f t="shared" ref="E964:E1027" si="470">IF(E963&lt;59,E963+1,0)</f>
        <v>19</v>
      </c>
      <c r="F964" s="80"/>
      <c r="G964" s="83"/>
      <c r="H964" s="69" t="str">
        <f t="shared" si="461"/>
        <v>Lacine7_20171117_00_00</v>
      </c>
      <c r="I964" s="70">
        <f t="shared" si="465"/>
        <v>1</v>
      </c>
      <c r="J964" s="77" t="str">
        <f t="shared" si="465"/>
        <v>Lactuca</v>
      </c>
      <c r="K964" s="77" t="str">
        <f t="shared" si="465"/>
        <v>inermis</v>
      </c>
      <c r="L964" s="78">
        <f t="shared" si="465"/>
        <v>7</v>
      </c>
      <c r="M964" s="78">
        <f t="shared" si="465"/>
        <v>0</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2017</v>
      </c>
      <c r="B965" s="73" t="str">
        <f t="shared" si="468"/>
        <v>Nov</v>
      </c>
      <c r="C965" s="74">
        <f t="shared" ref="C965:C1028" si="491">IF(AND(D965=0, E965=0), IF(TEXT(C964,"dd")=TEXT(EOMONTH(DATE(A964,MONTH(DATEVALUE(B964&amp;"1")),C964),0), "dd"), 1, C964+1), C964)</f>
        <v>17</v>
      </c>
      <c r="D965" s="75">
        <f t="shared" si="469"/>
        <v>0</v>
      </c>
      <c r="E965" s="76">
        <f t="shared" si="470"/>
        <v>20</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Lacine7_20171117_00_00</v>
      </c>
      <c r="I965" s="70">
        <f t="shared" ref="I965:N980" si="493">I964</f>
        <v>1</v>
      </c>
      <c r="J965" s="77" t="str">
        <f t="shared" si="493"/>
        <v>Lactuca</v>
      </c>
      <c r="K965" s="77" t="str">
        <f t="shared" si="493"/>
        <v>inermis</v>
      </c>
      <c r="L965" s="78">
        <f t="shared" si="493"/>
        <v>7</v>
      </c>
      <c r="M965" s="78">
        <f t="shared" si="493"/>
        <v>0</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2017</v>
      </c>
      <c r="B966" s="73" t="str">
        <f t="shared" si="468"/>
        <v>Nov</v>
      </c>
      <c r="C966" s="74">
        <f t="shared" si="491"/>
        <v>17</v>
      </c>
      <c r="D966" s="75">
        <f t="shared" si="469"/>
        <v>0</v>
      </c>
      <c r="E966" s="76">
        <f t="shared" si="470"/>
        <v>21</v>
      </c>
      <c r="F966" s="80"/>
      <c r="G966" s="83"/>
      <c r="H966" s="69" t="str">
        <f t="shared" si="492"/>
        <v>Lacine7_20171117_00_00</v>
      </c>
      <c r="I966" s="70">
        <f t="shared" si="493"/>
        <v>1</v>
      </c>
      <c r="J966" s="77" t="str">
        <f t="shared" si="493"/>
        <v>Lactuca</v>
      </c>
      <c r="K966" s="77" t="str">
        <f t="shared" si="493"/>
        <v>inermis</v>
      </c>
      <c r="L966" s="78">
        <f t="shared" si="493"/>
        <v>7</v>
      </c>
      <c r="M966" s="78">
        <f t="shared" si="493"/>
        <v>0</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2017</v>
      </c>
      <c r="B967" s="73" t="str">
        <f t="shared" si="468"/>
        <v>Nov</v>
      </c>
      <c r="C967" s="74">
        <f t="shared" si="491"/>
        <v>17</v>
      </c>
      <c r="D967" s="75">
        <f t="shared" si="469"/>
        <v>0</v>
      </c>
      <c r="E967" s="76">
        <f t="shared" si="470"/>
        <v>22</v>
      </c>
      <c r="F967" s="80"/>
      <c r="G967" s="83"/>
      <c r="H967" s="69" t="str">
        <f t="shared" si="492"/>
        <v>Lacine7_20171117_00_00</v>
      </c>
      <c r="I967" s="70">
        <f t="shared" si="493"/>
        <v>1</v>
      </c>
      <c r="J967" s="77" t="str">
        <f t="shared" si="493"/>
        <v>Lactuca</v>
      </c>
      <c r="K967" s="77" t="str">
        <f t="shared" si="493"/>
        <v>inermis</v>
      </c>
      <c r="L967" s="78">
        <f t="shared" si="493"/>
        <v>7</v>
      </c>
      <c r="M967" s="78">
        <f t="shared" si="493"/>
        <v>0</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2017</v>
      </c>
      <c r="B968" s="73" t="str">
        <f t="shared" si="468"/>
        <v>Nov</v>
      </c>
      <c r="C968" s="74">
        <f t="shared" si="491"/>
        <v>17</v>
      </c>
      <c r="D968" s="75">
        <f t="shared" si="469"/>
        <v>0</v>
      </c>
      <c r="E968" s="76">
        <f t="shared" si="470"/>
        <v>23</v>
      </c>
      <c r="F968" s="80"/>
      <c r="G968" s="83"/>
      <c r="H968" s="69" t="str">
        <f t="shared" si="492"/>
        <v>Lacine7_20171117_00_00</v>
      </c>
      <c r="I968" s="70">
        <f t="shared" si="493"/>
        <v>1</v>
      </c>
      <c r="J968" s="77" t="str">
        <f t="shared" si="493"/>
        <v>Lactuca</v>
      </c>
      <c r="K968" s="77" t="str">
        <f t="shared" si="493"/>
        <v>inermis</v>
      </c>
      <c r="L968" s="78">
        <f t="shared" si="493"/>
        <v>7</v>
      </c>
      <c r="M968" s="78">
        <f t="shared" si="493"/>
        <v>0</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2017</v>
      </c>
      <c r="B969" s="73" t="str">
        <f t="shared" si="468"/>
        <v>Nov</v>
      </c>
      <c r="C969" s="74">
        <f t="shared" si="491"/>
        <v>17</v>
      </c>
      <c r="D969" s="75">
        <f t="shared" si="469"/>
        <v>0</v>
      </c>
      <c r="E969" s="76">
        <f t="shared" si="470"/>
        <v>24</v>
      </c>
      <c r="F969" s="80"/>
      <c r="G969" s="83"/>
      <c r="H969" s="69" t="str">
        <f t="shared" si="492"/>
        <v>Lacine7_20171117_00_00</v>
      </c>
      <c r="I969" s="70">
        <f t="shared" si="493"/>
        <v>1</v>
      </c>
      <c r="J969" s="77" t="str">
        <f t="shared" si="493"/>
        <v>Lactuca</v>
      </c>
      <c r="K969" s="77" t="str">
        <f t="shared" si="493"/>
        <v>inermis</v>
      </c>
      <c r="L969" s="78">
        <f t="shared" si="493"/>
        <v>7</v>
      </c>
      <c r="M969" s="78">
        <f t="shared" si="493"/>
        <v>0</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2017</v>
      </c>
      <c r="B970" s="73" t="str">
        <f t="shared" si="468"/>
        <v>Nov</v>
      </c>
      <c r="C970" s="74">
        <f t="shared" si="491"/>
        <v>17</v>
      </c>
      <c r="D970" s="75">
        <f t="shared" si="469"/>
        <v>0</v>
      </c>
      <c r="E970" s="76">
        <f t="shared" si="470"/>
        <v>25</v>
      </c>
      <c r="F970" s="80"/>
      <c r="G970" s="83"/>
      <c r="H970" s="69" t="str">
        <f t="shared" si="492"/>
        <v>Lacine7_20171117_00_00</v>
      </c>
      <c r="I970" s="70">
        <f t="shared" si="493"/>
        <v>1</v>
      </c>
      <c r="J970" s="77" t="str">
        <f t="shared" si="493"/>
        <v>Lactuca</v>
      </c>
      <c r="K970" s="77" t="str">
        <f t="shared" si="493"/>
        <v>inermis</v>
      </c>
      <c r="L970" s="78">
        <f t="shared" si="493"/>
        <v>7</v>
      </c>
      <c r="M970" s="78">
        <f t="shared" si="493"/>
        <v>0</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2017</v>
      </c>
      <c r="B971" s="73" t="str">
        <f t="shared" si="468"/>
        <v>Nov</v>
      </c>
      <c r="C971" s="74">
        <f t="shared" si="491"/>
        <v>17</v>
      </c>
      <c r="D971" s="75">
        <f t="shared" si="469"/>
        <v>0</v>
      </c>
      <c r="E971" s="76">
        <f t="shared" si="470"/>
        <v>26</v>
      </c>
      <c r="F971" s="80"/>
      <c r="G971" s="83"/>
      <c r="H971" s="69" t="str">
        <f t="shared" si="492"/>
        <v>Lacine7_20171117_00_00</v>
      </c>
      <c r="I971" s="70">
        <f t="shared" si="493"/>
        <v>1</v>
      </c>
      <c r="J971" s="77" t="str">
        <f t="shared" si="493"/>
        <v>Lactuca</v>
      </c>
      <c r="K971" s="77" t="str">
        <f t="shared" si="493"/>
        <v>inermis</v>
      </c>
      <c r="L971" s="78">
        <f t="shared" si="493"/>
        <v>7</v>
      </c>
      <c r="M971" s="78">
        <f t="shared" si="493"/>
        <v>0</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2017</v>
      </c>
      <c r="B972" s="73" t="str">
        <f t="shared" si="468"/>
        <v>Nov</v>
      </c>
      <c r="C972" s="74">
        <f t="shared" si="491"/>
        <v>17</v>
      </c>
      <c r="D972" s="75">
        <f t="shared" si="469"/>
        <v>0</v>
      </c>
      <c r="E972" s="76">
        <f t="shared" si="470"/>
        <v>27</v>
      </c>
      <c r="F972" s="80"/>
      <c r="G972" s="83"/>
      <c r="H972" s="69" t="str">
        <f t="shared" si="492"/>
        <v>Lacine7_20171117_00_00</v>
      </c>
      <c r="I972" s="70">
        <f t="shared" si="493"/>
        <v>1</v>
      </c>
      <c r="J972" s="77" t="str">
        <f t="shared" si="493"/>
        <v>Lactuca</v>
      </c>
      <c r="K972" s="77" t="str">
        <f t="shared" si="493"/>
        <v>inermis</v>
      </c>
      <c r="L972" s="78">
        <f t="shared" si="493"/>
        <v>7</v>
      </c>
      <c r="M972" s="78">
        <f t="shared" si="493"/>
        <v>0</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2017</v>
      </c>
      <c r="B973" s="73" t="str">
        <f t="shared" si="468"/>
        <v>Nov</v>
      </c>
      <c r="C973" s="74">
        <f t="shared" si="491"/>
        <v>17</v>
      </c>
      <c r="D973" s="75">
        <f t="shared" si="469"/>
        <v>0</v>
      </c>
      <c r="E973" s="76">
        <f t="shared" si="470"/>
        <v>28</v>
      </c>
      <c r="F973" s="80"/>
      <c r="G973" s="83"/>
      <c r="H973" s="69" t="str">
        <f t="shared" si="492"/>
        <v>Lacine7_20171117_00_00</v>
      </c>
      <c r="I973" s="70">
        <f t="shared" si="493"/>
        <v>1</v>
      </c>
      <c r="J973" s="77" t="str">
        <f t="shared" si="493"/>
        <v>Lactuca</v>
      </c>
      <c r="K973" s="77" t="str">
        <f t="shared" si="493"/>
        <v>inermis</v>
      </c>
      <c r="L973" s="78">
        <f t="shared" si="493"/>
        <v>7</v>
      </c>
      <c r="M973" s="78">
        <f t="shared" si="493"/>
        <v>0</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2017</v>
      </c>
      <c r="B974" s="73" t="str">
        <f t="shared" si="468"/>
        <v>Nov</v>
      </c>
      <c r="C974" s="74">
        <f t="shared" si="491"/>
        <v>17</v>
      </c>
      <c r="D974" s="75">
        <f t="shared" si="469"/>
        <v>0</v>
      </c>
      <c r="E974" s="76">
        <f t="shared" si="470"/>
        <v>29</v>
      </c>
      <c r="F974" s="80"/>
      <c r="G974" s="83"/>
      <c r="H974" s="69" t="str">
        <f t="shared" si="492"/>
        <v>Lacine7_20171117_00_00</v>
      </c>
      <c r="I974" s="70">
        <f t="shared" si="493"/>
        <v>1</v>
      </c>
      <c r="J974" s="77" t="str">
        <f t="shared" si="493"/>
        <v>Lactuca</v>
      </c>
      <c r="K974" s="77" t="str">
        <f t="shared" si="493"/>
        <v>inermis</v>
      </c>
      <c r="L974" s="78">
        <f t="shared" si="493"/>
        <v>7</v>
      </c>
      <c r="M974" s="78">
        <f t="shared" si="493"/>
        <v>0</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2017</v>
      </c>
      <c r="B975" s="73" t="str">
        <f t="shared" si="468"/>
        <v>Nov</v>
      </c>
      <c r="C975" s="74">
        <f t="shared" si="491"/>
        <v>17</v>
      </c>
      <c r="D975" s="75">
        <f t="shared" si="469"/>
        <v>0</v>
      </c>
      <c r="E975" s="76">
        <f t="shared" si="470"/>
        <v>30</v>
      </c>
      <c r="F975" s="80"/>
      <c r="G975" s="83"/>
      <c r="H975" s="69" t="str">
        <f t="shared" si="492"/>
        <v>Lacine7_20171117_00_00</v>
      </c>
      <c r="I975" s="70">
        <f t="shared" si="493"/>
        <v>1</v>
      </c>
      <c r="J975" s="77" t="str">
        <f t="shared" si="493"/>
        <v>Lactuca</v>
      </c>
      <c r="K975" s="77" t="str">
        <f t="shared" si="493"/>
        <v>inermis</v>
      </c>
      <c r="L975" s="78">
        <f t="shared" si="493"/>
        <v>7</v>
      </c>
      <c r="M975" s="78">
        <f t="shared" si="493"/>
        <v>0</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2017</v>
      </c>
      <c r="B976" s="73" t="str">
        <f t="shared" si="468"/>
        <v>Nov</v>
      </c>
      <c r="C976" s="74">
        <f t="shared" si="491"/>
        <v>17</v>
      </c>
      <c r="D976" s="75">
        <f t="shared" si="469"/>
        <v>0</v>
      </c>
      <c r="E976" s="76">
        <f t="shared" si="470"/>
        <v>31</v>
      </c>
      <c r="F976" s="80"/>
      <c r="G976" s="83"/>
      <c r="H976" s="69" t="str">
        <f t="shared" si="492"/>
        <v>Lacine7_20171117_00_00</v>
      </c>
      <c r="I976" s="70">
        <f t="shared" si="493"/>
        <v>1</v>
      </c>
      <c r="J976" s="77" t="str">
        <f t="shared" si="493"/>
        <v>Lactuca</v>
      </c>
      <c r="K976" s="77" t="str">
        <f t="shared" si="493"/>
        <v>inermis</v>
      </c>
      <c r="L976" s="78">
        <f t="shared" si="493"/>
        <v>7</v>
      </c>
      <c r="M976" s="78">
        <f t="shared" si="493"/>
        <v>0</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2017</v>
      </c>
      <c r="B977" s="73" t="str">
        <f t="shared" si="468"/>
        <v>Nov</v>
      </c>
      <c r="C977" s="74">
        <f t="shared" si="491"/>
        <v>17</v>
      </c>
      <c r="D977" s="75">
        <f t="shared" si="469"/>
        <v>0</v>
      </c>
      <c r="E977" s="76">
        <f t="shared" si="470"/>
        <v>32</v>
      </c>
      <c r="F977" s="80"/>
      <c r="G977" s="83"/>
      <c r="H977" s="69" t="str">
        <f t="shared" si="492"/>
        <v>Lacine7_20171117_00_00</v>
      </c>
      <c r="I977" s="70">
        <f t="shared" si="493"/>
        <v>1</v>
      </c>
      <c r="J977" s="77" t="str">
        <f t="shared" si="493"/>
        <v>Lactuca</v>
      </c>
      <c r="K977" s="77" t="str">
        <f t="shared" si="493"/>
        <v>inermis</v>
      </c>
      <c r="L977" s="78">
        <f t="shared" si="493"/>
        <v>7</v>
      </c>
      <c r="M977" s="78">
        <f t="shared" si="493"/>
        <v>0</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2017</v>
      </c>
      <c r="B978" s="73" t="str">
        <f t="shared" si="468"/>
        <v>Nov</v>
      </c>
      <c r="C978" s="74">
        <f t="shared" si="491"/>
        <v>17</v>
      </c>
      <c r="D978" s="75">
        <f t="shared" si="469"/>
        <v>0</v>
      </c>
      <c r="E978" s="76">
        <f t="shared" si="470"/>
        <v>33</v>
      </c>
      <c r="F978" s="80"/>
      <c r="G978" s="83"/>
      <c r="H978" s="69" t="str">
        <f t="shared" si="492"/>
        <v>Lacine7_20171117_00_00</v>
      </c>
      <c r="I978" s="70">
        <f t="shared" si="493"/>
        <v>1</v>
      </c>
      <c r="J978" s="77" t="str">
        <f t="shared" si="493"/>
        <v>Lactuca</v>
      </c>
      <c r="K978" s="77" t="str">
        <f t="shared" si="493"/>
        <v>inermis</v>
      </c>
      <c r="L978" s="78">
        <f t="shared" si="493"/>
        <v>7</v>
      </c>
      <c r="M978" s="78">
        <f t="shared" si="493"/>
        <v>0</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2017</v>
      </c>
      <c r="B979" s="73" t="str">
        <f t="shared" si="468"/>
        <v>Nov</v>
      </c>
      <c r="C979" s="74">
        <f t="shared" si="491"/>
        <v>17</v>
      </c>
      <c r="D979" s="75">
        <f t="shared" si="469"/>
        <v>0</v>
      </c>
      <c r="E979" s="76">
        <f t="shared" si="470"/>
        <v>34</v>
      </c>
      <c r="F979" s="80"/>
      <c r="G979" s="83"/>
      <c r="H979" s="69" t="str">
        <f t="shared" si="492"/>
        <v>Lacine7_20171117_00_00</v>
      </c>
      <c r="I979" s="70">
        <f t="shared" si="493"/>
        <v>1</v>
      </c>
      <c r="J979" s="77" t="str">
        <f t="shared" si="493"/>
        <v>Lactuca</v>
      </c>
      <c r="K979" s="77" t="str">
        <f t="shared" si="493"/>
        <v>inermis</v>
      </c>
      <c r="L979" s="78">
        <f t="shared" si="493"/>
        <v>7</v>
      </c>
      <c r="M979" s="78">
        <f t="shared" si="493"/>
        <v>0</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2017</v>
      </c>
      <c r="B980" s="73" t="str">
        <f t="shared" si="468"/>
        <v>Nov</v>
      </c>
      <c r="C980" s="74">
        <f t="shared" si="491"/>
        <v>17</v>
      </c>
      <c r="D980" s="75">
        <f t="shared" si="469"/>
        <v>0</v>
      </c>
      <c r="E980" s="76">
        <f t="shared" si="470"/>
        <v>35</v>
      </c>
      <c r="F980" s="80"/>
      <c r="G980" s="83"/>
      <c r="H980" s="69" t="str">
        <f t="shared" si="492"/>
        <v>Lacine7_20171117_00_00</v>
      </c>
      <c r="I980" s="70">
        <f t="shared" si="493"/>
        <v>1</v>
      </c>
      <c r="J980" s="77" t="str">
        <f t="shared" si="493"/>
        <v>Lactuca</v>
      </c>
      <c r="K980" s="77" t="str">
        <f t="shared" si="493"/>
        <v>inermis</v>
      </c>
      <c r="L980" s="78">
        <f t="shared" si="493"/>
        <v>7</v>
      </c>
      <c r="M980" s="78">
        <f t="shared" si="493"/>
        <v>0</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2017</v>
      </c>
      <c r="B981" s="73" t="str">
        <f t="shared" si="468"/>
        <v>Nov</v>
      </c>
      <c r="C981" s="74">
        <f t="shared" si="491"/>
        <v>17</v>
      </c>
      <c r="D981" s="75">
        <f t="shared" si="469"/>
        <v>0</v>
      </c>
      <c r="E981" s="76">
        <f t="shared" si="470"/>
        <v>36</v>
      </c>
      <c r="F981" s="80"/>
      <c r="G981" s="83"/>
      <c r="H981" s="69" t="str">
        <f t="shared" si="492"/>
        <v>Lacine7_20171117_00_00</v>
      </c>
      <c r="I981" s="70">
        <f t="shared" ref="I981:N996" si="494">I980</f>
        <v>1</v>
      </c>
      <c r="J981" s="77" t="str">
        <f t="shared" si="494"/>
        <v>Lactuca</v>
      </c>
      <c r="K981" s="77" t="str">
        <f t="shared" si="494"/>
        <v>inermis</v>
      </c>
      <c r="L981" s="78">
        <f t="shared" si="494"/>
        <v>7</v>
      </c>
      <c r="M981" s="78">
        <f t="shared" si="494"/>
        <v>0</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2017</v>
      </c>
      <c r="B982" s="73" t="str">
        <f t="shared" si="468"/>
        <v>Nov</v>
      </c>
      <c r="C982" s="74">
        <f t="shared" si="491"/>
        <v>17</v>
      </c>
      <c r="D982" s="75">
        <f t="shared" si="469"/>
        <v>0</v>
      </c>
      <c r="E982" s="76">
        <f t="shared" si="470"/>
        <v>37</v>
      </c>
      <c r="F982" s="80"/>
      <c r="G982" s="83"/>
      <c r="H982" s="69" t="str">
        <f t="shared" si="492"/>
        <v>Lacine7_20171117_00_00</v>
      </c>
      <c r="I982" s="70">
        <f t="shared" si="494"/>
        <v>1</v>
      </c>
      <c r="J982" s="77" t="str">
        <f t="shared" si="494"/>
        <v>Lactuca</v>
      </c>
      <c r="K982" s="77" t="str">
        <f t="shared" si="494"/>
        <v>inermis</v>
      </c>
      <c r="L982" s="78">
        <f t="shared" si="494"/>
        <v>7</v>
      </c>
      <c r="M982" s="78">
        <f t="shared" si="494"/>
        <v>0</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2017</v>
      </c>
      <c r="B983" s="73" t="str">
        <f t="shared" si="468"/>
        <v>Nov</v>
      </c>
      <c r="C983" s="74">
        <f t="shared" si="491"/>
        <v>17</v>
      </c>
      <c r="D983" s="75">
        <f t="shared" si="469"/>
        <v>0</v>
      </c>
      <c r="E983" s="76">
        <f t="shared" si="470"/>
        <v>38</v>
      </c>
      <c r="F983" s="80"/>
      <c r="G983" s="83"/>
      <c r="H983" s="69" t="str">
        <f t="shared" si="492"/>
        <v>Lacine7_20171117_00_00</v>
      </c>
      <c r="I983" s="70">
        <f t="shared" si="494"/>
        <v>1</v>
      </c>
      <c r="J983" s="77" t="str">
        <f t="shared" si="494"/>
        <v>Lactuca</v>
      </c>
      <c r="K983" s="77" t="str">
        <f t="shared" si="494"/>
        <v>inermis</v>
      </c>
      <c r="L983" s="78">
        <f t="shared" si="494"/>
        <v>7</v>
      </c>
      <c r="M983" s="78">
        <f t="shared" si="494"/>
        <v>0</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2017</v>
      </c>
      <c r="B984" s="73" t="str">
        <f t="shared" si="468"/>
        <v>Nov</v>
      </c>
      <c r="C984" s="74">
        <f t="shared" si="491"/>
        <v>17</v>
      </c>
      <c r="D984" s="75">
        <f t="shared" si="469"/>
        <v>0</v>
      </c>
      <c r="E984" s="76">
        <f t="shared" si="470"/>
        <v>39</v>
      </c>
      <c r="F984" s="80"/>
      <c r="G984" s="83"/>
      <c r="H984" s="69" t="str">
        <f t="shared" si="492"/>
        <v>Lacine7_20171117_00_00</v>
      </c>
      <c r="I984" s="70">
        <f t="shared" si="494"/>
        <v>1</v>
      </c>
      <c r="J984" s="77" t="str">
        <f t="shared" si="494"/>
        <v>Lactuca</v>
      </c>
      <c r="K984" s="77" t="str">
        <f t="shared" si="494"/>
        <v>inermis</v>
      </c>
      <c r="L984" s="78">
        <f t="shared" si="494"/>
        <v>7</v>
      </c>
      <c r="M984" s="78">
        <f t="shared" si="494"/>
        <v>0</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2017</v>
      </c>
      <c r="B985" s="73" t="str">
        <f t="shared" si="468"/>
        <v>Nov</v>
      </c>
      <c r="C985" s="74">
        <f t="shared" si="491"/>
        <v>17</v>
      </c>
      <c r="D985" s="75">
        <f t="shared" si="469"/>
        <v>0</v>
      </c>
      <c r="E985" s="76">
        <f t="shared" si="470"/>
        <v>40</v>
      </c>
      <c r="F985" s="80"/>
      <c r="G985" s="83"/>
      <c r="H985" s="69" t="str">
        <f t="shared" si="492"/>
        <v>Lacine7_20171117_00_00</v>
      </c>
      <c r="I985" s="70">
        <f t="shared" si="494"/>
        <v>1</v>
      </c>
      <c r="J985" s="77" t="str">
        <f t="shared" si="494"/>
        <v>Lactuca</v>
      </c>
      <c r="K985" s="77" t="str">
        <f t="shared" si="494"/>
        <v>inermis</v>
      </c>
      <c r="L985" s="78">
        <f t="shared" si="494"/>
        <v>7</v>
      </c>
      <c r="M985" s="78">
        <f t="shared" si="494"/>
        <v>0</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2017</v>
      </c>
      <c r="B986" s="73" t="str">
        <f t="shared" si="468"/>
        <v>Nov</v>
      </c>
      <c r="C986" s="74">
        <f t="shared" si="491"/>
        <v>17</v>
      </c>
      <c r="D986" s="75">
        <f t="shared" si="469"/>
        <v>0</v>
      </c>
      <c r="E986" s="76">
        <f t="shared" si="470"/>
        <v>41</v>
      </c>
      <c r="F986" s="80"/>
      <c r="G986" s="83"/>
      <c r="H986" s="69" t="str">
        <f t="shared" si="492"/>
        <v>Lacine7_20171117_00_00</v>
      </c>
      <c r="I986" s="70">
        <f t="shared" si="494"/>
        <v>1</v>
      </c>
      <c r="J986" s="77" t="str">
        <f t="shared" si="494"/>
        <v>Lactuca</v>
      </c>
      <c r="K986" s="77" t="str">
        <f t="shared" si="494"/>
        <v>inermis</v>
      </c>
      <c r="L986" s="78">
        <f t="shared" si="494"/>
        <v>7</v>
      </c>
      <c r="M986" s="78">
        <f t="shared" si="494"/>
        <v>0</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2017</v>
      </c>
      <c r="B987" s="73" t="str">
        <f t="shared" si="468"/>
        <v>Nov</v>
      </c>
      <c r="C987" s="74">
        <f t="shared" si="491"/>
        <v>17</v>
      </c>
      <c r="D987" s="75">
        <f t="shared" si="469"/>
        <v>0</v>
      </c>
      <c r="E987" s="76">
        <f t="shared" si="470"/>
        <v>42</v>
      </c>
      <c r="F987" s="80"/>
      <c r="G987" s="83"/>
      <c r="H987" s="69" t="str">
        <f t="shared" si="492"/>
        <v>Lacine7_20171117_00_00</v>
      </c>
      <c r="I987" s="70">
        <f t="shared" si="494"/>
        <v>1</v>
      </c>
      <c r="J987" s="77" t="str">
        <f t="shared" si="494"/>
        <v>Lactuca</v>
      </c>
      <c r="K987" s="77" t="str">
        <f t="shared" si="494"/>
        <v>inermis</v>
      </c>
      <c r="L987" s="78">
        <f t="shared" si="494"/>
        <v>7</v>
      </c>
      <c r="M987" s="78">
        <f t="shared" si="494"/>
        <v>0</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2017</v>
      </c>
      <c r="B988" s="73" t="str">
        <f t="shared" si="468"/>
        <v>Nov</v>
      </c>
      <c r="C988" s="74">
        <f t="shared" si="491"/>
        <v>17</v>
      </c>
      <c r="D988" s="75">
        <f t="shared" si="469"/>
        <v>0</v>
      </c>
      <c r="E988" s="76">
        <f t="shared" si="470"/>
        <v>43</v>
      </c>
      <c r="F988" s="80"/>
      <c r="G988" s="83"/>
      <c r="H988" s="69" t="str">
        <f t="shared" si="492"/>
        <v>Lacine7_20171117_00_00</v>
      </c>
      <c r="I988" s="70">
        <f t="shared" si="494"/>
        <v>1</v>
      </c>
      <c r="J988" s="77" t="str">
        <f t="shared" si="494"/>
        <v>Lactuca</v>
      </c>
      <c r="K988" s="77" t="str">
        <f t="shared" si="494"/>
        <v>inermis</v>
      </c>
      <c r="L988" s="78">
        <f t="shared" si="494"/>
        <v>7</v>
      </c>
      <c r="M988" s="78">
        <f t="shared" si="494"/>
        <v>0</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2017</v>
      </c>
      <c r="B989" s="73" t="str">
        <f t="shared" si="468"/>
        <v>Nov</v>
      </c>
      <c r="C989" s="74">
        <f t="shared" si="491"/>
        <v>17</v>
      </c>
      <c r="D989" s="75">
        <f t="shared" si="469"/>
        <v>0</v>
      </c>
      <c r="E989" s="76">
        <f t="shared" si="470"/>
        <v>44</v>
      </c>
      <c r="F989" s="80"/>
      <c r="G989" s="83"/>
      <c r="H989" s="69" t="str">
        <f t="shared" si="492"/>
        <v>Lacine7_20171117_00_00</v>
      </c>
      <c r="I989" s="70">
        <f t="shared" si="494"/>
        <v>1</v>
      </c>
      <c r="J989" s="77" t="str">
        <f t="shared" si="494"/>
        <v>Lactuca</v>
      </c>
      <c r="K989" s="77" t="str">
        <f t="shared" si="494"/>
        <v>inermis</v>
      </c>
      <c r="L989" s="78">
        <f t="shared" si="494"/>
        <v>7</v>
      </c>
      <c r="M989" s="78">
        <f t="shared" si="494"/>
        <v>0</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2017</v>
      </c>
      <c r="B990" s="73" t="str">
        <f t="shared" si="468"/>
        <v>Nov</v>
      </c>
      <c r="C990" s="74">
        <f t="shared" si="491"/>
        <v>17</v>
      </c>
      <c r="D990" s="75">
        <f t="shared" si="469"/>
        <v>0</v>
      </c>
      <c r="E990" s="76">
        <f t="shared" si="470"/>
        <v>45</v>
      </c>
      <c r="F990" s="80"/>
      <c r="G990" s="83"/>
      <c r="H990" s="69" t="str">
        <f t="shared" si="492"/>
        <v>Lacine7_20171117_00_00</v>
      </c>
      <c r="I990" s="70">
        <f t="shared" si="494"/>
        <v>1</v>
      </c>
      <c r="J990" s="77" t="str">
        <f t="shared" si="494"/>
        <v>Lactuca</v>
      </c>
      <c r="K990" s="77" t="str">
        <f t="shared" si="494"/>
        <v>inermis</v>
      </c>
      <c r="L990" s="78">
        <f t="shared" si="494"/>
        <v>7</v>
      </c>
      <c r="M990" s="78">
        <f t="shared" si="494"/>
        <v>0</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2017</v>
      </c>
      <c r="B991" s="73" t="str">
        <f t="shared" si="468"/>
        <v>Nov</v>
      </c>
      <c r="C991" s="74">
        <f t="shared" si="491"/>
        <v>17</v>
      </c>
      <c r="D991" s="75">
        <f t="shared" si="469"/>
        <v>0</v>
      </c>
      <c r="E991" s="76">
        <f t="shared" si="470"/>
        <v>46</v>
      </c>
      <c r="F991" s="80"/>
      <c r="G991" s="83"/>
      <c r="H991" s="69" t="str">
        <f t="shared" si="492"/>
        <v>Lacine7_20171117_00_00</v>
      </c>
      <c r="I991" s="70">
        <f t="shared" si="494"/>
        <v>1</v>
      </c>
      <c r="J991" s="77" t="str">
        <f t="shared" si="494"/>
        <v>Lactuca</v>
      </c>
      <c r="K991" s="77" t="str">
        <f t="shared" si="494"/>
        <v>inermis</v>
      </c>
      <c r="L991" s="78">
        <f t="shared" si="494"/>
        <v>7</v>
      </c>
      <c r="M991" s="78">
        <f t="shared" si="494"/>
        <v>0</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2017</v>
      </c>
      <c r="B992" s="73" t="str">
        <f t="shared" si="468"/>
        <v>Nov</v>
      </c>
      <c r="C992" s="74">
        <f t="shared" si="491"/>
        <v>17</v>
      </c>
      <c r="D992" s="75">
        <f t="shared" si="469"/>
        <v>0</v>
      </c>
      <c r="E992" s="76">
        <f t="shared" si="470"/>
        <v>47</v>
      </c>
      <c r="F992" s="80"/>
      <c r="G992" s="83"/>
      <c r="H992" s="69" t="str">
        <f t="shared" si="492"/>
        <v>Lacine7_20171117_00_00</v>
      </c>
      <c r="I992" s="70">
        <f t="shared" si="494"/>
        <v>1</v>
      </c>
      <c r="J992" s="77" t="str">
        <f t="shared" si="494"/>
        <v>Lactuca</v>
      </c>
      <c r="K992" s="77" t="str">
        <f t="shared" si="494"/>
        <v>inermis</v>
      </c>
      <c r="L992" s="78">
        <f t="shared" si="494"/>
        <v>7</v>
      </c>
      <c r="M992" s="78">
        <f t="shared" si="494"/>
        <v>0</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2017</v>
      </c>
      <c r="B993" s="73" t="str">
        <f t="shared" si="468"/>
        <v>Nov</v>
      </c>
      <c r="C993" s="74">
        <f t="shared" si="491"/>
        <v>17</v>
      </c>
      <c r="D993" s="75">
        <f t="shared" si="469"/>
        <v>0</v>
      </c>
      <c r="E993" s="76">
        <f t="shared" si="470"/>
        <v>48</v>
      </c>
      <c r="F993" s="80"/>
      <c r="G993" s="83"/>
      <c r="H993" s="69" t="str">
        <f t="shared" si="492"/>
        <v>Lacine7_20171117_00_00</v>
      </c>
      <c r="I993" s="70">
        <f t="shared" si="494"/>
        <v>1</v>
      </c>
      <c r="J993" s="77" t="str">
        <f t="shared" si="494"/>
        <v>Lactuca</v>
      </c>
      <c r="K993" s="77" t="str">
        <f t="shared" si="494"/>
        <v>inermis</v>
      </c>
      <c r="L993" s="78">
        <f t="shared" si="494"/>
        <v>7</v>
      </c>
      <c r="M993" s="78">
        <f t="shared" si="494"/>
        <v>0</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2017</v>
      </c>
      <c r="B994" s="73" t="str">
        <f t="shared" si="468"/>
        <v>Nov</v>
      </c>
      <c r="C994" s="74">
        <f t="shared" si="491"/>
        <v>17</v>
      </c>
      <c r="D994" s="75">
        <f t="shared" si="469"/>
        <v>0</v>
      </c>
      <c r="E994" s="76">
        <f t="shared" si="470"/>
        <v>49</v>
      </c>
      <c r="F994" s="80"/>
      <c r="G994" s="83"/>
      <c r="H994" s="69" t="str">
        <f t="shared" si="492"/>
        <v>Lacine7_20171117_00_00</v>
      </c>
      <c r="I994" s="70">
        <f t="shared" si="494"/>
        <v>1</v>
      </c>
      <c r="J994" s="77" t="str">
        <f t="shared" si="494"/>
        <v>Lactuca</v>
      </c>
      <c r="K994" s="77" t="str">
        <f t="shared" si="494"/>
        <v>inermis</v>
      </c>
      <c r="L994" s="78">
        <f t="shared" si="494"/>
        <v>7</v>
      </c>
      <c r="M994" s="78">
        <f t="shared" si="494"/>
        <v>0</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2017</v>
      </c>
      <c r="B995" s="73" t="str">
        <f t="shared" si="468"/>
        <v>Nov</v>
      </c>
      <c r="C995" s="74">
        <f t="shared" si="491"/>
        <v>17</v>
      </c>
      <c r="D995" s="75">
        <f t="shared" si="469"/>
        <v>0</v>
      </c>
      <c r="E995" s="76">
        <f t="shared" si="470"/>
        <v>50</v>
      </c>
      <c r="F995" s="80"/>
      <c r="G995" s="83"/>
      <c r="H995" s="69" t="str">
        <f t="shared" si="492"/>
        <v>Lacine7_20171117_00_00</v>
      </c>
      <c r="I995" s="70">
        <f t="shared" si="494"/>
        <v>1</v>
      </c>
      <c r="J995" s="77" t="str">
        <f t="shared" si="494"/>
        <v>Lactuca</v>
      </c>
      <c r="K995" s="77" t="str">
        <f t="shared" si="494"/>
        <v>inermis</v>
      </c>
      <c r="L995" s="78">
        <f t="shared" si="494"/>
        <v>7</v>
      </c>
      <c r="M995" s="78">
        <f t="shared" si="494"/>
        <v>0</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2017</v>
      </c>
      <c r="B996" s="73" t="str">
        <f t="shared" si="468"/>
        <v>Nov</v>
      </c>
      <c r="C996" s="74">
        <f t="shared" si="491"/>
        <v>17</v>
      </c>
      <c r="D996" s="75">
        <f t="shared" si="469"/>
        <v>0</v>
      </c>
      <c r="E996" s="76">
        <f t="shared" si="470"/>
        <v>51</v>
      </c>
      <c r="F996" s="80"/>
      <c r="G996" s="83"/>
      <c r="H996" s="69" t="str">
        <f t="shared" si="492"/>
        <v>Lacine7_20171117_00_00</v>
      </c>
      <c r="I996" s="70">
        <f t="shared" si="494"/>
        <v>1</v>
      </c>
      <c r="J996" s="77" t="str">
        <f t="shared" si="494"/>
        <v>Lactuca</v>
      </c>
      <c r="K996" s="77" t="str">
        <f t="shared" si="494"/>
        <v>inermis</v>
      </c>
      <c r="L996" s="78">
        <f t="shared" si="494"/>
        <v>7</v>
      </c>
      <c r="M996" s="78">
        <f t="shared" si="494"/>
        <v>0</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2017</v>
      </c>
      <c r="B997" s="73" t="str">
        <f t="shared" si="468"/>
        <v>Nov</v>
      </c>
      <c r="C997" s="74">
        <f t="shared" si="491"/>
        <v>17</v>
      </c>
      <c r="D997" s="75">
        <f t="shared" si="469"/>
        <v>0</v>
      </c>
      <c r="E997" s="76">
        <f t="shared" si="470"/>
        <v>52</v>
      </c>
      <c r="F997" s="80"/>
      <c r="G997" s="83"/>
      <c r="H997" s="69" t="str">
        <f t="shared" si="492"/>
        <v>Lacine7_20171117_00_00</v>
      </c>
      <c r="I997" s="70">
        <f t="shared" ref="I997:N1012" si="495">I996</f>
        <v>1</v>
      </c>
      <c r="J997" s="77" t="str">
        <f t="shared" si="495"/>
        <v>Lactuca</v>
      </c>
      <c r="K997" s="77" t="str">
        <f t="shared" si="495"/>
        <v>inermis</v>
      </c>
      <c r="L997" s="78">
        <f t="shared" si="495"/>
        <v>7</v>
      </c>
      <c r="M997" s="78">
        <f t="shared" si="495"/>
        <v>0</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2017</v>
      </c>
      <c r="B998" s="73" t="str">
        <f t="shared" si="468"/>
        <v>Nov</v>
      </c>
      <c r="C998" s="74">
        <f t="shared" si="491"/>
        <v>17</v>
      </c>
      <c r="D998" s="75">
        <f t="shared" si="469"/>
        <v>0</v>
      </c>
      <c r="E998" s="76">
        <f t="shared" si="470"/>
        <v>53</v>
      </c>
      <c r="F998" s="80"/>
      <c r="G998" s="83"/>
      <c r="H998" s="69" t="str">
        <f t="shared" si="492"/>
        <v>Lacine7_20171117_00_00</v>
      </c>
      <c r="I998" s="70">
        <f t="shared" si="495"/>
        <v>1</v>
      </c>
      <c r="J998" s="77" t="str">
        <f t="shared" si="495"/>
        <v>Lactuca</v>
      </c>
      <c r="K998" s="77" t="str">
        <f t="shared" si="495"/>
        <v>inermis</v>
      </c>
      <c r="L998" s="78">
        <f t="shared" si="495"/>
        <v>7</v>
      </c>
      <c r="M998" s="78">
        <f t="shared" si="495"/>
        <v>0</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2017</v>
      </c>
      <c r="B999" s="73" t="str">
        <f t="shared" si="468"/>
        <v>Nov</v>
      </c>
      <c r="C999" s="74">
        <f t="shared" si="491"/>
        <v>17</v>
      </c>
      <c r="D999" s="75">
        <f t="shared" si="469"/>
        <v>0</v>
      </c>
      <c r="E999" s="76">
        <f t="shared" si="470"/>
        <v>54</v>
      </c>
      <c r="F999" s="80"/>
      <c r="G999" s="83"/>
      <c r="H999" s="69" t="str">
        <f t="shared" si="492"/>
        <v>Lacine7_20171117_00_00</v>
      </c>
      <c r="I999" s="70">
        <f t="shared" si="495"/>
        <v>1</v>
      </c>
      <c r="J999" s="77" t="str">
        <f t="shared" si="495"/>
        <v>Lactuca</v>
      </c>
      <c r="K999" s="77" t="str">
        <f t="shared" si="495"/>
        <v>inermis</v>
      </c>
      <c r="L999" s="78">
        <f t="shared" si="495"/>
        <v>7</v>
      </c>
      <c r="M999" s="78">
        <f t="shared" si="495"/>
        <v>0</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2017</v>
      </c>
      <c r="B1000" s="73" t="str">
        <f t="shared" si="468"/>
        <v>Nov</v>
      </c>
      <c r="C1000" s="74">
        <f t="shared" si="491"/>
        <v>17</v>
      </c>
      <c r="D1000" s="75">
        <f t="shared" si="469"/>
        <v>0</v>
      </c>
      <c r="E1000" s="76">
        <f t="shared" si="470"/>
        <v>55</v>
      </c>
      <c r="F1000" s="80"/>
      <c r="G1000" s="83"/>
      <c r="H1000" s="69" t="str">
        <f t="shared" si="492"/>
        <v>Lacine7_20171117_00_00</v>
      </c>
      <c r="I1000" s="70">
        <f t="shared" si="495"/>
        <v>1</v>
      </c>
      <c r="J1000" s="77" t="str">
        <f t="shared" si="495"/>
        <v>Lactuca</v>
      </c>
      <c r="K1000" s="77" t="str">
        <f t="shared" si="495"/>
        <v>inermis</v>
      </c>
      <c r="L1000" s="78">
        <f t="shared" si="495"/>
        <v>7</v>
      </c>
      <c r="M1000" s="78">
        <f t="shared" si="495"/>
        <v>0</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2017</v>
      </c>
      <c r="B1001" s="73" t="str">
        <f t="shared" si="468"/>
        <v>Nov</v>
      </c>
      <c r="C1001" s="74">
        <f t="shared" si="491"/>
        <v>17</v>
      </c>
      <c r="D1001" s="75">
        <f t="shared" si="469"/>
        <v>0</v>
      </c>
      <c r="E1001" s="76">
        <f t="shared" si="470"/>
        <v>56</v>
      </c>
      <c r="F1001" s="80"/>
      <c r="G1001" s="83"/>
      <c r="H1001" s="69" t="str">
        <f t="shared" si="492"/>
        <v>Lacine7_20171117_00_00</v>
      </c>
      <c r="I1001" s="70">
        <f t="shared" si="495"/>
        <v>1</v>
      </c>
      <c r="J1001" s="77" t="str">
        <f t="shared" si="495"/>
        <v>Lactuca</v>
      </c>
      <c r="K1001" s="77" t="str">
        <f t="shared" si="495"/>
        <v>inermis</v>
      </c>
      <c r="L1001" s="78">
        <f t="shared" si="495"/>
        <v>7</v>
      </c>
      <c r="M1001" s="78">
        <f t="shared" si="495"/>
        <v>0</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2017</v>
      </c>
      <c r="B1002" s="73" t="str">
        <f t="shared" si="468"/>
        <v>Nov</v>
      </c>
      <c r="C1002" s="74">
        <f t="shared" si="491"/>
        <v>17</v>
      </c>
      <c r="D1002" s="75">
        <f t="shared" si="469"/>
        <v>0</v>
      </c>
      <c r="E1002" s="76">
        <f t="shared" si="470"/>
        <v>57</v>
      </c>
      <c r="F1002" s="80"/>
      <c r="G1002" s="83"/>
      <c r="H1002" s="69" t="str">
        <f t="shared" si="492"/>
        <v>Lacine7_20171117_00_00</v>
      </c>
      <c r="I1002" s="70">
        <f t="shared" si="495"/>
        <v>1</v>
      </c>
      <c r="J1002" s="77" t="str">
        <f t="shared" si="495"/>
        <v>Lactuca</v>
      </c>
      <c r="K1002" s="77" t="str">
        <f t="shared" si="495"/>
        <v>inermis</v>
      </c>
      <c r="L1002" s="78">
        <f t="shared" si="495"/>
        <v>7</v>
      </c>
      <c r="M1002" s="78">
        <f t="shared" si="495"/>
        <v>0</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2017</v>
      </c>
      <c r="B1003" s="73" t="str">
        <f t="shared" si="468"/>
        <v>Nov</v>
      </c>
      <c r="C1003" s="74">
        <f t="shared" si="491"/>
        <v>17</v>
      </c>
      <c r="D1003" s="75">
        <f t="shared" si="469"/>
        <v>0</v>
      </c>
      <c r="E1003" s="76">
        <f t="shared" si="470"/>
        <v>58</v>
      </c>
      <c r="F1003" s="80"/>
      <c r="G1003" s="83"/>
      <c r="H1003" s="69" t="str">
        <f t="shared" si="492"/>
        <v>Lacine7_20171117_00_00</v>
      </c>
      <c r="I1003" s="70">
        <f t="shared" si="495"/>
        <v>1</v>
      </c>
      <c r="J1003" s="77" t="str">
        <f t="shared" si="495"/>
        <v>Lactuca</v>
      </c>
      <c r="K1003" s="77" t="str">
        <f t="shared" si="495"/>
        <v>inermis</v>
      </c>
      <c r="L1003" s="78">
        <f t="shared" si="495"/>
        <v>7</v>
      </c>
      <c r="M1003" s="78">
        <f t="shared" si="495"/>
        <v>0</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2017</v>
      </c>
      <c r="B1004" s="73" t="str">
        <f t="shared" si="468"/>
        <v>Nov</v>
      </c>
      <c r="C1004" s="74">
        <f t="shared" si="491"/>
        <v>17</v>
      </c>
      <c r="D1004" s="75">
        <f t="shared" si="469"/>
        <v>0</v>
      </c>
      <c r="E1004" s="76">
        <f t="shared" si="470"/>
        <v>59</v>
      </c>
      <c r="F1004" s="80"/>
      <c r="G1004" s="83"/>
      <c r="H1004" s="69" t="str">
        <f t="shared" si="492"/>
        <v>Lacine7_20171117_00_00</v>
      </c>
      <c r="I1004" s="70">
        <f t="shared" si="495"/>
        <v>1</v>
      </c>
      <c r="J1004" s="77" t="str">
        <f t="shared" si="495"/>
        <v>Lactuca</v>
      </c>
      <c r="K1004" s="77" t="str">
        <f t="shared" si="495"/>
        <v>inermis</v>
      </c>
      <c r="L1004" s="78">
        <f t="shared" si="495"/>
        <v>7</v>
      </c>
      <c r="M1004" s="78">
        <f t="shared" si="495"/>
        <v>0</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2017</v>
      </c>
      <c r="B1005" s="73" t="str">
        <f t="shared" si="468"/>
        <v>Nov</v>
      </c>
      <c r="C1005" s="74">
        <f t="shared" si="491"/>
        <v>17</v>
      </c>
      <c r="D1005" s="75">
        <f t="shared" si="469"/>
        <v>1</v>
      </c>
      <c r="E1005" s="76">
        <f t="shared" si="470"/>
        <v>0</v>
      </c>
      <c r="F1005" s="80"/>
      <c r="G1005" s="83"/>
      <c r="H1005" s="69" t="str">
        <f t="shared" si="492"/>
        <v>Lacine7_20171117_01_00</v>
      </c>
      <c r="I1005" s="70">
        <f t="shared" si="495"/>
        <v>1</v>
      </c>
      <c r="J1005" s="77" t="str">
        <f t="shared" si="495"/>
        <v>Lactuca</v>
      </c>
      <c r="K1005" s="77" t="str">
        <f t="shared" si="495"/>
        <v>inermis</v>
      </c>
      <c r="L1005" s="78">
        <f t="shared" si="495"/>
        <v>7</v>
      </c>
      <c r="M1005" s="78">
        <f t="shared" si="495"/>
        <v>0</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2017</v>
      </c>
      <c r="B1006" s="73" t="str">
        <f t="shared" si="468"/>
        <v>Nov</v>
      </c>
      <c r="C1006" s="74">
        <f t="shared" si="491"/>
        <v>17</v>
      </c>
      <c r="D1006" s="75">
        <f t="shared" si="469"/>
        <v>1</v>
      </c>
      <c r="E1006" s="76">
        <f t="shared" si="470"/>
        <v>1</v>
      </c>
      <c r="F1006" s="80"/>
      <c r="G1006" s="83"/>
      <c r="H1006" s="69" t="str">
        <f t="shared" si="492"/>
        <v>Lacine7_20171117_01_00</v>
      </c>
      <c r="I1006" s="70">
        <f t="shared" si="495"/>
        <v>1</v>
      </c>
      <c r="J1006" s="77" t="str">
        <f t="shared" si="495"/>
        <v>Lactuca</v>
      </c>
      <c r="K1006" s="77" t="str">
        <f t="shared" si="495"/>
        <v>inermis</v>
      </c>
      <c r="L1006" s="78">
        <f t="shared" si="495"/>
        <v>7</v>
      </c>
      <c r="M1006" s="78">
        <f t="shared" si="495"/>
        <v>0</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2017</v>
      </c>
      <c r="B1007" s="73" t="str">
        <f t="shared" si="468"/>
        <v>Nov</v>
      </c>
      <c r="C1007" s="74">
        <f t="shared" si="491"/>
        <v>17</v>
      </c>
      <c r="D1007" s="75">
        <f t="shared" si="469"/>
        <v>1</v>
      </c>
      <c r="E1007" s="76">
        <f t="shared" si="470"/>
        <v>2</v>
      </c>
      <c r="F1007" s="80"/>
      <c r="G1007" s="83"/>
      <c r="H1007" s="69" t="str">
        <f t="shared" si="492"/>
        <v>Lacine7_20171117_01_00</v>
      </c>
      <c r="I1007" s="70">
        <f t="shared" si="495"/>
        <v>1</v>
      </c>
      <c r="J1007" s="77" t="str">
        <f t="shared" si="495"/>
        <v>Lactuca</v>
      </c>
      <c r="K1007" s="77" t="str">
        <f t="shared" si="495"/>
        <v>inermis</v>
      </c>
      <c r="L1007" s="78">
        <f t="shared" si="495"/>
        <v>7</v>
      </c>
      <c r="M1007" s="78">
        <f t="shared" si="495"/>
        <v>0</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2017</v>
      </c>
      <c r="B1008" s="73" t="str">
        <f t="shared" si="468"/>
        <v>Nov</v>
      </c>
      <c r="C1008" s="74">
        <f t="shared" si="491"/>
        <v>17</v>
      </c>
      <c r="D1008" s="75">
        <f t="shared" si="469"/>
        <v>1</v>
      </c>
      <c r="E1008" s="76">
        <f t="shared" si="470"/>
        <v>3</v>
      </c>
      <c r="F1008" s="80"/>
      <c r="G1008" s="83"/>
      <c r="H1008" s="69" t="str">
        <f t="shared" si="492"/>
        <v>Lacine7_20171117_01_00</v>
      </c>
      <c r="I1008" s="70">
        <f t="shared" si="495"/>
        <v>1</v>
      </c>
      <c r="J1008" s="77" t="str">
        <f t="shared" si="495"/>
        <v>Lactuca</v>
      </c>
      <c r="K1008" s="77" t="str">
        <f t="shared" si="495"/>
        <v>inermis</v>
      </c>
      <c r="L1008" s="78">
        <f t="shared" si="495"/>
        <v>7</v>
      </c>
      <c r="M1008" s="78">
        <f t="shared" si="495"/>
        <v>0</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2017</v>
      </c>
      <c r="B1009" s="73" t="str">
        <f t="shared" si="468"/>
        <v>Nov</v>
      </c>
      <c r="C1009" s="74">
        <f t="shared" si="491"/>
        <v>17</v>
      </c>
      <c r="D1009" s="75">
        <f t="shared" si="469"/>
        <v>1</v>
      </c>
      <c r="E1009" s="76">
        <f t="shared" si="470"/>
        <v>4</v>
      </c>
      <c r="F1009" s="80"/>
      <c r="G1009" s="83"/>
      <c r="H1009" s="69" t="str">
        <f t="shared" si="492"/>
        <v>Lacine7_20171117_01_00</v>
      </c>
      <c r="I1009" s="70">
        <f t="shared" si="495"/>
        <v>1</v>
      </c>
      <c r="J1009" s="77" t="str">
        <f t="shared" si="495"/>
        <v>Lactuca</v>
      </c>
      <c r="K1009" s="77" t="str">
        <f t="shared" si="495"/>
        <v>inermis</v>
      </c>
      <c r="L1009" s="78">
        <f t="shared" si="495"/>
        <v>7</v>
      </c>
      <c r="M1009" s="78">
        <f t="shared" si="495"/>
        <v>0</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2017</v>
      </c>
      <c r="B1010" s="73" t="str">
        <f t="shared" si="468"/>
        <v>Nov</v>
      </c>
      <c r="C1010" s="74">
        <f t="shared" si="491"/>
        <v>17</v>
      </c>
      <c r="D1010" s="75">
        <f t="shared" si="469"/>
        <v>1</v>
      </c>
      <c r="E1010" s="76">
        <f t="shared" si="470"/>
        <v>5</v>
      </c>
      <c r="F1010" s="80"/>
      <c r="G1010" s="83"/>
      <c r="H1010" s="69" t="str">
        <f t="shared" si="492"/>
        <v>Lacine7_20171117_01_00</v>
      </c>
      <c r="I1010" s="70">
        <f t="shared" si="495"/>
        <v>1</v>
      </c>
      <c r="J1010" s="77" t="str">
        <f t="shared" si="495"/>
        <v>Lactuca</v>
      </c>
      <c r="K1010" s="77" t="str">
        <f t="shared" si="495"/>
        <v>inermis</v>
      </c>
      <c r="L1010" s="78">
        <f t="shared" si="495"/>
        <v>7</v>
      </c>
      <c r="M1010" s="78">
        <f t="shared" si="495"/>
        <v>0</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2017</v>
      </c>
      <c r="B1011" s="73" t="str">
        <f t="shared" si="468"/>
        <v>Nov</v>
      </c>
      <c r="C1011" s="74">
        <f t="shared" si="491"/>
        <v>17</v>
      </c>
      <c r="D1011" s="75">
        <f t="shared" si="469"/>
        <v>1</v>
      </c>
      <c r="E1011" s="76">
        <f t="shared" si="470"/>
        <v>6</v>
      </c>
      <c r="F1011" s="80"/>
      <c r="G1011" s="83"/>
      <c r="H1011" s="69" t="str">
        <f t="shared" si="492"/>
        <v>Lacine7_20171117_01_00</v>
      </c>
      <c r="I1011" s="70">
        <f t="shared" si="495"/>
        <v>1</v>
      </c>
      <c r="J1011" s="77" t="str">
        <f t="shared" si="495"/>
        <v>Lactuca</v>
      </c>
      <c r="K1011" s="77" t="str">
        <f t="shared" si="495"/>
        <v>inermis</v>
      </c>
      <c r="L1011" s="78">
        <f t="shared" si="495"/>
        <v>7</v>
      </c>
      <c r="M1011" s="78">
        <f t="shared" si="495"/>
        <v>0</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2017</v>
      </c>
      <c r="B1012" s="73" t="str">
        <f t="shared" si="468"/>
        <v>Nov</v>
      </c>
      <c r="C1012" s="74">
        <f t="shared" si="491"/>
        <v>17</v>
      </c>
      <c r="D1012" s="75">
        <f t="shared" si="469"/>
        <v>1</v>
      </c>
      <c r="E1012" s="76">
        <f t="shared" si="470"/>
        <v>7</v>
      </c>
      <c r="F1012" s="80"/>
      <c r="G1012" s="83"/>
      <c r="H1012" s="69" t="str">
        <f t="shared" si="492"/>
        <v>Lacine7_20171117_01_00</v>
      </c>
      <c r="I1012" s="70">
        <f t="shared" si="495"/>
        <v>1</v>
      </c>
      <c r="J1012" s="77" t="str">
        <f t="shared" si="495"/>
        <v>Lactuca</v>
      </c>
      <c r="K1012" s="77" t="str">
        <f t="shared" si="495"/>
        <v>inermis</v>
      </c>
      <c r="L1012" s="78">
        <f t="shared" si="495"/>
        <v>7</v>
      </c>
      <c r="M1012" s="78">
        <f t="shared" si="495"/>
        <v>0</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2017</v>
      </c>
      <c r="B1013" s="73" t="str">
        <f t="shared" si="468"/>
        <v>Nov</v>
      </c>
      <c r="C1013" s="74">
        <f t="shared" si="491"/>
        <v>17</v>
      </c>
      <c r="D1013" s="75">
        <f t="shared" si="469"/>
        <v>1</v>
      </c>
      <c r="E1013" s="76">
        <f t="shared" si="470"/>
        <v>8</v>
      </c>
      <c r="F1013" s="80"/>
      <c r="G1013" s="83"/>
      <c r="H1013" s="69" t="str">
        <f t="shared" si="492"/>
        <v>Lacine7_20171117_01_00</v>
      </c>
      <c r="I1013" s="70">
        <f t="shared" ref="I1013:N1028" si="496">I1012</f>
        <v>1</v>
      </c>
      <c r="J1013" s="77" t="str">
        <f t="shared" si="496"/>
        <v>Lactuca</v>
      </c>
      <c r="K1013" s="77" t="str">
        <f t="shared" si="496"/>
        <v>inermis</v>
      </c>
      <c r="L1013" s="78">
        <f t="shared" si="496"/>
        <v>7</v>
      </c>
      <c r="M1013" s="78">
        <f t="shared" si="496"/>
        <v>0</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2017</v>
      </c>
      <c r="B1014" s="73" t="str">
        <f t="shared" si="468"/>
        <v>Nov</v>
      </c>
      <c r="C1014" s="74">
        <f t="shared" si="491"/>
        <v>17</v>
      </c>
      <c r="D1014" s="75">
        <f t="shared" si="469"/>
        <v>1</v>
      </c>
      <c r="E1014" s="76">
        <f t="shared" si="470"/>
        <v>9</v>
      </c>
      <c r="F1014" s="80"/>
      <c r="G1014" s="83"/>
      <c r="H1014" s="69" t="str">
        <f t="shared" si="492"/>
        <v>Lacine7_20171117_01_00</v>
      </c>
      <c r="I1014" s="70">
        <f t="shared" si="496"/>
        <v>1</v>
      </c>
      <c r="J1014" s="77" t="str">
        <f t="shared" si="496"/>
        <v>Lactuca</v>
      </c>
      <c r="K1014" s="77" t="str">
        <f t="shared" si="496"/>
        <v>inermis</v>
      </c>
      <c r="L1014" s="78">
        <f t="shared" si="496"/>
        <v>7</v>
      </c>
      <c r="M1014" s="78">
        <f t="shared" si="496"/>
        <v>0</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2017</v>
      </c>
      <c r="B1015" s="73" t="str">
        <f t="shared" si="468"/>
        <v>Nov</v>
      </c>
      <c r="C1015" s="74">
        <f t="shared" si="491"/>
        <v>17</v>
      </c>
      <c r="D1015" s="75">
        <f t="shared" si="469"/>
        <v>1</v>
      </c>
      <c r="E1015" s="76">
        <f t="shared" si="470"/>
        <v>10</v>
      </c>
      <c r="F1015" s="80"/>
      <c r="G1015" s="83"/>
      <c r="H1015" s="69" t="str">
        <f t="shared" si="492"/>
        <v>Lacine7_20171117_01_00</v>
      </c>
      <c r="I1015" s="70">
        <f t="shared" si="496"/>
        <v>1</v>
      </c>
      <c r="J1015" s="77" t="str">
        <f t="shared" si="496"/>
        <v>Lactuca</v>
      </c>
      <c r="K1015" s="77" t="str">
        <f t="shared" si="496"/>
        <v>inermis</v>
      </c>
      <c r="L1015" s="78">
        <f t="shared" si="496"/>
        <v>7</v>
      </c>
      <c r="M1015" s="78">
        <f t="shared" si="496"/>
        <v>0</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2017</v>
      </c>
      <c r="B1016" s="73" t="str">
        <f t="shared" si="468"/>
        <v>Nov</v>
      </c>
      <c r="C1016" s="74">
        <f t="shared" si="491"/>
        <v>17</v>
      </c>
      <c r="D1016" s="75">
        <f t="shared" si="469"/>
        <v>1</v>
      </c>
      <c r="E1016" s="76">
        <f t="shared" si="470"/>
        <v>11</v>
      </c>
      <c r="F1016" s="80"/>
      <c r="G1016" s="83"/>
      <c r="H1016" s="69" t="str">
        <f t="shared" si="492"/>
        <v>Lacine7_20171117_01_00</v>
      </c>
      <c r="I1016" s="70">
        <f t="shared" si="496"/>
        <v>1</v>
      </c>
      <c r="J1016" s="77" t="str">
        <f t="shared" si="496"/>
        <v>Lactuca</v>
      </c>
      <c r="K1016" s="77" t="str">
        <f t="shared" si="496"/>
        <v>inermis</v>
      </c>
      <c r="L1016" s="78">
        <f t="shared" si="496"/>
        <v>7</v>
      </c>
      <c r="M1016" s="78">
        <f t="shared" si="496"/>
        <v>0</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2017</v>
      </c>
      <c r="B1017" s="73" t="str">
        <f t="shared" si="468"/>
        <v>Nov</v>
      </c>
      <c r="C1017" s="74">
        <f t="shared" si="491"/>
        <v>17</v>
      </c>
      <c r="D1017" s="75">
        <f t="shared" si="469"/>
        <v>1</v>
      </c>
      <c r="E1017" s="76">
        <f t="shared" si="470"/>
        <v>12</v>
      </c>
      <c r="F1017" s="80"/>
      <c r="G1017" s="83"/>
      <c r="H1017" s="69" t="str">
        <f t="shared" si="492"/>
        <v>Lacine7_20171117_01_00</v>
      </c>
      <c r="I1017" s="70">
        <f t="shared" si="496"/>
        <v>1</v>
      </c>
      <c r="J1017" s="77" t="str">
        <f t="shared" si="496"/>
        <v>Lactuca</v>
      </c>
      <c r="K1017" s="77" t="str">
        <f t="shared" si="496"/>
        <v>inermis</v>
      </c>
      <c r="L1017" s="78">
        <f t="shared" si="496"/>
        <v>7</v>
      </c>
      <c r="M1017" s="78">
        <f t="shared" si="496"/>
        <v>0</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2017</v>
      </c>
      <c r="B1018" s="73" t="str">
        <f t="shared" si="468"/>
        <v>Nov</v>
      </c>
      <c r="C1018" s="74">
        <f t="shared" si="491"/>
        <v>17</v>
      </c>
      <c r="D1018" s="75">
        <f t="shared" si="469"/>
        <v>1</v>
      </c>
      <c r="E1018" s="76">
        <f t="shared" si="470"/>
        <v>13</v>
      </c>
      <c r="F1018" s="80"/>
      <c r="G1018" s="83"/>
      <c r="H1018" s="69" t="str">
        <f t="shared" si="492"/>
        <v>Lacine7_20171117_01_00</v>
      </c>
      <c r="I1018" s="70">
        <f t="shared" si="496"/>
        <v>1</v>
      </c>
      <c r="J1018" s="77" t="str">
        <f t="shared" si="496"/>
        <v>Lactuca</v>
      </c>
      <c r="K1018" s="77" t="str">
        <f t="shared" si="496"/>
        <v>inermis</v>
      </c>
      <c r="L1018" s="78">
        <f t="shared" si="496"/>
        <v>7</v>
      </c>
      <c r="M1018" s="78">
        <f t="shared" si="496"/>
        <v>0</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2017</v>
      </c>
      <c r="B1019" s="73" t="str">
        <f t="shared" si="468"/>
        <v>Nov</v>
      </c>
      <c r="C1019" s="74">
        <f t="shared" si="491"/>
        <v>17</v>
      </c>
      <c r="D1019" s="75">
        <f t="shared" si="469"/>
        <v>1</v>
      </c>
      <c r="E1019" s="76">
        <f t="shared" si="470"/>
        <v>14</v>
      </c>
      <c r="F1019" s="80"/>
      <c r="G1019" s="83"/>
      <c r="H1019" s="69" t="str">
        <f t="shared" si="492"/>
        <v>Lacine7_20171117_01_00</v>
      </c>
      <c r="I1019" s="70">
        <f t="shared" si="496"/>
        <v>1</v>
      </c>
      <c r="J1019" s="77" t="str">
        <f t="shared" si="496"/>
        <v>Lactuca</v>
      </c>
      <c r="K1019" s="77" t="str">
        <f t="shared" si="496"/>
        <v>inermis</v>
      </c>
      <c r="L1019" s="78">
        <f t="shared" si="496"/>
        <v>7</v>
      </c>
      <c r="M1019" s="78">
        <f t="shared" si="496"/>
        <v>0</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2017</v>
      </c>
      <c r="B1020" s="73" t="str">
        <f t="shared" si="468"/>
        <v>Nov</v>
      </c>
      <c r="C1020" s="74">
        <f t="shared" si="491"/>
        <v>17</v>
      </c>
      <c r="D1020" s="75">
        <f t="shared" si="469"/>
        <v>1</v>
      </c>
      <c r="E1020" s="76">
        <f t="shared" si="470"/>
        <v>15</v>
      </c>
      <c r="F1020" s="80"/>
      <c r="G1020" s="83"/>
      <c r="H1020" s="69" t="str">
        <f t="shared" si="492"/>
        <v>Lacine7_20171117_01_00</v>
      </c>
      <c r="I1020" s="70">
        <f t="shared" si="496"/>
        <v>1</v>
      </c>
      <c r="J1020" s="77" t="str">
        <f t="shared" si="496"/>
        <v>Lactuca</v>
      </c>
      <c r="K1020" s="77" t="str">
        <f t="shared" si="496"/>
        <v>inermis</v>
      </c>
      <c r="L1020" s="78">
        <f t="shared" si="496"/>
        <v>7</v>
      </c>
      <c r="M1020" s="78">
        <f t="shared" si="496"/>
        <v>0</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2017</v>
      </c>
      <c r="B1021" s="73" t="str">
        <f t="shared" si="468"/>
        <v>Nov</v>
      </c>
      <c r="C1021" s="74">
        <f t="shared" si="491"/>
        <v>17</v>
      </c>
      <c r="D1021" s="75">
        <f t="shared" si="469"/>
        <v>1</v>
      </c>
      <c r="E1021" s="76">
        <f t="shared" si="470"/>
        <v>16</v>
      </c>
      <c r="F1021" s="80"/>
      <c r="G1021" s="83"/>
      <c r="H1021" s="69" t="str">
        <f t="shared" si="492"/>
        <v>Lacine7_20171117_01_00</v>
      </c>
      <c r="I1021" s="70">
        <f t="shared" si="496"/>
        <v>1</v>
      </c>
      <c r="J1021" s="77" t="str">
        <f t="shared" si="496"/>
        <v>Lactuca</v>
      </c>
      <c r="K1021" s="77" t="str">
        <f t="shared" si="496"/>
        <v>inermis</v>
      </c>
      <c r="L1021" s="78">
        <f t="shared" si="496"/>
        <v>7</v>
      </c>
      <c r="M1021" s="78">
        <f t="shared" si="496"/>
        <v>0</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2017</v>
      </c>
      <c r="B1022" s="73" t="str">
        <f t="shared" si="468"/>
        <v>Nov</v>
      </c>
      <c r="C1022" s="74">
        <f t="shared" si="491"/>
        <v>17</v>
      </c>
      <c r="D1022" s="75">
        <f t="shared" si="469"/>
        <v>1</v>
      </c>
      <c r="E1022" s="76">
        <f t="shared" si="470"/>
        <v>17</v>
      </c>
      <c r="F1022" s="80"/>
      <c r="G1022" s="83"/>
      <c r="H1022" s="69" t="str">
        <f t="shared" si="492"/>
        <v>Lacine7_20171117_01_00</v>
      </c>
      <c r="I1022" s="70">
        <f t="shared" si="496"/>
        <v>1</v>
      </c>
      <c r="J1022" s="77" t="str">
        <f t="shared" si="496"/>
        <v>Lactuca</v>
      </c>
      <c r="K1022" s="77" t="str">
        <f t="shared" si="496"/>
        <v>inermis</v>
      </c>
      <c r="L1022" s="78">
        <f t="shared" si="496"/>
        <v>7</v>
      </c>
      <c r="M1022" s="78">
        <f t="shared" si="496"/>
        <v>0</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2017</v>
      </c>
      <c r="B1023" s="73" t="str">
        <f t="shared" si="468"/>
        <v>Nov</v>
      </c>
      <c r="C1023" s="74">
        <f t="shared" si="491"/>
        <v>17</v>
      </c>
      <c r="D1023" s="75">
        <f t="shared" si="469"/>
        <v>1</v>
      </c>
      <c r="E1023" s="76">
        <f t="shared" si="470"/>
        <v>18</v>
      </c>
      <c r="F1023" s="80"/>
      <c r="G1023" s="83"/>
      <c r="H1023" s="69" t="str">
        <f t="shared" si="492"/>
        <v>Lacine7_20171117_01_00</v>
      </c>
      <c r="I1023" s="70">
        <f t="shared" si="496"/>
        <v>1</v>
      </c>
      <c r="J1023" s="77" t="str">
        <f t="shared" si="496"/>
        <v>Lactuca</v>
      </c>
      <c r="K1023" s="77" t="str">
        <f t="shared" si="496"/>
        <v>inermis</v>
      </c>
      <c r="L1023" s="78">
        <f t="shared" si="496"/>
        <v>7</v>
      </c>
      <c r="M1023" s="78">
        <f t="shared" si="496"/>
        <v>0</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2017</v>
      </c>
      <c r="B1024" s="73" t="str">
        <f t="shared" si="468"/>
        <v>Nov</v>
      </c>
      <c r="C1024" s="74">
        <f t="shared" si="491"/>
        <v>17</v>
      </c>
      <c r="D1024" s="75">
        <f t="shared" si="469"/>
        <v>1</v>
      </c>
      <c r="E1024" s="76">
        <f t="shared" si="470"/>
        <v>19</v>
      </c>
      <c r="F1024" s="80"/>
      <c r="G1024" s="83"/>
      <c r="H1024" s="69" t="str">
        <f t="shared" si="492"/>
        <v>Lacine7_20171117_01_00</v>
      </c>
      <c r="I1024" s="70">
        <f t="shared" si="496"/>
        <v>1</v>
      </c>
      <c r="J1024" s="77" t="str">
        <f t="shared" si="496"/>
        <v>Lactuca</v>
      </c>
      <c r="K1024" s="77" t="str">
        <f t="shared" si="496"/>
        <v>inermis</v>
      </c>
      <c r="L1024" s="78">
        <f t="shared" si="496"/>
        <v>7</v>
      </c>
      <c r="M1024" s="78">
        <f t="shared" si="496"/>
        <v>0</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2017</v>
      </c>
      <c r="B1025" s="73" t="str">
        <f t="shared" si="468"/>
        <v>Nov</v>
      </c>
      <c r="C1025" s="74">
        <f t="shared" si="491"/>
        <v>17</v>
      </c>
      <c r="D1025" s="75">
        <f t="shared" si="469"/>
        <v>1</v>
      </c>
      <c r="E1025" s="76">
        <f t="shared" si="470"/>
        <v>20</v>
      </c>
      <c r="F1025" s="80"/>
      <c r="G1025" s="83"/>
      <c r="H1025" s="69" t="str">
        <f t="shared" si="492"/>
        <v>Lacine7_20171117_01_00</v>
      </c>
      <c r="I1025" s="70">
        <f t="shared" si="496"/>
        <v>1</v>
      </c>
      <c r="J1025" s="77" t="str">
        <f t="shared" si="496"/>
        <v>Lactuca</v>
      </c>
      <c r="K1025" s="77" t="str">
        <f t="shared" si="496"/>
        <v>inermis</v>
      </c>
      <c r="L1025" s="78">
        <f t="shared" si="496"/>
        <v>7</v>
      </c>
      <c r="M1025" s="78">
        <f t="shared" si="496"/>
        <v>0</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2017</v>
      </c>
      <c r="B1026" s="73" t="str">
        <f t="shared" si="468"/>
        <v>Nov</v>
      </c>
      <c r="C1026" s="74">
        <f t="shared" si="491"/>
        <v>17</v>
      </c>
      <c r="D1026" s="75">
        <f t="shared" si="469"/>
        <v>1</v>
      </c>
      <c r="E1026" s="76">
        <f t="shared" si="470"/>
        <v>21</v>
      </c>
      <c r="F1026" s="80"/>
      <c r="G1026" s="83"/>
      <c r="H1026" s="69" t="str">
        <f t="shared" si="492"/>
        <v>Lacine7_20171117_01_00</v>
      </c>
      <c r="I1026" s="70">
        <f t="shared" si="496"/>
        <v>1</v>
      </c>
      <c r="J1026" s="77" t="str">
        <f t="shared" si="496"/>
        <v>Lactuca</v>
      </c>
      <c r="K1026" s="77" t="str">
        <f t="shared" si="496"/>
        <v>inermis</v>
      </c>
      <c r="L1026" s="78">
        <f t="shared" si="496"/>
        <v>7</v>
      </c>
      <c r="M1026" s="78">
        <f t="shared" si="496"/>
        <v>0</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2017</v>
      </c>
      <c r="B1027" s="73" t="str">
        <f t="shared" si="468"/>
        <v>Nov</v>
      </c>
      <c r="C1027" s="74">
        <f t="shared" si="491"/>
        <v>17</v>
      </c>
      <c r="D1027" s="75">
        <f t="shared" si="469"/>
        <v>1</v>
      </c>
      <c r="E1027" s="76">
        <f t="shared" si="470"/>
        <v>22</v>
      </c>
      <c r="F1027" s="80"/>
      <c r="G1027" s="83"/>
      <c r="H1027" s="69" t="str">
        <f t="shared" si="492"/>
        <v>Lacine7_20171117_01_00</v>
      </c>
      <c r="I1027" s="70">
        <f t="shared" si="496"/>
        <v>1</v>
      </c>
      <c r="J1027" s="77" t="str">
        <f t="shared" si="496"/>
        <v>Lactuca</v>
      </c>
      <c r="K1027" s="77" t="str">
        <f t="shared" si="496"/>
        <v>inermis</v>
      </c>
      <c r="L1027" s="78">
        <f t="shared" si="496"/>
        <v>7</v>
      </c>
      <c r="M1027" s="78">
        <f t="shared" si="496"/>
        <v>0</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2017</v>
      </c>
      <c r="B1028" s="73" t="str">
        <f t="shared" ref="B1028:B1091" si="499">IF(C1027-C1028&gt;0, TEXT(DATE(2016,(MONTH(DATEVALUE(B1027&amp;"1"))+1),1),"mmm"), B1027)</f>
        <v>Nov</v>
      </c>
      <c r="C1028" s="74">
        <f t="shared" si="491"/>
        <v>17</v>
      </c>
      <c r="D1028" s="75">
        <f t="shared" ref="D1028:D1091" si="500">IF(IF(E1027=59,D1027+1,D1027)=24,0,IF(E1027=59,D1027+1,D1027))</f>
        <v>1</v>
      </c>
      <c r="E1028" s="76">
        <f t="shared" ref="E1028:E1091" si="501">IF(E1027&lt;59,E1027+1,0)</f>
        <v>23</v>
      </c>
      <c r="F1028" s="80"/>
      <c r="G1028" s="83"/>
      <c r="H1028" s="69" t="str">
        <f t="shared" si="492"/>
        <v>Lacine7_20171117_01_00</v>
      </c>
      <c r="I1028" s="70">
        <f t="shared" si="496"/>
        <v>1</v>
      </c>
      <c r="J1028" s="77" t="str">
        <f t="shared" si="496"/>
        <v>Lactuca</v>
      </c>
      <c r="K1028" s="77" t="str">
        <f t="shared" si="496"/>
        <v>inermis</v>
      </c>
      <c r="L1028" s="78">
        <f t="shared" si="496"/>
        <v>7</v>
      </c>
      <c r="M1028" s="78">
        <f t="shared" si="496"/>
        <v>0</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2017</v>
      </c>
      <c r="B1029" s="73" t="str">
        <f t="shared" si="499"/>
        <v>Nov</v>
      </c>
      <c r="C1029" s="74">
        <f t="shared" ref="C1029:C1092" si="522">IF(AND(D1029=0, E1029=0), IF(TEXT(C1028,"dd")=TEXT(EOMONTH(DATE(A1028,MONTH(DATEVALUE(B1028&amp;"1")),C1028),0), "dd"), 1, C1028+1), C1028)</f>
        <v>17</v>
      </c>
      <c r="D1029" s="75">
        <f t="shared" si="500"/>
        <v>1</v>
      </c>
      <c r="E1029" s="76">
        <f t="shared" si="501"/>
        <v>24</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Lacine7_20171117_01_00</v>
      </c>
      <c r="I1029" s="70">
        <f t="shared" ref="I1029:N1044" si="524">I1028</f>
        <v>1</v>
      </c>
      <c r="J1029" s="77" t="str">
        <f t="shared" si="524"/>
        <v>Lactuca</v>
      </c>
      <c r="K1029" s="77" t="str">
        <f t="shared" si="524"/>
        <v>inermis</v>
      </c>
      <c r="L1029" s="78">
        <f t="shared" si="524"/>
        <v>7</v>
      </c>
      <c r="M1029" s="78">
        <f t="shared" si="524"/>
        <v>0</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2017</v>
      </c>
      <c r="B1030" s="73" t="str">
        <f t="shared" si="499"/>
        <v>Nov</v>
      </c>
      <c r="C1030" s="74">
        <f t="shared" si="522"/>
        <v>17</v>
      </c>
      <c r="D1030" s="75">
        <f t="shared" si="500"/>
        <v>1</v>
      </c>
      <c r="E1030" s="76">
        <f t="shared" si="501"/>
        <v>25</v>
      </c>
      <c r="F1030" s="80"/>
      <c r="G1030" s="83"/>
      <c r="H1030" s="69" t="str">
        <f t="shared" si="523"/>
        <v>Lacine7_20171117_01_00</v>
      </c>
      <c r="I1030" s="70">
        <f t="shared" si="524"/>
        <v>1</v>
      </c>
      <c r="J1030" s="77" t="str">
        <f t="shared" si="524"/>
        <v>Lactuca</v>
      </c>
      <c r="K1030" s="77" t="str">
        <f t="shared" si="524"/>
        <v>inermis</v>
      </c>
      <c r="L1030" s="78">
        <f t="shared" si="524"/>
        <v>7</v>
      </c>
      <c r="M1030" s="78">
        <f t="shared" si="524"/>
        <v>0</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2017</v>
      </c>
      <c r="B1031" s="73" t="str">
        <f t="shared" si="499"/>
        <v>Nov</v>
      </c>
      <c r="C1031" s="74">
        <f t="shared" si="522"/>
        <v>17</v>
      </c>
      <c r="D1031" s="75">
        <f t="shared" si="500"/>
        <v>1</v>
      </c>
      <c r="E1031" s="76">
        <f t="shared" si="501"/>
        <v>26</v>
      </c>
      <c r="F1031" s="80"/>
      <c r="G1031" s="83"/>
      <c r="H1031" s="69" t="str">
        <f t="shared" si="523"/>
        <v>Lacine7_20171117_01_00</v>
      </c>
      <c r="I1031" s="70">
        <f t="shared" si="524"/>
        <v>1</v>
      </c>
      <c r="J1031" s="77" t="str">
        <f t="shared" si="524"/>
        <v>Lactuca</v>
      </c>
      <c r="K1031" s="77" t="str">
        <f t="shared" si="524"/>
        <v>inermis</v>
      </c>
      <c r="L1031" s="78">
        <f t="shared" si="524"/>
        <v>7</v>
      </c>
      <c r="M1031" s="78">
        <f t="shared" si="524"/>
        <v>0</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2017</v>
      </c>
      <c r="B1032" s="73" t="str">
        <f t="shared" si="499"/>
        <v>Nov</v>
      </c>
      <c r="C1032" s="74">
        <f t="shared" si="522"/>
        <v>17</v>
      </c>
      <c r="D1032" s="75">
        <f t="shared" si="500"/>
        <v>1</v>
      </c>
      <c r="E1032" s="76">
        <f t="shared" si="501"/>
        <v>27</v>
      </c>
      <c r="F1032" s="80"/>
      <c r="G1032" s="83"/>
      <c r="H1032" s="69" t="str">
        <f t="shared" si="523"/>
        <v>Lacine7_20171117_01_00</v>
      </c>
      <c r="I1032" s="70">
        <f t="shared" si="524"/>
        <v>1</v>
      </c>
      <c r="J1032" s="77" t="str">
        <f t="shared" si="524"/>
        <v>Lactuca</v>
      </c>
      <c r="K1032" s="77" t="str">
        <f t="shared" si="524"/>
        <v>inermis</v>
      </c>
      <c r="L1032" s="78">
        <f t="shared" si="524"/>
        <v>7</v>
      </c>
      <c r="M1032" s="78">
        <f t="shared" si="524"/>
        <v>0</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2017</v>
      </c>
      <c r="B1033" s="73" t="str">
        <f t="shared" si="499"/>
        <v>Nov</v>
      </c>
      <c r="C1033" s="74">
        <f t="shared" si="522"/>
        <v>17</v>
      </c>
      <c r="D1033" s="75">
        <f t="shared" si="500"/>
        <v>1</v>
      </c>
      <c r="E1033" s="76">
        <f t="shared" si="501"/>
        <v>28</v>
      </c>
      <c r="F1033" s="80"/>
      <c r="G1033" s="83"/>
      <c r="H1033" s="69" t="str">
        <f t="shared" si="523"/>
        <v>Lacine7_20171117_01_00</v>
      </c>
      <c r="I1033" s="70">
        <f t="shared" si="524"/>
        <v>1</v>
      </c>
      <c r="J1033" s="77" t="str">
        <f t="shared" si="524"/>
        <v>Lactuca</v>
      </c>
      <c r="K1033" s="77" t="str">
        <f t="shared" si="524"/>
        <v>inermis</v>
      </c>
      <c r="L1033" s="78">
        <f t="shared" si="524"/>
        <v>7</v>
      </c>
      <c r="M1033" s="78">
        <f t="shared" si="524"/>
        <v>0</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2017</v>
      </c>
      <c r="B1034" s="73" t="str">
        <f t="shared" si="499"/>
        <v>Nov</v>
      </c>
      <c r="C1034" s="74">
        <f t="shared" si="522"/>
        <v>17</v>
      </c>
      <c r="D1034" s="75">
        <f t="shared" si="500"/>
        <v>1</v>
      </c>
      <c r="E1034" s="76">
        <f t="shared" si="501"/>
        <v>29</v>
      </c>
      <c r="F1034" s="80"/>
      <c r="G1034" s="83"/>
      <c r="H1034" s="69" t="str">
        <f t="shared" si="523"/>
        <v>Lacine7_20171117_01_00</v>
      </c>
      <c r="I1034" s="70">
        <f t="shared" si="524"/>
        <v>1</v>
      </c>
      <c r="J1034" s="77" t="str">
        <f t="shared" si="524"/>
        <v>Lactuca</v>
      </c>
      <c r="K1034" s="77" t="str">
        <f t="shared" si="524"/>
        <v>inermis</v>
      </c>
      <c r="L1034" s="78">
        <f t="shared" si="524"/>
        <v>7</v>
      </c>
      <c r="M1034" s="78">
        <f t="shared" si="524"/>
        <v>0</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2017</v>
      </c>
      <c r="B1035" s="73" t="str">
        <f t="shared" si="499"/>
        <v>Nov</v>
      </c>
      <c r="C1035" s="74">
        <f t="shared" si="522"/>
        <v>17</v>
      </c>
      <c r="D1035" s="75">
        <f t="shared" si="500"/>
        <v>1</v>
      </c>
      <c r="E1035" s="76">
        <f t="shared" si="501"/>
        <v>30</v>
      </c>
      <c r="F1035" s="80"/>
      <c r="G1035" s="83"/>
      <c r="H1035" s="69" t="str">
        <f t="shared" si="523"/>
        <v>Lacine7_20171117_01_00</v>
      </c>
      <c r="I1035" s="70">
        <f t="shared" si="524"/>
        <v>1</v>
      </c>
      <c r="J1035" s="77" t="str">
        <f t="shared" si="524"/>
        <v>Lactuca</v>
      </c>
      <c r="K1035" s="77" t="str">
        <f t="shared" si="524"/>
        <v>inermis</v>
      </c>
      <c r="L1035" s="78">
        <f t="shared" si="524"/>
        <v>7</v>
      </c>
      <c r="M1035" s="78">
        <f t="shared" si="524"/>
        <v>0</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2017</v>
      </c>
      <c r="B1036" s="73" t="str">
        <f t="shared" si="499"/>
        <v>Nov</v>
      </c>
      <c r="C1036" s="74">
        <f t="shared" si="522"/>
        <v>17</v>
      </c>
      <c r="D1036" s="75">
        <f t="shared" si="500"/>
        <v>1</v>
      </c>
      <c r="E1036" s="76">
        <f t="shared" si="501"/>
        <v>31</v>
      </c>
      <c r="F1036" s="80"/>
      <c r="G1036" s="83"/>
      <c r="H1036" s="69" t="str">
        <f t="shared" si="523"/>
        <v>Lacine7_20171117_01_00</v>
      </c>
      <c r="I1036" s="70">
        <f t="shared" si="524"/>
        <v>1</v>
      </c>
      <c r="J1036" s="77" t="str">
        <f t="shared" si="524"/>
        <v>Lactuca</v>
      </c>
      <c r="K1036" s="77" t="str">
        <f t="shared" si="524"/>
        <v>inermis</v>
      </c>
      <c r="L1036" s="78">
        <f t="shared" si="524"/>
        <v>7</v>
      </c>
      <c r="M1036" s="78">
        <f t="shared" si="524"/>
        <v>0</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2017</v>
      </c>
      <c r="B1037" s="73" t="str">
        <f t="shared" si="499"/>
        <v>Nov</v>
      </c>
      <c r="C1037" s="74">
        <f t="shared" si="522"/>
        <v>17</v>
      </c>
      <c r="D1037" s="75">
        <f t="shared" si="500"/>
        <v>1</v>
      </c>
      <c r="E1037" s="76">
        <f t="shared" si="501"/>
        <v>32</v>
      </c>
      <c r="F1037" s="80"/>
      <c r="G1037" s="83"/>
      <c r="H1037" s="69" t="str">
        <f t="shared" si="523"/>
        <v>Lacine7_20171117_01_00</v>
      </c>
      <c r="I1037" s="70">
        <f t="shared" si="524"/>
        <v>1</v>
      </c>
      <c r="J1037" s="77" t="str">
        <f t="shared" si="524"/>
        <v>Lactuca</v>
      </c>
      <c r="K1037" s="77" t="str">
        <f t="shared" si="524"/>
        <v>inermis</v>
      </c>
      <c r="L1037" s="78">
        <f t="shared" si="524"/>
        <v>7</v>
      </c>
      <c r="M1037" s="78">
        <f t="shared" si="524"/>
        <v>0</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2017</v>
      </c>
      <c r="B1038" s="73" t="str">
        <f t="shared" si="499"/>
        <v>Nov</v>
      </c>
      <c r="C1038" s="74">
        <f t="shared" si="522"/>
        <v>17</v>
      </c>
      <c r="D1038" s="75">
        <f t="shared" si="500"/>
        <v>1</v>
      </c>
      <c r="E1038" s="76">
        <f t="shared" si="501"/>
        <v>33</v>
      </c>
      <c r="F1038" s="80"/>
      <c r="G1038" s="83"/>
      <c r="H1038" s="69" t="str">
        <f t="shared" si="523"/>
        <v>Lacine7_20171117_01_00</v>
      </c>
      <c r="I1038" s="70">
        <f t="shared" si="524"/>
        <v>1</v>
      </c>
      <c r="J1038" s="77" t="str">
        <f t="shared" si="524"/>
        <v>Lactuca</v>
      </c>
      <c r="K1038" s="77" t="str">
        <f t="shared" si="524"/>
        <v>inermis</v>
      </c>
      <c r="L1038" s="78">
        <f t="shared" si="524"/>
        <v>7</v>
      </c>
      <c r="M1038" s="78">
        <f t="shared" si="524"/>
        <v>0</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2017</v>
      </c>
      <c r="B1039" s="73" t="str">
        <f t="shared" si="499"/>
        <v>Nov</v>
      </c>
      <c r="C1039" s="74">
        <f t="shared" si="522"/>
        <v>17</v>
      </c>
      <c r="D1039" s="75">
        <f t="shared" si="500"/>
        <v>1</v>
      </c>
      <c r="E1039" s="76">
        <f t="shared" si="501"/>
        <v>34</v>
      </c>
      <c r="F1039" s="80"/>
      <c r="G1039" s="83"/>
      <c r="H1039" s="69" t="str">
        <f t="shared" si="523"/>
        <v>Lacine7_20171117_01_00</v>
      </c>
      <c r="I1039" s="70">
        <f t="shared" si="524"/>
        <v>1</v>
      </c>
      <c r="J1039" s="77" t="str">
        <f t="shared" si="524"/>
        <v>Lactuca</v>
      </c>
      <c r="K1039" s="77" t="str">
        <f t="shared" si="524"/>
        <v>inermis</v>
      </c>
      <c r="L1039" s="78">
        <f t="shared" si="524"/>
        <v>7</v>
      </c>
      <c r="M1039" s="78">
        <f t="shared" si="524"/>
        <v>0</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2017</v>
      </c>
      <c r="B1040" s="73" t="str">
        <f t="shared" si="499"/>
        <v>Nov</v>
      </c>
      <c r="C1040" s="74">
        <f t="shared" si="522"/>
        <v>17</v>
      </c>
      <c r="D1040" s="75">
        <f t="shared" si="500"/>
        <v>1</v>
      </c>
      <c r="E1040" s="76">
        <f t="shared" si="501"/>
        <v>35</v>
      </c>
      <c r="F1040" s="80"/>
      <c r="G1040" s="83"/>
      <c r="H1040" s="69" t="str">
        <f t="shared" si="523"/>
        <v>Lacine7_20171117_01_00</v>
      </c>
      <c r="I1040" s="70">
        <f t="shared" si="524"/>
        <v>1</v>
      </c>
      <c r="J1040" s="77" t="str">
        <f t="shared" si="524"/>
        <v>Lactuca</v>
      </c>
      <c r="K1040" s="77" t="str">
        <f t="shared" si="524"/>
        <v>inermis</v>
      </c>
      <c r="L1040" s="78">
        <f t="shared" si="524"/>
        <v>7</v>
      </c>
      <c r="M1040" s="78">
        <f t="shared" si="524"/>
        <v>0</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2017</v>
      </c>
      <c r="B1041" s="73" t="str">
        <f t="shared" si="499"/>
        <v>Nov</v>
      </c>
      <c r="C1041" s="74">
        <f t="shared" si="522"/>
        <v>17</v>
      </c>
      <c r="D1041" s="75">
        <f t="shared" si="500"/>
        <v>1</v>
      </c>
      <c r="E1041" s="76">
        <f t="shared" si="501"/>
        <v>36</v>
      </c>
      <c r="F1041" s="80"/>
      <c r="G1041" s="83"/>
      <c r="H1041" s="69" t="str">
        <f t="shared" si="523"/>
        <v>Lacine7_20171117_01_00</v>
      </c>
      <c r="I1041" s="70">
        <f t="shared" si="524"/>
        <v>1</v>
      </c>
      <c r="J1041" s="77" t="str">
        <f t="shared" si="524"/>
        <v>Lactuca</v>
      </c>
      <c r="K1041" s="77" t="str">
        <f t="shared" si="524"/>
        <v>inermis</v>
      </c>
      <c r="L1041" s="78">
        <f t="shared" si="524"/>
        <v>7</v>
      </c>
      <c r="M1041" s="78">
        <f t="shared" si="524"/>
        <v>0</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2017</v>
      </c>
      <c r="B1042" s="73" t="str">
        <f t="shared" si="499"/>
        <v>Nov</v>
      </c>
      <c r="C1042" s="74">
        <f t="shared" si="522"/>
        <v>17</v>
      </c>
      <c r="D1042" s="75">
        <f t="shared" si="500"/>
        <v>1</v>
      </c>
      <c r="E1042" s="76">
        <f t="shared" si="501"/>
        <v>37</v>
      </c>
      <c r="F1042" s="80"/>
      <c r="G1042" s="83"/>
      <c r="H1042" s="69" t="str">
        <f t="shared" si="523"/>
        <v>Lacine7_20171117_01_00</v>
      </c>
      <c r="I1042" s="70">
        <f t="shared" si="524"/>
        <v>1</v>
      </c>
      <c r="J1042" s="77" t="str">
        <f t="shared" si="524"/>
        <v>Lactuca</v>
      </c>
      <c r="K1042" s="77" t="str">
        <f t="shared" si="524"/>
        <v>inermis</v>
      </c>
      <c r="L1042" s="78">
        <f t="shared" si="524"/>
        <v>7</v>
      </c>
      <c r="M1042" s="78">
        <f t="shared" si="524"/>
        <v>0</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2017</v>
      </c>
      <c r="B1043" s="73" t="str">
        <f t="shared" si="499"/>
        <v>Nov</v>
      </c>
      <c r="C1043" s="74">
        <f t="shared" si="522"/>
        <v>17</v>
      </c>
      <c r="D1043" s="75">
        <f t="shared" si="500"/>
        <v>1</v>
      </c>
      <c r="E1043" s="76">
        <f t="shared" si="501"/>
        <v>38</v>
      </c>
      <c r="F1043" s="80"/>
      <c r="G1043" s="83"/>
      <c r="H1043" s="69" t="str">
        <f t="shared" si="523"/>
        <v>Lacine7_20171117_01_00</v>
      </c>
      <c r="I1043" s="70">
        <f t="shared" si="524"/>
        <v>1</v>
      </c>
      <c r="J1043" s="77" t="str">
        <f t="shared" si="524"/>
        <v>Lactuca</v>
      </c>
      <c r="K1043" s="77" t="str">
        <f t="shared" si="524"/>
        <v>inermis</v>
      </c>
      <c r="L1043" s="78">
        <f t="shared" si="524"/>
        <v>7</v>
      </c>
      <c r="M1043" s="78">
        <f t="shared" si="524"/>
        <v>0</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2017</v>
      </c>
      <c r="B1044" s="73" t="str">
        <f t="shared" si="499"/>
        <v>Nov</v>
      </c>
      <c r="C1044" s="74">
        <f t="shared" si="522"/>
        <v>17</v>
      </c>
      <c r="D1044" s="75">
        <f t="shared" si="500"/>
        <v>1</v>
      </c>
      <c r="E1044" s="76">
        <f t="shared" si="501"/>
        <v>39</v>
      </c>
      <c r="F1044" s="80"/>
      <c r="G1044" s="83"/>
      <c r="H1044" s="69" t="str">
        <f t="shared" si="523"/>
        <v>Lacine7_20171117_01_00</v>
      </c>
      <c r="I1044" s="70">
        <f t="shared" si="524"/>
        <v>1</v>
      </c>
      <c r="J1044" s="77" t="str">
        <f t="shared" si="524"/>
        <v>Lactuca</v>
      </c>
      <c r="K1044" s="77" t="str">
        <f t="shared" si="524"/>
        <v>inermis</v>
      </c>
      <c r="L1044" s="78">
        <f t="shared" si="524"/>
        <v>7</v>
      </c>
      <c r="M1044" s="78">
        <f t="shared" si="524"/>
        <v>0</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2017</v>
      </c>
      <c r="B1045" s="73" t="str">
        <f t="shared" si="499"/>
        <v>Nov</v>
      </c>
      <c r="C1045" s="74">
        <f t="shared" si="522"/>
        <v>17</v>
      </c>
      <c r="D1045" s="75">
        <f t="shared" si="500"/>
        <v>1</v>
      </c>
      <c r="E1045" s="76">
        <f t="shared" si="501"/>
        <v>40</v>
      </c>
      <c r="F1045" s="80"/>
      <c r="G1045" s="83"/>
      <c r="H1045" s="69" t="str">
        <f t="shared" si="523"/>
        <v>Lacine7_20171117_01_00</v>
      </c>
      <c r="I1045" s="70">
        <f t="shared" ref="I1045:N1060" si="525">I1044</f>
        <v>1</v>
      </c>
      <c r="J1045" s="77" t="str">
        <f t="shared" si="525"/>
        <v>Lactuca</v>
      </c>
      <c r="K1045" s="77" t="str">
        <f t="shared" si="525"/>
        <v>inermis</v>
      </c>
      <c r="L1045" s="78">
        <f t="shared" si="525"/>
        <v>7</v>
      </c>
      <c r="M1045" s="78">
        <f t="shared" si="525"/>
        <v>0</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2017</v>
      </c>
      <c r="B1046" s="73" t="str">
        <f t="shared" si="499"/>
        <v>Nov</v>
      </c>
      <c r="C1046" s="74">
        <f t="shared" si="522"/>
        <v>17</v>
      </c>
      <c r="D1046" s="75">
        <f t="shared" si="500"/>
        <v>1</v>
      </c>
      <c r="E1046" s="76">
        <f t="shared" si="501"/>
        <v>41</v>
      </c>
      <c r="F1046" s="80"/>
      <c r="G1046" s="83"/>
      <c r="H1046" s="69" t="str">
        <f t="shared" si="523"/>
        <v>Lacine7_20171117_01_00</v>
      </c>
      <c r="I1046" s="70">
        <f t="shared" si="525"/>
        <v>1</v>
      </c>
      <c r="J1046" s="77" t="str">
        <f t="shared" si="525"/>
        <v>Lactuca</v>
      </c>
      <c r="K1046" s="77" t="str">
        <f t="shared" si="525"/>
        <v>inermis</v>
      </c>
      <c r="L1046" s="78">
        <f t="shared" si="525"/>
        <v>7</v>
      </c>
      <c r="M1046" s="78">
        <f t="shared" si="525"/>
        <v>0</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2017</v>
      </c>
      <c r="B1047" s="73" t="str">
        <f t="shared" si="499"/>
        <v>Nov</v>
      </c>
      <c r="C1047" s="74">
        <f t="shared" si="522"/>
        <v>17</v>
      </c>
      <c r="D1047" s="75">
        <f t="shared" si="500"/>
        <v>1</v>
      </c>
      <c r="E1047" s="76">
        <f t="shared" si="501"/>
        <v>42</v>
      </c>
      <c r="F1047" s="80"/>
      <c r="G1047" s="83"/>
      <c r="H1047" s="69" t="str">
        <f t="shared" si="523"/>
        <v>Lacine7_20171117_01_00</v>
      </c>
      <c r="I1047" s="70">
        <f t="shared" si="525"/>
        <v>1</v>
      </c>
      <c r="J1047" s="77" t="str">
        <f t="shared" si="525"/>
        <v>Lactuca</v>
      </c>
      <c r="K1047" s="77" t="str">
        <f t="shared" si="525"/>
        <v>inermis</v>
      </c>
      <c r="L1047" s="78">
        <f t="shared" si="525"/>
        <v>7</v>
      </c>
      <c r="M1047" s="78">
        <f t="shared" si="525"/>
        <v>0</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2017</v>
      </c>
      <c r="B1048" s="73" t="str">
        <f t="shared" si="499"/>
        <v>Nov</v>
      </c>
      <c r="C1048" s="74">
        <f t="shared" si="522"/>
        <v>17</v>
      </c>
      <c r="D1048" s="75">
        <f t="shared" si="500"/>
        <v>1</v>
      </c>
      <c r="E1048" s="76">
        <f t="shared" si="501"/>
        <v>43</v>
      </c>
      <c r="F1048" s="80"/>
      <c r="G1048" s="83"/>
      <c r="H1048" s="69" t="str">
        <f t="shared" si="523"/>
        <v>Lacine7_20171117_01_00</v>
      </c>
      <c r="I1048" s="70">
        <f t="shared" si="525"/>
        <v>1</v>
      </c>
      <c r="J1048" s="77" t="str">
        <f t="shared" si="525"/>
        <v>Lactuca</v>
      </c>
      <c r="K1048" s="77" t="str">
        <f t="shared" si="525"/>
        <v>inermis</v>
      </c>
      <c r="L1048" s="78">
        <f t="shared" si="525"/>
        <v>7</v>
      </c>
      <c r="M1048" s="78">
        <f t="shared" si="525"/>
        <v>0</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2017</v>
      </c>
      <c r="B1049" s="73" t="str">
        <f t="shared" si="499"/>
        <v>Nov</v>
      </c>
      <c r="C1049" s="74">
        <f t="shared" si="522"/>
        <v>17</v>
      </c>
      <c r="D1049" s="75">
        <f t="shared" si="500"/>
        <v>1</v>
      </c>
      <c r="E1049" s="76">
        <f t="shared" si="501"/>
        <v>44</v>
      </c>
      <c r="F1049" s="80"/>
      <c r="G1049" s="83"/>
      <c r="H1049" s="69" t="str">
        <f t="shared" si="523"/>
        <v>Lacine7_20171117_01_00</v>
      </c>
      <c r="I1049" s="70">
        <f t="shared" si="525"/>
        <v>1</v>
      </c>
      <c r="J1049" s="77" t="str">
        <f t="shared" si="525"/>
        <v>Lactuca</v>
      </c>
      <c r="K1049" s="77" t="str">
        <f t="shared" si="525"/>
        <v>inermis</v>
      </c>
      <c r="L1049" s="78">
        <f t="shared" si="525"/>
        <v>7</v>
      </c>
      <c r="M1049" s="78">
        <f t="shared" si="525"/>
        <v>0</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2017</v>
      </c>
      <c r="B1050" s="73" t="str">
        <f t="shared" si="499"/>
        <v>Nov</v>
      </c>
      <c r="C1050" s="74">
        <f t="shared" si="522"/>
        <v>17</v>
      </c>
      <c r="D1050" s="75">
        <f t="shared" si="500"/>
        <v>1</v>
      </c>
      <c r="E1050" s="76">
        <f t="shared" si="501"/>
        <v>45</v>
      </c>
      <c r="F1050" s="80"/>
      <c r="G1050" s="83"/>
      <c r="H1050" s="69" t="str">
        <f t="shared" si="523"/>
        <v>Lacine7_20171117_01_00</v>
      </c>
      <c r="I1050" s="70">
        <f t="shared" si="525"/>
        <v>1</v>
      </c>
      <c r="J1050" s="77" t="str">
        <f t="shared" si="525"/>
        <v>Lactuca</v>
      </c>
      <c r="K1050" s="77" t="str">
        <f t="shared" si="525"/>
        <v>inermis</v>
      </c>
      <c r="L1050" s="78">
        <f t="shared" si="525"/>
        <v>7</v>
      </c>
      <c r="M1050" s="78">
        <f t="shared" si="525"/>
        <v>0</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2017</v>
      </c>
      <c r="B1051" s="73" t="str">
        <f t="shared" si="499"/>
        <v>Nov</v>
      </c>
      <c r="C1051" s="74">
        <f t="shared" si="522"/>
        <v>17</v>
      </c>
      <c r="D1051" s="75">
        <f t="shared" si="500"/>
        <v>1</v>
      </c>
      <c r="E1051" s="76">
        <f t="shared" si="501"/>
        <v>46</v>
      </c>
      <c r="F1051" s="80"/>
      <c r="G1051" s="83"/>
      <c r="H1051" s="69" t="str">
        <f t="shared" si="523"/>
        <v>Lacine7_20171117_01_00</v>
      </c>
      <c r="I1051" s="70">
        <f t="shared" si="525"/>
        <v>1</v>
      </c>
      <c r="J1051" s="77" t="str">
        <f t="shared" si="525"/>
        <v>Lactuca</v>
      </c>
      <c r="K1051" s="77" t="str">
        <f t="shared" si="525"/>
        <v>inermis</v>
      </c>
      <c r="L1051" s="78">
        <f t="shared" si="525"/>
        <v>7</v>
      </c>
      <c r="M1051" s="78">
        <f t="shared" si="525"/>
        <v>0</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2017</v>
      </c>
      <c r="B1052" s="73" t="str">
        <f t="shared" si="499"/>
        <v>Nov</v>
      </c>
      <c r="C1052" s="74">
        <f t="shared" si="522"/>
        <v>17</v>
      </c>
      <c r="D1052" s="75">
        <f t="shared" si="500"/>
        <v>1</v>
      </c>
      <c r="E1052" s="76">
        <f t="shared" si="501"/>
        <v>47</v>
      </c>
      <c r="F1052" s="80"/>
      <c r="G1052" s="83"/>
      <c r="H1052" s="69" t="str">
        <f t="shared" si="523"/>
        <v>Lacine7_20171117_01_00</v>
      </c>
      <c r="I1052" s="70">
        <f t="shared" si="525"/>
        <v>1</v>
      </c>
      <c r="J1052" s="77" t="str">
        <f t="shared" si="525"/>
        <v>Lactuca</v>
      </c>
      <c r="K1052" s="77" t="str">
        <f t="shared" si="525"/>
        <v>inermis</v>
      </c>
      <c r="L1052" s="78">
        <f t="shared" si="525"/>
        <v>7</v>
      </c>
      <c r="M1052" s="78">
        <f t="shared" si="525"/>
        <v>0</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2017</v>
      </c>
      <c r="B1053" s="73" t="str">
        <f t="shared" si="499"/>
        <v>Nov</v>
      </c>
      <c r="C1053" s="74">
        <f t="shared" si="522"/>
        <v>17</v>
      </c>
      <c r="D1053" s="75">
        <f t="shared" si="500"/>
        <v>1</v>
      </c>
      <c r="E1053" s="76">
        <f t="shared" si="501"/>
        <v>48</v>
      </c>
      <c r="F1053" s="80"/>
      <c r="G1053" s="83"/>
      <c r="H1053" s="69" t="str">
        <f t="shared" si="523"/>
        <v>Lacine7_20171117_01_00</v>
      </c>
      <c r="I1053" s="70">
        <f t="shared" si="525"/>
        <v>1</v>
      </c>
      <c r="J1053" s="77" t="str">
        <f t="shared" si="525"/>
        <v>Lactuca</v>
      </c>
      <c r="K1053" s="77" t="str">
        <f t="shared" si="525"/>
        <v>inermis</v>
      </c>
      <c r="L1053" s="78">
        <f t="shared" si="525"/>
        <v>7</v>
      </c>
      <c r="M1053" s="78">
        <f t="shared" si="525"/>
        <v>0</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2017</v>
      </c>
      <c r="B1054" s="73" t="str">
        <f t="shared" si="499"/>
        <v>Nov</v>
      </c>
      <c r="C1054" s="74">
        <f t="shared" si="522"/>
        <v>17</v>
      </c>
      <c r="D1054" s="75">
        <f t="shared" si="500"/>
        <v>1</v>
      </c>
      <c r="E1054" s="76">
        <f t="shared" si="501"/>
        <v>49</v>
      </c>
      <c r="F1054" s="80"/>
      <c r="G1054" s="83"/>
      <c r="H1054" s="69" t="str">
        <f t="shared" si="523"/>
        <v>Lacine7_20171117_01_00</v>
      </c>
      <c r="I1054" s="70">
        <f t="shared" si="525"/>
        <v>1</v>
      </c>
      <c r="J1054" s="77" t="str">
        <f t="shared" si="525"/>
        <v>Lactuca</v>
      </c>
      <c r="K1054" s="77" t="str">
        <f t="shared" si="525"/>
        <v>inermis</v>
      </c>
      <c r="L1054" s="78">
        <f t="shared" si="525"/>
        <v>7</v>
      </c>
      <c r="M1054" s="78">
        <f t="shared" si="525"/>
        <v>0</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2017</v>
      </c>
      <c r="B1055" s="73" t="str">
        <f t="shared" si="499"/>
        <v>Nov</v>
      </c>
      <c r="C1055" s="74">
        <f t="shared" si="522"/>
        <v>17</v>
      </c>
      <c r="D1055" s="75">
        <f t="shared" si="500"/>
        <v>1</v>
      </c>
      <c r="E1055" s="76">
        <f t="shared" si="501"/>
        <v>50</v>
      </c>
      <c r="F1055" s="80"/>
      <c r="G1055" s="83"/>
      <c r="H1055" s="69" t="str">
        <f t="shared" si="523"/>
        <v>Lacine7_20171117_01_00</v>
      </c>
      <c r="I1055" s="70">
        <f t="shared" si="525"/>
        <v>1</v>
      </c>
      <c r="J1055" s="77" t="str">
        <f t="shared" si="525"/>
        <v>Lactuca</v>
      </c>
      <c r="K1055" s="77" t="str">
        <f t="shared" si="525"/>
        <v>inermis</v>
      </c>
      <c r="L1055" s="78">
        <f t="shared" si="525"/>
        <v>7</v>
      </c>
      <c r="M1055" s="78">
        <f t="shared" si="525"/>
        <v>0</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2017</v>
      </c>
      <c r="B1056" s="73" t="str">
        <f t="shared" si="499"/>
        <v>Nov</v>
      </c>
      <c r="C1056" s="74">
        <f t="shared" si="522"/>
        <v>17</v>
      </c>
      <c r="D1056" s="75">
        <f t="shared" si="500"/>
        <v>1</v>
      </c>
      <c r="E1056" s="76">
        <f t="shared" si="501"/>
        <v>51</v>
      </c>
      <c r="F1056" s="80"/>
      <c r="G1056" s="83"/>
      <c r="H1056" s="69" t="str">
        <f t="shared" si="523"/>
        <v>Lacine7_20171117_01_00</v>
      </c>
      <c r="I1056" s="70">
        <f t="shared" si="525"/>
        <v>1</v>
      </c>
      <c r="J1056" s="77" t="str">
        <f t="shared" si="525"/>
        <v>Lactuca</v>
      </c>
      <c r="K1056" s="77" t="str">
        <f t="shared" si="525"/>
        <v>inermis</v>
      </c>
      <c r="L1056" s="78">
        <f t="shared" si="525"/>
        <v>7</v>
      </c>
      <c r="M1056" s="78">
        <f t="shared" si="525"/>
        <v>0</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2017</v>
      </c>
      <c r="B1057" s="73" t="str">
        <f t="shared" si="499"/>
        <v>Nov</v>
      </c>
      <c r="C1057" s="74">
        <f t="shared" si="522"/>
        <v>17</v>
      </c>
      <c r="D1057" s="75">
        <f t="shared" si="500"/>
        <v>1</v>
      </c>
      <c r="E1057" s="76">
        <f t="shared" si="501"/>
        <v>52</v>
      </c>
      <c r="F1057" s="80"/>
      <c r="G1057" s="83"/>
      <c r="H1057" s="69" t="str">
        <f t="shared" si="523"/>
        <v>Lacine7_20171117_01_00</v>
      </c>
      <c r="I1057" s="70">
        <f t="shared" si="525"/>
        <v>1</v>
      </c>
      <c r="J1057" s="77" t="str">
        <f t="shared" si="525"/>
        <v>Lactuca</v>
      </c>
      <c r="K1057" s="77" t="str">
        <f t="shared" si="525"/>
        <v>inermis</v>
      </c>
      <c r="L1057" s="78">
        <f t="shared" si="525"/>
        <v>7</v>
      </c>
      <c r="M1057" s="78">
        <f t="shared" si="525"/>
        <v>0</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2017</v>
      </c>
      <c r="B1058" s="73" t="str">
        <f t="shared" si="499"/>
        <v>Nov</v>
      </c>
      <c r="C1058" s="74">
        <f t="shared" si="522"/>
        <v>17</v>
      </c>
      <c r="D1058" s="75">
        <f t="shared" si="500"/>
        <v>1</v>
      </c>
      <c r="E1058" s="76">
        <f t="shared" si="501"/>
        <v>53</v>
      </c>
      <c r="F1058" s="80"/>
      <c r="G1058" s="83"/>
      <c r="H1058" s="69" t="str">
        <f t="shared" si="523"/>
        <v>Lacine7_20171117_01_00</v>
      </c>
      <c r="I1058" s="70">
        <f t="shared" si="525"/>
        <v>1</v>
      </c>
      <c r="J1058" s="77" t="str">
        <f t="shared" si="525"/>
        <v>Lactuca</v>
      </c>
      <c r="K1058" s="77" t="str">
        <f t="shared" si="525"/>
        <v>inermis</v>
      </c>
      <c r="L1058" s="78">
        <f t="shared" si="525"/>
        <v>7</v>
      </c>
      <c r="M1058" s="78">
        <f t="shared" si="525"/>
        <v>0</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2017</v>
      </c>
      <c r="B1059" s="73" t="str">
        <f t="shared" si="499"/>
        <v>Nov</v>
      </c>
      <c r="C1059" s="74">
        <f t="shared" si="522"/>
        <v>17</v>
      </c>
      <c r="D1059" s="75">
        <f t="shared" si="500"/>
        <v>1</v>
      </c>
      <c r="E1059" s="76">
        <f t="shared" si="501"/>
        <v>54</v>
      </c>
      <c r="F1059" s="80"/>
      <c r="G1059" s="83"/>
      <c r="H1059" s="69" t="str">
        <f t="shared" si="523"/>
        <v>Lacine7_20171117_01_00</v>
      </c>
      <c r="I1059" s="70">
        <f t="shared" si="525"/>
        <v>1</v>
      </c>
      <c r="J1059" s="77" t="str">
        <f t="shared" si="525"/>
        <v>Lactuca</v>
      </c>
      <c r="K1059" s="77" t="str">
        <f t="shared" si="525"/>
        <v>inermis</v>
      </c>
      <c r="L1059" s="78">
        <f t="shared" si="525"/>
        <v>7</v>
      </c>
      <c r="M1059" s="78">
        <f t="shared" si="525"/>
        <v>0</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2017</v>
      </c>
      <c r="B1060" s="73" t="str">
        <f t="shared" si="499"/>
        <v>Nov</v>
      </c>
      <c r="C1060" s="74">
        <f t="shared" si="522"/>
        <v>17</v>
      </c>
      <c r="D1060" s="75">
        <f t="shared" si="500"/>
        <v>1</v>
      </c>
      <c r="E1060" s="76">
        <f t="shared" si="501"/>
        <v>55</v>
      </c>
      <c r="F1060" s="80"/>
      <c r="G1060" s="83"/>
      <c r="H1060" s="69" t="str">
        <f t="shared" si="523"/>
        <v>Lacine7_20171117_01_00</v>
      </c>
      <c r="I1060" s="70">
        <f t="shared" si="525"/>
        <v>1</v>
      </c>
      <c r="J1060" s="77" t="str">
        <f t="shared" si="525"/>
        <v>Lactuca</v>
      </c>
      <c r="K1060" s="77" t="str">
        <f t="shared" si="525"/>
        <v>inermis</v>
      </c>
      <c r="L1060" s="78">
        <f t="shared" si="525"/>
        <v>7</v>
      </c>
      <c r="M1060" s="78">
        <f t="shared" si="525"/>
        <v>0</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2017</v>
      </c>
      <c r="B1061" s="73" t="str">
        <f t="shared" si="499"/>
        <v>Nov</v>
      </c>
      <c r="C1061" s="74">
        <f t="shared" si="522"/>
        <v>17</v>
      </c>
      <c r="D1061" s="75">
        <f t="shared" si="500"/>
        <v>1</v>
      </c>
      <c r="E1061" s="76">
        <f t="shared" si="501"/>
        <v>56</v>
      </c>
      <c r="F1061" s="80"/>
      <c r="G1061" s="83"/>
      <c r="H1061" s="69" t="str">
        <f t="shared" si="523"/>
        <v>Lacine7_20171117_01_00</v>
      </c>
      <c r="I1061" s="70">
        <f t="shared" ref="I1061:N1076" si="526">I1060</f>
        <v>1</v>
      </c>
      <c r="J1061" s="77" t="str">
        <f t="shared" si="526"/>
        <v>Lactuca</v>
      </c>
      <c r="K1061" s="77" t="str">
        <f t="shared" si="526"/>
        <v>inermis</v>
      </c>
      <c r="L1061" s="78">
        <f t="shared" si="526"/>
        <v>7</v>
      </c>
      <c r="M1061" s="78">
        <f t="shared" si="526"/>
        <v>0</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2017</v>
      </c>
      <c r="B1062" s="73" t="str">
        <f t="shared" si="499"/>
        <v>Nov</v>
      </c>
      <c r="C1062" s="74">
        <f t="shared" si="522"/>
        <v>17</v>
      </c>
      <c r="D1062" s="75">
        <f t="shared" si="500"/>
        <v>1</v>
      </c>
      <c r="E1062" s="76">
        <f t="shared" si="501"/>
        <v>57</v>
      </c>
      <c r="F1062" s="80"/>
      <c r="G1062" s="83"/>
      <c r="H1062" s="69" t="str">
        <f t="shared" si="523"/>
        <v>Lacine7_20171117_01_00</v>
      </c>
      <c r="I1062" s="70">
        <f t="shared" si="526"/>
        <v>1</v>
      </c>
      <c r="J1062" s="77" t="str">
        <f t="shared" si="526"/>
        <v>Lactuca</v>
      </c>
      <c r="K1062" s="77" t="str">
        <f t="shared" si="526"/>
        <v>inermis</v>
      </c>
      <c r="L1062" s="78">
        <f t="shared" si="526"/>
        <v>7</v>
      </c>
      <c r="M1062" s="78">
        <f t="shared" si="526"/>
        <v>0</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2017</v>
      </c>
      <c r="B1063" s="73" t="str">
        <f t="shared" si="499"/>
        <v>Nov</v>
      </c>
      <c r="C1063" s="74">
        <f t="shared" si="522"/>
        <v>17</v>
      </c>
      <c r="D1063" s="75">
        <f t="shared" si="500"/>
        <v>1</v>
      </c>
      <c r="E1063" s="76">
        <f t="shared" si="501"/>
        <v>58</v>
      </c>
      <c r="F1063" s="80"/>
      <c r="G1063" s="83"/>
      <c r="H1063" s="69" t="str">
        <f t="shared" si="523"/>
        <v>Lacine7_20171117_01_00</v>
      </c>
      <c r="I1063" s="70">
        <f t="shared" si="526"/>
        <v>1</v>
      </c>
      <c r="J1063" s="77" t="str">
        <f t="shared" si="526"/>
        <v>Lactuca</v>
      </c>
      <c r="K1063" s="77" t="str">
        <f t="shared" si="526"/>
        <v>inermis</v>
      </c>
      <c r="L1063" s="78">
        <f t="shared" si="526"/>
        <v>7</v>
      </c>
      <c r="M1063" s="78">
        <f t="shared" si="526"/>
        <v>0</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2017</v>
      </c>
      <c r="B1064" s="73" t="str">
        <f t="shared" si="499"/>
        <v>Nov</v>
      </c>
      <c r="C1064" s="74">
        <f t="shared" si="522"/>
        <v>17</v>
      </c>
      <c r="D1064" s="75">
        <f t="shared" si="500"/>
        <v>1</v>
      </c>
      <c r="E1064" s="76">
        <f t="shared" si="501"/>
        <v>59</v>
      </c>
      <c r="F1064" s="80"/>
      <c r="G1064" s="83"/>
      <c r="H1064" s="69" t="str">
        <f t="shared" si="523"/>
        <v>Lacine7_20171117_01_00</v>
      </c>
      <c r="I1064" s="70">
        <f t="shared" si="526"/>
        <v>1</v>
      </c>
      <c r="J1064" s="77" t="str">
        <f t="shared" si="526"/>
        <v>Lactuca</v>
      </c>
      <c r="K1064" s="77" t="str">
        <f t="shared" si="526"/>
        <v>inermis</v>
      </c>
      <c r="L1064" s="78">
        <f t="shared" si="526"/>
        <v>7</v>
      </c>
      <c r="M1064" s="78">
        <f t="shared" si="526"/>
        <v>0</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2017</v>
      </c>
      <c r="B1065" s="73" t="str">
        <f t="shared" si="499"/>
        <v>Nov</v>
      </c>
      <c r="C1065" s="74">
        <f t="shared" si="522"/>
        <v>17</v>
      </c>
      <c r="D1065" s="75">
        <f t="shared" si="500"/>
        <v>2</v>
      </c>
      <c r="E1065" s="76">
        <f t="shared" si="501"/>
        <v>0</v>
      </c>
      <c r="F1065" s="80"/>
      <c r="G1065" s="83"/>
      <c r="H1065" s="69" t="str">
        <f t="shared" si="523"/>
        <v>Lacine7_20171117_02_00</v>
      </c>
      <c r="I1065" s="70">
        <f t="shared" si="526"/>
        <v>1</v>
      </c>
      <c r="J1065" s="77" t="str">
        <f t="shared" si="526"/>
        <v>Lactuca</v>
      </c>
      <c r="K1065" s="77" t="str">
        <f t="shared" si="526"/>
        <v>inermis</v>
      </c>
      <c r="L1065" s="78">
        <f t="shared" si="526"/>
        <v>7</v>
      </c>
      <c r="M1065" s="78">
        <f t="shared" si="526"/>
        <v>0</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2017</v>
      </c>
      <c r="B1066" s="73" t="str">
        <f t="shared" si="499"/>
        <v>Nov</v>
      </c>
      <c r="C1066" s="74">
        <f t="shared" si="522"/>
        <v>17</v>
      </c>
      <c r="D1066" s="75">
        <f t="shared" si="500"/>
        <v>2</v>
      </c>
      <c r="E1066" s="76">
        <f t="shared" si="501"/>
        <v>1</v>
      </c>
      <c r="F1066" s="80"/>
      <c r="G1066" s="83"/>
      <c r="H1066" s="69" t="str">
        <f t="shared" si="523"/>
        <v>Lacine7_20171117_02_00</v>
      </c>
      <c r="I1066" s="70">
        <f t="shared" si="526"/>
        <v>1</v>
      </c>
      <c r="J1066" s="77" t="str">
        <f t="shared" si="526"/>
        <v>Lactuca</v>
      </c>
      <c r="K1066" s="77" t="str">
        <f t="shared" si="526"/>
        <v>inermis</v>
      </c>
      <c r="L1066" s="78">
        <f t="shared" si="526"/>
        <v>7</v>
      </c>
      <c r="M1066" s="78">
        <f t="shared" si="526"/>
        <v>0</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2017</v>
      </c>
      <c r="B1067" s="73" t="str">
        <f t="shared" si="499"/>
        <v>Nov</v>
      </c>
      <c r="C1067" s="74">
        <f t="shared" si="522"/>
        <v>17</v>
      </c>
      <c r="D1067" s="75">
        <f t="shared" si="500"/>
        <v>2</v>
      </c>
      <c r="E1067" s="76">
        <f t="shared" si="501"/>
        <v>2</v>
      </c>
      <c r="F1067" s="80"/>
      <c r="G1067" s="83"/>
      <c r="H1067" s="69" t="str">
        <f t="shared" si="523"/>
        <v>Lacine7_20171117_02_00</v>
      </c>
      <c r="I1067" s="70">
        <f t="shared" si="526"/>
        <v>1</v>
      </c>
      <c r="J1067" s="77" t="str">
        <f t="shared" si="526"/>
        <v>Lactuca</v>
      </c>
      <c r="K1067" s="77" t="str">
        <f t="shared" si="526"/>
        <v>inermis</v>
      </c>
      <c r="L1067" s="78">
        <f t="shared" si="526"/>
        <v>7</v>
      </c>
      <c r="M1067" s="78">
        <f t="shared" si="526"/>
        <v>0</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2017</v>
      </c>
      <c r="B1068" s="73" t="str">
        <f t="shared" si="499"/>
        <v>Nov</v>
      </c>
      <c r="C1068" s="74">
        <f t="shared" si="522"/>
        <v>17</v>
      </c>
      <c r="D1068" s="75">
        <f t="shared" si="500"/>
        <v>2</v>
      </c>
      <c r="E1068" s="76">
        <f t="shared" si="501"/>
        <v>3</v>
      </c>
      <c r="F1068" s="80"/>
      <c r="G1068" s="83"/>
      <c r="H1068" s="69" t="str">
        <f t="shared" si="523"/>
        <v>Lacine7_20171117_02_00</v>
      </c>
      <c r="I1068" s="70">
        <f t="shared" si="526"/>
        <v>1</v>
      </c>
      <c r="J1068" s="77" t="str">
        <f t="shared" si="526"/>
        <v>Lactuca</v>
      </c>
      <c r="K1068" s="77" t="str">
        <f t="shared" si="526"/>
        <v>inermis</v>
      </c>
      <c r="L1068" s="78">
        <f t="shared" si="526"/>
        <v>7</v>
      </c>
      <c r="M1068" s="78">
        <f t="shared" si="526"/>
        <v>0</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2017</v>
      </c>
      <c r="B1069" s="73" t="str">
        <f t="shared" si="499"/>
        <v>Nov</v>
      </c>
      <c r="C1069" s="74">
        <f t="shared" si="522"/>
        <v>17</v>
      </c>
      <c r="D1069" s="75">
        <f t="shared" si="500"/>
        <v>2</v>
      </c>
      <c r="E1069" s="76">
        <f t="shared" si="501"/>
        <v>4</v>
      </c>
      <c r="F1069" s="80"/>
      <c r="G1069" s="83"/>
      <c r="H1069" s="69" t="str">
        <f t="shared" si="523"/>
        <v>Lacine7_20171117_02_00</v>
      </c>
      <c r="I1069" s="70">
        <f t="shared" si="526"/>
        <v>1</v>
      </c>
      <c r="J1069" s="77" t="str">
        <f t="shared" si="526"/>
        <v>Lactuca</v>
      </c>
      <c r="K1069" s="77" t="str">
        <f t="shared" si="526"/>
        <v>inermis</v>
      </c>
      <c r="L1069" s="78">
        <f t="shared" si="526"/>
        <v>7</v>
      </c>
      <c r="M1069" s="78">
        <f t="shared" si="526"/>
        <v>0</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2017</v>
      </c>
      <c r="B1070" s="73" t="str">
        <f t="shared" si="499"/>
        <v>Nov</v>
      </c>
      <c r="C1070" s="74">
        <f t="shared" si="522"/>
        <v>17</v>
      </c>
      <c r="D1070" s="75">
        <f t="shared" si="500"/>
        <v>2</v>
      </c>
      <c r="E1070" s="76">
        <f t="shared" si="501"/>
        <v>5</v>
      </c>
      <c r="F1070" s="80"/>
      <c r="G1070" s="83"/>
      <c r="H1070" s="69" t="str">
        <f t="shared" si="523"/>
        <v>Lacine7_20171117_02_00</v>
      </c>
      <c r="I1070" s="70">
        <f t="shared" si="526"/>
        <v>1</v>
      </c>
      <c r="J1070" s="77" t="str">
        <f t="shared" si="526"/>
        <v>Lactuca</v>
      </c>
      <c r="K1070" s="77" t="str">
        <f t="shared" si="526"/>
        <v>inermis</v>
      </c>
      <c r="L1070" s="78">
        <f t="shared" si="526"/>
        <v>7</v>
      </c>
      <c r="M1070" s="78">
        <f t="shared" si="526"/>
        <v>0</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2017</v>
      </c>
      <c r="B1071" s="73" t="str">
        <f t="shared" si="499"/>
        <v>Nov</v>
      </c>
      <c r="C1071" s="74">
        <f t="shared" si="522"/>
        <v>17</v>
      </c>
      <c r="D1071" s="75">
        <f t="shared" si="500"/>
        <v>2</v>
      </c>
      <c r="E1071" s="76">
        <f t="shared" si="501"/>
        <v>6</v>
      </c>
      <c r="F1071" s="80"/>
      <c r="G1071" s="83"/>
      <c r="H1071" s="69" t="str">
        <f t="shared" si="523"/>
        <v>Lacine7_20171117_02_00</v>
      </c>
      <c r="I1071" s="70">
        <f t="shared" si="526"/>
        <v>1</v>
      </c>
      <c r="J1071" s="77" t="str">
        <f t="shared" si="526"/>
        <v>Lactuca</v>
      </c>
      <c r="K1071" s="77" t="str">
        <f t="shared" si="526"/>
        <v>inermis</v>
      </c>
      <c r="L1071" s="78">
        <f t="shared" si="526"/>
        <v>7</v>
      </c>
      <c r="M1071" s="78">
        <f t="shared" si="526"/>
        <v>0</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2017</v>
      </c>
      <c r="B1072" s="73" t="str">
        <f t="shared" si="499"/>
        <v>Nov</v>
      </c>
      <c r="C1072" s="74">
        <f t="shared" si="522"/>
        <v>17</v>
      </c>
      <c r="D1072" s="75">
        <f t="shared" si="500"/>
        <v>2</v>
      </c>
      <c r="E1072" s="76">
        <f t="shared" si="501"/>
        <v>7</v>
      </c>
      <c r="F1072" s="80"/>
      <c r="G1072" s="83"/>
      <c r="H1072" s="69" t="str">
        <f t="shared" si="523"/>
        <v>Lacine7_20171117_02_00</v>
      </c>
      <c r="I1072" s="70">
        <f t="shared" si="526"/>
        <v>1</v>
      </c>
      <c r="J1072" s="77" t="str">
        <f t="shared" si="526"/>
        <v>Lactuca</v>
      </c>
      <c r="K1072" s="77" t="str">
        <f t="shared" si="526"/>
        <v>inermis</v>
      </c>
      <c r="L1072" s="78">
        <f t="shared" si="526"/>
        <v>7</v>
      </c>
      <c r="M1072" s="78">
        <f t="shared" si="526"/>
        <v>0</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2017</v>
      </c>
      <c r="B1073" s="73" t="str">
        <f t="shared" si="499"/>
        <v>Nov</v>
      </c>
      <c r="C1073" s="74">
        <f t="shared" si="522"/>
        <v>17</v>
      </c>
      <c r="D1073" s="75">
        <f t="shared" si="500"/>
        <v>2</v>
      </c>
      <c r="E1073" s="76">
        <f t="shared" si="501"/>
        <v>8</v>
      </c>
      <c r="F1073" s="80"/>
      <c r="G1073" s="83"/>
      <c r="H1073" s="69" t="str">
        <f t="shared" si="523"/>
        <v>Lacine7_20171117_02_00</v>
      </c>
      <c r="I1073" s="70">
        <f t="shared" si="526"/>
        <v>1</v>
      </c>
      <c r="J1073" s="77" t="str">
        <f t="shared" si="526"/>
        <v>Lactuca</v>
      </c>
      <c r="K1073" s="77" t="str">
        <f t="shared" si="526"/>
        <v>inermis</v>
      </c>
      <c r="L1073" s="78">
        <f t="shared" si="526"/>
        <v>7</v>
      </c>
      <c r="M1073" s="78">
        <f t="shared" si="526"/>
        <v>0</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2017</v>
      </c>
      <c r="B1074" s="73" t="str">
        <f t="shared" si="499"/>
        <v>Nov</v>
      </c>
      <c r="C1074" s="74">
        <f t="shared" si="522"/>
        <v>17</v>
      </c>
      <c r="D1074" s="75">
        <f t="shared" si="500"/>
        <v>2</v>
      </c>
      <c r="E1074" s="76">
        <f t="shared" si="501"/>
        <v>9</v>
      </c>
      <c r="F1074" s="80"/>
      <c r="G1074" s="83"/>
      <c r="H1074" s="69" t="str">
        <f t="shared" si="523"/>
        <v>Lacine7_20171117_02_00</v>
      </c>
      <c r="I1074" s="70">
        <f t="shared" si="526"/>
        <v>1</v>
      </c>
      <c r="J1074" s="77" t="str">
        <f t="shared" si="526"/>
        <v>Lactuca</v>
      </c>
      <c r="K1074" s="77" t="str">
        <f t="shared" si="526"/>
        <v>inermis</v>
      </c>
      <c r="L1074" s="78">
        <f t="shared" si="526"/>
        <v>7</v>
      </c>
      <c r="M1074" s="78">
        <f t="shared" si="526"/>
        <v>0</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2017</v>
      </c>
      <c r="B1075" s="73" t="str">
        <f t="shared" si="499"/>
        <v>Nov</v>
      </c>
      <c r="C1075" s="74">
        <f t="shared" si="522"/>
        <v>17</v>
      </c>
      <c r="D1075" s="75">
        <f t="shared" si="500"/>
        <v>2</v>
      </c>
      <c r="E1075" s="76">
        <f t="shared" si="501"/>
        <v>10</v>
      </c>
      <c r="F1075" s="80"/>
      <c r="G1075" s="83"/>
      <c r="H1075" s="69" t="str">
        <f t="shared" si="523"/>
        <v>Lacine7_20171117_02_00</v>
      </c>
      <c r="I1075" s="70">
        <f t="shared" si="526"/>
        <v>1</v>
      </c>
      <c r="J1075" s="77" t="str">
        <f t="shared" si="526"/>
        <v>Lactuca</v>
      </c>
      <c r="K1075" s="77" t="str">
        <f t="shared" si="526"/>
        <v>inermis</v>
      </c>
      <c r="L1075" s="78">
        <f t="shared" si="526"/>
        <v>7</v>
      </c>
      <c r="M1075" s="78">
        <f t="shared" si="526"/>
        <v>0</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2017</v>
      </c>
      <c r="B1076" s="73" t="str">
        <f t="shared" si="499"/>
        <v>Nov</v>
      </c>
      <c r="C1076" s="74">
        <f t="shared" si="522"/>
        <v>17</v>
      </c>
      <c r="D1076" s="75">
        <f t="shared" si="500"/>
        <v>2</v>
      </c>
      <c r="E1076" s="76">
        <f t="shared" si="501"/>
        <v>11</v>
      </c>
      <c r="F1076" s="80"/>
      <c r="G1076" s="83"/>
      <c r="H1076" s="69" t="str">
        <f t="shared" si="523"/>
        <v>Lacine7_20171117_02_00</v>
      </c>
      <c r="I1076" s="70">
        <f t="shared" si="526"/>
        <v>1</v>
      </c>
      <c r="J1076" s="77" t="str">
        <f t="shared" si="526"/>
        <v>Lactuca</v>
      </c>
      <c r="K1076" s="77" t="str">
        <f t="shared" si="526"/>
        <v>inermis</v>
      </c>
      <c r="L1076" s="78">
        <f t="shared" si="526"/>
        <v>7</v>
      </c>
      <c r="M1076" s="78">
        <f t="shared" si="526"/>
        <v>0</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2017</v>
      </c>
      <c r="B1077" s="73" t="str">
        <f t="shared" si="499"/>
        <v>Nov</v>
      </c>
      <c r="C1077" s="74">
        <f t="shared" si="522"/>
        <v>17</v>
      </c>
      <c r="D1077" s="75">
        <f t="shared" si="500"/>
        <v>2</v>
      </c>
      <c r="E1077" s="76">
        <f t="shared" si="501"/>
        <v>12</v>
      </c>
      <c r="F1077" s="80"/>
      <c r="G1077" s="83"/>
      <c r="H1077" s="69" t="str">
        <f t="shared" si="523"/>
        <v>Lacine7_20171117_02_00</v>
      </c>
      <c r="I1077" s="70">
        <f t="shared" ref="I1077:N1092" si="527">I1076</f>
        <v>1</v>
      </c>
      <c r="J1077" s="77" t="str">
        <f t="shared" si="527"/>
        <v>Lactuca</v>
      </c>
      <c r="K1077" s="77" t="str">
        <f t="shared" si="527"/>
        <v>inermis</v>
      </c>
      <c r="L1077" s="78">
        <f t="shared" si="527"/>
        <v>7</v>
      </c>
      <c r="M1077" s="78">
        <f t="shared" si="527"/>
        <v>0</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2017</v>
      </c>
      <c r="B1078" s="73" t="str">
        <f t="shared" si="499"/>
        <v>Nov</v>
      </c>
      <c r="C1078" s="74">
        <f t="shared" si="522"/>
        <v>17</v>
      </c>
      <c r="D1078" s="75">
        <f t="shared" si="500"/>
        <v>2</v>
      </c>
      <c r="E1078" s="76">
        <f t="shared" si="501"/>
        <v>13</v>
      </c>
      <c r="F1078" s="80"/>
      <c r="G1078" s="83"/>
      <c r="H1078" s="69" t="str">
        <f t="shared" si="523"/>
        <v>Lacine7_20171117_02_00</v>
      </c>
      <c r="I1078" s="70">
        <f t="shared" si="527"/>
        <v>1</v>
      </c>
      <c r="J1078" s="77" t="str">
        <f t="shared" si="527"/>
        <v>Lactuca</v>
      </c>
      <c r="K1078" s="77" t="str">
        <f t="shared" si="527"/>
        <v>inermis</v>
      </c>
      <c r="L1078" s="78">
        <f t="shared" si="527"/>
        <v>7</v>
      </c>
      <c r="M1078" s="78">
        <f t="shared" si="527"/>
        <v>0</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2017</v>
      </c>
      <c r="B1079" s="73" t="str">
        <f t="shared" si="499"/>
        <v>Nov</v>
      </c>
      <c r="C1079" s="74">
        <f t="shared" si="522"/>
        <v>17</v>
      </c>
      <c r="D1079" s="75">
        <f t="shared" si="500"/>
        <v>2</v>
      </c>
      <c r="E1079" s="76">
        <f t="shared" si="501"/>
        <v>14</v>
      </c>
      <c r="F1079" s="80"/>
      <c r="G1079" s="83"/>
      <c r="H1079" s="69" t="str">
        <f t="shared" si="523"/>
        <v>Lacine7_20171117_02_00</v>
      </c>
      <c r="I1079" s="70">
        <f t="shared" si="527"/>
        <v>1</v>
      </c>
      <c r="J1079" s="77" t="str">
        <f t="shared" si="527"/>
        <v>Lactuca</v>
      </c>
      <c r="K1079" s="77" t="str">
        <f t="shared" si="527"/>
        <v>inermis</v>
      </c>
      <c r="L1079" s="78">
        <f t="shared" si="527"/>
        <v>7</v>
      </c>
      <c r="M1079" s="78">
        <f t="shared" si="527"/>
        <v>0</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2017</v>
      </c>
      <c r="B1080" s="73" t="str">
        <f t="shared" si="499"/>
        <v>Nov</v>
      </c>
      <c r="C1080" s="74">
        <f t="shared" si="522"/>
        <v>17</v>
      </c>
      <c r="D1080" s="75">
        <f t="shared" si="500"/>
        <v>2</v>
      </c>
      <c r="E1080" s="76">
        <f t="shared" si="501"/>
        <v>15</v>
      </c>
      <c r="F1080" s="80"/>
      <c r="G1080" s="83"/>
      <c r="H1080" s="69" t="str">
        <f t="shared" si="523"/>
        <v>Lacine7_20171117_02_00</v>
      </c>
      <c r="I1080" s="70">
        <f t="shared" si="527"/>
        <v>1</v>
      </c>
      <c r="J1080" s="77" t="str">
        <f t="shared" si="527"/>
        <v>Lactuca</v>
      </c>
      <c r="K1080" s="77" t="str">
        <f t="shared" si="527"/>
        <v>inermis</v>
      </c>
      <c r="L1080" s="78">
        <f t="shared" si="527"/>
        <v>7</v>
      </c>
      <c r="M1080" s="78">
        <f t="shared" si="527"/>
        <v>0</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2017</v>
      </c>
      <c r="B1081" s="73" t="str">
        <f t="shared" si="499"/>
        <v>Nov</v>
      </c>
      <c r="C1081" s="74">
        <f t="shared" si="522"/>
        <v>17</v>
      </c>
      <c r="D1081" s="75">
        <f t="shared" si="500"/>
        <v>2</v>
      </c>
      <c r="E1081" s="76">
        <f t="shared" si="501"/>
        <v>16</v>
      </c>
      <c r="F1081" s="80"/>
      <c r="G1081" s="83"/>
      <c r="H1081" s="69" t="str">
        <f t="shared" si="523"/>
        <v>Lacine7_20171117_02_00</v>
      </c>
      <c r="I1081" s="70">
        <f t="shared" si="527"/>
        <v>1</v>
      </c>
      <c r="J1081" s="77" t="str">
        <f t="shared" si="527"/>
        <v>Lactuca</v>
      </c>
      <c r="K1081" s="77" t="str">
        <f t="shared" si="527"/>
        <v>inermis</v>
      </c>
      <c r="L1081" s="78">
        <f t="shared" si="527"/>
        <v>7</v>
      </c>
      <c r="M1081" s="78">
        <f t="shared" si="527"/>
        <v>0</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2017</v>
      </c>
      <c r="B1082" s="73" t="str">
        <f t="shared" si="499"/>
        <v>Nov</v>
      </c>
      <c r="C1082" s="74">
        <f t="shared" si="522"/>
        <v>17</v>
      </c>
      <c r="D1082" s="75">
        <f t="shared" si="500"/>
        <v>2</v>
      </c>
      <c r="E1082" s="76">
        <f t="shared" si="501"/>
        <v>17</v>
      </c>
      <c r="F1082" s="80"/>
      <c r="G1082" s="83"/>
      <c r="H1082" s="69" t="str">
        <f t="shared" si="523"/>
        <v>Lacine7_20171117_02_00</v>
      </c>
      <c r="I1082" s="70">
        <f t="shared" si="527"/>
        <v>1</v>
      </c>
      <c r="J1082" s="77" t="str">
        <f t="shared" si="527"/>
        <v>Lactuca</v>
      </c>
      <c r="K1082" s="77" t="str">
        <f t="shared" si="527"/>
        <v>inermis</v>
      </c>
      <c r="L1082" s="78">
        <f t="shared" si="527"/>
        <v>7</v>
      </c>
      <c r="M1082" s="78">
        <f t="shared" si="527"/>
        <v>0</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2017</v>
      </c>
      <c r="B1083" s="73" t="str">
        <f t="shared" si="499"/>
        <v>Nov</v>
      </c>
      <c r="C1083" s="74">
        <f t="shared" si="522"/>
        <v>17</v>
      </c>
      <c r="D1083" s="75">
        <f t="shared" si="500"/>
        <v>2</v>
      </c>
      <c r="E1083" s="76">
        <f t="shared" si="501"/>
        <v>18</v>
      </c>
      <c r="F1083" s="80"/>
      <c r="G1083" s="83"/>
      <c r="H1083" s="69" t="str">
        <f t="shared" si="523"/>
        <v>Lacine7_20171117_02_00</v>
      </c>
      <c r="I1083" s="70">
        <f t="shared" si="527"/>
        <v>1</v>
      </c>
      <c r="J1083" s="77" t="str">
        <f t="shared" si="527"/>
        <v>Lactuca</v>
      </c>
      <c r="K1083" s="77" t="str">
        <f t="shared" si="527"/>
        <v>inermis</v>
      </c>
      <c r="L1083" s="78">
        <f t="shared" si="527"/>
        <v>7</v>
      </c>
      <c r="M1083" s="78">
        <f t="shared" si="527"/>
        <v>0</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2017</v>
      </c>
      <c r="B1084" s="73" t="str">
        <f t="shared" si="499"/>
        <v>Nov</v>
      </c>
      <c r="C1084" s="74">
        <f t="shared" si="522"/>
        <v>17</v>
      </c>
      <c r="D1084" s="75">
        <f t="shared" si="500"/>
        <v>2</v>
      </c>
      <c r="E1084" s="76">
        <f t="shared" si="501"/>
        <v>19</v>
      </c>
      <c r="F1084" s="80"/>
      <c r="G1084" s="83"/>
      <c r="H1084" s="69" t="str">
        <f t="shared" si="523"/>
        <v>Lacine7_20171117_02_00</v>
      </c>
      <c r="I1084" s="70">
        <f t="shared" si="527"/>
        <v>1</v>
      </c>
      <c r="J1084" s="77" t="str">
        <f t="shared" si="527"/>
        <v>Lactuca</v>
      </c>
      <c r="K1084" s="77" t="str">
        <f t="shared" si="527"/>
        <v>inermis</v>
      </c>
      <c r="L1084" s="78">
        <f t="shared" si="527"/>
        <v>7</v>
      </c>
      <c r="M1084" s="78">
        <f t="shared" si="527"/>
        <v>0</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2017</v>
      </c>
      <c r="B1085" s="73" t="str">
        <f t="shared" si="499"/>
        <v>Nov</v>
      </c>
      <c r="C1085" s="74">
        <f t="shared" si="522"/>
        <v>17</v>
      </c>
      <c r="D1085" s="75">
        <f t="shared" si="500"/>
        <v>2</v>
      </c>
      <c r="E1085" s="76">
        <f t="shared" si="501"/>
        <v>20</v>
      </c>
      <c r="F1085" s="80"/>
      <c r="G1085" s="83"/>
      <c r="H1085" s="69" t="str">
        <f t="shared" si="523"/>
        <v>Lacine7_20171117_02_00</v>
      </c>
      <c r="I1085" s="70">
        <f t="shared" si="527"/>
        <v>1</v>
      </c>
      <c r="J1085" s="77" t="str">
        <f t="shared" si="527"/>
        <v>Lactuca</v>
      </c>
      <c r="K1085" s="77" t="str">
        <f t="shared" si="527"/>
        <v>inermis</v>
      </c>
      <c r="L1085" s="78">
        <f t="shared" si="527"/>
        <v>7</v>
      </c>
      <c r="M1085" s="78">
        <f t="shared" si="527"/>
        <v>0</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2017</v>
      </c>
      <c r="B1086" s="73" t="str">
        <f t="shared" si="499"/>
        <v>Nov</v>
      </c>
      <c r="C1086" s="74">
        <f t="shared" si="522"/>
        <v>17</v>
      </c>
      <c r="D1086" s="75">
        <f t="shared" si="500"/>
        <v>2</v>
      </c>
      <c r="E1086" s="76">
        <f t="shared" si="501"/>
        <v>21</v>
      </c>
      <c r="F1086" s="80"/>
      <c r="G1086" s="83"/>
      <c r="H1086" s="69" t="str">
        <f t="shared" si="523"/>
        <v>Lacine7_20171117_02_00</v>
      </c>
      <c r="I1086" s="70">
        <f t="shared" si="527"/>
        <v>1</v>
      </c>
      <c r="J1086" s="77" t="str">
        <f t="shared" si="527"/>
        <v>Lactuca</v>
      </c>
      <c r="K1086" s="77" t="str">
        <f t="shared" si="527"/>
        <v>inermis</v>
      </c>
      <c r="L1086" s="78">
        <f t="shared" si="527"/>
        <v>7</v>
      </c>
      <c r="M1086" s="78">
        <f t="shared" si="527"/>
        <v>0</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2017</v>
      </c>
      <c r="B1087" s="73" t="str">
        <f t="shared" si="499"/>
        <v>Nov</v>
      </c>
      <c r="C1087" s="74">
        <f t="shared" si="522"/>
        <v>17</v>
      </c>
      <c r="D1087" s="75">
        <f t="shared" si="500"/>
        <v>2</v>
      </c>
      <c r="E1087" s="76">
        <f t="shared" si="501"/>
        <v>22</v>
      </c>
      <c r="F1087" s="80"/>
      <c r="G1087" s="83"/>
      <c r="H1087" s="69" t="str">
        <f t="shared" si="523"/>
        <v>Lacine7_20171117_02_00</v>
      </c>
      <c r="I1087" s="70">
        <f t="shared" si="527"/>
        <v>1</v>
      </c>
      <c r="J1087" s="77" t="str">
        <f t="shared" si="527"/>
        <v>Lactuca</v>
      </c>
      <c r="K1087" s="77" t="str">
        <f t="shared" si="527"/>
        <v>inermis</v>
      </c>
      <c r="L1087" s="78">
        <f t="shared" si="527"/>
        <v>7</v>
      </c>
      <c r="M1087" s="78">
        <f t="shared" si="527"/>
        <v>0</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2017</v>
      </c>
      <c r="B1088" s="73" t="str">
        <f t="shared" si="499"/>
        <v>Nov</v>
      </c>
      <c r="C1088" s="74">
        <f t="shared" si="522"/>
        <v>17</v>
      </c>
      <c r="D1088" s="75">
        <f t="shared" si="500"/>
        <v>2</v>
      </c>
      <c r="E1088" s="76">
        <f t="shared" si="501"/>
        <v>23</v>
      </c>
      <c r="F1088" s="80"/>
      <c r="G1088" s="83"/>
      <c r="H1088" s="69" t="str">
        <f t="shared" si="523"/>
        <v>Lacine7_20171117_02_00</v>
      </c>
      <c r="I1088" s="70">
        <f t="shared" si="527"/>
        <v>1</v>
      </c>
      <c r="J1088" s="77" t="str">
        <f t="shared" si="527"/>
        <v>Lactuca</v>
      </c>
      <c r="K1088" s="77" t="str">
        <f t="shared" si="527"/>
        <v>inermis</v>
      </c>
      <c r="L1088" s="78">
        <f t="shared" si="527"/>
        <v>7</v>
      </c>
      <c r="M1088" s="78">
        <f t="shared" si="527"/>
        <v>0</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2017</v>
      </c>
      <c r="B1089" s="73" t="str">
        <f t="shared" si="499"/>
        <v>Nov</v>
      </c>
      <c r="C1089" s="74">
        <f t="shared" si="522"/>
        <v>17</v>
      </c>
      <c r="D1089" s="75">
        <f t="shared" si="500"/>
        <v>2</v>
      </c>
      <c r="E1089" s="76">
        <f t="shared" si="501"/>
        <v>24</v>
      </c>
      <c r="F1089" s="80"/>
      <c r="G1089" s="83"/>
      <c r="H1089" s="69" t="str">
        <f t="shared" si="523"/>
        <v>Lacine7_20171117_02_00</v>
      </c>
      <c r="I1089" s="70">
        <f t="shared" si="527"/>
        <v>1</v>
      </c>
      <c r="J1089" s="77" t="str">
        <f t="shared" si="527"/>
        <v>Lactuca</v>
      </c>
      <c r="K1089" s="77" t="str">
        <f t="shared" si="527"/>
        <v>inermis</v>
      </c>
      <c r="L1089" s="78">
        <f t="shared" si="527"/>
        <v>7</v>
      </c>
      <c r="M1089" s="78">
        <f t="shared" si="527"/>
        <v>0</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2017</v>
      </c>
      <c r="B1090" s="73" t="str">
        <f t="shared" si="499"/>
        <v>Nov</v>
      </c>
      <c r="C1090" s="74">
        <f t="shared" si="522"/>
        <v>17</v>
      </c>
      <c r="D1090" s="75">
        <f t="shared" si="500"/>
        <v>2</v>
      </c>
      <c r="E1090" s="76">
        <f t="shared" si="501"/>
        <v>25</v>
      </c>
      <c r="F1090" s="80"/>
      <c r="G1090" s="83"/>
      <c r="H1090" s="69" t="str">
        <f t="shared" si="523"/>
        <v>Lacine7_20171117_02_00</v>
      </c>
      <c r="I1090" s="70">
        <f t="shared" si="527"/>
        <v>1</v>
      </c>
      <c r="J1090" s="77" t="str">
        <f t="shared" si="527"/>
        <v>Lactuca</v>
      </c>
      <c r="K1090" s="77" t="str">
        <f t="shared" si="527"/>
        <v>inermis</v>
      </c>
      <c r="L1090" s="78">
        <f t="shared" si="527"/>
        <v>7</v>
      </c>
      <c r="M1090" s="78">
        <f t="shared" si="527"/>
        <v>0</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2017</v>
      </c>
      <c r="B1091" s="73" t="str">
        <f t="shared" si="499"/>
        <v>Nov</v>
      </c>
      <c r="C1091" s="74">
        <f t="shared" si="522"/>
        <v>17</v>
      </c>
      <c r="D1091" s="75">
        <f t="shared" si="500"/>
        <v>2</v>
      </c>
      <c r="E1091" s="76">
        <f t="shared" si="501"/>
        <v>26</v>
      </c>
      <c r="F1091" s="80"/>
      <c r="G1091" s="83"/>
      <c r="H1091" s="69" t="str">
        <f t="shared" si="523"/>
        <v>Lacine7_20171117_02_00</v>
      </c>
      <c r="I1091" s="70">
        <f t="shared" si="527"/>
        <v>1</v>
      </c>
      <c r="J1091" s="77" t="str">
        <f t="shared" si="527"/>
        <v>Lactuca</v>
      </c>
      <c r="K1091" s="77" t="str">
        <f t="shared" si="527"/>
        <v>inermis</v>
      </c>
      <c r="L1091" s="78">
        <f t="shared" si="527"/>
        <v>7</v>
      </c>
      <c r="M1091" s="78">
        <f t="shared" si="527"/>
        <v>0</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2017</v>
      </c>
      <c r="B1092" s="73" t="str">
        <f t="shared" ref="B1092:B1155" si="530">IF(C1091-C1092&gt;0, TEXT(DATE(2016,(MONTH(DATEVALUE(B1091&amp;"1"))+1),1),"mmm"), B1091)</f>
        <v>Nov</v>
      </c>
      <c r="C1092" s="74">
        <f t="shared" si="522"/>
        <v>17</v>
      </c>
      <c r="D1092" s="75">
        <f t="shared" ref="D1092:D1155" si="531">IF(IF(E1091=59,D1091+1,D1091)=24,0,IF(E1091=59,D1091+1,D1091))</f>
        <v>2</v>
      </c>
      <c r="E1092" s="76">
        <f t="shared" ref="E1092:E1155" si="532">IF(E1091&lt;59,E1091+1,0)</f>
        <v>27</v>
      </c>
      <c r="F1092" s="80"/>
      <c r="G1092" s="83"/>
      <c r="H1092" s="69" t="str">
        <f t="shared" si="523"/>
        <v>Lacine7_20171117_02_00</v>
      </c>
      <c r="I1092" s="70">
        <f t="shared" si="527"/>
        <v>1</v>
      </c>
      <c r="J1092" s="77" t="str">
        <f t="shared" si="527"/>
        <v>Lactuca</v>
      </c>
      <c r="K1092" s="77" t="str">
        <f t="shared" si="527"/>
        <v>inermis</v>
      </c>
      <c r="L1092" s="78">
        <f t="shared" si="527"/>
        <v>7</v>
      </c>
      <c r="M1092" s="78">
        <f t="shared" si="527"/>
        <v>0</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2017</v>
      </c>
      <c r="B1093" s="73" t="str">
        <f t="shared" si="530"/>
        <v>Nov</v>
      </c>
      <c r="C1093" s="74">
        <f t="shared" ref="C1093:C1156" si="553">IF(AND(D1093=0, E1093=0), IF(TEXT(C1092,"dd")=TEXT(EOMONTH(DATE(A1092,MONTH(DATEVALUE(B1092&amp;"1")),C1092),0), "dd"), 1, C1092+1), C1092)</f>
        <v>17</v>
      </c>
      <c r="D1093" s="75">
        <f t="shared" si="531"/>
        <v>2</v>
      </c>
      <c r="E1093" s="76">
        <f t="shared" si="532"/>
        <v>28</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Lacine7_20171117_02_00</v>
      </c>
      <c r="I1093" s="70">
        <f t="shared" ref="I1093:N1108" si="555">I1092</f>
        <v>1</v>
      </c>
      <c r="J1093" s="77" t="str">
        <f t="shared" si="555"/>
        <v>Lactuca</v>
      </c>
      <c r="K1093" s="77" t="str">
        <f t="shared" si="555"/>
        <v>inermis</v>
      </c>
      <c r="L1093" s="78">
        <f t="shared" si="555"/>
        <v>7</v>
      </c>
      <c r="M1093" s="78">
        <f t="shared" si="555"/>
        <v>0</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2017</v>
      </c>
      <c r="B1094" s="73" t="str">
        <f t="shared" si="530"/>
        <v>Nov</v>
      </c>
      <c r="C1094" s="74">
        <f t="shared" si="553"/>
        <v>17</v>
      </c>
      <c r="D1094" s="75">
        <f t="shared" si="531"/>
        <v>2</v>
      </c>
      <c r="E1094" s="76">
        <f t="shared" si="532"/>
        <v>29</v>
      </c>
      <c r="F1094" s="80"/>
      <c r="G1094" s="83"/>
      <c r="H1094" s="69" t="str">
        <f t="shared" si="554"/>
        <v>Lacine7_20171117_02_00</v>
      </c>
      <c r="I1094" s="70">
        <f t="shared" si="555"/>
        <v>1</v>
      </c>
      <c r="J1094" s="77" t="str">
        <f t="shared" si="555"/>
        <v>Lactuca</v>
      </c>
      <c r="K1094" s="77" t="str">
        <f t="shared" si="555"/>
        <v>inermis</v>
      </c>
      <c r="L1094" s="78">
        <f t="shared" si="555"/>
        <v>7</v>
      </c>
      <c r="M1094" s="78">
        <f t="shared" si="555"/>
        <v>0</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2017</v>
      </c>
      <c r="B1095" s="73" t="str">
        <f t="shared" si="530"/>
        <v>Nov</v>
      </c>
      <c r="C1095" s="74">
        <f t="shared" si="553"/>
        <v>17</v>
      </c>
      <c r="D1095" s="75">
        <f t="shared" si="531"/>
        <v>2</v>
      </c>
      <c r="E1095" s="76">
        <f t="shared" si="532"/>
        <v>30</v>
      </c>
      <c r="F1095" s="80"/>
      <c r="G1095" s="83"/>
      <c r="H1095" s="69" t="str">
        <f t="shared" si="554"/>
        <v>Lacine7_20171117_02_00</v>
      </c>
      <c r="I1095" s="70">
        <f t="shared" si="555"/>
        <v>1</v>
      </c>
      <c r="J1095" s="77" t="str">
        <f t="shared" si="555"/>
        <v>Lactuca</v>
      </c>
      <c r="K1095" s="77" t="str">
        <f t="shared" si="555"/>
        <v>inermis</v>
      </c>
      <c r="L1095" s="78">
        <f t="shared" si="555"/>
        <v>7</v>
      </c>
      <c r="M1095" s="78">
        <f t="shared" si="555"/>
        <v>0</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2017</v>
      </c>
      <c r="B1096" s="73" t="str">
        <f t="shared" si="530"/>
        <v>Nov</v>
      </c>
      <c r="C1096" s="74">
        <f t="shared" si="553"/>
        <v>17</v>
      </c>
      <c r="D1096" s="75">
        <f t="shared" si="531"/>
        <v>2</v>
      </c>
      <c r="E1096" s="76">
        <f t="shared" si="532"/>
        <v>31</v>
      </c>
      <c r="F1096" s="80"/>
      <c r="G1096" s="83"/>
      <c r="H1096" s="69" t="str">
        <f t="shared" si="554"/>
        <v>Lacine7_20171117_02_00</v>
      </c>
      <c r="I1096" s="70">
        <f t="shared" si="555"/>
        <v>1</v>
      </c>
      <c r="J1096" s="77" t="str">
        <f t="shared" si="555"/>
        <v>Lactuca</v>
      </c>
      <c r="K1096" s="77" t="str">
        <f t="shared" si="555"/>
        <v>inermis</v>
      </c>
      <c r="L1096" s="78">
        <f t="shared" si="555"/>
        <v>7</v>
      </c>
      <c r="M1096" s="78">
        <f t="shared" si="555"/>
        <v>0</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2017</v>
      </c>
      <c r="B1097" s="73" t="str">
        <f t="shared" si="530"/>
        <v>Nov</v>
      </c>
      <c r="C1097" s="74">
        <f t="shared" si="553"/>
        <v>17</v>
      </c>
      <c r="D1097" s="75">
        <f t="shared" si="531"/>
        <v>2</v>
      </c>
      <c r="E1097" s="76">
        <f t="shared" si="532"/>
        <v>32</v>
      </c>
      <c r="F1097" s="80"/>
      <c r="G1097" s="83"/>
      <c r="H1097" s="69" t="str">
        <f t="shared" si="554"/>
        <v>Lacine7_20171117_02_00</v>
      </c>
      <c r="I1097" s="70">
        <f t="shared" si="555"/>
        <v>1</v>
      </c>
      <c r="J1097" s="77" t="str">
        <f t="shared" si="555"/>
        <v>Lactuca</v>
      </c>
      <c r="K1097" s="77" t="str">
        <f t="shared" si="555"/>
        <v>inermis</v>
      </c>
      <c r="L1097" s="78">
        <f t="shared" si="555"/>
        <v>7</v>
      </c>
      <c r="M1097" s="78">
        <f t="shared" si="555"/>
        <v>0</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2017</v>
      </c>
      <c r="B1098" s="73" t="str">
        <f t="shared" si="530"/>
        <v>Nov</v>
      </c>
      <c r="C1098" s="74">
        <f t="shared" si="553"/>
        <v>17</v>
      </c>
      <c r="D1098" s="75">
        <f t="shared" si="531"/>
        <v>2</v>
      </c>
      <c r="E1098" s="76">
        <f t="shared" si="532"/>
        <v>33</v>
      </c>
      <c r="F1098" s="80"/>
      <c r="G1098" s="83"/>
      <c r="H1098" s="69" t="str">
        <f t="shared" si="554"/>
        <v>Lacine7_20171117_02_00</v>
      </c>
      <c r="I1098" s="70">
        <f t="shared" si="555"/>
        <v>1</v>
      </c>
      <c r="J1098" s="77" t="str">
        <f t="shared" si="555"/>
        <v>Lactuca</v>
      </c>
      <c r="K1098" s="77" t="str">
        <f t="shared" si="555"/>
        <v>inermis</v>
      </c>
      <c r="L1098" s="78">
        <f t="shared" si="555"/>
        <v>7</v>
      </c>
      <c r="M1098" s="78">
        <f t="shared" si="555"/>
        <v>0</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2017</v>
      </c>
      <c r="B1099" s="73" t="str">
        <f t="shared" si="530"/>
        <v>Nov</v>
      </c>
      <c r="C1099" s="74">
        <f t="shared" si="553"/>
        <v>17</v>
      </c>
      <c r="D1099" s="75">
        <f t="shared" si="531"/>
        <v>2</v>
      </c>
      <c r="E1099" s="76">
        <f t="shared" si="532"/>
        <v>34</v>
      </c>
      <c r="F1099" s="80"/>
      <c r="G1099" s="83"/>
      <c r="H1099" s="69" t="str">
        <f t="shared" si="554"/>
        <v>Lacine7_20171117_02_00</v>
      </c>
      <c r="I1099" s="70">
        <f t="shared" si="555"/>
        <v>1</v>
      </c>
      <c r="J1099" s="77" t="str">
        <f t="shared" si="555"/>
        <v>Lactuca</v>
      </c>
      <c r="K1099" s="77" t="str">
        <f t="shared" si="555"/>
        <v>inermis</v>
      </c>
      <c r="L1099" s="78">
        <f t="shared" si="555"/>
        <v>7</v>
      </c>
      <c r="M1099" s="78">
        <f t="shared" si="555"/>
        <v>0</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2017</v>
      </c>
      <c r="B1100" s="73" t="str">
        <f t="shared" si="530"/>
        <v>Nov</v>
      </c>
      <c r="C1100" s="74">
        <f t="shared" si="553"/>
        <v>17</v>
      </c>
      <c r="D1100" s="75">
        <f t="shared" si="531"/>
        <v>2</v>
      </c>
      <c r="E1100" s="76">
        <f t="shared" si="532"/>
        <v>35</v>
      </c>
      <c r="F1100" s="80"/>
      <c r="G1100" s="83"/>
      <c r="H1100" s="69" t="str">
        <f t="shared" si="554"/>
        <v>Lacine7_20171117_02_00</v>
      </c>
      <c r="I1100" s="70">
        <f t="shared" si="555"/>
        <v>1</v>
      </c>
      <c r="J1100" s="77" t="str">
        <f t="shared" si="555"/>
        <v>Lactuca</v>
      </c>
      <c r="K1100" s="77" t="str">
        <f t="shared" si="555"/>
        <v>inermis</v>
      </c>
      <c r="L1100" s="78">
        <f t="shared" si="555"/>
        <v>7</v>
      </c>
      <c r="M1100" s="78">
        <f t="shared" si="555"/>
        <v>0</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2017</v>
      </c>
      <c r="B1101" s="73" t="str">
        <f t="shared" si="530"/>
        <v>Nov</v>
      </c>
      <c r="C1101" s="74">
        <f t="shared" si="553"/>
        <v>17</v>
      </c>
      <c r="D1101" s="75">
        <f t="shared" si="531"/>
        <v>2</v>
      </c>
      <c r="E1101" s="76">
        <f t="shared" si="532"/>
        <v>36</v>
      </c>
      <c r="F1101" s="80"/>
      <c r="G1101" s="83"/>
      <c r="H1101" s="69" t="str">
        <f t="shared" si="554"/>
        <v>Lacine7_20171117_02_00</v>
      </c>
      <c r="I1101" s="70">
        <f t="shared" si="555"/>
        <v>1</v>
      </c>
      <c r="J1101" s="77" t="str">
        <f t="shared" si="555"/>
        <v>Lactuca</v>
      </c>
      <c r="K1101" s="77" t="str">
        <f t="shared" si="555"/>
        <v>inermis</v>
      </c>
      <c r="L1101" s="78">
        <f t="shared" si="555"/>
        <v>7</v>
      </c>
      <c r="M1101" s="78">
        <f t="shared" si="555"/>
        <v>0</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2017</v>
      </c>
      <c r="B1102" s="73" t="str">
        <f t="shared" si="530"/>
        <v>Nov</v>
      </c>
      <c r="C1102" s="74">
        <f t="shared" si="553"/>
        <v>17</v>
      </c>
      <c r="D1102" s="75">
        <f t="shared" si="531"/>
        <v>2</v>
      </c>
      <c r="E1102" s="76">
        <f t="shared" si="532"/>
        <v>37</v>
      </c>
      <c r="F1102" s="80"/>
      <c r="G1102" s="83"/>
      <c r="H1102" s="69" t="str">
        <f t="shared" si="554"/>
        <v>Lacine7_20171117_02_00</v>
      </c>
      <c r="I1102" s="70">
        <f t="shared" si="555"/>
        <v>1</v>
      </c>
      <c r="J1102" s="77" t="str">
        <f t="shared" si="555"/>
        <v>Lactuca</v>
      </c>
      <c r="K1102" s="77" t="str">
        <f t="shared" si="555"/>
        <v>inermis</v>
      </c>
      <c r="L1102" s="78">
        <f t="shared" si="555"/>
        <v>7</v>
      </c>
      <c r="M1102" s="78">
        <f t="shared" si="555"/>
        <v>0</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2017</v>
      </c>
      <c r="B1103" s="73" t="str">
        <f t="shared" si="530"/>
        <v>Nov</v>
      </c>
      <c r="C1103" s="74">
        <f t="shared" si="553"/>
        <v>17</v>
      </c>
      <c r="D1103" s="75">
        <f t="shared" si="531"/>
        <v>2</v>
      </c>
      <c r="E1103" s="76">
        <f t="shared" si="532"/>
        <v>38</v>
      </c>
      <c r="F1103" s="80"/>
      <c r="G1103" s="83"/>
      <c r="H1103" s="69" t="str">
        <f t="shared" si="554"/>
        <v>Lacine7_20171117_02_00</v>
      </c>
      <c r="I1103" s="70">
        <f t="shared" si="555"/>
        <v>1</v>
      </c>
      <c r="J1103" s="77" t="str">
        <f t="shared" si="555"/>
        <v>Lactuca</v>
      </c>
      <c r="K1103" s="77" t="str">
        <f t="shared" si="555"/>
        <v>inermis</v>
      </c>
      <c r="L1103" s="78">
        <f t="shared" si="555"/>
        <v>7</v>
      </c>
      <c r="M1103" s="78">
        <f t="shared" si="555"/>
        <v>0</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2017</v>
      </c>
      <c r="B1104" s="73" t="str">
        <f t="shared" si="530"/>
        <v>Nov</v>
      </c>
      <c r="C1104" s="74">
        <f t="shared" si="553"/>
        <v>17</v>
      </c>
      <c r="D1104" s="75">
        <f t="shared" si="531"/>
        <v>2</v>
      </c>
      <c r="E1104" s="76">
        <f t="shared" si="532"/>
        <v>39</v>
      </c>
      <c r="F1104" s="80"/>
      <c r="G1104" s="83"/>
      <c r="H1104" s="69" t="str">
        <f t="shared" si="554"/>
        <v>Lacine7_20171117_02_00</v>
      </c>
      <c r="I1104" s="70">
        <f t="shared" si="555"/>
        <v>1</v>
      </c>
      <c r="J1104" s="77" t="str">
        <f t="shared" si="555"/>
        <v>Lactuca</v>
      </c>
      <c r="K1104" s="77" t="str">
        <f t="shared" si="555"/>
        <v>inermis</v>
      </c>
      <c r="L1104" s="78">
        <f t="shared" si="555"/>
        <v>7</v>
      </c>
      <c r="M1104" s="78">
        <f t="shared" si="555"/>
        <v>0</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2017</v>
      </c>
      <c r="B1105" s="73" t="str">
        <f t="shared" si="530"/>
        <v>Nov</v>
      </c>
      <c r="C1105" s="74">
        <f t="shared" si="553"/>
        <v>17</v>
      </c>
      <c r="D1105" s="75">
        <f t="shared" si="531"/>
        <v>2</v>
      </c>
      <c r="E1105" s="76">
        <f t="shared" si="532"/>
        <v>40</v>
      </c>
      <c r="F1105" s="80"/>
      <c r="G1105" s="83"/>
      <c r="H1105" s="69" t="str">
        <f t="shared" si="554"/>
        <v>Lacine7_20171117_02_00</v>
      </c>
      <c r="I1105" s="70">
        <f t="shared" si="555"/>
        <v>1</v>
      </c>
      <c r="J1105" s="77" t="str">
        <f t="shared" si="555"/>
        <v>Lactuca</v>
      </c>
      <c r="K1105" s="77" t="str">
        <f t="shared" si="555"/>
        <v>inermis</v>
      </c>
      <c r="L1105" s="78">
        <f t="shared" si="555"/>
        <v>7</v>
      </c>
      <c r="M1105" s="78">
        <f t="shared" si="555"/>
        <v>0</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2017</v>
      </c>
      <c r="B1106" s="73" t="str">
        <f t="shared" si="530"/>
        <v>Nov</v>
      </c>
      <c r="C1106" s="74">
        <f t="shared" si="553"/>
        <v>17</v>
      </c>
      <c r="D1106" s="75">
        <f t="shared" si="531"/>
        <v>2</v>
      </c>
      <c r="E1106" s="76">
        <f t="shared" si="532"/>
        <v>41</v>
      </c>
      <c r="F1106" s="80"/>
      <c r="G1106" s="83"/>
      <c r="H1106" s="69" t="str">
        <f t="shared" si="554"/>
        <v>Lacine7_20171117_02_00</v>
      </c>
      <c r="I1106" s="70">
        <f t="shared" si="555"/>
        <v>1</v>
      </c>
      <c r="J1106" s="77" t="str">
        <f t="shared" si="555"/>
        <v>Lactuca</v>
      </c>
      <c r="K1106" s="77" t="str">
        <f t="shared" si="555"/>
        <v>inermis</v>
      </c>
      <c r="L1106" s="78">
        <f t="shared" si="555"/>
        <v>7</v>
      </c>
      <c r="M1106" s="78">
        <f t="shared" si="555"/>
        <v>0</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2017</v>
      </c>
      <c r="B1107" s="73" t="str">
        <f t="shared" si="530"/>
        <v>Nov</v>
      </c>
      <c r="C1107" s="74">
        <f t="shared" si="553"/>
        <v>17</v>
      </c>
      <c r="D1107" s="75">
        <f t="shared" si="531"/>
        <v>2</v>
      </c>
      <c r="E1107" s="76">
        <f t="shared" si="532"/>
        <v>42</v>
      </c>
      <c r="F1107" s="80"/>
      <c r="G1107" s="83"/>
      <c r="H1107" s="69" t="str">
        <f t="shared" si="554"/>
        <v>Lacine7_20171117_02_00</v>
      </c>
      <c r="I1107" s="70">
        <f t="shared" si="555"/>
        <v>1</v>
      </c>
      <c r="J1107" s="77" t="str">
        <f t="shared" si="555"/>
        <v>Lactuca</v>
      </c>
      <c r="K1107" s="77" t="str">
        <f t="shared" si="555"/>
        <v>inermis</v>
      </c>
      <c r="L1107" s="78">
        <f t="shared" si="555"/>
        <v>7</v>
      </c>
      <c r="M1107" s="78">
        <f t="shared" si="555"/>
        <v>0</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2017</v>
      </c>
      <c r="B1108" s="73" t="str">
        <f t="shared" si="530"/>
        <v>Nov</v>
      </c>
      <c r="C1108" s="74">
        <f t="shared" si="553"/>
        <v>17</v>
      </c>
      <c r="D1108" s="75">
        <f t="shared" si="531"/>
        <v>2</v>
      </c>
      <c r="E1108" s="76">
        <f t="shared" si="532"/>
        <v>43</v>
      </c>
      <c r="F1108" s="80"/>
      <c r="G1108" s="83"/>
      <c r="H1108" s="69" t="str">
        <f t="shared" si="554"/>
        <v>Lacine7_20171117_02_00</v>
      </c>
      <c r="I1108" s="70">
        <f t="shared" si="555"/>
        <v>1</v>
      </c>
      <c r="J1108" s="77" t="str">
        <f t="shared" si="555"/>
        <v>Lactuca</v>
      </c>
      <c r="K1108" s="77" t="str">
        <f t="shared" si="555"/>
        <v>inermis</v>
      </c>
      <c r="L1108" s="78">
        <f t="shared" si="555"/>
        <v>7</v>
      </c>
      <c r="M1108" s="78">
        <f t="shared" si="555"/>
        <v>0</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2017</v>
      </c>
      <c r="B1109" s="73" t="str">
        <f t="shared" si="530"/>
        <v>Nov</v>
      </c>
      <c r="C1109" s="74">
        <f t="shared" si="553"/>
        <v>17</v>
      </c>
      <c r="D1109" s="75">
        <f t="shared" si="531"/>
        <v>2</v>
      </c>
      <c r="E1109" s="76">
        <f t="shared" si="532"/>
        <v>44</v>
      </c>
      <c r="F1109" s="80"/>
      <c r="G1109" s="83"/>
      <c r="H1109" s="69" t="str">
        <f t="shared" si="554"/>
        <v>Lacine7_20171117_02_00</v>
      </c>
      <c r="I1109" s="70">
        <f t="shared" ref="I1109:N1124" si="556">I1108</f>
        <v>1</v>
      </c>
      <c r="J1109" s="77" t="str">
        <f t="shared" si="556"/>
        <v>Lactuca</v>
      </c>
      <c r="K1109" s="77" t="str">
        <f t="shared" si="556"/>
        <v>inermis</v>
      </c>
      <c r="L1109" s="78">
        <f t="shared" si="556"/>
        <v>7</v>
      </c>
      <c r="M1109" s="78">
        <f t="shared" si="556"/>
        <v>0</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2017</v>
      </c>
      <c r="B1110" s="73" t="str">
        <f t="shared" si="530"/>
        <v>Nov</v>
      </c>
      <c r="C1110" s="74">
        <f t="shared" si="553"/>
        <v>17</v>
      </c>
      <c r="D1110" s="75">
        <f t="shared" si="531"/>
        <v>2</v>
      </c>
      <c r="E1110" s="76">
        <f t="shared" si="532"/>
        <v>45</v>
      </c>
      <c r="F1110" s="80"/>
      <c r="G1110" s="83"/>
      <c r="H1110" s="69" t="str">
        <f t="shared" si="554"/>
        <v>Lacine7_20171117_02_00</v>
      </c>
      <c r="I1110" s="70">
        <f t="shared" si="556"/>
        <v>1</v>
      </c>
      <c r="J1110" s="77" t="str">
        <f t="shared" si="556"/>
        <v>Lactuca</v>
      </c>
      <c r="K1110" s="77" t="str">
        <f t="shared" si="556"/>
        <v>inermis</v>
      </c>
      <c r="L1110" s="78">
        <f t="shared" si="556"/>
        <v>7</v>
      </c>
      <c r="M1110" s="78">
        <f t="shared" si="556"/>
        <v>0</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2017</v>
      </c>
      <c r="B1111" s="73" t="str">
        <f t="shared" si="530"/>
        <v>Nov</v>
      </c>
      <c r="C1111" s="74">
        <f t="shared" si="553"/>
        <v>17</v>
      </c>
      <c r="D1111" s="75">
        <f t="shared" si="531"/>
        <v>2</v>
      </c>
      <c r="E1111" s="76">
        <f t="shared" si="532"/>
        <v>46</v>
      </c>
      <c r="F1111" s="80"/>
      <c r="G1111" s="83"/>
      <c r="H1111" s="69" t="str">
        <f t="shared" si="554"/>
        <v>Lacine7_20171117_02_00</v>
      </c>
      <c r="I1111" s="70">
        <f t="shared" si="556"/>
        <v>1</v>
      </c>
      <c r="J1111" s="77" t="str">
        <f t="shared" si="556"/>
        <v>Lactuca</v>
      </c>
      <c r="K1111" s="77" t="str">
        <f t="shared" si="556"/>
        <v>inermis</v>
      </c>
      <c r="L1111" s="78">
        <f t="shared" si="556"/>
        <v>7</v>
      </c>
      <c r="M1111" s="78">
        <f t="shared" si="556"/>
        <v>0</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2017</v>
      </c>
      <c r="B1112" s="73" t="str">
        <f t="shared" si="530"/>
        <v>Nov</v>
      </c>
      <c r="C1112" s="74">
        <f t="shared" si="553"/>
        <v>17</v>
      </c>
      <c r="D1112" s="75">
        <f t="shared" si="531"/>
        <v>2</v>
      </c>
      <c r="E1112" s="76">
        <f t="shared" si="532"/>
        <v>47</v>
      </c>
      <c r="F1112" s="80"/>
      <c r="G1112" s="83"/>
      <c r="H1112" s="69" t="str">
        <f t="shared" si="554"/>
        <v>Lacine7_20171117_02_00</v>
      </c>
      <c r="I1112" s="70">
        <f t="shared" si="556"/>
        <v>1</v>
      </c>
      <c r="J1112" s="77" t="str">
        <f t="shared" si="556"/>
        <v>Lactuca</v>
      </c>
      <c r="K1112" s="77" t="str">
        <f t="shared" si="556"/>
        <v>inermis</v>
      </c>
      <c r="L1112" s="78">
        <f t="shared" si="556"/>
        <v>7</v>
      </c>
      <c r="M1112" s="78">
        <f t="shared" si="556"/>
        <v>0</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2017</v>
      </c>
      <c r="B1113" s="73" t="str">
        <f t="shared" si="530"/>
        <v>Nov</v>
      </c>
      <c r="C1113" s="74">
        <f t="shared" si="553"/>
        <v>17</v>
      </c>
      <c r="D1113" s="75">
        <f t="shared" si="531"/>
        <v>2</v>
      </c>
      <c r="E1113" s="76">
        <f t="shared" si="532"/>
        <v>48</v>
      </c>
      <c r="F1113" s="80"/>
      <c r="G1113" s="83"/>
      <c r="H1113" s="69" t="str">
        <f t="shared" si="554"/>
        <v>Lacine7_20171117_02_00</v>
      </c>
      <c r="I1113" s="70">
        <f t="shared" si="556"/>
        <v>1</v>
      </c>
      <c r="J1113" s="77" t="str">
        <f t="shared" si="556"/>
        <v>Lactuca</v>
      </c>
      <c r="K1113" s="77" t="str">
        <f t="shared" si="556"/>
        <v>inermis</v>
      </c>
      <c r="L1113" s="78">
        <f t="shared" si="556"/>
        <v>7</v>
      </c>
      <c r="M1113" s="78">
        <f t="shared" si="556"/>
        <v>0</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2017</v>
      </c>
      <c r="B1114" s="73" t="str">
        <f t="shared" si="530"/>
        <v>Nov</v>
      </c>
      <c r="C1114" s="74">
        <f t="shared" si="553"/>
        <v>17</v>
      </c>
      <c r="D1114" s="75">
        <f t="shared" si="531"/>
        <v>2</v>
      </c>
      <c r="E1114" s="76">
        <f t="shared" si="532"/>
        <v>49</v>
      </c>
      <c r="F1114" s="80"/>
      <c r="G1114" s="83"/>
      <c r="H1114" s="69" t="str">
        <f t="shared" si="554"/>
        <v>Lacine7_20171117_02_00</v>
      </c>
      <c r="I1114" s="70">
        <f t="shared" si="556"/>
        <v>1</v>
      </c>
      <c r="J1114" s="77" t="str">
        <f t="shared" si="556"/>
        <v>Lactuca</v>
      </c>
      <c r="K1114" s="77" t="str">
        <f t="shared" si="556"/>
        <v>inermis</v>
      </c>
      <c r="L1114" s="78">
        <f t="shared" si="556"/>
        <v>7</v>
      </c>
      <c r="M1114" s="78">
        <f t="shared" si="556"/>
        <v>0</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2017</v>
      </c>
      <c r="B1115" s="73" t="str">
        <f t="shared" si="530"/>
        <v>Nov</v>
      </c>
      <c r="C1115" s="74">
        <f t="shared" si="553"/>
        <v>17</v>
      </c>
      <c r="D1115" s="75">
        <f t="shared" si="531"/>
        <v>2</v>
      </c>
      <c r="E1115" s="76">
        <f t="shared" si="532"/>
        <v>50</v>
      </c>
      <c r="F1115" s="80"/>
      <c r="G1115" s="83"/>
      <c r="H1115" s="69" t="str">
        <f t="shared" si="554"/>
        <v>Lacine7_20171117_02_00</v>
      </c>
      <c r="I1115" s="70">
        <f t="shared" si="556"/>
        <v>1</v>
      </c>
      <c r="J1115" s="77" t="str">
        <f t="shared" si="556"/>
        <v>Lactuca</v>
      </c>
      <c r="K1115" s="77" t="str">
        <f t="shared" si="556"/>
        <v>inermis</v>
      </c>
      <c r="L1115" s="78">
        <f t="shared" si="556"/>
        <v>7</v>
      </c>
      <c r="M1115" s="78">
        <f t="shared" si="556"/>
        <v>0</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2017</v>
      </c>
      <c r="B1116" s="73" t="str">
        <f t="shared" si="530"/>
        <v>Nov</v>
      </c>
      <c r="C1116" s="74">
        <f t="shared" si="553"/>
        <v>17</v>
      </c>
      <c r="D1116" s="75">
        <f t="shared" si="531"/>
        <v>2</v>
      </c>
      <c r="E1116" s="76">
        <f t="shared" si="532"/>
        <v>51</v>
      </c>
      <c r="F1116" s="80"/>
      <c r="G1116" s="83"/>
      <c r="H1116" s="69" t="str">
        <f t="shared" si="554"/>
        <v>Lacine7_20171117_02_00</v>
      </c>
      <c r="I1116" s="70">
        <f t="shared" si="556"/>
        <v>1</v>
      </c>
      <c r="J1116" s="77" t="str">
        <f t="shared" si="556"/>
        <v>Lactuca</v>
      </c>
      <c r="K1116" s="77" t="str">
        <f t="shared" si="556"/>
        <v>inermis</v>
      </c>
      <c r="L1116" s="78">
        <f t="shared" si="556"/>
        <v>7</v>
      </c>
      <c r="M1116" s="78">
        <f t="shared" si="556"/>
        <v>0</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2017</v>
      </c>
      <c r="B1117" s="73" t="str">
        <f t="shared" si="530"/>
        <v>Nov</v>
      </c>
      <c r="C1117" s="74">
        <f t="shared" si="553"/>
        <v>17</v>
      </c>
      <c r="D1117" s="75">
        <f t="shared" si="531"/>
        <v>2</v>
      </c>
      <c r="E1117" s="76">
        <f t="shared" si="532"/>
        <v>52</v>
      </c>
      <c r="F1117" s="80"/>
      <c r="G1117" s="83"/>
      <c r="H1117" s="69" t="str">
        <f t="shared" si="554"/>
        <v>Lacine7_20171117_02_00</v>
      </c>
      <c r="I1117" s="70">
        <f t="shared" si="556"/>
        <v>1</v>
      </c>
      <c r="J1117" s="77" t="str">
        <f t="shared" si="556"/>
        <v>Lactuca</v>
      </c>
      <c r="K1117" s="77" t="str">
        <f t="shared" si="556"/>
        <v>inermis</v>
      </c>
      <c r="L1117" s="78">
        <f t="shared" si="556"/>
        <v>7</v>
      </c>
      <c r="M1117" s="78">
        <f t="shared" si="556"/>
        <v>0</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2017</v>
      </c>
      <c r="B1118" s="73" t="str">
        <f t="shared" si="530"/>
        <v>Nov</v>
      </c>
      <c r="C1118" s="74">
        <f t="shared" si="553"/>
        <v>17</v>
      </c>
      <c r="D1118" s="75">
        <f t="shared" si="531"/>
        <v>2</v>
      </c>
      <c r="E1118" s="76">
        <f t="shared" si="532"/>
        <v>53</v>
      </c>
      <c r="F1118" s="80"/>
      <c r="G1118" s="83"/>
      <c r="H1118" s="69" t="str">
        <f t="shared" si="554"/>
        <v>Lacine7_20171117_02_00</v>
      </c>
      <c r="I1118" s="70">
        <f t="shared" si="556"/>
        <v>1</v>
      </c>
      <c r="J1118" s="77" t="str">
        <f t="shared" si="556"/>
        <v>Lactuca</v>
      </c>
      <c r="K1118" s="77" t="str">
        <f t="shared" si="556"/>
        <v>inermis</v>
      </c>
      <c r="L1118" s="78">
        <f t="shared" si="556"/>
        <v>7</v>
      </c>
      <c r="M1118" s="78">
        <f t="shared" si="556"/>
        <v>0</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2017</v>
      </c>
      <c r="B1119" s="73" t="str">
        <f t="shared" si="530"/>
        <v>Nov</v>
      </c>
      <c r="C1119" s="74">
        <f t="shared" si="553"/>
        <v>17</v>
      </c>
      <c r="D1119" s="75">
        <f t="shared" si="531"/>
        <v>2</v>
      </c>
      <c r="E1119" s="76">
        <f t="shared" si="532"/>
        <v>54</v>
      </c>
      <c r="F1119" s="80"/>
      <c r="G1119" s="83"/>
      <c r="H1119" s="69" t="str">
        <f t="shared" si="554"/>
        <v>Lacine7_20171117_02_00</v>
      </c>
      <c r="I1119" s="70">
        <f t="shared" si="556"/>
        <v>1</v>
      </c>
      <c r="J1119" s="77" t="str">
        <f t="shared" si="556"/>
        <v>Lactuca</v>
      </c>
      <c r="K1119" s="77" t="str">
        <f t="shared" si="556"/>
        <v>inermis</v>
      </c>
      <c r="L1119" s="78">
        <f t="shared" si="556"/>
        <v>7</v>
      </c>
      <c r="M1119" s="78">
        <f t="shared" si="556"/>
        <v>0</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2017</v>
      </c>
      <c r="B1120" s="73" t="str">
        <f t="shared" si="530"/>
        <v>Nov</v>
      </c>
      <c r="C1120" s="74">
        <f t="shared" si="553"/>
        <v>17</v>
      </c>
      <c r="D1120" s="75">
        <f t="shared" si="531"/>
        <v>2</v>
      </c>
      <c r="E1120" s="76">
        <f t="shared" si="532"/>
        <v>55</v>
      </c>
      <c r="F1120" s="80"/>
      <c r="G1120" s="83"/>
      <c r="H1120" s="69" t="str">
        <f t="shared" si="554"/>
        <v>Lacine7_20171117_02_00</v>
      </c>
      <c r="I1120" s="70">
        <f t="shared" si="556"/>
        <v>1</v>
      </c>
      <c r="J1120" s="77" t="str">
        <f t="shared" si="556"/>
        <v>Lactuca</v>
      </c>
      <c r="K1120" s="77" t="str">
        <f t="shared" si="556"/>
        <v>inermis</v>
      </c>
      <c r="L1120" s="78">
        <f t="shared" si="556"/>
        <v>7</v>
      </c>
      <c r="M1120" s="78">
        <f t="shared" si="556"/>
        <v>0</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2017</v>
      </c>
      <c r="B1121" s="73" t="str">
        <f t="shared" si="530"/>
        <v>Nov</v>
      </c>
      <c r="C1121" s="74">
        <f t="shared" si="553"/>
        <v>17</v>
      </c>
      <c r="D1121" s="75">
        <f t="shared" si="531"/>
        <v>2</v>
      </c>
      <c r="E1121" s="76">
        <f t="shared" si="532"/>
        <v>56</v>
      </c>
      <c r="F1121" s="80"/>
      <c r="G1121" s="83"/>
      <c r="H1121" s="69" t="str">
        <f t="shared" si="554"/>
        <v>Lacine7_20171117_02_00</v>
      </c>
      <c r="I1121" s="70">
        <f t="shared" si="556"/>
        <v>1</v>
      </c>
      <c r="J1121" s="77" t="str">
        <f t="shared" si="556"/>
        <v>Lactuca</v>
      </c>
      <c r="K1121" s="77" t="str">
        <f t="shared" si="556"/>
        <v>inermis</v>
      </c>
      <c r="L1121" s="78">
        <f t="shared" si="556"/>
        <v>7</v>
      </c>
      <c r="M1121" s="78">
        <f t="shared" si="556"/>
        <v>0</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2017</v>
      </c>
      <c r="B1122" s="73" t="str">
        <f t="shared" si="530"/>
        <v>Nov</v>
      </c>
      <c r="C1122" s="74">
        <f t="shared" si="553"/>
        <v>17</v>
      </c>
      <c r="D1122" s="75">
        <f t="shared" si="531"/>
        <v>2</v>
      </c>
      <c r="E1122" s="76">
        <f t="shared" si="532"/>
        <v>57</v>
      </c>
      <c r="F1122" s="80"/>
      <c r="G1122" s="83"/>
      <c r="H1122" s="69" t="str">
        <f t="shared" si="554"/>
        <v>Lacine7_20171117_02_00</v>
      </c>
      <c r="I1122" s="70">
        <f t="shared" si="556"/>
        <v>1</v>
      </c>
      <c r="J1122" s="77" t="str">
        <f t="shared" si="556"/>
        <v>Lactuca</v>
      </c>
      <c r="K1122" s="77" t="str">
        <f t="shared" si="556"/>
        <v>inermis</v>
      </c>
      <c r="L1122" s="78">
        <f t="shared" si="556"/>
        <v>7</v>
      </c>
      <c r="M1122" s="78">
        <f t="shared" si="556"/>
        <v>0</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2017</v>
      </c>
      <c r="B1123" s="73" t="str">
        <f t="shared" si="530"/>
        <v>Nov</v>
      </c>
      <c r="C1123" s="74">
        <f t="shared" si="553"/>
        <v>17</v>
      </c>
      <c r="D1123" s="75">
        <f t="shared" si="531"/>
        <v>2</v>
      </c>
      <c r="E1123" s="76">
        <f t="shared" si="532"/>
        <v>58</v>
      </c>
      <c r="F1123" s="80"/>
      <c r="G1123" s="83"/>
      <c r="H1123" s="69" t="str">
        <f t="shared" si="554"/>
        <v>Lacine7_20171117_02_00</v>
      </c>
      <c r="I1123" s="70">
        <f t="shared" si="556"/>
        <v>1</v>
      </c>
      <c r="J1123" s="77" t="str">
        <f t="shared" si="556"/>
        <v>Lactuca</v>
      </c>
      <c r="K1123" s="77" t="str">
        <f t="shared" si="556"/>
        <v>inermis</v>
      </c>
      <c r="L1123" s="78">
        <f t="shared" si="556"/>
        <v>7</v>
      </c>
      <c r="M1123" s="78">
        <f t="shared" si="556"/>
        <v>0</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2017</v>
      </c>
      <c r="B1124" s="73" t="str">
        <f t="shared" si="530"/>
        <v>Nov</v>
      </c>
      <c r="C1124" s="74">
        <f t="shared" si="553"/>
        <v>17</v>
      </c>
      <c r="D1124" s="75">
        <f t="shared" si="531"/>
        <v>2</v>
      </c>
      <c r="E1124" s="76">
        <f t="shared" si="532"/>
        <v>59</v>
      </c>
      <c r="F1124" s="80"/>
      <c r="G1124" s="83"/>
      <c r="H1124" s="69" t="str">
        <f t="shared" si="554"/>
        <v>Lacine7_20171117_02_00</v>
      </c>
      <c r="I1124" s="70">
        <f t="shared" si="556"/>
        <v>1</v>
      </c>
      <c r="J1124" s="77" t="str">
        <f t="shared" si="556"/>
        <v>Lactuca</v>
      </c>
      <c r="K1124" s="77" t="str">
        <f t="shared" si="556"/>
        <v>inermis</v>
      </c>
      <c r="L1124" s="78">
        <f t="shared" si="556"/>
        <v>7</v>
      </c>
      <c r="M1124" s="78">
        <f t="shared" si="556"/>
        <v>0</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2017</v>
      </c>
      <c r="B1125" s="73" t="str">
        <f t="shared" si="530"/>
        <v>Nov</v>
      </c>
      <c r="C1125" s="74">
        <f t="shared" si="553"/>
        <v>17</v>
      </c>
      <c r="D1125" s="75">
        <f t="shared" si="531"/>
        <v>3</v>
      </c>
      <c r="E1125" s="76">
        <f t="shared" si="532"/>
        <v>0</v>
      </c>
      <c r="F1125" s="80"/>
      <c r="G1125" s="83"/>
      <c r="H1125" s="69" t="str">
        <f t="shared" si="554"/>
        <v>Lacine7_20171117_03_00</v>
      </c>
      <c r="I1125" s="70">
        <f t="shared" ref="I1125:N1140" si="557">I1124</f>
        <v>1</v>
      </c>
      <c r="J1125" s="77" t="str">
        <f t="shared" si="557"/>
        <v>Lactuca</v>
      </c>
      <c r="K1125" s="77" t="str">
        <f t="shared" si="557"/>
        <v>inermis</v>
      </c>
      <c r="L1125" s="78">
        <f t="shared" si="557"/>
        <v>7</v>
      </c>
      <c r="M1125" s="78">
        <f t="shared" si="557"/>
        <v>0</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2017</v>
      </c>
      <c r="B1126" s="73" t="str">
        <f t="shared" si="530"/>
        <v>Nov</v>
      </c>
      <c r="C1126" s="74">
        <f t="shared" si="553"/>
        <v>17</v>
      </c>
      <c r="D1126" s="75">
        <f t="shared" si="531"/>
        <v>3</v>
      </c>
      <c r="E1126" s="76">
        <f t="shared" si="532"/>
        <v>1</v>
      </c>
      <c r="F1126" s="80"/>
      <c r="G1126" s="83"/>
      <c r="H1126" s="69" t="str">
        <f t="shared" si="554"/>
        <v>Lacine7_20171117_03_00</v>
      </c>
      <c r="I1126" s="70">
        <f t="shared" si="557"/>
        <v>1</v>
      </c>
      <c r="J1126" s="77" t="str">
        <f t="shared" si="557"/>
        <v>Lactuca</v>
      </c>
      <c r="K1126" s="77" t="str">
        <f t="shared" si="557"/>
        <v>inermis</v>
      </c>
      <c r="L1126" s="78">
        <f t="shared" si="557"/>
        <v>7</v>
      </c>
      <c r="M1126" s="78">
        <f t="shared" si="557"/>
        <v>0</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2017</v>
      </c>
      <c r="B1127" s="73" t="str">
        <f t="shared" si="530"/>
        <v>Nov</v>
      </c>
      <c r="C1127" s="74">
        <f t="shared" si="553"/>
        <v>17</v>
      </c>
      <c r="D1127" s="75">
        <f t="shared" si="531"/>
        <v>3</v>
      </c>
      <c r="E1127" s="76">
        <f t="shared" si="532"/>
        <v>2</v>
      </c>
      <c r="F1127" s="80"/>
      <c r="G1127" s="83"/>
      <c r="H1127" s="69" t="str">
        <f t="shared" si="554"/>
        <v>Lacine7_20171117_03_00</v>
      </c>
      <c r="I1127" s="70">
        <f t="shared" si="557"/>
        <v>1</v>
      </c>
      <c r="J1127" s="77" t="str">
        <f t="shared" si="557"/>
        <v>Lactuca</v>
      </c>
      <c r="K1127" s="77" t="str">
        <f t="shared" si="557"/>
        <v>inermis</v>
      </c>
      <c r="L1127" s="78">
        <f t="shared" si="557"/>
        <v>7</v>
      </c>
      <c r="M1127" s="78">
        <f t="shared" si="557"/>
        <v>0</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2017</v>
      </c>
      <c r="B1128" s="73" t="str">
        <f t="shared" si="530"/>
        <v>Nov</v>
      </c>
      <c r="C1128" s="74">
        <f t="shared" si="553"/>
        <v>17</v>
      </c>
      <c r="D1128" s="75">
        <f t="shared" si="531"/>
        <v>3</v>
      </c>
      <c r="E1128" s="76">
        <f t="shared" si="532"/>
        <v>3</v>
      </c>
      <c r="F1128" s="80"/>
      <c r="G1128" s="83"/>
      <c r="H1128" s="69" t="str">
        <f t="shared" si="554"/>
        <v>Lacine7_20171117_03_00</v>
      </c>
      <c r="I1128" s="70">
        <f t="shared" si="557"/>
        <v>1</v>
      </c>
      <c r="J1128" s="77" t="str">
        <f t="shared" si="557"/>
        <v>Lactuca</v>
      </c>
      <c r="K1128" s="77" t="str">
        <f t="shared" si="557"/>
        <v>inermis</v>
      </c>
      <c r="L1128" s="78">
        <f t="shared" si="557"/>
        <v>7</v>
      </c>
      <c r="M1128" s="78">
        <f t="shared" si="557"/>
        <v>0</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2017</v>
      </c>
      <c r="B1129" s="73" t="str">
        <f t="shared" si="530"/>
        <v>Nov</v>
      </c>
      <c r="C1129" s="74">
        <f t="shared" si="553"/>
        <v>17</v>
      </c>
      <c r="D1129" s="75">
        <f t="shared" si="531"/>
        <v>3</v>
      </c>
      <c r="E1129" s="76">
        <f t="shared" si="532"/>
        <v>4</v>
      </c>
      <c r="F1129" s="80"/>
      <c r="G1129" s="83"/>
      <c r="H1129" s="69" t="str">
        <f t="shared" si="554"/>
        <v>Lacine7_20171117_03_00</v>
      </c>
      <c r="I1129" s="70">
        <f t="shared" si="557"/>
        <v>1</v>
      </c>
      <c r="J1129" s="77" t="str">
        <f t="shared" si="557"/>
        <v>Lactuca</v>
      </c>
      <c r="K1129" s="77" t="str">
        <f t="shared" si="557"/>
        <v>inermis</v>
      </c>
      <c r="L1129" s="78">
        <f t="shared" si="557"/>
        <v>7</v>
      </c>
      <c r="M1129" s="78">
        <f t="shared" si="557"/>
        <v>0</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2017</v>
      </c>
      <c r="B1130" s="73" t="str">
        <f t="shared" si="530"/>
        <v>Nov</v>
      </c>
      <c r="C1130" s="74">
        <f t="shared" si="553"/>
        <v>17</v>
      </c>
      <c r="D1130" s="75">
        <f t="shared" si="531"/>
        <v>3</v>
      </c>
      <c r="E1130" s="76">
        <f t="shared" si="532"/>
        <v>5</v>
      </c>
      <c r="F1130" s="80"/>
      <c r="G1130" s="83"/>
      <c r="H1130" s="69" t="str">
        <f t="shared" si="554"/>
        <v>Lacine7_20171117_03_00</v>
      </c>
      <c r="I1130" s="70">
        <f t="shared" si="557"/>
        <v>1</v>
      </c>
      <c r="J1130" s="77" t="str">
        <f t="shared" si="557"/>
        <v>Lactuca</v>
      </c>
      <c r="K1130" s="77" t="str">
        <f t="shared" si="557"/>
        <v>inermis</v>
      </c>
      <c r="L1130" s="78">
        <f t="shared" si="557"/>
        <v>7</v>
      </c>
      <c r="M1130" s="78">
        <f t="shared" si="557"/>
        <v>0</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2017</v>
      </c>
      <c r="B1131" s="73" t="str">
        <f t="shared" si="530"/>
        <v>Nov</v>
      </c>
      <c r="C1131" s="74">
        <f t="shared" si="553"/>
        <v>17</v>
      </c>
      <c r="D1131" s="75">
        <f t="shared" si="531"/>
        <v>3</v>
      </c>
      <c r="E1131" s="76">
        <f t="shared" si="532"/>
        <v>6</v>
      </c>
      <c r="F1131" s="80"/>
      <c r="G1131" s="83"/>
      <c r="H1131" s="69" t="str">
        <f t="shared" si="554"/>
        <v>Lacine7_20171117_03_00</v>
      </c>
      <c r="I1131" s="70">
        <f t="shared" si="557"/>
        <v>1</v>
      </c>
      <c r="J1131" s="77" t="str">
        <f t="shared" si="557"/>
        <v>Lactuca</v>
      </c>
      <c r="K1131" s="77" t="str">
        <f t="shared" si="557"/>
        <v>inermis</v>
      </c>
      <c r="L1131" s="78">
        <f t="shared" si="557"/>
        <v>7</v>
      </c>
      <c r="M1131" s="78">
        <f t="shared" si="557"/>
        <v>0</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2017</v>
      </c>
      <c r="B1132" s="73" t="str">
        <f t="shared" si="530"/>
        <v>Nov</v>
      </c>
      <c r="C1132" s="74">
        <f t="shared" si="553"/>
        <v>17</v>
      </c>
      <c r="D1132" s="75">
        <f t="shared" si="531"/>
        <v>3</v>
      </c>
      <c r="E1132" s="76">
        <f t="shared" si="532"/>
        <v>7</v>
      </c>
      <c r="F1132" s="80"/>
      <c r="G1132" s="83"/>
      <c r="H1132" s="69" t="str">
        <f t="shared" si="554"/>
        <v>Lacine7_20171117_03_00</v>
      </c>
      <c r="I1132" s="70">
        <f t="shared" si="557"/>
        <v>1</v>
      </c>
      <c r="J1132" s="77" t="str">
        <f t="shared" si="557"/>
        <v>Lactuca</v>
      </c>
      <c r="K1132" s="77" t="str">
        <f t="shared" si="557"/>
        <v>inermis</v>
      </c>
      <c r="L1132" s="78">
        <f t="shared" si="557"/>
        <v>7</v>
      </c>
      <c r="M1132" s="78">
        <f t="shared" si="557"/>
        <v>0</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2017</v>
      </c>
      <c r="B1133" s="73" t="str">
        <f t="shared" si="530"/>
        <v>Nov</v>
      </c>
      <c r="C1133" s="74">
        <f t="shared" si="553"/>
        <v>17</v>
      </c>
      <c r="D1133" s="75">
        <f t="shared" si="531"/>
        <v>3</v>
      </c>
      <c r="E1133" s="76">
        <f t="shared" si="532"/>
        <v>8</v>
      </c>
      <c r="F1133" s="80"/>
      <c r="G1133" s="83"/>
      <c r="H1133" s="69" t="str">
        <f t="shared" si="554"/>
        <v>Lacine7_20171117_03_00</v>
      </c>
      <c r="I1133" s="70">
        <f t="shared" si="557"/>
        <v>1</v>
      </c>
      <c r="J1133" s="77" t="str">
        <f t="shared" si="557"/>
        <v>Lactuca</v>
      </c>
      <c r="K1133" s="77" t="str">
        <f t="shared" si="557"/>
        <v>inermis</v>
      </c>
      <c r="L1133" s="78">
        <f t="shared" si="557"/>
        <v>7</v>
      </c>
      <c r="M1133" s="78">
        <f t="shared" si="557"/>
        <v>0</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2017</v>
      </c>
      <c r="B1134" s="73" t="str">
        <f t="shared" si="530"/>
        <v>Nov</v>
      </c>
      <c r="C1134" s="74">
        <f t="shared" si="553"/>
        <v>17</v>
      </c>
      <c r="D1134" s="75">
        <f t="shared" si="531"/>
        <v>3</v>
      </c>
      <c r="E1134" s="76">
        <f t="shared" si="532"/>
        <v>9</v>
      </c>
      <c r="F1134" s="80"/>
      <c r="G1134" s="83"/>
      <c r="H1134" s="69" t="str">
        <f t="shared" si="554"/>
        <v>Lacine7_20171117_03_00</v>
      </c>
      <c r="I1134" s="70">
        <f t="shared" si="557"/>
        <v>1</v>
      </c>
      <c r="J1134" s="77" t="str">
        <f t="shared" si="557"/>
        <v>Lactuca</v>
      </c>
      <c r="K1134" s="77" t="str">
        <f t="shared" si="557"/>
        <v>inermis</v>
      </c>
      <c r="L1134" s="78">
        <f t="shared" si="557"/>
        <v>7</v>
      </c>
      <c r="M1134" s="78">
        <f t="shared" si="557"/>
        <v>0</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2017</v>
      </c>
      <c r="B1135" s="73" t="str">
        <f t="shared" si="530"/>
        <v>Nov</v>
      </c>
      <c r="C1135" s="74">
        <f t="shared" si="553"/>
        <v>17</v>
      </c>
      <c r="D1135" s="75">
        <f t="shared" si="531"/>
        <v>3</v>
      </c>
      <c r="E1135" s="76">
        <f t="shared" si="532"/>
        <v>10</v>
      </c>
      <c r="F1135" s="80"/>
      <c r="G1135" s="83"/>
      <c r="H1135" s="69" t="str">
        <f t="shared" si="554"/>
        <v>Lacine7_20171117_03_00</v>
      </c>
      <c r="I1135" s="70">
        <f t="shared" si="557"/>
        <v>1</v>
      </c>
      <c r="J1135" s="77" t="str">
        <f t="shared" si="557"/>
        <v>Lactuca</v>
      </c>
      <c r="K1135" s="77" t="str">
        <f t="shared" si="557"/>
        <v>inermis</v>
      </c>
      <c r="L1135" s="78">
        <f t="shared" si="557"/>
        <v>7</v>
      </c>
      <c r="M1135" s="78">
        <f t="shared" si="557"/>
        <v>0</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2017</v>
      </c>
      <c r="B1136" s="73" t="str">
        <f t="shared" si="530"/>
        <v>Nov</v>
      </c>
      <c r="C1136" s="74">
        <f t="shared" si="553"/>
        <v>17</v>
      </c>
      <c r="D1136" s="75">
        <f t="shared" si="531"/>
        <v>3</v>
      </c>
      <c r="E1136" s="76">
        <f t="shared" si="532"/>
        <v>11</v>
      </c>
      <c r="F1136" s="80"/>
      <c r="G1136" s="83"/>
      <c r="H1136" s="69" t="str">
        <f t="shared" si="554"/>
        <v>Lacine7_20171117_03_00</v>
      </c>
      <c r="I1136" s="70">
        <f t="shared" si="557"/>
        <v>1</v>
      </c>
      <c r="J1136" s="77" t="str">
        <f t="shared" si="557"/>
        <v>Lactuca</v>
      </c>
      <c r="K1136" s="77" t="str">
        <f t="shared" si="557"/>
        <v>inermis</v>
      </c>
      <c r="L1136" s="78">
        <f t="shared" si="557"/>
        <v>7</v>
      </c>
      <c r="M1136" s="78">
        <f t="shared" si="557"/>
        <v>0</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2017</v>
      </c>
      <c r="B1137" s="73" t="str">
        <f t="shared" si="530"/>
        <v>Nov</v>
      </c>
      <c r="C1137" s="74">
        <f t="shared" si="553"/>
        <v>17</v>
      </c>
      <c r="D1137" s="75">
        <f t="shared" si="531"/>
        <v>3</v>
      </c>
      <c r="E1137" s="76">
        <f t="shared" si="532"/>
        <v>12</v>
      </c>
      <c r="F1137" s="80"/>
      <c r="G1137" s="83"/>
      <c r="H1137" s="69" t="str">
        <f t="shared" si="554"/>
        <v>Lacine7_20171117_03_00</v>
      </c>
      <c r="I1137" s="70">
        <f t="shared" si="557"/>
        <v>1</v>
      </c>
      <c r="J1137" s="77" t="str">
        <f t="shared" si="557"/>
        <v>Lactuca</v>
      </c>
      <c r="K1137" s="77" t="str">
        <f t="shared" si="557"/>
        <v>inermis</v>
      </c>
      <c r="L1137" s="78">
        <f t="shared" si="557"/>
        <v>7</v>
      </c>
      <c r="M1137" s="78">
        <f t="shared" si="557"/>
        <v>0</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2017</v>
      </c>
      <c r="B1138" s="73" t="str">
        <f t="shared" si="530"/>
        <v>Nov</v>
      </c>
      <c r="C1138" s="74">
        <f t="shared" si="553"/>
        <v>17</v>
      </c>
      <c r="D1138" s="75">
        <f t="shared" si="531"/>
        <v>3</v>
      </c>
      <c r="E1138" s="76">
        <f t="shared" si="532"/>
        <v>13</v>
      </c>
      <c r="F1138" s="80"/>
      <c r="G1138" s="83"/>
      <c r="H1138" s="69" t="str">
        <f t="shared" si="554"/>
        <v>Lacine7_20171117_03_00</v>
      </c>
      <c r="I1138" s="70">
        <f t="shared" si="557"/>
        <v>1</v>
      </c>
      <c r="J1138" s="77" t="str">
        <f t="shared" si="557"/>
        <v>Lactuca</v>
      </c>
      <c r="K1138" s="77" t="str">
        <f t="shared" si="557"/>
        <v>inermis</v>
      </c>
      <c r="L1138" s="78">
        <f t="shared" si="557"/>
        <v>7</v>
      </c>
      <c r="M1138" s="78">
        <f t="shared" si="557"/>
        <v>0</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2017</v>
      </c>
      <c r="B1139" s="73" t="str">
        <f t="shared" si="530"/>
        <v>Nov</v>
      </c>
      <c r="C1139" s="74">
        <f t="shared" si="553"/>
        <v>17</v>
      </c>
      <c r="D1139" s="75">
        <f t="shared" si="531"/>
        <v>3</v>
      </c>
      <c r="E1139" s="76">
        <f t="shared" si="532"/>
        <v>14</v>
      </c>
      <c r="F1139" s="80"/>
      <c r="G1139" s="83"/>
      <c r="H1139" s="69" t="str">
        <f t="shared" si="554"/>
        <v>Lacine7_20171117_03_00</v>
      </c>
      <c r="I1139" s="70">
        <f t="shared" si="557"/>
        <v>1</v>
      </c>
      <c r="J1139" s="77" t="str">
        <f t="shared" si="557"/>
        <v>Lactuca</v>
      </c>
      <c r="K1139" s="77" t="str">
        <f t="shared" si="557"/>
        <v>inermis</v>
      </c>
      <c r="L1139" s="78">
        <f t="shared" si="557"/>
        <v>7</v>
      </c>
      <c r="M1139" s="78">
        <f t="shared" si="557"/>
        <v>0</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2017</v>
      </c>
      <c r="B1140" s="73" t="str">
        <f t="shared" si="530"/>
        <v>Nov</v>
      </c>
      <c r="C1140" s="74">
        <f t="shared" si="553"/>
        <v>17</v>
      </c>
      <c r="D1140" s="75">
        <f t="shared" si="531"/>
        <v>3</v>
      </c>
      <c r="E1140" s="76">
        <f t="shared" si="532"/>
        <v>15</v>
      </c>
      <c r="F1140" s="80"/>
      <c r="G1140" s="83"/>
      <c r="H1140" s="69" t="str">
        <f t="shared" si="554"/>
        <v>Lacine7_20171117_03_00</v>
      </c>
      <c r="I1140" s="70">
        <f t="shared" si="557"/>
        <v>1</v>
      </c>
      <c r="J1140" s="77" t="str">
        <f t="shared" si="557"/>
        <v>Lactuca</v>
      </c>
      <c r="K1140" s="77" t="str">
        <f t="shared" si="557"/>
        <v>inermis</v>
      </c>
      <c r="L1140" s="78">
        <f t="shared" si="557"/>
        <v>7</v>
      </c>
      <c r="M1140" s="78">
        <f t="shared" si="557"/>
        <v>0</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2017</v>
      </c>
      <c r="B1141" s="73" t="str">
        <f t="shared" si="530"/>
        <v>Nov</v>
      </c>
      <c r="C1141" s="74">
        <f t="shared" si="553"/>
        <v>17</v>
      </c>
      <c r="D1141" s="75">
        <f t="shared" si="531"/>
        <v>3</v>
      </c>
      <c r="E1141" s="76">
        <f t="shared" si="532"/>
        <v>16</v>
      </c>
      <c r="F1141" s="80"/>
      <c r="G1141" s="83"/>
      <c r="H1141" s="69" t="str">
        <f t="shared" si="554"/>
        <v>Lacine7_20171117_03_00</v>
      </c>
      <c r="I1141" s="70">
        <f t="shared" ref="I1141:N1156" si="558">I1140</f>
        <v>1</v>
      </c>
      <c r="J1141" s="77" t="str">
        <f t="shared" si="558"/>
        <v>Lactuca</v>
      </c>
      <c r="K1141" s="77" t="str">
        <f t="shared" si="558"/>
        <v>inermis</v>
      </c>
      <c r="L1141" s="78">
        <f t="shared" si="558"/>
        <v>7</v>
      </c>
      <c r="M1141" s="78">
        <f t="shared" si="558"/>
        <v>0</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2017</v>
      </c>
      <c r="B1142" s="73" t="str">
        <f t="shared" si="530"/>
        <v>Nov</v>
      </c>
      <c r="C1142" s="74">
        <f t="shared" si="553"/>
        <v>17</v>
      </c>
      <c r="D1142" s="75">
        <f t="shared" si="531"/>
        <v>3</v>
      </c>
      <c r="E1142" s="76">
        <f t="shared" si="532"/>
        <v>17</v>
      </c>
      <c r="F1142" s="80"/>
      <c r="G1142" s="83"/>
      <c r="H1142" s="69" t="str">
        <f t="shared" si="554"/>
        <v>Lacine7_20171117_03_00</v>
      </c>
      <c r="I1142" s="70">
        <f t="shared" si="558"/>
        <v>1</v>
      </c>
      <c r="J1142" s="77" t="str">
        <f t="shared" si="558"/>
        <v>Lactuca</v>
      </c>
      <c r="K1142" s="77" t="str">
        <f t="shared" si="558"/>
        <v>inermis</v>
      </c>
      <c r="L1142" s="78">
        <f t="shared" si="558"/>
        <v>7</v>
      </c>
      <c r="M1142" s="78">
        <f t="shared" si="558"/>
        <v>0</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2017</v>
      </c>
      <c r="B1143" s="73" t="str">
        <f t="shared" si="530"/>
        <v>Nov</v>
      </c>
      <c r="C1143" s="74">
        <f t="shared" si="553"/>
        <v>17</v>
      </c>
      <c r="D1143" s="75">
        <f t="shared" si="531"/>
        <v>3</v>
      </c>
      <c r="E1143" s="76">
        <f t="shared" si="532"/>
        <v>18</v>
      </c>
      <c r="F1143" s="80"/>
      <c r="G1143" s="83"/>
      <c r="H1143" s="69" t="str">
        <f t="shared" si="554"/>
        <v>Lacine7_20171117_03_00</v>
      </c>
      <c r="I1143" s="70">
        <f t="shared" si="558"/>
        <v>1</v>
      </c>
      <c r="J1143" s="77" t="str">
        <f t="shared" si="558"/>
        <v>Lactuca</v>
      </c>
      <c r="K1143" s="77" t="str">
        <f t="shared" si="558"/>
        <v>inermis</v>
      </c>
      <c r="L1143" s="78">
        <f t="shared" si="558"/>
        <v>7</v>
      </c>
      <c r="M1143" s="78">
        <f t="shared" si="558"/>
        <v>0</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2017</v>
      </c>
      <c r="B1144" s="73" t="str">
        <f t="shared" si="530"/>
        <v>Nov</v>
      </c>
      <c r="C1144" s="74">
        <f t="shared" si="553"/>
        <v>17</v>
      </c>
      <c r="D1144" s="75">
        <f t="shared" si="531"/>
        <v>3</v>
      </c>
      <c r="E1144" s="76">
        <f t="shared" si="532"/>
        <v>19</v>
      </c>
      <c r="F1144" s="80"/>
      <c r="G1144" s="83"/>
      <c r="H1144" s="69" t="str">
        <f t="shared" si="554"/>
        <v>Lacine7_20171117_03_00</v>
      </c>
      <c r="I1144" s="70">
        <f t="shared" si="558"/>
        <v>1</v>
      </c>
      <c r="J1144" s="77" t="str">
        <f t="shared" si="558"/>
        <v>Lactuca</v>
      </c>
      <c r="K1144" s="77" t="str">
        <f t="shared" si="558"/>
        <v>inermis</v>
      </c>
      <c r="L1144" s="78">
        <f t="shared" si="558"/>
        <v>7</v>
      </c>
      <c r="M1144" s="78">
        <f t="shared" si="558"/>
        <v>0</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2017</v>
      </c>
      <c r="B1145" s="73" t="str">
        <f t="shared" si="530"/>
        <v>Nov</v>
      </c>
      <c r="C1145" s="74">
        <f t="shared" si="553"/>
        <v>17</v>
      </c>
      <c r="D1145" s="75">
        <f t="shared" si="531"/>
        <v>3</v>
      </c>
      <c r="E1145" s="76">
        <f t="shared" si="532"/>
        <v>20</v>
      </c>
      <c r="F1145" s="80"/>
      <c r="G1145" s="83"/>
      <c r="H1145" s="69" t="str">
        <f t="shared" si="554"/>
        <v>Lacine7_20171117_03_00</v>
      </c>
      <c r="I1145" s="70">
        <f t="shared" si="558"/>
        <v>1</v>
      </c>
      <c r="J1145" s="77" t="str">
        <f t="shared" si="558"/>
        <v>Lactuca</v>
      </c>
      <c r="K1145" s="77" t="str">
        <f t="shared" si="558"/>
        <v>inermis</v>
      </c>
      <c r="L1145" s="78">
        <f t="shared" si="558"/>
        <v>7</v>
      </c>
      <c r="M1145" s="78">
        <f t="shared" si="558"/>
        <v>0</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2017</v>
      </c>
      <c r="B1146" s="73" t="str">
        <f t="shared" si="530"/>
        <v>Nov</v>
      </c>
      <c r="C1146" s="74">
        <f t="shared" si="553"/>
        <v>17</v>
      </c>
      <c r="D1146" s="75">
        <f t="shared" si="531"/>
        <v>3</v>
      </c>
      <c r="E1146" s="76">
        <f t="shared" si="532"/>
        <v>21</v>
      </c>
      <c r="F1146" s="80"/>
      <c r="G1146" s="83"/>
      <c r="H1146" s="69" t="str">
        <f t="shared" si="554"/>
        <v>Lacine7_20171117_03_00</v>
      </c>
      <c r="I1146" s="70">
        <f t="shared" si="558"/>
        <v>1</v>
      </c>
      <c r="J1146" s="77" t="str">
        <f t="shared" si="558"/>
        <v>Lactuca</v>
      </c>
      <c r="K1146" s="77" t="str">
        <f t="shared" si="558"/>
        <v>inermis</v>
      </c>
      <c r="L1146" s="78">
        <f t="shared" si="558"/>
        <v>7</v>
      </c>
      <c r="M1146" s="78">
        <f t="shared" si="558"/>
        <v>0</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2017</v>
      </c>
      <c r="B1147" s="73" t="str">
        <f t="shared" si="530"/>
        <v>Nov</v>
      </c>
      <c r="C1147" s="74">
        <f t="shared" si="553"/>
        <v>17</v>
      </c>
      <c r="D1147" s="75">
        <f t="shared" si="531"/>
        <v>3</v>
      </c>
      <c r="E1147" s="76">
        <f t="shared" si="532"/>
        <v>22</v>
      </c>
      <c r="F1147" s="80"/>
      <c r="G1147" s="83"/>
      <c r="H1147" s="69" t="str">
        <f t="shared" si="554"/>
        <v>Lacine7_20171117_03_00</v>
      </c>
      <c r="I1147" s="70">
        <f t="shared" si="558"/>
        <v>1</v>
      </c>
      <c r="J1147" s="77" t="str">
        <f t="shared" si="558"/>
        <v>Lactuca</v>
      </c>
      <c r="K1147" s="77" t="str">
        <f t="shared" si="558"/>
        <v>inermis</v>
      </c>
      <c r="L1147" s="78">
        <f t="shared" si="558"/>
        <v>7</v>
      </c>
      <c r="M1147" s="78">
        <f t="shared" si="558"/>
        <v>0</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2017</v>
      </c>
      <c r="B1148" s="73" t="str">
        <f t="shared" si="530"/>
        <v>Nov</v>
      </c>
      <c r="C1148" s="74">
        <f t="shared" si="553"/>
        <v>17</v>
      </c>
      <c r="D1148" s="75">
        <f t="shared" si="531"/>
        <v>3</v>
      </c>
      <c r="E1148" s="76">
        <f t="shared" si="532"/>
        <v>23</v>
      </c>
      <c r="F1148" s="80"/>
      <c r="G1148" s="83"/>
      <c r="H1148" s="69" t="str">
        <f t="shared" si="554"/>
        <v>Lacine7_20171117_03_00</v>
      </c>
      <c r="I1148" s="70">
        <f t="shared" si="558"/>
        <v>1</v>
      </c>
      <c r="J1148" s="77" t="str">
        <f t="shared" si="558"/>
        <v>Lactuca</v>
      </c>
      <c r="K1148" s="77" t="str">
        <f t="shared" si="558"/>
        <v>inermis</v>
      </c>
      <c r="L1148" s="78">
        <f t="shared" si="558"/>
        <v>7</v>
      </c>
      <c r="M1148" s="78">
        <f t="shared" si="558"/>
        <v>0</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2017</v>
      </c>
      <c r="B1149" s="73" t="str">
        <f t="shared" si="530"/>
        <v>Nov</v>
      </c>
      <c r="C1149" s="74">
        <f t="shared" si="553"/>
        <v>17</v>
      </c>
      <c r="D1149" s="75">
        <f t="shared" si="531"/>
        <v>3</v>
      </c>
      <c r="E1149" s="76">
        <f t="shared" si="532"/>
        <v>24</v>
      </c>
      <c r="F1149" s="80"/>
      <c r="G1149" s="83"/>
      <c r="H1149" s="69" t="str">
        <f t="shared" si="554"/>
        <v>Lacine7_20171117_03_00</v>
      </c>
      <c r="I1149" s="70">
        <f t="shared" si="558"/>
        <v>1</v>
      </c>
      <c r="J1149" s="77" t="str">
        <f t="shared" si="558"/>
        <v>Lactuca</v>
      </c>
      <c r="K1149" s="77" t="str">
        <f t="shared" si="558"/>
        <v>inermis</v>
      </c>
      <c r="L1149" s="78">
        <f t="shared" si="558"/>
        <v>7</v>
      </c>
      <c r="M1149" s="78">
        <f t="shared" si="558"/>
        <v>0</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2017</v>
      </c>
      <c r="B1150" s="73" t="str">
        <f t="shared" si="530"/>
        <v>Nov</v>
      </c>
      <c r="C1150" s="74">
        <f t="shared" si="553"/>
        <v>17</v>
      </c>
      <c r="D1150" s="75">
        <f t="shared" si="531"/>
        <v>3</v>
      </c>
      <c r="E1150" s="76">
        <f t="shared" si="532"/>
        <v>25</v>
      </c>
      <c r="F1150" s="80"/>
      <c r="G1150" s="83"/>
      <c r="H1150" s="69" t="str">
        <f t="shared" si="554"/>
        <v>Lacine7_20171117_03_00</v>
      </c>
      <c r="I1150" s="70">
        <f t="shared" si="558"/>
        <v>1</v>
      </c>
      <c r="J1150" s="77" t="str">
        <f t="shared" si="558"/>
        <v>Lactuca</v>
      </c>
      <c r="K1150" s="77" t="str">
        <f t="shared" si="558"/>
        <v>inermis</v>
      </c>
      <c r="L1150" s="78">
        <f t="shared" si="558"/>
        <v>7</v>
      </c>
      <c r="M1150" s="78">
        <f t="shared" si="558"/>
        <v>0</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2017</v>
      </c>
      <c r="B1151" s="73" t="str">
        <f t="shared" si="530"/>
        <v>Nov</v>
      </c>
      <c r="C1151" s="74">
        <f t="shared" si="553"/>
        <v>17</v>
      </c>
      <c r="D1151" s="75">
        <f t="shared" si="531"/>
        <v>3</v>
      </c>
      <c r="E1151" s="76">
        <f t="shared" si="532"/>
        <v>26</v>
      </c>
      <c r="F1151" s="80"/>
      <c r="G1151" s="83"/>
      <c r="H1151" s="69" t="str">
        <f t="shared" si="554"/>
        <v>Lacine7_20171117_03_00</v>
      </c>
      <c r="I1151" s="70">
        <f t="shared" si="558"/>
        <v>1</v>
      </c>
      <c r="J1151" s="77" t="str">
        <f t="shared" si="558"/>
        <v>Lactuca</v>
      </c>
      <c r="K1151" s="77" t="str">
        <f t="shared" si="558"/>
        <v>inermis</v>
      </c>
      <c r="L1151" s="78">
        <f t="shared" si="558"/>
        <v>7</v>
      </c>
      <c r="M1151" s="78">
        <f t="shared" si="558"/>
        <v>0</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2017</v>
      </c>
      <c r="B1152" s="73" t="str">
        <f t="shared" si="530"/>
        <v>Nov</v>
      </c>
      <c r="C1152" s="74">
        <f t="shared" si="553"/>
        <v>17</v>
      </c>
      <c r="D1152" s="75">
        <f t="shared" si="531"/>
        <v>3</v>
      </c>
      <c r="E1152" s="76">
        <f t="shared" si="532"/>
        <v>27</v>
      </c>
      <c r="F1152" s="80"/>
      <c r="G1152" s="83"/>
      <c r="H1152" s="69" t="str">
        <f t="shared" si="554"/>
        <v>Lacine7_20171117_03_00</v>
      </c>
      <c r="I1152" s="70">
        <f t="shared" si="558"/>
        <v>1</v>
      </c>
      <c r="J1152" s="77" t="str">
        <f t="shared" si="558"/>
        <v>Lactuca</v>
      </c>
      <c r="K1152" s="77" t="str">
        <f t="shared" si="558"/>
        <v>inermis</v>
      </c>
      <c r="L1152" s="78">
        <f t="shared" si="558"/>
        <v>7</v>
      </c>
      <c r="M1152" s="78">
        <f t="shared" si="558"/>
        <v>0</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2017</v>
      </c>
      <c r="B1153" s="73" t="str">
        <f t="shared" si="530"/>
        <v>Nov</v>
      </c>
      <c r="C1153" s="74">
        <f t="shared" si="553"/>
        <v>17</v>
      </c>
      <c r="D1153" s="75">
        <f t="shared" si="531"/>
        <v>3</v>
      </c>
      <c r="E1153" s="76">
        <f t="shared" si="532"/>
        <v>28</v>
      </c>
      <c r="F1153" s="80"/>
      <c r="G1153" s="83"/>
      <c r="H1153" s="69" t="str">
        <f t="shared" si="554"/>
        <v>Lacine7_20171117_03_00</v>
      </c>
      <c r="I1153" s="70">
        <f t="shared" si="558"/>
        <v>1</v>
      </c>
      <c r="J1153" s="77" t="str">
        <f t="shared" si="558"/>
        <v>Lactuca</v>
      </c>
      <c r="K1153" s="77" t="str">
        <f t="shared" si="558"/>
        <v>inermis</v>
      </c>
      <c r="L1153" s="78">
        <f t="shared" si="558"/>
        <v>7</v>
      </c>
      <c r="M1153" s="78">
        <f t="shared" si="558"/>
        <v>0</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2017</v>
      </c>
      <c r="B1154" s="73" t="str">
        <f t="shared" si="530"/>
        <v>Nov</v>
      </c>
      <c r="C1154" s="74">
        <f t="shared" si="553"/>
        <v>17</v>
      </c>
      <c r="D1154" s="75">
        <f t="shared" si="531"/>
        <v>3</v>
      </c>
      <c r="E1154" s="76">
        <f t="shared" si="532"/>
        <v>29</v>
      </c>
      <c r="F1154" s="80"/>
      <c r="G1154" s="83"/>
      <c r="H1154" s="69" t="str">
        <f t="shared" si="554"/>
        <v>Lacine7_20171117_03_00</v>
      </c>
      <c r="I1154" s="70">
        <f t="shared" si="558"/>
        <v>1</v>
      </c>
      <c r="J1154" s="77" t="str">
        <f t="shared" si="558"/>
        <v>Lactuca</v>
      </c>
      <c r="K1154" s="77" t="str">
        <f t="shared" si="558"/>
        <v>inermis</v>
      </c>
      <c r="L1154" s="78">
        <f t="shared" si="558"/>
        <v>7</v>
      </c>
      <c r="M1154" s="78">
        <f t="shared" si="558"/>
        <v>0</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2017</v>
      </c>
      <c r="B1155" s="73" t="str">
        <f t="shared" si="530"/>
        <v>Nov</v>
      </c>
      <c r="C1155" s="74">
        <f t="shared" si="553"/>
        <v>17</v>
      </c>
      <c r="D1155" s="75">
        <f t="shared" si="531"/>
        <v>3</v>
      </c>
      <c r="E1155" s="76">
        <f t="shared" si="532"/>
        <v>30</v>
      </c>
      <c r="F1155" s="80"/>
      <c r="G1155" s="83"/>
      <c r="H1155" s="69" t="str">
        <f t="shared" si="554"/>
        <v>Lacine7_20171117_03_00</v>
      </c>
      <c r="I1155" s="70">
        <f t="shared" si="558"/>
        <v>1</v>
      </c>
      <c r="J1155" s="77" t="str">
        <f t="shared" si="558"/>
        <v>Lactuca</v>
      </c>
      <c r="K1155" s="77" t="str">
        <f t="shared" si="558"/>
        <v>inermis</v>
      </c>
      <c r="L1155" s="78">
        <f t="shared" si="558"/>
        <v>7</v>
      </c>
      <c r="M1155" s="78">
        <f t="shared" si="558"/>
        <v>0</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2017</v>
      </c>
      <c r="B1156" s="73" t="str">
        <f t="shared" ref="B1156:B1219" si="561">IF(C1155-C1156&gt;0, TEXT(DATE(2016,(MONTH(DATEVALUE(B1155&amp;"1"))+1),1),"mmm"), B1155)</f>
        <v>Nov</v>
      </c>
      <c r="C1156" s="74">
        <f t="shared" si="553"/>
        <v>17</v>
      </c>
      <c r="D1156" s="75">
        <f t="shared" ref="D1156:D1219" si="562">IF(IF(E1155=59,D1155+1,D1155)=24,0,IF(E1155=59,D1155+1,D1155))</f>
        <v>3</v>
      </c>
      <c r="E1156" s="76">
        <f t="shared" ref="E1156:E1219" si="563">IF(E1155&lt;59,E1155+1,0)</f>
        <v>31</v>
      </c>
      <c r="F1156" s="80"/>
      <c r="G1156" s="83"/>
      <c r="H1156" s="69" t="str">
        <f t="shared" si="554"/>
        <v>Lacine7_20171117_03_00</v>
      </c>
      <c r="I1156" s="70">
        <f t="shared" si="558"/>
        <v>1</v>
      </c>
      <c r="J1156" s="77" t="str">
        <f t="shared" si="558"/>
        <v>Lactuca</v>
      </c>
      <c r="K1156" s="77" t="str">
        <f t="shared" si="558"/>
        <v>inermis</v>
      </c>
      <c r="L1156" s="78">
        <f t="shared" si="558"/>
        <v>7</v>
      </c>
      <c r="M1156" s="78">
        <f t="shared" si="558"/>
        <v>0</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2017</v>
      </c>
      <c r="B1157" s="73" t="str">
        <f t="shared" si="561"/>
        <v>Nov</v>
      </c>
      <c r="C1157" s="74">
        <f t="shared" ref="C1157:C1220" si="584">IF(AND(D1157=0, E1157=0), IF(TEXT(C1156,"dd")=TEXT(EOMONTH(DATE(A1156,MONTH(DATEVALUE(B1156&amp;"1")),C1156),0), "dd"), 1, C1156+1), C1156)</f>
        <v>17</v>
      </c>
      <c r="D1157" s="75">
        <f t="shared" si="562"/>
        <v>3</v>
      </c>
      <c r="E1157" s="76">
        <f t="shared" si="563"/>
        <v>32</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Lacine7_20171117_03_00</v>
      </c>
      <c r="I1157" s="70">
        <f t="shared" ref="I1157:N1172" si="586">I1156</f>
        <v>1</v>
      </c>
      <c r="J1157" s="77" t="str">
        <f t="shared" si="586"/>
        <v>Lactuca</v>
      </c>
      <c r="K1157" s="77" t="str">
        <f t="shared" si="586"/>
        <v>inermis</v>
      </c>
      <c r="L1157" s="78">
        <f t="shared" si="586"/>
        <v>7</v>
      </c>
      <c r="M1157" s="78">
        <f t="shared" si="586"/>
        <v>0</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2017</v>
      </c>
      <c r="B1158" s="73" t="str">
        <f t="shared" si="561"/>
        <v>Nov</v>
      </c>
      <c r="C1158" s="74">
        <f t="shared" si="584"/>
        <v>17</v>
      </c>
      <c r="D1158" s="75">
        <f t="shared" si="562"/>
        <v>3</v>
      </c>
      <c r="E1158" s="76">
        <f t="shared" si="563"/>
        <v>33</v>
      </c>
      <c r="F1158" s="80"/>
      <c r="G1158" s="83"/>
      <c r="H1158" s="69" t="str">
        <f t="shared" si="585"/>
        <v>Lacine7_20171117_03_00</v>
      </c>
      <c r="I1158" s="70">
        <f t="shared" si="586"/>
        <v>1</v>
      </c>
      <c r="J1158" s="77" t="str">
        <f t="shared" si="586"/>
        <v>Lactuca</v>
      </c>
      <c r="K1158" s="77" t="str">
        <f t="shared" si="586"/>
        <v>inermis</v>
      </c>
      <c r="L1158" s="78">
        <f t="shared" si="586"/>
        <v>7</v>
      </c>
      <c r="M1158" s="78">
        <f t="shared" si="586"/>
        <v>0</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2017</v>
      </c>
      <c r="B1159" s="73" t="str">
        <f t="shared" si="561"/>
        <v>Nov</v>
      </c>
      <c r="C1159" s="74">
        <f t="shared" si="584"/>
        <v>17</v>
      </c>
      <c r="D1159" s="75">
        <f t="shared" si="562"/>
        <v>3</v>
      </c>
      <c r="E1159" s="76">
        <f t="shared" si="563"/>
        <v>34</v>
      </c>
      <c r="F1159" s="80"/>
      <c r="G1159" s="83"/>
      <c r="H1159" s="69" t="str">
        <f t="shared" si="585"/>
        <v>Lacine7_20171117_03_00</v>
      </c>
      <c r="I1159" s="70">
        <f t="shared" si="586"/>
        <v>1</v>
      </c>
      <c r="J1159" s="77" t="str">
        <f t="shared" si="586"/>
        <v>Lactuca</v>
      </c>
      <c r="K1159" s="77" t="str">
        <f t="shared" si="586"/>
        <v>inermis</v>
      </c>
      <c r="L1159" s="78">
        <f t="shared" si="586"/>
        <v>7</v>
      </c>
      <c r="M1159" s="78">
        <f t="shared" si="586"/>
        <v>0</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2017</v>
      </c>
      <c r="B1160" s="73" t="str">
        <f t="shared" si="561"/>
        <v>Nov</v>
      </c>
      <c r="C1160" s="74">
        <f t="shared" si="584"/>
        <v>17</v>
      </c>
      <c r="D1160" s="75">
        <f t="shared" si="562"/>
        <v>3</v>
      </c>
      <c r="E1160" s="76">
        <f t="shared" si="563"/>
        <v>35</v>
      </c>
      <c r="F1160" s="80"/>
      <c r="G1160" s="83"/>
      <c r="H1160" s="69" t="str">
        <f t="shared" si="585"/>
        <v>Lacine7_20171117_03_00</v>
      </c>
      <c r="I1160" s="70">
        <f t="shared" si="586"/>
        <v>1</v>
      </c>
      <c r="J1160" s="77" t="str">
        <f t="shared" si="586"/>
        <v>Lactuca</v>
      </c>
      <c r="K1160" s="77" t="str">
        <f t="shared" si="586"/>
        <v>inermis</v>
      </c>
      <c r="L1160" s="78">
        <f t="shared" si="586"/>
        <v>7</v>
      </c>
      <c r="M1160" s="78">
        <f t="shared" si="586"/>
        <v>0</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2017</v>
      </c>
      <c r="B1161" s="73" t="str">
        <f t="shared" si="561"/>
        <v>Nov</v>
      </c>
      <c r="C1161" s="74">
        <f t="shared" si="584"/>
        <v>17</v>
      </c>
      <c r="D1161" s="75">
        <f t="shared" si="562"/>
        <v>3</v>
      </c>
      <c r="E1161" s="76">
        <f t="shared" si="563"/>
        <v>36</v>
      </c>
      <c r="F1161" s="80"/>
      <c r="G1161" s="83"/>
      <c r="H1161" s="69" t="str">
        <f t="shared" si="585"/>
        <v>Lacine7_20171117_03_00</v>
      </c>
      <c r="I1161" s="70">
        <f t="shared" si="586"/>
        <v>1</v>
      </c>
      <c r="J1161" s="77" t="str">
        <f t="shared" si="586"/>
        <v>Lactuca</v>
      </c>
      <c r="K1161" s="77" t="str">
        <f t="shared" si="586"/>
        <v>inermis</v>
      </c>
      <c r="L1161" s="78">
        <f t="shared" si="586"/>
        <v>7</v>
      </c>
      <c r="M1161" s="78">
        <f t="shared" si="586"/>
        <v>0</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2017</v>
      </c>
      <c r="B1162" s="73" t="str">
        <f t="shared" si="561"/>
        <v>Nov</v>
      </c>
      <c r="C1162" s="74">
        <f t="shared" si="584"/>
        <v>17</v>
      </c>
      <c r="D1162" s="75">
        <f t="shared" si="562"/>
        <v>3</v>
      </c>
      <c r="E1162" s="76">
        <f t="shared" si="563"/>
        <v>37</v>
      </c>
      <c r="F1162" s="80"/>
      <c r="G1162" s="83"/>
      <c r="H1162" s="69" t="str">
        <f t="shared" si="585"/>
        <v>Lacine7_20171117_03_00</v>
      </c>
      <c r="I1162" s="70">
        <f t="shared" si="586"/>
        <v>1</v>
      </c>
      <c r="J1162" s="77" t="str">
        <f t="shared" si="586"/>
        <v>Lactuca</v>
      </c>
      <c r="K1162" s="77" t="str">
        <f t="shared" si="586"/>
        <v>inermis</v>
      </c>
      <c r="L1162" s="78">
        <f t="shared" si="586"/>
        <v>7</v>
      </c>
      <c r="M1162" s="78">
        <f t="shared" si="586"/>
        <v>0</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2017</v>
      </c>
      <c r="B1163" s="73" t="str">
        <f t="shared" si="561"/>
        <v>Nov</v>
      </c>
      <c r="C1163" s="74">
        <f t="shared" si="584"/>
        <v>17</v>
      </c>
      <c r="D1163" s="75">
        <f t="shared" si="562"/>
        <v>3</v>
      </c>
      <c r="E1163" s="76">
        <f t="shared" si="563"/>
        <v>38</v>
      </c>
      <c r="F1163" s="80"/>
      <c r="G1163" s="83"/>
      <c r="H1163" s="69" t="str">
        <f t="shared" si="585"/>
        <v>Lacine7_20171117_03_00</v>
      </c>
      <c r="I1163" s="70">
        <f t="shared" si="586"/>
        <v>1</v>
      </c>
      <c r="J1163" s="77" t="str">
        <f t="shared" si="586"/>
        <v>Lactuca</v>
      </c>
      <c r="K1163" s="77" t="str">
        <f t="shared" si="586"/>
        <v>inermis</v>
      </c>
      <c r="L1163" s="78">
        <f t="shared" si="586"/>
        <v>7</v>
      </c>
      <c r="M1163" s="78">
        <f t="shared" si="586"/>
        <v>0</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2017</v>
      </c>
      <c r="B1164" s="73" t="str">
        <f t="shared" si="561"/>
        <v>Nov</v>
      </c>
      <c r="C1164" s="74">
        <f t="shared" si="584"/>
        <v>17</v>
      </c>
      <c r="D1164" s="75">
        <f t="shared" si="562"/>
        <v>3</v>
      </c>
      <c r="E1164" s="76">
        <f t="shared" si="563"/>
        <v>39</v>
      </c>
      <c r="F1164" s="80"/>
      <c r="G1164" s="83"/>
      <c r="H1164" s="69" t="str">
        <f t="shared" si="585"/>
        <v>Lacine7_20171117_03_00</v>
      </c>
      <c r="I1164" s="70">
        <f t="shared" si="586"/>
        <v>1</v>
      </c>
      <c r="J1164" s="77" t="str">
        <f t="shared" si="586"/>
        <v>Lactuca</v>
      </c>
      <c r="K1164" s="77" t="str">
        <f t="shared" si="586"/>
        <v>inermis</v>
      </c>
      <c r="L1164" s="78">
        <f t="shared" si="586"/>
        <v>7</v>
      </c>
      <c r="M1164" s="78">
        <f t="shared" si="586"/>
        <v>0</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2017</v>
      </c>
      <c r="B1165" s="73" t="str">
        <f t="shared" si="561"/>
        <v>Nov</v>
      </c>
      <c r="C1165" s="74">
        <f t="shared" si="584"/>
        <v>17</v>
      </c>
      <c r="D1165" s="75">
        <f t="shared" si="562"/>
        <v>3</v>
      </c>
      <c r="E1165" s="76">
        <f t="shared" si="563"/>
        <v>40</v>
      </c>
      <c r="F1165" s="80"/>
      <c r="G1165" s="83"/>
      <c r="H1165" s="69" t="str">
        <f t="shared" si="585"/>
        <v>Lacine7_20171117_03_00</v>
      </c>
      <c r="I1165" s="70">
        <f t="shared" si="586"/>
        <v>1</v>
      </c>
      <c r="J1165" s="77" t="str">
        <f t="shared" si="586"/>
        <v>Lactuca</v>
      </c>
      <c r="K1165" s="77" t="str">
        <f t="shared" si="586"/>
        <v>inermis</v>
      </c>
      <c r="L1165" s="78">
        <f t="shared" si="586"/>
        <v>7</v>
      </c>
      <c r="M1165" s="78">
        <f t="shared" si="586"/>
        <v>0</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2017</v>
      </c>
      <c r="B1166" s="73" t="str">
        <f t="shared" si="561"/>
        <v>Nov</v>
      </c>
      <c r="C1166" s="74">
        <f t="shared" si="584"/>
        <v>17</v>
      </c>
      <c r="D1166" s="75">
        <f t="shared" si="562"/>
        <v>3</v>
      </c>
      <c r="E1166" s="76">
        <f t="shared" si="563"/>
        <v>41</v>
      </c>
      <c r="F1166" s="80"/>
      <c r="G1166" s="83"/>
      <c r="H1166" s="69" t="str">
        <f t="shared" si="585"/>
        <v>Lacine7_20171117_03_00</v>
      </c>
      <c r="I1166" s="70">
        <f t="shared" si="586"/>
        <v>1</v>
      </c>
      <c r="J1166" s="77" t="str">
        <f t="shared" si="586"/>
        <v>Lactuca</v>
      </c>
      <c r="K1166" s="77" t="str">
        <f t="shared" si="586"/>
        <v>inermis</v>
      </c>
      <c r="L1166" s="78">
        <f t="shared" si="586"/>
        <v>7</v>
      </c>
      <c r="M1166" s="78">
        <f t="shared" si="586"/>
        <v>0</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2017</v>
      </c>
      <c r="B1167" s="73" t="str">
        <f t="shared" si="561"/>
        <v>Nov</v>
      </c>
      <c r="C1167" s="74">
        <f t="shared" si="584"/>
        <v>17</v>
      </c>
      <c r="D1167" s="75">
        <f t="shared" si="562"/>
        <v>3</v>
      </c>
      <c r="E1167" s="76">
        <f t="shared" si="563"/>
        <v>42</v>
      </c>
      <c r="F1167" s="80"/>
      <c r="G1167" s="83"/>
      <c r="H1167" s="69" t="str">
        <f t="shared" si="585"/>
        <v>Lacine7_20171117_03_00</v>
      </c>
      <c r="I1167" s="70">
        <f t="shared" si="586"/>
        <v>1</v>
      </c>
      <c r="J1167" s="77" t="str">
        <f t="shared" si="586"/>
        <v>Lactuca</v>
      </c>
      <c r="K1167" s="77" t="str">
        <f t="shared" si="586"/>
        <v>inermis</v>
      </c>
      <c r="L1167" s="78">
        <f t="shared" si="586"/>
        <v>7</v>
      </c>
      <c r="M1167" s="78">
        <f t="shared" si="586"/>
        <v>0</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2017</v>
      </c>
      <c r="B1168" s="73" t="str">
        <f t="shared" si="561"/>
        <v>Nov</v>
      </c>
      <c r="C1168" s="74">
        <f t="shared" si="584"/>
        <v>17</v>
      </c>
      <c r="D1168" s="75">
        <f t="shared" si="562"/>
        <v>3</v>
      </c>
      <c r="E1168" s="76">
        <f t="shared" si="563"/>
        <v>43</v>
      </c>
      <c r="F1168" s="80"/>
      <c r="G1168" s="83"/>
      <c r="H1168" s="69" t="str">
        <f t="shared" si="585"/>
        <v>Lacine7_20171117_03_00</v>
      </c>
      <c r="I1168" s="70">
        <f t="shared" si="586"/>
        <v>1</v>
      </c>
      <c r="J1168" s="77" t="str">
        <f t="shared" si="586"/>
        <v>Lactuca</v>
      </c>
      <c r="K1168" s="77" t="str">
        <f t="shared" si="586"/>
        <v>inermis</v>
      </c>
      <c r="L1168" s="78">
        <f t="shared" si="586"/>
        <v>7</v>
      </c>
      <c r="M1168" s="78">
        <f t="shared" si="586"/>
        <v>0</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2017</v>
      </c>
      <c r="B1169" s="73" t="str">
        <f t="shared" si="561"/>
        <v>Nov</v>
      </c>
      <c r="C1169" s="74">
        <f t="shared" si="584"/>
        <v>17</v>
      </c>
      <c r="D1169" s="75">
        <f t="shared" si="562"/>
        <v>3</v>
      </c>
      <c r="E1169" s="76">
        <f t="shared" si="563"/>
        <v>44</v>
      </c>
      <c r="F1169" s="80"/>
      <c r="G1169" s="83"/>
      <c r="H1169" s="69" t="str">
        <f t="shared" si="585"/>
        <v>Lacine7_20171117_03_00</v>
      </c>
      <c r="I1169" s="70">
        <f t="shared" si="586"/>
        <v>1</v>
      </c>
      <c r="J1169" s="77" t="str">
        <f t="shared" si="586"/>
        <v>Lactuca</v>
      </c>
      <c r="K1169" s="77" t="str">
        <f t="shared" si="586"/>
        <v>inermis</v>
      </c>
      <c r="L1169" s="78">
        <f t="shared" si="586"/>
        <v>7</v>
      </c>
      <c r="M1169" s="78">
        <f t="shared" si="586"/>
        <v>0</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2017</v>
      </c>
      <c r="B1170" s="73" t="str">
        <f t="shared" si="561"/>
        <v>Nov</v>
      </c>
      <c r="C1170" s="74">
        <f t="shared" si="584"/>
        <v>17</v>
      </c>
      <c r="D1170" s="75">
        <f t="shared" si="562"/>
        <v>3</v>
      </c>
      <c r="E1170" s="76">
        <f t="shared" si="563"/>
        <v>45</v>
      </c>
      <c r="F1170" s="80"/>
      <c r="G1170" s="83"/>
      <c r="H1170" s="69" t="str">
        <f t="shared" si="585"/>
        <v>Lacine7_20171117_03_00</v>
      </c>
      <c r="I1170" s="70">
        <f t="shared" si="586"/>
        <v>1</v>
      </c>
      <c r="J1170" s="77" t="str">
        <f t="shared" si="586"/>
        <v>Lactuca</v>
      </c>
      <c r="K1170" s="77" t="str">
        <f t="shared" si="586"/>
        <v>inermis</v>
      </c>
      <c r="L1170" s="78">
        <f t="shared" si="586"/>
        <v>7</v>
      </c>
      <c r="M1170" s="78">
        <f t="shared" si="586"/>
        <v>0</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2017</v>
      </c>
      <c r="B1171" s="73" t="str">
        <f t="shared" si="561"/>
        <v>Nov</v>
      </c>
      <c r="C1171" s="74">
        <f t="shared" si="584"/>
        <v>17</v>
      </c>
      <c r="D1171" s="75">
        <f t="shared" si="562"/>
        <v>3</v>
      </c>
      <c r="E1171" s="76">
        <f t="shared" si="563"/>
        <v>46</v>
      </c>
      <c r="F1171" s="80"/>
      <c r="G1171" s="83"/>
      <c r="H1171" s="69" t="str">
        <f t="shared" si="585"/>
        <v>Lacine7_20171117_03_00</v>
      </c>
      <c r="I1171" s="70">
        <f t="shared" si="586"/>
        <v>1</v>
      </c>
      <c r="J1171" s="77" t="str">
        <f t="shared" si="586"/>
        <v>Lactuca</v>
      </c>
      <c r="K1171" s="77" t="str">
        <f t="shared" si="586"/>
        <v>inermis</v>
      </c>
      <c r="L1171" s="78">
        <f t="shared" si="586"/>
        <v>7</v>
      </c>
      <c r="M1171" s="78">
        <f t="shared" si="586"/>
        <v>0</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2017</v>
      </c>
      <c r="B1172" s="73" t="str">
        <f t="shared" si="561"/>
        <v>Nov</v>
      </c>
      <c r="C1172" s="74">
        <f t="shared" si="584"/>
        <v>17</v>
      </c>
      <c r="D1172" s="75">
        <f t="shared" si="562"/>
        <v>3</v>
      </c>
      <c r="E1172" s="76">
        <f t="shared" si="563"/>
        <v>47</v>
      </c>
      <c r="F1172" s="80"/>
      <c r="G1172" s="83"/>
      <c r="H1172" s="69" t="str">
        <f t="shared" si="585"/>
        <v>Lacine7_20171117_03_00</v>
      </c>
      <c r="I1172" s="70">
        <f t="shared" si="586"/>
        <v>1</v>
      </c>
      <c r="J1172" s="77" t="str">
        <f t="shared" si="586"/>
        <v>Lactuca</v>
      </c>
      <c r="K1172" s="77" t="str">
        <f t="shared" si="586"/>
        <v>inermis</v>
      </c>
      <c r="L1172" s="78">
        <f t="shared" si="586"/>
        <v>7</v>
      </c>
      <c r="M1172" s="78">
        <f t="shared" si="586"/>
        <v>0</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2017</v>
      </c>
      <c r="B1173" s="73" t="str">
        <f t="shared" si="561"/>
        <v>Nov</v>
      </c>
      <c r="C1173" s="74">
        <f t="shared" si="584"/>
        <v>17</v>
      </c>
      <c r="D1173" s="75">
        <f t="shared" si="562"/>
        <v>3</v>
      </c>
      <c r="E1173" s="76">
        <f t="shared" si="563"/>
        <v>48</v>
      </c>
      <c r="F1173" s="80"/>
      <c r="G1173" s="83"/>
      <c r="H1173" s="69" t="str">
        <f t="shared" si="585"/>
        <v>Lacine7_20171117_03_00</v>
      </c>
      <c r="I1173" s="70">
        <f t="shared" ref="I1173:N1188" si="587">I1172</f>
        <v>1</v>
      </c>
      <c r="J1173" s="77" t="str">
        <f t="shared" si="587"/>
        <v>Lactuca</v>
      </c>
      <c r="K1173" s="77" t="str">
        <f t="shared" si="587"/>
        <v>inermis</v>
      </c>
      <c r="L1173" s="78">
        <f t="shared" si="587"/>
        <v>7</v>
      </c>
      <c r="M1173" s="78">
        <f t="shared" si="587"/>
        <v>0</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2017</v>
      </c>
      <c r="B1174" s="73" t="str">
        <f t="shared" si="561"/>
        <v>Nov</v>
      </c>
      <c r="C1174" s="74">
        <f t="shared" si="584"/>
        <v>17</v>
      </c>
      <c r="D1174" s="75">
        <f t="shared" si="562"/>
        <v>3</v>
      </c>
      <c r="E1174" s="76">
        <f t="shared" si="563"/>
        <v>49</v>
      </c>
      <c r="F1174" s="80"/>
      <c r="G1174" s="83"/>
      <c r="H1174" s="69" t="str">
        <f t="shared" si="585"/>
        <v>Lacine7_20171117_03_00</v>
      </c>
      <c r="I1174" s="70">
        <f t="shared" si="587"/>
        <v>1</v>
      </c>
      <c r="J1174" s="77" t="str">
        <f t="shared" si="587"/>
        <v>Lactuca</v>
      </c>
      <c r="K1174" s="77" t="str">
        <f t="shared" si="587"/>
        <v>inermis</v>
      </c>
      <c r="L1174" s="78">
        <f t="shared" si="587"/>
        <v>7</v>
      </c>
      <c r="M1174" s="78">
        <f t="shared" si="587"/>
        <v>0</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2017</v>
      </c>
      <c r="B1175" s="73" t="str">
        <f t="shared" si="561"/>
        <v>Nov</v>
      </c>
      <c r="C1175" s="74">
        <f t="shared" si="584"/>
        <v>17</v>
      </c>
      <c r="D1175" s="75">
        <f t="shared" si="562"/>
        <v>3</v>
      </c>
      <c r="E1175" s="76">
        <f t="shared" si="563"/>
        <v>50</v>
      </c>
      <c r="F1175" s="80"/>
      <c r="G1175" s="83"/>
      <c r="H1175" s="69" t="str">
        <f t="shared" si="585"/>
        <v>Lacine7_20171117_03_00</v>
      </c>
      <c r="I1175" s="70">
        <f t="shared" si="587"/>
        <v>1</v>
      </c>
      <c r="J1175" s="77" t="str">
        <f t="shared" si="587"/>
        <v>Lactuca</v>
      </c>
      <c r="K1175" s="77" t="str">
        <f t="shared" si="587"/>
        <v>inermis</v>
      </c>
      <c r="L1175" s="78">
        <f t="shared" si="587"/>
        <v>7</v>
      </c>
      <c r="M1175" s="78">
        <f t="shared" si="587"/>
        <v>0</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2017</v>
      </c>
      <c r="B1176" s="73" t="str">
        <f t="shared" si="561"/>
        <v>Nov</v>
      </c>
      <c r="C1176" s="74">
        <f t="shared" si="584"/>
        <v>17</v>
      </c>
      <c r="D1176" s="75">
        <f t="shared" si="562"/>
        <v>3</v>
      </c>
      <c r="E1176" s="76">
        <f t="shared" si="563"/>
        <v>51</v>
      </c>
      <c r="F1176" s="80"/>
      <c r="G1176" s="83"/>
      <c r="H1176" s="69" t="str">
        <f t="shared" si="585"/>
        <v>Lacine7_20171117_03_00</v>
      </c>
      <c r="I1176" s="70">
        <f t="shared" si="587"/>
        <v>1</v>
      </c>
      <c r="J1176" s="77" t="str">
        <f t="shared" si="587"/>
        <v>Lactuca</v>
      </c>
      <c r="K1176" s="77" t="str">
        <f t="shared" si="587"/>
        <v>inermis</v>
      </c>
      <c r="L1176" s="78">
        <f t="shared" si="587"/>
        <v>7</v>
      </c>
      <c r="M1176" s="78">
        <f t="shared" si="587"/>
        <v>0</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2017</v>
      </c>
      <c r="B1177" s="73" t="str">
        <f t="shared" si="561"/>
        <v>Nov</v>
      </c>
      <c r="C1177" s="74">
        <f t="shared" si="584"/>
        <v>17</v>
      </c>
      <c r="D1177" s="75">
        <f t="shared" si="562"/>
        <v>3</v>
      </c>
      <c r="E1177" s="76">
        <f t="shared" si="563"/>
        <v>52</v>
      </c>
      <c r="F1177" s="80"/>
      <c r="G1177" s="83"/>
      <c r="H1177" s="69" t="str">
        <f t="shared" si="585"/>
        <v>Lacine7_20171117_03_00</v>
      </c>
      <c r="I1177" s="70">
        <f t="shared" si="587"/>
        <v>1</v>
      </c>
      <c r="J1177" s="77" t="str">
        <f t="shared" si="587"/>
        <v>Lactuca</v>
      </c>
      <c r="K1177" s="77" t="str">
        <f t="shared" si="587"/>
        <v>inermis</v>
      </c>
      <c r="L1177" s="78">
        <f t="shared" si="587"/>
        <v>7</v>
      </c>
      <c r="M1177" s="78">
        <f t="shared" si="587"/>
        <v>0</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2017</v>
      </c>
      <c r="B1178" s="73" t="str">
        <f t="shared" si="561"/>
        <v>Nov</v>
      </c>
      <c r="C1178" s="74">
        <f t="shared" si="584"/>
        <v>17</v>
      </c>
      <c r="D1178" s="75">
        <f t="shared" si="562"/>
        <v>3</v>
      </c>
      <c r="E1178" s="76">
        <f t="shared" si="563"/>
        <v>53</v>
      </c>
      <c r="F1178" s="80"/>
      <c r="G1178" s="83"/>
      <c r="H1178" s="69" t="str">
        <f t="shared" si="585"/>
        <v>Lacine7_20171117_03_00</v>
      </c>
      <c r="I1178" s="70">
        <f t="shared" si="587"/>
        <v>1</v>
      </c>
      <c r="J1178" s="77" t="str">
        <f t="shared" si="587"/>
        <v>Lactuca</v>
      </c>
      <c r="K1178" s="77" t="str">
        <f t="shared" si="587"/>
        <v>inermis</v>
      </c>
      <c r="L1178" s="78">
        <f t="shared" si="587"/>
        <v>7</v>
      </c>
      <c r="M1178" s="78">
        <f t="shared" si="587"/>
        <v>0</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2017</v>
      </c>
      <c r="B1179" s="73" t="str">
        <f t="shared" si="561"/>
        <v>Nov</v>
      </c>
      <c r="C1179" s="74">
        <f t="shared" si="584"/>
        <v>17</v>
      </c>
      <c r="D1179" s="75">
        <f t="shared" si="562"/>
        <v>3</v>
      </c>
      <c r="E1179" s="76">
        <f t="shared" si="563"/>
        <v>54</v>
      </c>
      <c r="F1179" s="80"/>
      <c r="G1179" s="83"/>
      <c r="H1179" s="69" t="str">
        <f t="shared" si="585"/>
        <v>Lacine7_20171117_03_00</v>
      </c>
      <c r="I1179" s="70">
        <f t="shared" si="587"/>
        <v>1</v>
      </c>
      <c r="J1179" s="77" t="str">
        <f t="shared" si="587"/>
        <v>Lactuca</v>
      </c>
      <c r="K1179" s="77" t="str">
        <f t="shared" si="587"/>
        <v>inermis</v>
      </c>
      <c r="L1179" s="78">
        <f t="shared" si="587"/>
        <v>7</v>
      </c>
      <c r="M1179" s="78">
        <f t="shared" si="587"/>
        <v>0</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2017</v>
      </c>
      <c r="B1180" s="73" t="str">
        <f t="shared" si="561"/>
        <v>Nov</v>
      </c>
      <c r="C1180" s="74">
        <f t="shared" si="584"/>
        <v>17</v>
      </c>
      <c r="D1180" s="75">
        <f t="shared" si="562"/>
        <v>3</v>
      </c>
      <c r="E1180" s="76">
        <f t="shared" si="563"/>
        <v>55</v>
      </c>
      <c r="F1180" s="80"/>
      <c r="G1180" s="83"/>
      <c r="H1180" s="69" t="str">
        <f t="shared" si="585"/>
        <v>Lacine7_20171117_03_00</v>
      </c>
      <c r="I1180" s="70">
        <f t="shared" si="587"/>
        <v>1</v>
      </c>
      <c r="J1180" s="77" t="str">
        <f t="shared" si="587"/>
        <v>Lactuca</v>
      </c>
      <c r="K1180" s="77" t="str">
        <f t="shared" si="587"/>
        <v>inermis</v>
      </c>
      <c r="L1180" s="78">
        <f t="shared" si="587"/>
        <v>7</v>
      </c>
      <c r="M1180" s="78">
        <f t="shared" si="587"/>
        <v>0</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2017</v>
      </c>
      <c r="B1181" s="73" t="str">
        <f t="shared" si="561"/>
        <v>Nov</v>
      </c>
      <c r="C1181" s="74">
        <f t="shared" si="584"/>
        <v>17</v>
      </c>
      <c r="D1181" s="75">
        <f t="shared" si="562"/>
        <v>3</v>
      </c>
      <c r="E1181" s="76">
        <f t="shared" si="563"/>
        <v>56</v>
      </c>
      <c r="F1181" s="80"/>
      <c r="G1181" s="83"/>
      <c r="H1181" s="69" t="str">
        <f t="shared" si="585"/>
        <v>Lacine7_20171117_03_00</v>
      </c>
      <c r="I1181" s="70">
        <f t="shared" si="587"/>
        <v>1</v>
      </c>
      <c r="J1181" s="77" t="str">
        <f t="shared" si="587"/>
        <v>Lactuca</v>
      </c>
      <c r="K1181" s="77" t="str">
        <f t="shared" si="587"/>
        <v>inermis</v>
      </c>
      <c r="L1181" s="78">
        <f t="shared" si="587"/>
        <v>7</v>
      </c>
      <c r="M1181" s="78">
        <f t="shared" si="587"/>
        <v>0</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2017</v>
      </c>
      <c r="B1182" s="73" t="str">
        <f t="shared" si="561"/>
        <v>Nov</v>
      </c>
      <c r="C1182" s="74">
        <f t="shared" si="584"/>
        <v>17</v>
      </c>
      <c r="D1182" s="75">
        <f t="shared" si="562"/>
        <v>3</v>
      </c>
      <c r="E1182" s="76">
        <f t="shared" si="563"/>
        <v>57</v>
      </c>
      <c r="F1182" s="80"/>
      <c r="G1182" s="83"/>
      <c r="H1182" s="69" t="str">
        <f t="shared" si="585"/>
        <v>Lacine7_20171117_03_00</v>
      </c>
      <c r="I1182" s="70">
        <f t="shared" si="587"/>
        <v>1</v>
      </c>
      <c r="J1182" s="77" t="str">
        <f t="shared" si="587"/>
        <v>Lactuca</v>
      </c>
      <c r="K1182" s="77" t="str">
        <f t="shared" si="587"/>
        <v>inermis</v>
      </c>
      <c r="L1182" s="78">
        <f t="shared" si="587"/>
        <v>7</v>
      </c>
      <c r="M1182" s="78">
        <f t="shared" si="587"/>
        <v>0</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2017</v>
      </c>
      <c r="B1183" s="73" t="str">
        <f t="shared" si="561"/>
        <v>Nov</v>
      </c>
      <c r="C1183" s="74">
        <f t="shared" si="584"/>
        <v>17</v>
      </c>
      <c r="D1183" s="75">
        <f t="shared" si="562"/>
        <v>3</v>
      </c>
      <c r="E1183" s="76">
        <f t="shared" si="563"/>
        <v>58</v>
      </c>
      <c r="F1183" s="80"/>
      <c r="G1183" s="83"/>
      <c r="H1183" s="69" t="str">
        <f t="shared" si="585"/>
        <v>Lacine7_20171117_03_00</v>
      </c>
      <c r="I1183" s="70">
        <f t="shared" si="587"/>
        <v>1</v>
      </c>
      <c r="J1183" s="77" t="str">
        <f t="shared" si="587"/>
        <v>Lactuca</v>
      </c>
      <c r="K1183" s="77" t="str">
        <f t="shared" si="587"/>
        <v>inermis</v>
      </c>
      <c r="L1183" s="78">
        <f t="shared" si="587"/>
        <v>7</v>
      </c>
      <c r="M1183" s="78">
        <f t="shared" si="587"/>
        <v>0</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2017</v>
      </c>
      <c r="B1184" s="73" t="str">
        <f t="shared" si="561"/>
        <v>Nov</v>
      </c>
      <c r="C1184" s="74">
        <f t="shared" si="584"/>
        <v>17</v>
      </c>
      <c r="D1184" s="75">
        <f t="shared" si="562"/>
        <v>3</v>
      </c>
      <c r="E1184" s="76">
        <f t="shared" si="563"/>
        <v>59</v>
      </c>
      <c r="F1184" s="80"/>
      <c r="G1184" s="83"/>
      <c r="H1184" s="69" t="str">
        <f t="shared" si="585"/>
        <v>Lacine7_20171117_03_00</v>
      </c>
      <c r="I1184" s="70">
        <f t="shared" si="587"/>
        <v>1</v>
      </c>
      <c r="J1184" s="77" t="str">
        <f t="shared" si="587"/>
        <v>Lactuca</v>
      </c>
      <c r="K1184" s="77" t="str">
        <f t="shared" si="587"/>
        <v>inermis</v>
      </c>
      <c r="L1184" s="78">
        <f t="shared" si="587"/>
        <v>7</v>
      </c>
      <c r="M1184" s="78">
        <f t="shared" si="587"/>
        <v>0</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2017</v>
      </c>
      <c r="B1185" s="73" t="str">
        <f t="shared" si="561"/>
        <v>Nov</v>
      </c>
      <c r="C1185" s="74">
        <f t="shared" si="584"/>
        <v>17</v>
      </c>
      <c r="D1185" s="75">
        <f t="shared" si="562"/>
        <v>4</v>
      </c>
      <c r="E1185" s="76">
        <f t="shared" si="563"/>
        <v>0</v>
      </c>
      <c r="F1185" s="80"/>
      <c r="G1185" s="83"/>
      <c r="H1185" s="69" t="str">
        <f t="shared" si="585"/>
        <v>Lacine7_20171117_04_00</v>
      </c>
      <c r="I1185" s="70">
        <f t="shared" si="587"/>
        <v>1</v>
      </c>
      <c r="J1185" s="77" t="str">
        <f t="shared" si="587"/>
        <v>Lactuca</v>
      </c>
      <c r="K1185" s="77" t="str">
        <f t="shared" si="587"/>
        <v>inermis</v>
      </c>
      <c r="L1185" s="78">
        <f t="shared" si="587"/>
        <v>7</v>
      </c>
      <c r="M1185" s="78">
        <f t="shared" si="587"/>
        <v>0</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2017</v>
      </c>
      <c r="B1186" s="73" t="str">
        <f t="shared" si="561"/>
        <v>Nov</v>
      </c>
      <c r="C1186" s="74">
        <f t="shared" si="584"/>
        <v>17</v>
      </c>
      <c r="D1186" s="75">
        <f t="shared" si="562"/>
        <v>4</v>
      </c>
      <c r="E1186" s="76">
        <f t="shared" si="563"/>
        <v>1</v>
      </c>
      <c r="F1186" s="80"/>
      <c r="G1186" s="83"/>
      <c r="H1186" s="69" t="str">
        <f t="shared" si="585"/>
        <v>Lacine7_20171117_04_00</v>
      </c>
      <c r="I1186" s="70">
        <f t="shared" si="587"/>
        <v>1</v>
      </c>
      <c r="J1186" s="77" t="str">
        <f t="shared" si="587"/>
        <v>Lactuca</v>
      </c>
      <c r="K1186" s="77" t="str">
        <f t="shared" si="587"/>
        <v>inermis</v>
      </c>
      <c r="L1186" s="78">
        <f t="shared" si="587"/>
        <v>7</v>
      </c>
      <c r="M1186" s="78">
        <f t="shared" si="587"/>
        <v>0</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2017</v>
      </c>
      <c r="B1187" s="73" t="str">
        <f t="shared" si="561"/>
        <v>Nov</v>
      </c>
      <c r="C1187" s="74">
        <f t="shared" si="584"/>
        <v>17</v>
      </c>
      <c r="D1187" s="75">
        <f t="shared" si="562"/>
        <v>4</v>
      </c>
      <c r="E1187" s="76">
        <f t="shared" si="563"/>
        <v>2</v>
      </c>
      <c r="F1187" s="80"/>
      <c r="G1187" s="83"/>
      <c r="H1187" s="69" t="str">
        <f t="shared" si="585"/>
        <v>Lacine7_20171117_04_00</v>
      </c>
      <c r="I1187" s="70">
        <f t="shared" si="587"/>
        <v>1</v>
      </c>
      <c r="J1187" s="77" t="str">
        <f t="shared" si="587"/>
        <v>Lactuca</v>
      </c>
      <c r="K1187" s="77" t="str">
        <f t="shared" si="587"/>
        <v>inermis</v>
      </c>
      <c r="L1187" s="78">
        <f t="shared" si="587"/>
        <v>7</v>
      </c>
      <c r="M1187" s="78">
        <f t="shared" si="587"/>
        <v>0</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2017</v>
      </c>
      <c r="B1188" s="73" t="str">
        <f t="shared" si="561"/>
        <v>Nov</v>
      </c>
      <c r="C1188" s="74">
        <f t="shared" si="584"/>
        <v>17</v>
      </c>
      <c r="D1188" s="75">
        <f t="shared" si="562"/>
        <v>4</v>
      </c>
      <c r="E1188" s="76">
        <f t="shared" si="563"/>
        <v>3</v>
      </c>
      <c r="F1188" s="80"/>
      <c r="G1188" s="83"/>
      <c r="H1188" s="69" t="str">
        <f t="shared" si="585"/>
        <v>Lacine7_20171117_04_00</v>
      </c>
      <c r="I1188" s="70">
        <f t="shared" si="587"/>
        <v>1</v>
      </c>
      <c r="J1188" s="77" t="str">
        <f t="shared" si="587"/>
        <v>Lactuca</v>
      </c>
      <c r="K1188" s="77" t="str">
        <f t="shared" si="587"/>
        <v>inermis</v>
      </c>
      <c r="L1188" s="78">
        <f t="shared" si="587"/>
        <v>7</v>
      </c>
      <c r="M1188" s="78">
        <f t="shared" si="587"/>
        <v>0</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2017</v>
      </c>
      <c r="B1189" s="73" t="str">
        <f t="shared" si="561"/>
        <v>Nov</v>
      </c>
      <c r="C1189" s="74">
        <f t="shared" si="584"/>
        <v>17</v>
      </c>
      <c r="D1189" s="75">
        <f t="shared" si="562"/>
        <v>4</v>
      </c>
      <c r="E1189" s="76">
        <f t="shared" si="563"/>
        <v>4</v>
      </c>
      <c r="F1189" s="80"/>
      <c r="G1189" s="83"/>
      <c r="H1189" s="69" t="str">
        <f t="shared" si="585"/>
        <v>Lacine7_20171117_04_00</v>
      </c>
      <c r="I1189" s="70">
        <f t="shared" ref="I1189:N1204" si="588">I1188</f>
        <v>1</v>
      </c>
      <c r="J1189" s="77" t="str">
        <f t="shared" si="588"/>
        <v>Lactuca</v>
      </c>
      <c r="K1189" s="77" t="str">
        <f t="shared" si="588"/>
        <v>inermis</v>
      </c>
      <c r="L1189" s="78">
        <f t="shared" si="588"/>
        <v>7</v>
      </c>
      <c r="M1189" s="78">
        <f t="shared" si="588"/>
        <v>0</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2017</v>
      </c>
      <c r="B1190" s="73" t="str">
        <f t="shared" si="561"/>
        <v>Nov</v>
      </c>
      <c r="C1190" s="74">
        <f t="shared" si="584"/>
        <v>17</v>
      </c>
      <c r="D1190" s="75">
        <f t="shared" si="562"/>
        <v>4</v>
      </c>
      <c r="E1190" s="76">
        <f t="shared" si="563"/>
        <v>5</v>
      </c>
      <c r="F1190" s="80"/>
      <c r="G1190" s="83"/>
      <c r="H1190" s="69" t="str">
        <f t="shared" si="585"/>
        <v>Lacine7_20171117_04_00</v>
      </c>
      <c r="I1190" s="70">
        <f t="shared" si="588"/>
        <v>1</v>
      </c>
      <c r="J1190" s="77" t="str">
        <f t="shared" si="588"/>
        <v>Lactuca</v>
      </c>
      <c r="K1190" s="77" t="str">
        <f t="shared" si="588"/>
        <v>inermis</v>
      </c>
      <c r="L1190" s="78">
        <f t="shared" si="588"/>
        <v>7</v>
      </c>
      <c r="M1190" s="78">
        <f t="shared" si="588"/>
        <v>0</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2017</v>
      </c>
      <c r="B1191" s="73" t="str">
        <f t="shared" si="561"/>
        <v>Nov</v>
      </c>
      <c r="C1191" s="74">
        <f t="shared" si="584"/>
        <v>17</v>
      </c>
      <c r="D1191" s="75">
        <f t="shared" si="562"/>
        <v>4</v>
      </c>
      <c r="E1191" s="76">
        <f t="shared" si="563"/>
        <v>6</v>
      </c>
      <c r="F1191" s="80"/>
      <c r="G1191" s="83"/>
      <c r="H1191" s="69" t="str">
        <f t="shared" si="585"/>
        <v>Lacine7_20171117_04_00</v>
      </c>
      <c r="I1191" s="70">
        <f t="shared" si="588"/>
        <v>1</v>
      </c>
      <c r="J1191" s="77" t="str">
        <f t="shared" si="588"/>
        <v>Lactuca</v>
      </c>
      <c r="K1191" s="77" t="str">
        <f t="shared" si="588"/>
        <v>inermis</v>
      </c>
      <c r="L1191" s="78">
        <f t="shared" si="588"/>
        <v>7</v>
      </c>
      <c r="M1191" s="78">
        <f t="shared" si="588"/>
        <v>0</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2017</v>
      </c>
      <c r="B1192" s="73" t="str">
        <f t="shared" si="561"/>
        <v>Nov</v>
      </c>
      <c r="C1192" s="74">
        <f t="shared" si="584"/>
        <v>17</v>
      </c>
      <c r="D1192" s="75">
        <f t="shared" si="562"/>
        <v>4</v>
      </c>
      <c r="E1192" s="76">
        <f t="shared" si="563"/>
        <v>7</v>
      </c>
      <c r="F1192" s="80"/>
      <c r="G1192" s="83"/>
      <c r="H1192" s="69" t="str">
        <f t="shared" si="585"/>
        <v>Lacine7_20171117_04_00</v>
      </c>
      <c r="I1192" s="70">
        <f t="shared" si="588"/>
        <v>1</v>
      </c>
      <c r="J1192" s="77" t="str">
        <f t="shared" si="588"/>
        <v>Lactuca</v>
      </c>
      <c r="K1192" s="77" t="str">
        <f t="shared" si="588"/>
        <v>inermis</v>
      </c>
      <c r="L1192" s="78">
        <f t="shared" si="588"/>
        <v>7</v>
      </c>
      <c r="M1192" s="78">
        <f t="shared" si="588"/>
        <v>0</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2017</v>
      </c>
      <c r="B1193" s="73" t="str">
        <f t="shared" si="561"/>
        <v>Nov</v>
      </c>
      <c r="C1193" s="74">
        <f t="shared" si="584"/>
        <v>17</v>
      </c>
      <c r="D1193" s="75">
        <f t="shared" si="562"/>
        <v>4</v>
      </c>
      <c r="E1193" s="76">
        <f t="shared" si="563"/>
        <v>8</v>
      </c>
      <c r="F1193" s="80"/>
      <c r="G1193" s="83"/>
      <c r="H1193" s="69" t="str">
        <f t="shared" si="585"/>
        <v>Lacine7_20171117_04_00</v>
      </c>
      <c r="I1193" s="70">
        <f t="shared" si="588"/>
        <v>1</v>
      </c>
      <c r="J1193" s="77" t="str">
        <f t="shared" si="588"/>
        <v>Lactuca</v>
      </c>
      <c r="K1193" s="77" t="str">
        <f t="shared" si="588"/>
        <v>inermis</v>
      </c>
      <c r="L1193" s="78">
        <f t="shared" si="588"/>
        <v>7</v>
      </c>
      <c r="M1193" s="78">
        <f t="shared" si="588"/>
        <v>0</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2017</v>
      </c>
      <c r="B1194" s="73" t="str">
        <f t="shared" si="561"/>
        <v>Nov</v>
      </c>
      <c r="C1194" s="74">
        <f t="shared" si="584"/>
        <v>17</v>
      </c>
      <c r="D1194" s="75">
        <f t="shared" si="562"/>
        <v>4</v>
      </c>
      <c r="E1194" s="76">
        <f t="shared" si="563"/>
        <v>9</v>
      </c>
      <c r="F1194" s="80"/>
      <c r="G1194" s="83"/>
      <c r="H1194" s="69" t="str">
        <f t="shared" si="585"/>
        <v>Lacine7_20171117_04_00</v>
      </c>
      <c r="I1194" s="70">
        <f t="shared" si="588"/>
        <v>1</v>
      </c>
      <c r="J1194" s="77" t="str">
        <f t="shared" si="588"/>
        <v>Lactuca</v>
      </c>
      <c r="K1194" s="77" t="str">
        <f t="shared" si="588"/>
        <v>inermis</v>
      </c>
      <c r="L1194" s="78">
        <f t="shared" si="588"/>
        <v>7</v>
      </c>
      <c r="M1194" s="78">
        <f t="shared" si="588"/>
        <v>0</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2017</v>
      </c>
      <c r="B1195" s="73" t="str">
        <f t="shared" si="561"/>
        <v>Nov</v>
      </c>
      <c r="C1195" s="74">
        <f t="shared" si="584"/>
        <v>17</v>
      </c>
      <c r="D1195" s="75">
        <f t="shared" si="562"/>
        <v>4</v>
      </c>
      <c r="E1195" s="76">
        <f t="shared" si="563"/>
        <v>10</v>
      </c>
      <c r="F1195" s="80"/>
      <c r="G1195" s="83"/>
      <c r="H1195" s="69" t="str">
        <f t="shared" si="585"/>
        <v>Lacine7_20171117_04_00</v>
      </c>
      <c r="I1195" s="70">
        <f t="shared" si="588"/>
        <v>1</v>
      </c>
      <c r="J1195" s="77" t="str">
        <f t="shared" si="588"/>
        <v>Lactuca</v>
      </c>
      <c r="K1195" s="77" t="str">
        <f t="shared" si="588"/>
        <v>inermis</v>
      </c>
      <c r="L1195" s="78">
        <f t="shared" si="588"/>
        <v>7</v>
      </c>
      <c r="M1195" s="78">
        <f t="shared" si="588"/>
        <v>0</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2017</v>
      </c>
      <c r="B1196" s="73" t="str">
        <f t="shared" si="561"/>
        <v>Nov</v>
      </c>
      <c r="C1196" s="74">
        <f t="shared" si="584"/>
        <v>17</v>
      </c>
      <c r="D1196" s="75">
        <f t="shared" si="562"/>
        <v>4</v>
      </c>
      <c r="E1196" s="76">
        <f t="shared" si="563"/>
        <v>11</v>
      </c>
      <c r="F1196" s="80"/>
      <c r="G1196" s="83"/>
      <c r="H1196" s="69" t="str">
        <f t="shared" si="585"/>
        <v>Lacine7_20171117_04_00</v>
      </c>
      <c r="I1196" s="70">
        <f t="shared" si="588"/>
        <v>1</v>
      </c>
      <c r="J1196" s="77" t="str">
        <f t="shared" si="588"/>
        <v>Lactuca</v>
      </c>
      <c r="K1196" s="77" t="str">
        <f t="shared" si="588"/>
        <v>inermis</v>
      </c>
      <c r="L1196" s="78">
        <f t="shared" si="588"/>
        <v>7</v>
      </c>
      <c r="M1196" s="78">
        <f t="shared" si="588"/>
        <v>0</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2017</v>
      </c>
      <c r="B1197" s="73" t="str">
        <f t="shared" si="561"/>
        <v>Nov</v>
      </c>
      <c r="C1197" s="74">
        <f t="shared" si="584"/>
        <v>17</v>
      </c>
      <c r="D1197" s="75">
        <f t="shared" si="562"/>
        <v>4</v>
      </c>
      <c r="E1197" s="76">
        <f t="shared" si="563"/>
        <v>12</v>
      </c>
      <c r="F1197" s="80"/>
      <c r="G1197" s="83"/>
      <c r="H1197" s="69" t="str">
        <f t="shared" si="585"/>
        <v>Lacine7_20171117_04_00</v>
      </c>
      <c r="I1197" s="70">
        <f t="shared" si="588"/>
        <v>1</v>
      </c>
      <c r="J1197" s="77" t="str">
        <f t="shared" si="588"/>
        <v>Lactuca</v>
      </c>
      <c r="K1197" s="77" t="str">
        <f t="shared" si="588"/>
        <v>inermis</v>
      </c>
      <c r="L1197" s="78">
        <f t="shared" si="588"/>
        <v>7</v>
      </c>
      <c r="M1197" s="78">
        <f t="shared" si="588"/>
        <v>0</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2017</v>
      </c>
      <c r="B1198" s="73" t="str">
        <f t="shared" si="561"/>
        <v>Nov</v>
      </c>
      <c r="C1198" s="74">
        <f t="shared" si="584"/>
        <v>17</v>
      </c>
      <c r="D1198" s="75">
        <f t="shared" si="562"/>
        <v>4</v>
      </c>
      <c r="E1198" s="76">
        <f t="shared" si="563"/>
        <v>13</v>
      </c>
      <c r="F1198" s="80"/>
      <c r="G1198" s="83"/>
      <c r="H1198" s="69" t="str">
        <f t="shared" si="585"/>
        <v>Lacine7_20171117_04_00</v>
      </c>
      <c r="I1198" s="70">
        <f t="shared" si="588"/>
        <v>1</v>
      </c>
      <c r="J1198" s="77" t="str">
        <f t="shared" si="588"/>
        <v>Lactuca</v>
      </c>
      <c r="K1198" s="77" t="str">
        <f t="shared" si="588"/>
        <v>inermis</v>
      </c>
      <c r="L1198" s="78">
        <f t="shared" si="588"/>
        <v>7</v>
      </c>
      <c r="M1198" s="78">
        <f t="shared" si="588"/>
        <v>0</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2017</v>
      </c>
      <c r="B1199" s="73" t="str">
        <f t="shared" si="561"/>
        <v>Nov</v>
      </c>
      <c r="C1199" s="74">
        <f t="shared" si="584"/>
        <v>17</v>
      </c>
      <c r="D1199" s="75">
        <f t="shared" si="562"/>
        <v>4</v>
      </c>
      <c r="E1199" s="76">
        <f t="shared" si="563"/>
        <v>14</v>
      </c>
      <c r="F1199" s="80"/>
      <c r="G1199" s="83"/>
      <c r="H1199" s="69" t="str">
        <f t="shared" si="585"/>
        <v>Lacine7_20171117_04_00</v>
      </c>
      <c r="I1199" s="70">
        <f t="shared" si="588"/>
        <v>1</v>
      </c>
      <c r="J1199" s="77" t="str">
        <f t="shared" si="588"/>
        <v>Lactuca</v>
      </c>
      <c r="K1199" s="77" t="str">
        <f t="shared" si="588"/>
        <v>inermis</v>
      </c>
      <c r="L1199" s="78">
        <f t="shared" si="588"/>
        <v>7</v>
      </c>
      <c r="M1199" s="78">
        <f t="shared" si="588"/>
        <v>0</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2017</v>
      </c>
      <c r="B1200" s="73" t="str">
        <f t="shared" si="561"/>
        <v>Nov</v>
      </c>
      <c r="C1200" s="74">
        <f t="shared" si="584"/>
        <v>17</v>
      </c>
      <c r="D1200" s="75">
        <f t="shared" si="562"/>
        <v>4</v>
      </c>
      <c r="E1200" s="76">
        <f t="shared" si="563"/>
        <v>15</v>
      </c>
      <c r="F1200" s="80"/>
      <c r="G1200" s="83"/>
      <c r="H1200" s="69" t="str">
        <f t="shared" si="585"/>
        <v>Lacine7_20171117_04_00</v>
      </c>
      <c r="I1200" s="70">
        <f t="shared" si="588"/>
        <v>1</v>
      </c>
      <c r="J1200" s="77" t="str">
        <f t="shared" si="588"/>
        <v>Lactuca</v>
      </c>
      <c r="K1200" s="77" t="str">
        <f t="shared" si="588"/>
        <v>inermis</v>
      </c>
      <c r="L1200" s="78">
        <f t="shared" si="588"/>
        <v>7</v>
      </c>
      <c r="M1200" s="78">
        <f t="shared" si="588"/>
        <v>0</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2017</v>
      </c>
      <c r="B1201" s="73" t="str">
        <f t="shared" si="561"/>
        <v>Nov</v>
      </c>
      <c r="C1201" s="74">
        <f t="shared" si="584"/>
        <v>17</v>
      </c>
      <c r="D1201" s="75">
        <f t="shared" si="562"/>
        <v>4</v>
      </c>
      <c r="E1201" s="76">
        <f t="shared" si="563"/>
        <v>16</v>
      </c>
      <c r="F1201" s="80"/>
      <c r="G1201" s="83"/>
      <c r="H1201" s="69" t="str">
        <f t="shared" si="585"/>
        <v>Lacine7_20171117_04_00</v>
      </c>
      <c r="I1201" s="70">
        <f t="shared" si="588"/>
        <v>1</v>
      </c>
      <c r="J1201" s="77" t="str">
        <f t="shared" si="588"/>
        <v>Lactuca</v>
      </c>
      <c r="K1201" s="77" t="str">
        <f t="shared" si="588"/>
        <v>inermis</v>
      </c>
      <c r="L1201" s="78">
        <f t="shared" si="588"/>
        <v>7</v>
      </c>
      <c r="M1201" s="78">
        <f t="shared" si="588"/>
        <v>0</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2017</v>
      </c>
      <c r="B1202" s="73" t="str">
        <f t="shared" si="561"/>
        <v>Nov</v>
      </c>
      <c r="C1202" s="74">
        <f t="shared" si="584"/>
        <v>17</v>
      </c>
      <c r="D1202" s="75">
        <f t="shared" si="562"/>
        <v>4</v>
      </c>
      <c r="E1202" s="76">
        <f t="shared" si="563"/>
        <v>17</v>
      </c>
      <c r="F1202" s="80"/>
      <c r="G1202" s="83"/>
      <c r="H1202" s="69" t="str">
        <f t="shared" si="585"/>
        <v>Lacine7_20171117_04_00</v>
      </c>
      <c r="I1202" s="70">
        <f t="shared" si="588"/>
        <v>1</v>
      </c>
      <c r="J1202" s="77" t="str">
        <f t="shared" si="588"/>
        <v>Lactuca</v>
      </c>
      <c r="K1202" s="77" t="str">
        <f t="shared" si="588"/>
        <v>inermis</v>
      </c>
      <c r="L1202" s="78">
        <f t="shared" si="588"/>
        <v>7</v>
      </c>
      <c r="M1202" s="78">
        <f t="shared" si="588"/>
        <v>0</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2017</v>
      </c>
      <c r="B1203" s="73" t="str">
        <f t="shared" si="561"/>
        <v>Nov</v>
      </c>
      <c r="C1203" s="74">
        <f t="shared" si="584"/>
        <v>17</v>
      </c>
      <c r="D1203" s="75">
        <f t="shared" si="562"/>
        <v>4</v>
      </c>
      <c r="E1203" s="76">
        <f t="shared" si="563"/>
        <v>18</v>
      </c>
      <c r="F1203" s="80"/>
      <c r="G1203" s="83"/>
      <c r="H1203" s="69" t="str">
        <f t="shared" si="585"/>
        <v>Lacine7_20171117_04_00</v>
      </c>
      <c r="I1203" s="70">
        <f t="shared" si="588"/>
        <v>1</v>
      </c>
      <c r="J1203" s="77" t="str">
        <f t="shared" si="588"/>
        <v>Lactuca</v>
      </c>
      <c r="K1203" s="77" t="str">
        <f t="shared" si="588"/>
        <v>inermis</v>
      </c>
      <c r="L1203" s="78">
        <f t="shared" si="588"/>
        <v>7</v>
      </c>
      <c r="M1203" s="78">
        <f t="shared" si="588"/>
        <v>0</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2017</v>
      </c>
      <c r="B1204" s="73" t="str">
        <f t="shared" si="561"/>
        <v>Nov</v>
      </c>
      <c r="C1204" s="74">
        <f t="shared" si="584"/>
        <v>17</v>
      </c>
      <c r="D1204" s="75">
        <f t="shared" si="562"/>
        <v>4</v>
      </c>
      <c r="E1204" s="76">
        <f t="shared" si="563"/>
        <v>19</v>
      </c>
      <c r="F1204" s="80"/>
      <c r="G1204" s="83"/>
      <c r="H1204" s="69" t="str">
        <f t="shared" si="585"/>
        <v>Lacine7_20171117_04_00</v>
      </c>
      <c r="I1204" s="70">
        <f t="shared" si="588"/>
        <v>1</v>
      </c>
      <c r="J1204" s="77" t="str">
        <f t="shared" si="588"/>
        <v>Lactuca</v>
      </c>
      <c r="K1204" s="77" t="str">
        <f t="shared" si="588"/>
        <v>inermis</v>
      </c>
      <c r="L1204" s="78">
        <f t="shared" si="588"/>
        <v>7</v>
      </c>
      <c r="M1204" s="78">
        <f t="shared" si="588"/>
        <v>0</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2017</v>
      </c>
      <c r="B1205" s="73" t="str">
        <f t="shared" si="561"/>
        <v>Nov</v>
      </c>
      <c r="C1205" s="74">
        <f t="shared" si="584"/>
        <v>17</v>
      </c>
      <c r="D1205" s="75">
        <f t="shared" si="562"/>
        <v>4</v>
      </c>
      <c r="E1205" s="76">
        <f t="shared" si="563"/>
        <v>20</v>
      </c>
      <c r="F1205" s="80"/>
      <c r="G1205" s="83"/>
      <c r="H1205" s="69" t="str">
        <f t="shared" si="585"/>
        <v>Lacine7_20171117_04_00</v>
      </c>
      <c r="I1205" s="70">
        <f t="shared" ref="I1205:N1220" si="589">I1204</f>
        <v>1</v>
      </c>
      <c r="J1205" s="77" t="str">
        <f t="shared" si="589"/>
        <v>Lactuca</v>
      </c>
      <c r="K1205" s="77" t="str">
        <f t="shared" si="589"/>
        <v>inermis</v>
      </c>
      <c r="L1205" s="78">
        <f t="shared" si="589"/>
        <v>7</v>
      </c>
      <c r="M1205" s="78">
        <f t="shared" si="589"/>
        <v>0</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2017</v>
      </c>
      <c r="B1206" s="73" t="str">
        <f t="shared" si="561"/>
        <v>Nov</v>
      </c>
      <c r="C1206" s="74">
        <f t="shared" si="584"/>
        <v>17</v>
      </c>
      <c r="D1206" s="75">
        <f t="shared" si="562"/>
        <v>4</v>
      </c>
      <c r="E1206" s="76">
        <f t="shared" si="563"/>
        <v>21</v>
      </c>
      <c r="F1206" s="80"/>
      <c r="G1206" s="83"/>
      <c r="H1206" s="69" t="str">
        <f t="shared" si="585"/>
        <v>Lacine7_20171117_04_00</v>
      </c>
      <c r="I1206" s="70">
        <f t="shared" si="589"/>
        <v>1</v>
      </c>
      <c r="J1206" s="77" t="str">
        <f t="shared" si="589"/>
        <v>Lactuca</v>
      </c>
      <c r="K1206" s="77" t="str">
        <f t="shared" si="589"/>
        <v>inermis</v>
      </c>
      <c r="L1206" s="78">
        <f t="shared" si="589"/>
        <v>7</v>
      </c>
      <c r="M1206" s="78">
        <f t="shared" si="589"/>
        <v>0</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2017</v>
      </c>
      <c r="B1207" s="73" t="str">
        <f t="shared" si="561"/>
        <v>Nov</v>
      </c>
      <c r="C1207" s="74">
        <f t="shared" si="584"/>
        <v>17</v>
      </c>
      <c r="D1207" s="75">
        <f t="shared" si="562"/>
        <v>4</v>
      </c>
      <c r="E1207" s="76">
        <f t="shared" si="563"/>
        <v>22</v>
      </c>
      <c r="F1207" s="80"/>
      <c r="G1207" s="83"/>
      <c r="H1207" s="69" t="str">
        <f t="shared" si="585"/>
        <v>Lacine7_20171117_04_00</v>
      </c>
      <c r="I1207" s="70">
        <f t="shared" si="589"/>
        <v>1</v>
      </c>
      <c r="J1207" s="77" t="str">
        <f t="shared" si="589"/>
        <v>Lactuca</v>
      </c>
      <c r="K1207" s="77" t="str">
        <f t="shared" si="589"/>
        <v>inermis</v>
      </c>
      <c r="L1207" s="78">
        <f t="shared" si="589"/>
        <v>7</v>
      </c>
      <c r="M1207" s="78">
        <f t="shared" si="589"/>
        <v>0</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2017</v>
      </c>
      <c r="B1208" s="73" t="str">
        <f t="shared" si="561"/>
        <v>Nov</v>
      </c>
      <c r="C1208" s="74">
        <f t="shared" si="584"/>
        <v>17</v>
      </c>
      <c r="D1208" s="75">
        <f t="shared" si="562"/>
        <v>4</v>
      </c>
      <c r="E1208" s="76">
        <f t="shared" si="563"/>
        <v>23</v>
      </c>
      <c r="F1208" s="80"/>
      <c r="G1208" s="83"/>
      <c r="H1208" s="69" t="str">
        <f t="shared" si="585"/>
        <v>Lacine7_20171117_04_00</v>
      </c>
      <c r="I1208" s="70">
        <f t="shared" si="589"/>
        <v>1</v>
      </c>
      <c r="J1208" s="77" t="str">
        <f t="shared" si="589"/>
        <v>Lactuca</v>
      </c>
      <c r="K1208" s="77" t="str">
        <f t="shared" si="589"/>
        <v>inermis</v>
      </c>
      <c r="L1208" s="78">
        <f t="shared" si="589"/>
        <v>7</v>
      </c>
      <c r="M1208" s="78">
        <f t="shared" si="589"/>
        <v>0</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2017</v>
      </c>
      <c r="B1209" s="73" t="str">
        <f t="shared" si="561"/>
        <v>Nov</v>
      </c>
      <c r="C1209" s="74">
        <f t="shared" si="584"/>
        <v>17</v>
      </c>
      <c r="D1209" s="75">
        <f t="shared" si="562"/>
        <v>4</v>
      </c>
      <c r="E1209" s="76">
        <f t="shared" si="563"/>
        <v>24</v>
      </c>
      <c r="F1209" s="80"/>
      <c r="G1209" s="83"/>
      <c r="H1209" s="69" t="str">
        <f t="shared" si="585"/>
        <v>Lacine7_20171117_04_00</v>
      </c>
      <c r="I1209" s="70">
        <f t="shared" si="589"/>
        <v>1</v>
      </c>
      <c r="J1209" s="77" t="str">
        <f t="shared" si="589"/>
        <v>Lactuca</v>
      </c>
      <c r="K1209" s="77" t="str">
        <f t="shared" si="589"/>
        <v>inermis</v>
      </c>
      <c r="L1209" s="78">
        <f t="shared" si="589"/>
        <v>7</v>
      </c>
      <c r="M1209" s="78">
        <f t="shared" si="589"/>
        <v>0</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2017</v>
      </c>
      <c r="B1210" s="73" t="str">
        <f t="shared" si="561"/>
        <v>Nov</v>
      </c>
      <c r="C1210" s="74">
        <f t="shared" si="584"/>
        <v>17</v>
      </c>
      <c r="D1210" s="75">
        <f t="shared" si="562"/>
        <v>4</v>
      </c>
      <c r="E1210" s="76">
        <f t="shared" si="563"/>
        <v>25</v>
      </c>
      <c r="F1210" s="80"/>
      <c r="G1210" s="83"/>
      <c r="H1210" s="69" t="str">
        <f t="shared" si="585"/>
        <v>Lacine7_20171117_04_00</v>
      </c>
      <c r="I1210" s="70">
        <f t="shared" si="589"/>
        <v>1</v>
      </c>
      <c r="J1210" s="77" t="str">
        <f t="shared" si="589"/>
        <v>Lactuca</v>
      </c>
      <c r="K1210" s="77" t="str">
        <f t="shared" si="589"/>
        <v>inermis</v>
      </c>
      <c r="L1210" s="78">
        <f t="shared" si="589"/>
        <v>7</v>
      </c>
      <c r="M1210" s="78">
        <f t="shared" si="589"/>
        <v>0</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2017</v>
      </c>
      <c r="B1211" s="73" t="str">
        <f t="shared" si="561"/>
        <v>Nov</v>
      </c>
      <c r="C1211" s="74">
        <f t="shared" si="584"/>
        <v>17</v>
      </c>
      <c r="D1211" s="75">
        <f t="shared" si="562"/>
        <v>4</v>
      </c>
      <c r="E1211" s="76">
        <f t="shared" si="563"/>
        <v>26</v>
      </c>
      <c r="F1211" s="80"/>
      <c r="G1211" s="83"/>
      <c r="H1211" s="69" t="str">
        <f t="shared" si="585"/>
        <v>Lacine7_20171117_04_00</v>
      </c>
      <c r="I1211" s="70">
        <f t="shared" si="589"/>
        <v>1</v>
      </c>
      <c r="J1211" s="77" t="str">
        <f t="shared" si="589"/>
        <v>Lactuca</v>
      </c>
      <c r="K1211" s="77" t="str">
        <f t="shared" si="589"/>
        <v>inermis</v>
      </c>
      <c r="L1211" s="78">
        <f t="shared" si="589"/>
        <v>7</v>
      </c>
      <c r="M1211" s="78">
        <f t="shared" si="589"/>
        <v>0</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2017</v>
      </c>
      <c r="B1212" s="73" t="str">
        <f t="shared" si="561"/>
        <v>Nov</v>
      </c>
      <c r="C1212" s="74">
        <f t="shared" si="584"/>
        <v>17</v>
      </c>
      <c r="D1212" s="75">
        <f t="shared" si="562"/>
        <v>4</v>
      </c>
      <c r="E1212" s="76">
        <f t="shared" si="563"/>
        <v>27</v>
      </c>
      <c r="F1212" s="80"/>
      <c r="G1212" s="83"/>
      <c r="H1212" s="69" t="str">
        <f t="shared" si="585"/>
        <v>Lacine7_20171117_04_00</v>
      </c>
      <c r="I1212" s="70">
        <f t="shared" si="589"/>
        <v>1</v>
      </c>
      <c r="J1212" s="77" t="str">
        <f t="shared" si="589"/>
        <v>Lactuca</v>
      </c>
      <c r="K1212" s="77" t="str">
        <f t="shared" si="589"/>
        <v>inermis</v>
      </c>
      <c r="L1212" s="78">
        <f t="shared" si="589"/>
        <v>7</v>
      </c>
      <c r="M1212" s="78">
        <f t="shared" si="589"/>
        <v>0</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2017</v>
      </c>
      <c r="B1213" s="73" t="str">
        <f t="shared" si="561"/>
        <v>Nov</v>
      </c>
      <c r="C1213" s="74">
        <f t="shared" si="584"/>
        <v>17</v>
      </c>
      <c r="D1213" s="75">
        <f t="shared" si="562"/>
        <v>4</v>
      </c>
      <c r="E1213" s="76">
        <f t="shared" si="563"/>
        <v>28</v>
      </c>
      <c r="F1213" s="80"/>
      <c r="G1213" s="83"/>
      <c r="H1213" s="69" t="str">
        <f t="shared" si="585"/>
        <v>Lacine7_20171117_04_00</v>
      </c>
      <c r="I1213" s="70">
        <f t="shared" si="589"/>
        <v>1</v>
      </c>
      <c r="J1213" s="77" t="str">
        <f t="shared" si="589"/>
        <v>Lactuca</v>
      </c>
      <c r="K1213" s="77" t="str">
        <f t="shared" si="589"/>
        <v>inermis</v>
      </c>
      <c r="L1213" s="78">
        <f t="shared" si="589"/>
        <v>7</v>
      </c>
      <c r="M1213" s="78">
        <f t="shared" si="589"/>
        <v>0</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2017</v>
      </c>
      <c r="B1214" s="73" t="str">
        <f t="shared" si="561"/>
        <v>Nov</v>
      </c>
      <c r="C1214" s="74">
        <f t="shared" si="584"/>
        <v>17</v>
      </c>
      <c r="D1214" s="75">
        <f t="shared" si="562"/>
        <v>4</v>
      </c>
      <c r="E1214" s="76">
        <f t="shared" si="563"/>
        <v>29</v>
      </c>
      <c r="F1214" s="80"/>
      <c r="G1214" s="83"/>
      <c r="H1214" s="69" t="str">
        <f t="shared" si="585"/>
        <v>Lacine7_20171117_04_00</v>
      </c>
      <c r="I1214" s="70">
        <f t="shared" si="589"/>
        <v>1</v>
      </c>
      <c r="J1214" s="77" t="str">
        <f t="shared" si="589"/>
        <v>Lactuca</v>
      </c>
      <c r="K1214" s="77" t="str">
        <f t="shared" si="589"/>
        <v>inermis</v>
      </c>
      <c r="L1214" s="78">
        <f t="shared" si="589"/>
        <v>7</v>
      </c>
      <c r="M1214" s="78">
        <f t="shared" si="589"/>
        <v>0</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2017</v>
      </c>
      <c r="B1215" s="73" t="str">
        <f t="shared" si="561"/>
        <v>Nov</v>
      </c>
      <c r="C1215" s="74">
        <f t="shared" si="584"/>
        <v>17</v>
      </c>
      <c r="D1215" s="75">
        <f t="shared" si="562"/>
        <v>4</v>
      </c>
      <c r="E1215" s="76">
        <f t="shared" si="563"/>
        <v>30</v>
      </c>
      <c r="F1215" s="80"/>
      <c r="G1215" s="83"/>
      <c r="H1215" s="69" t="str">
        <f t="shared" si="585"/>
        <v>Lacine7_20171117_04_00</v>
      </c>
      <c r="I1215" s="70">
        <f t="shared" si="589"/>
        <v>1</v>
      </c>
      <c r="J1215" s="77" t="str">
        <f t="shared" si="589"/>
        <v>Lactuca</v>
      </c>
      <c r="K1215" s="77" t="str">
        <f t="shared" si="589"/>
        <v>inermis</v>
      </c>
      <c r="L1215" s="78">
        <f t="shared" si="589"/>
        <v>7</v>
      </c>
      <c r="M1215" s="78">
        <f t="shared" si="589"/>
        <v>0</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2017</v>
      </c>
      <c r="B1216" s="73" t="str">
        <f t="shared" si="561"/>
        <v>Nov</v>
      </c>
      <c r="C1216" s="74">
        <f t="shared" si="584"/>
        <v>17</v>
      </c>
      <c r="D1216" s="75">
        <f t="shared" si="562"/>
        <v>4</v>
      </c>
      <c r="E1216" s="76">
        <f t="shared" si="563"/>
        <v>31</v>
      </c>
      <c r="F1216" s="80"/>
      <c r="G1216" s="83"/>
      <c r="H1216" s="69" t="str">
        <f t="shared" si="585"/>
        <v>Lacine7_20171117_04_00</v>
      </c>
      <c r="I1216" s="70">
        <f t="shared" si="589"/>
        <v>1</v>
      </c>
      <c r="J1216" s="77" t="str">
        <f t="shared" si="589"/>
        <v>Lactuca</v>
      </c>
      <c r="K1216" s="77" t="str">
        <f t="shared" si="589"/>
        <v>inermis</v>
      </c>
      <c r="L1216" s="78">
        <f t="shared" si="589"/>
        <v>7</v>
      </c>
      <c r="M1216" s="78">
        <f t="shared" si="589"/>
        <v>0</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2017</v>
      </c>
      <c r="B1217" s="73" t="str">
        <f t="shared" si="561"/>
        <v>Nov</v>
      </c>
      <c r="C1217" s="74">
        <f t="shared" si="584"/>
        <v>17</v>
      </c>
      <c r="D1217" s="75">
        <f t="shared" si="562"/>
        <v>4</v>
      </c>
      <c r="E1217" s="76">
        <f t="shared" si="563"/>
        <v>32</v>
      </c>
      <c r="F1217" s="80"/>
      <c r="G1217" s="83"/>
      <c r="H1217" s="69" t="str">
        <f t="shared" si="585"/>
        <v>Lacine7_20171117_04_00</v>
      </c>
      <c r="I1217" s="70">
        <f t="shared" si="589"/>
        <v>1</v>
      </c>
      <c r="J1217" s="77" t="str">
        <f t="shared" si="589"/>
        <v>Lactuca</v>
      </c>
      <c r="K1217" s="77" t="str">
        <f t="shared" si="589"/>
        <v>inermis</v>
      </c>
      <c r="L1217" s="78">
        <f t="shared" si="589"/>
        <v>7</v>
      </c>
      <c r="M1217" s="78">
        <f t="shared" si="589"/>
        <v>0</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2017</v>
      </c>
      <c r="B1218" s="73" t="str">
        <f t="shared" si="561"/>
        <v>Nov</v>
      </c>
      <c r="C1218" s="74">
        <f t="shared" si="584"/>
        <v>17</v>
      </c>
      <c r="D1218" s="75">
        <f t="shared" si="562"/>
        <v>4</v>
      </c>
      <c r="E1218" s="76">
        <f t="shared" si="563"/>
        <v>33</v>
      </c>
      <c r="F1218" s="80"/>
      <c r="G1218" s="83"/>
      <c r="H1218" s="69" t="str">
        <f t="shared" si="585"/>
        <v>Lacine7_20171117_04_00</v>
      </c>
      <c r="I1218" s="70">
        <f t="shared" si="589"/>
        <v>1</v>
      </c>
      <c r="J1218" s="77" t="str">
        <f t="shared" si="589"/>
        <v>Lactuca</v>
      </c>
      <c r="K1218" s="77" t="str">
        <f t="shared" si="589"/>
        <v>inermis</v>
      </c>
      <c r="L1218" s="78">
        <f t="shared" si="589"/>
        <v>7</v>
      </c>
      <c r="M1218" s="78">
        <f t="shared" si="589"/>
        <v>0</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2017</v>
      </c>
      <c r="B1219" s="73" t="str">
        <f t="shared" si="561"/>
        <v>Nov</v>
      </c>
      <c r="C1219" s="74">
        <f t="shared" si="584"/>
        <v>17</v>
      </c>
      <c r="D1219" s="75">
        <f t="shared" si="562"/>
        <v>4</v>
      </c>
      <c r="E1219" s="76">
        <f t="shared" si="563"/>
        <v>34</v>
      </c>
      <c r="F1219" s="80"/>
      <c r="G1219" s="83"/>
      <c r="H1219" s="69" t="str">
        <f t="shared" si="585"/>
        <v>Lacine7_20171117_04_00</v>
      </c>
      <c r="I1219" s="70">
        <f t="shared" si="589"/>
        <v>1</v>
      </c>
      <c r="J1219" s="77" t="str">
        <f t="shared" si="589"/>
        <v>Lactuca</v>
      </c>
      <c r="K1219" s="77" t="str">
        <f t="shared" si="589"/>
        <v>inermis</v>
      </c>
      <c r="L1219" s="78">
        <f t="shared" si="589"/>
        <v>7</v>
      </c>
      <c r="M1219" s="78">
        <f t="shared" si="589"/>
        <v>0</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2017</v>
      </c>
      <c r="B1220" s="73" t="str">
        <f t="shared" ref="B1220:B1283" si="592">IF(C1219-C1220&gt;0, TEXT(DATE(2016,(MONTH(DATEVALUE(B1219&amp;"1"))+1),1),"mmm"), B1219)</f>
        <v>Nov</v>
      </c>
      <c r="C1220" s="74">
        <f t="shared" si="584"/>
        <v>17</v>
      </c>
      <c r="D1220" s="75">
        <f t="shared" ref="D1220:D1283" si="593">IF(IF(E1219=59,D1219+1,D1219)=24,0,IF(E1219=59,D1219+1,D1219))</f>
        <v>4</v>
      </c>
      <c r="E1220" s="76">
        <f t="shared" ref="E1220:E1283" si="594">IF(E1219&lt;59,E1219+1,0)</f>
        <v>35</v>
      </c>
      <c r="F1220" s="80"/>
      <c r="G1220" s="83"/>
      <c r="H1220" s="69" t="str">
        <f t="shared" si="585"/>
        <v>Lacine7_20171117_04_00</v>
      </c>
      <c r="I1220" s="70">
        <f t="shared" si="589"/>
        <v>1</v>
      </c>
      <c r="J1220" s="77" t="str">
        <f t="shared" si="589"/>
        <v>Lactuca</v>
      </c>
      <c r="K1220" s="77" t="str">
        <f t="shared" si="589"/>
        <v>inermis</v>
      </c>
      <c r="L1220" s="78">
        <f t="shared" si="589"/>
        <v>7</v>
      </c>
      <c r="M1220" s="78">
        <f t="shared" si="589"/>
        <v>0</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2017</v>
      </c>
      <c r="B1221" s="73" t="str">
        <f t="shared" si="592"/>
        <v>Nov</v>
      </c>
      <c r="C1221" s="74">
        <f t="shared" ref="C1221:C1284" si="615">IF(AND(D1221=0, E1221=0), IF(TEXT(C1220,"dd")=TEXT(EOMONTH(DATE(A1220,MONTH(DATEVALUE(B1220&amp;"1")),C1220),0), "dd"), 1, C1220+1), C1220)</f>
        <v>17</v>
      </c>
      <c r="D1221" s="75">
        <f t="shared" si="593"/>
        <v>4</v>
      </c>
      <c r="E1221" s="76">
        <f t="shared" si="594"/>
        <v>36</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Lacine7_20171117_04_00</v>
      </c>
      <c r="I1221" s="70">
        <f t="shared" ref="I1221:N1236" si="617">I1220</f>
        <v>1</v>
      </c>
      <c r="J1221" s="77" t="str">
        <f t="shared" si="617"/>
        <v>Lactuca</v>
      </c>
      <c r="K1221" s="77" t="str">
        <f t="shared" si="617"/>
        <v>inermis</v>
      </c>
      <c r="L1221" s="78">
        <f t="shared" si="617"/>
        <v>7</v>
      </c>
      <c r="M1221" s="78">
        <f t="shared" si="617"/>
        <v>0</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2017</v>
      </c>
      <c r="B1222" s="73" t="str">
        <f t="shared" si="592"/>
        <v>Nov</v>
      </c>
      <c r="C1222" s="74">
        <f t="shared" si="615"/>
        <v>17</v>
      </c>
      <c r="D1222" s="75">
        <f t="shared" si="593"/>
        <v>4</v>
      </c>
      <c r="E1222" s="76">
        <f t="shared" si="594"/>
        <v>37</v>
      </c>
      <c r="F1222" s="80"/>
      <c r="G1222" s="83"/>
      <c r="H1222" s="69" t="str">
        <f t="shared" si="616"/>
        <v>Lacine7_20171117_04_00</v>
      </c>
      <c r="I1222" s="70">
        <f t="shared" si="617"/>
        <v>1</v>
      </c>
      <c r="J1222" s="77" t="str">
        <f t="shared" si="617"/>
        <v>Lactuca</v>
      </c>
      <c r="K1222" s="77" t="str">
        <f t="shared" si="617"/>
        <v>inermis</v>
      </c>
      <c r="L1222" s="78">
        <f t="shared" si="617"/>
        <v>7</v>
      </c>
      <c r="M1222" s="78">
        <f t="shared" si="617"/>
        <v>0</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2017</v>
      </c>
      <c r="B1223" s="73" t="str">
        <f t="shared" si="592"/>
        <v>Nov</v>
      </c>
      <c r="C1223" s="74">
        <f t="shared" si="615"/>
        <v>17</v>
      </c>
      <c r="D1223" s="75">
        <f t="shared" si="593"/>
        <v>4</v>
      </c>
      <c r="E1223" s="76">
        <f t="shared" si="594"/>
        <v>38</v>
      </c>
      <c r="F1223" s="80"/>
      <c r="G1223" s="83"/>
      <c r="H1223" s="69" t="str">
        <f t="shared" si="616"/>
        <v>Lacine7_20171117_04_00</v>
      </c>
      <c r="I1223" s="70">
        <f t="shared" si="617"/>
        <v>1</v>
      </c>
      <c r="J1223" s="77" t="str">
        <f t="shared" si="617"/>
        <v>Lactuca</v>
      </c>
      <c r="K1223" s="77" t="str">
        <f t="shared" si="617"/>
        <v>inermis</v>
      </c>
      <c r="L1223" s="78">
        <f t="shared" si="617"/>
        <v>7</v>
      </c>
      <c r="M1223" s="78">
        <f t="shared" si="617"/>
        <v>0</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2017</v>
      </c>
      <c r="B1224" s="73" t="str">
        <f t="shared" si="592"/>
        <v>Nov</v>
      </c>
      <c r="C1224" s="74">
        <f t="shared" si="615"/>
        <v>17</v>
      </c>
      <c r="D1224" s="75">
        <f t="shared" si="593"/>
        <v>4</v>
      </c>
      <c r="E1224" s="76">
        <f t="shared" si="594"/>
        <v>39</v>
      </c>
      <c r="F1224" s="80"/>
      <c r="G1224" s="83"/>
      <c r="H1224" s="69" t="str">
        <f t="shared" si="616"/>
        <v>Lacine7_20171117_04_00</v>
      </c>
      <c r="I1224" s="70">
        <f t="shared" si="617"/>
        <v>1</v>
      </c>
      <c r="J1224" s="77" t="str">
        <f t="shared" si="617"/>
        <v>Lactuca</v>
      </c>
      <c r="K1224" s="77" t="str">
        <f t="shared" si="617"/>
        <v>inermis</v>
      </c>
      <c r="L1224" s="78">
        <f t="shared" si="617"/>
        <v>7</v>
      </c>
      <c r="M1224" s="78">
        <f t="shared" si="617"/>
        <v>0</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2017</v>
      </c>
      <c r="B1225" s="73" t="str">
        <f t="shared" si="592"/>
        <v>Nov</v>
      </c>
      <c r="C1225" s="74">
        <f t="shared" si="615"/>
        <v>17</v>
      </c>
      <c r="D1225" s="75">
        <f t="shared" si="593"/>
        <v>4</v>
      </c>
      <c r="E1225" s="76">
        <f t="shared" si="594"/>
        <v>40</v>
      </c>
      <c r="F1225" s="80"/>
      <c r="G1225" s="83"/>
      <c r="H1225" s="69" t="str">
        <f t="shared" si="616"/>
        <v>Lacine7_20171117_04_00</v>
      </c>
      <c r="I1225" s="70">
        <f t="shared" si="617"/>
        <v>1</v>
      </c>
      <c r="J1225" s="77" t="str">
        <f t="shared" si="617"/>
        <v>Lactuca</v>
      </c>
      <c r="K1225" s="77" t="str">
        <f t="shared" si="617"/>
        <v>inermis</v>
      </c>
      <c r="L1225" s="78">
        <f t="shared" si="617"/>
        <v>7</v>
      </c>
      <c r="M1225" s="78">
        <f t="shared" si="617"/>
        <v>0</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2017</v>
      </c>
      <c r="B1226" s="73" t="str">
        <f t="shared" si="592"/>
        <v>Nov</v>
      </c>
      <c r="C1226" s="74">
        <f t="shared" si="615"/>
        <v>17</v>
      </c>
      <c r="D1226" s="75">
        <f t="shared" si="593"/>
        <v>4</v>
      </c>
      <c r="E1226" s="76">
        <f t="shared" si="594"/>
        <v>41</v>
      </c>
      <c r="F1226" s="80"/>
      <c r="G1226" s="83"/>
      <c r="H1226" s="69" t="str">
        <f t="shared" si="616"/>
        <v>Lacine7_20171117_04_00</v>
      </c>
      <c r="I1226" s="70">
        <f t="shared" si="617"/>
        <v>1</v>
      </c>
      <c r="J1226" s="77" t="str">
        <f t="shared" si="617"/>
        <v>Lactuca</v>
      </c>
      <c r="K1226" s="77" t="str">
        <f t="shared" si="617"/>
        <v>inermis</v>
      </c>
      <c r="L1226" s="78">
        <f t="shared" si="617"/>
        <v>7</v>
      </c>
      <c r="M1226" s="78">
        <f t="shared" si="617"/>
        <v>0</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2017</v>
      </c>
      <c r="B1227" s="73" t="str">
        <f t="shared" si="592"/>
        <v>Nov</v>
      </c>
      <c r="C1227" s="74">
        <f t="shared" si="615"/>
        <v>17</v>
      </c>
      <c r="D1227" s="75">
        <f t="shared" si="593"/>
        <v>4</v>
      </c>
      <c r="E1227" s="76">
        <f t="shared" si="594"/>
        <v>42</v>
      </c>
      <c r="F1227" s="80"/>
      <c r="G1227" s="83"/>
      <c r="H1227" s="69" t="str">
        <f t="shared" si="616"/>
        <v>Lacine7_20171117_04_00</v>
      </c>
      <c r="I1227" s="70">
        <f t="shared" si="617"/>
        <v>1</v>
      </c>
      <c r="J1227" s="77" t="str">
        <f t="shared" si="617"/>
        <v>Lactuca</v>
      </c>
      <c r="K1227" s="77" t="str">
        <f t="shared" si="617"/>
        <v>inermis</v>
      </c>
      <c r="L1227" s="78">
        <f t="shared" si="617"/>
        <v>7</v>
      </c>
      <c r="M1227" s="78">
        <f t="shared" si="617"/>
        <v>0</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2017</v>
      </c>
      <c r="B1228" s="73" t="str">
        <f t="shared" si="592"/>
        <v>Nov</v>
      </c>
      <c r="C1228" s="74">
        <f t="shared" si="615"/>
        <v>17</v>
      </c>
      <c r="D1228" s="75">
        <f t="shared" si="593"/>
        <v>4</v>
      </c>
      <c r="E1228" s="76">
        <f t="shared" si="594"/>
        <v>43</v>
      </c>
      <c r="F1228" s="80"/>
      <c r="G1228" s="83"/>
      <c r="H1228" s="69" t="str">
        <f t="shared" si="616"/>
        <v>Lacine7_20171117_04_00</v>
      </c>
      <c r="I1228" s="70">
        <f t="shared" si="617"/>
        <v>1</v>
      </c>
      <c r="J1228" s="77" t="str">
        <f t="shared" si="617"/>
        <v>Lactuca</v>
      </c>
      <c r="K1228" s="77" t="str">
        <f t="shared" si="617"/>
        <v>inermis</v>
      </c>
      <c r="L1228" s="78">
        <f t="shared" si="617"/>
        <v>7</v>
      </c>
      <c r="M1228" s="78">
        <f t="shared" si="617"/>
        <v>0</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2017</v>
      </c>
      <c r="B1229" s="73" t="str">
        <f t="shared" si="592"/>
        <v>Nov</v>
      </c>
      <c r="C1229" s="74">
        <f t="shared" si="615"/>
        <v>17</v>
      </c>
      <c r="D1229" s="75">
        <f t="shared" si="593"/>
        <v>4</v>
      </c>
      <c r="E1229" s="76">
        <f t="shared" si="594"/>
        <v>44</v>
      </c>
      <c r="F1229" s="80"/>
      <c r="G1229" s="83"/>
      <c r="H1229" s="69" t="str">
        <f t="shared" si="616"/>
        <v>Lacine7_20171117_04_00</v>
      </c>
      <c r="I1229" s="70">
        <f t="shared" si="617"/>
        <v>1</v>
      </c>
      <c r="J1229" s="77" t="str">
        <f t="shared" si="617"/>
        <v>Lactuca</v>
      </c>
      <c r="K1229" s="77" t="str">
        <f t="shared" si="617"/>
        <v>inermis</v>
      </c>
      <c r="L1229" s="78">
        <f t="shared" si="617"/>
        <v>7</v>
      </c>
      <c r="M1229" s="78">
        <f t="shared" si="617"/>
        <v>0</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2017</v>
      </c>
      <c r="B1230" s="73" t="str">
        <f t="shared" si="592"/>
        <v>Nov</v>
      </c>
      <c r="C1230" s="74">
        <f t="shared" si="615"/>
        <v>17</v>
      </c>
      <c r="D1230" s="75">
        <f t="shared" si="593"/>
        <v>4</v>
      </c>
      <c r="E1230" s="76">
        <f t="shared" si="594"/>
        <v>45</v>
      </c>
      <c r="F1230" s="80"/>
      <c r="G1230" s="83"/>
      <c r="H1230" s="69" t="str">
        <f t="shared" si="616"/>
        <v>Lacine7_20171117_04_00</v>
      </c>
      <c r="I1230" s="70">
        <f t="shared" si="617"/>
        <v>1</v>
      </c>
      <c r="J1230" s="77" t="str">
        <f t="shared" si="617"/>
        <v>Lactuca</v>
      </c>
      <c r="K1230" s="77" t="str">
        <f t="shared" si="617"/>
        <v>inermis</v>
      </c>
      <c r="L1230" s="78">
        <f t="shared" si="617"/>
        <v>7</v>
      </c>
      <c r="M1230" s="78">
        <f t="shared" si="617"/>
        <v>0</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2017</v>
      </c>
      <c r="B1231" s="73" t="str">
        <f t="shared" si="592"/>
        <v>Nov</v>
      </c>
      <c r="C1231" s="74">
        <f t="shared" si="615"/>
        <v>17</v>
      </c>
      <c r="D1231" s="75">
        <f t="shared" si="593"/>
        <v>4</v>
      </c>
      <c r="E1231" s="76">
        <f t="shared" si="594"/>
        <v>46</v>
      </c>
      <c r="F1231" s="80"/>
      <c r="G1231" s="83"/>
      <c r="H1231" s="69" t="str">
        <f t="shared" si="616"/>
        <v>Lacine7_20171117_04_00</v>
      </c>
      <c r="I1231" s="70">
        <f t="shared" si="617"/>
        <v>1</v>
      </c>
      <c r="J1231" s="77" t="str">
        <f t="shared" si="617"/>
        <v>Lactuca</v>
      </c>
      <c r="K1231" s="77" t="str">
        <f t="shared" si="617"/>
        <v>inermis</v>
      </c>
      <c r="L1231" s="78">
        <f t="shared" si="617"/>
        <v>7</v>
      </c>
      <c r="M1231" s="78">
        <f t="shared" si="617"/>
        <v>0</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2017</v>
      </c>
      <c r="B1232" s="73" t="str">
        <f t="shared" si="592"/>
        <v>Nov</v>
      </c>
      <c r="C1232" s="74">
        <f t="shared" si="615"/>
        <v>17</v>
      </c>
      <c r="D1232" s="75">
        <f t="shared" si="593"/>
        <v>4</v>
      </c>
      <c r="E1232" s="76">
        <f t="shared" si="594"/>
        <v>47</v>
      </c>
      <c r="F1232" s="80"/>
      <c r="G1232" s="83"/>
      <c r="H1232" s="69" t="str">
        <f t="shared" si="616"/>
        <v>Lacine7_20171117_04_00</v>
      </c>
      <c r="I1232" s="70">
        <f t="shared" si="617"/>
        <v>1</v>
      </c>
      <c r="J1232" s="77" t="str">
        <f t="shared" si="617"/>
        <v>Lactuca</v>
      </c>
      <c r="K1232" s="77" t="str">
        <f t="shared" si="617"/>
        <v>inermis</v>
      </c>
      <c r="L1232" s="78">
        <f t="shared" si="617"/>
        <v>7</v>
      </c>
      <c r="M1232" s="78">
        <f t="shared" si="617"/>
        <v>0</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2017</v>
      </c>
      <c r="B1233" s="73" t="str">
        <f t="shared" si="592"/>
        <v>Nov</v>
      </c>
      <c r="C1233" s="74">
        <f t="shared" si="615"/>
        <v>17</v>
      </c>
      <c r="D1233" s="75">
        <f t="shared" si="593"/>
        <v>4</v>
      </c>
      <c r="E1233" s="76">
        <f t="shared" si="594"/>
        <v>48</v>
      </c>
      <c r="F1233" s="80"/>
      <c r="G1233" s="83"/>
      <c r="H1233" s="69" t="str">
        <f t="shared" si="616"/>
        <v>Lacine7_20171117_04_00</v>
      </c>
      <c r="I1233" s="70">
        <f t="shared" si="617"/>
        <v>1</v>
      </c>
      <c r="J1233" s="77" t="str">
        <f t="shared" si="617"/>
        <v>Lactuca</v>
      </c>
      <c r="K1233" s="77" t="str">
        <f t="shared" si="617"/>
        <v>inermis</v>
      </c>
      <c r="L1233" s="78">
        <f t="shared" si="617"/>
        <v>7</v>
      </c>
      <c r="M1233" s="78">
        <f t="shared" si="617"/>
        <v>0</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2017</v>
      </c>
      <c r="B1234" s="73" t="str">
        <f t="shared" si="592"/>
        <v>Nov</v>
      </c>
      <c r="C1234" s="74">
        <f t="shared" si="615"/>
        <v>17</v>
      </c>
      <c r="D1234" s="75">
        <f t="shared" si="593"/>
        <v>4</v>
      </c>
      <c r="E1234" s="76">
        <f t="shared" si="594"/>
        <v>49</v>
      </c>
      <c r="F1234" s="80"/>
      <c r="G1234" s="83"/>
      <c r="H1234" s="69" t="str">
        <f t="shared" si="616"/>
        <v>Lacine7_20171117_04_00</v>
      </c>
      <c r="I1234" s="70">
        <f t="shared" si="617"/>
        <v>1</v>
      </c>
      <c r="J1234" s="77" t="str">
        <f t="shared" si="617"/>
        <v>Lactuca</v>
      </c>
      <c r="K1234" s="77" t="str">
        <f t="shared" si="617"/>
        <v>inermis</v>
      </c>
      <c r="L1234" s="78">
        <f t="shared" si="617"/>
        <v>7</v>
      </c>
      <c r="M1234" s="78">
        <f t="shared" si="617"/>
        <v>0</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2017</v>
      </c>
      <c r="B1235" s="73" t="str">
        <f t="shared" si="592"/>
        <v>Nov</v>
      </c>
      <c r="C1235" s="74">
        <f t="shared" si="615"/>
        <v>17</v>
      </c>
      <c r="D1235" s="75">
        <f t="shared" si="593"/>
        <v>4</v>
      </c>
      <c r="E1235" s="76">
        <f t="shared" si="594"/>
        <v>50</v>
      </c>
      <c r="F1235" s="80"/>
      <c r="G1235" s="83"/>
      <c r="H1235" s="69" t="str">
        <f t="shared" si="616"/>
        <v>Lacine7_20171117_04_00</v>
      </c>
      <c r="I1235" s="70">
        <f t="shared" si="617"/>
        <v>1</v>
      </c>
      <c r="J1235" s="77" t="str">
        <f t="shared" si="617"/>
        <v>Lactuca</v>
      </c>
      <c r="K1235" s="77" t="str">
        <f t="shared" si="617"/>
        <v>inermis</v>
      </c>
      <c r="L1235" s="78">
        <f t="shared" si="617"/>
        <v>7</v>
      </c>
      <c r="M1235" s="78">
        <f t="shared" si="617"/>
        <v>0</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2017</v>
      </c>
      <c r="B1236" s="73" t="str">
        <f t="shared" si="592"/>
        <v>Nov</v>
      </c>
      <c r="C1236" s="74">
        <f t="shared" si="615"/>
        <v>17</v>
      </c>
      <c r="D1236" s="75">
        <f t="shared" si="593"/>
        <v>4</v>
      </c>
      <c r="E1236" s="76">
        <f t="shared" si="594"/>
        <v>51</v>
      </c>
      <c r="F1236" s="80"/>
      <c r="G1236" s="83"/>
      <c r="H1236" s="69" t="str">
        <f t="shared" si="616"/>
        <v>Lacine7_20171117_04_00</v>
      </c>
      <c r="I1236" s="70">
        <f t="shared" si="617"/>
        <v>1</v>
      </c>
      <c r="J1236" s="77" t="str">
        <f t="shared" si="617"/>
        <v>Lactuca</v>
      </c>
      <c r="K1236" s="77" t="str">
        <f t="shared" si="617"/>
        <v>inermis</v>
      </c>
      <c r="L1236" s="78">
        <f t="shared" si="617"/>
        <v>7</v>
      </c>
      <c r="M1236" s="78">
        <f t="shared" si="617"/>
        <v>0</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2017</v>
      </c>
      <c r="B1237" s="73" t="str">
        <f t="shared" si="592"/>
        <v>Nov</v>
      </c>
      <c r="C1237" s="74">
        <f t="shared" si="615"/>
        <v>17</v>
      </c>
      <c r="D1237" s="75">
        <f t="shared" si="593"/>
        <v>4</v>
      </c>
      <c r="E1237" s="76">
        <f t="shared" si="594"/>
        <v>52</v>
      </c>
      <c r="F1237" s="80"/>
      <c r="G1237" s="83"/>
      <c r="H1237" s="69" t="str">
        <f t="shared" si="616"/>
        <v>Lacine7_20171117_04_00</v>
      </c>
      <c r="I1237" s="70">
        <f t="shared" ref="I1237:N1252" si="618">I1236</f>
        <v>1</v>
      </c>
      <c r="J1237" s="77" t="str">
        <f t="shared" si="618"/>
        <v>Lactuca</v>
      </c>
      <c r="K1237" s="77" t="str">
        <f t="shared" si="618"/>
        <v>inermis</v>
      </c>
      <c r="L1237" s="78">
        <f t="shared" si="618"/>
        <v>7</v>
      </c>
      <c r="M1237" s="78">
        <f t="shared" si="618"/>
        <v>0</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2017</v>
      </c>
      <c r="B1238" s="73" t="str">
        <f t="shared" si="592"/>
        <v>Nov</v>
      </c>
      <c r="C1238" s="74">
        <f t="shared" si="615"/>
        <v>17</v>
      </c>
      <c r="D1238" s="75">
        <f t="shared" si="593"/>
        <v>4</v>
      </c>
      <c r="E1238" s="76">
        <f t="shared" si="594"/>
        <v>53</v>
      </c>
      <c r="F1238" s="80"/>
      <c r="G1238" s="83"/>
      <c r="H1238" s="69" t="str">
        <f t="shared" si="616"/>
        <v>Lacine7_20171117_04_00</v>
      </c>
      <c r="I1238" s="70">
        <f t="shared" si="618"/>
        <v>1</v>
      </c>
      <c r="J1238" s="77" t="str">
        <f t="shared" si="618"/>
        <v>Lactuca</v>
      </c>
      <c r="K1238" s="77" t="str">
        <f t="shared" si="618"/>
        <v>inermis</v>
      </c>
      <c r="L1238" s="78">
        <f t="shared" si="618"/>
        <v>7</v>
      </c>
      <c r="M1238" s="78">
        <f t="shared" si="618"/>
        <v>0</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2017</v>
      </c>
      <c r="B1239" s="73" t="str">
        <f t="shared" si="592"/>
        <v>Nov</v>
      </c>
      <c r="C1239" s="74">
        <f t="shared" si="615"/>
        <v>17</v>
      </c>
      <c r="D1239" s="75">
        <f t="shared" si="593"/>
        <v>4</v>
      </c>
      <c r="E1239" s="76">
        <f t="shared" si="594"/>
        <v>54</v>
      </c>
      <c r="F1239" s="80"/>
      <c r="G1239" s="83"/>
      <c r="H1239" s="69" t="str">
        <f t="shared" si="616"/>
        <v>Lacine7_20171117_04_00</v>
      </c>
      <c r="I1239" s="70">
        <f t="shared" si="618"/>
        <v>1</v>
      </c>
      <c r="J1239" s="77" t="str">
        <f t="shared" si="618"/>
        <v>Lactuca</v>
      </c>
      <c r="K1239" s="77" t="str">
        <f t="shared" si="618"/>
        <v>inermis</v>
      </c>
      <c r="L1239" s="78">
        <f t="shared" si="618"/>
        <v>7</v>
      </c>
      <c r="M1239" s="78">
        <f t="shared" si="618"/>
        <v>0</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2017</v>
      </c>
      <c r="B1240" s="73" t="str">
        <f t="shared" si="592"/>
        <v>Nov</v>
      </c>
      <c r="C1240" s="74">
        <f t="shared" si="615"/>
        <v>17</v>
      </c>
      <c r="D1240" s="75">
        <f t="shared" si="593"/>
        <v>4</v>
      </c>
      <c r="E1240" s="76">
        <f t="shared" si="594"/>
        <v>55</v>
      </c>
      <c r="F1240" s="80"/>
      <c r="G1240" s="83"/>
      <c r="H1240" s="69" t="str">
        <f t="shared" si="616"/>
        <v>Lacine7_20171117_04_00</v>
      </c>
      <c r="I1240" s="70">
        <f t="shared" si="618"/>
        <v>1</v>
      </c>
      <c r="J1240" s="77" t="str">
        <f t="shared" si="618"/>
        <v>Lactuca</v>
      </c>
      <c r="K1240" s="77" t="str">
        <f t="shared" si="618"/>
        <v>inermis</v>
      </c>
      <c r="L1240" s="78">
        <f t="shared" si="618"/>
        <v>7</v>
      </c>
      <c r="M1240" s="78">
        <f t="shared" si="618"/>
        <v>0</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2017</v>
      </c>
      <c r="B1241" s="73" t="str">
        <f t="shared" si="592"/>
        <v>Nov</v>
      </c>
      <c r="C1241" s="74">
        <f t="shared" si="615"/>
        <v>17</v>
      </c>
      <c r="D1241" s="75">
        <f t="shared" si="593"/>
        <v>4</v>
      </c>
      <c r="E1241" s="76">
        <f t="shared" si="594"/>
        <v>56</v>
      </c>
      <c r="F1241" s="80"/>
      <c r="G1241" s="83"/>
      <c r="H1241" s="69" t="str">
        <f t="shared" si="616"/>
        <v>Lacine7_20171117_04_00</v>
      </c>
      <c r="I1241" s="70">
        <f t="shared" si="618"/>
        <v>1</v>
      </c>
      <c r="J1241" s="77" t="str">
        <f t="shared" si="618"/>
        <v>Lactuca</v>
      </c>
      <c r="K1241" s="77" t="str">
        <f t="shared" si="618"/>
        <v>inermis</v>
      </c>
      <c r="L1241" s="78">
        <f t="shared" si="618"/>
        <v>7</v>
      </c>
      <c r="M1241" s="78">
        <f t="shared" si="618"/>
        <v>0</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2017</v>
      </c>
      <c r="B1242" s="73" t="str">
        <f t="shared" si="592"/>
        <v>Nov</v>
      </c>
      <c r="C1242" s="74">
        <f t="shared" si="615"/>
        <v>17</v>
      </c>
      <c r="D1242" s="75">
        <f t="shared" si="593"/>
        <v>4</v>
      </c>
      <c r="E1242" s="76">
        <f t="shared" si="594"/>
        <v>57</v>
      </c>
      <c r="F1242" s="80"/>
      <c r="G1242" s="83"/>
      <c r="H1242" s="69" t="str">
        <f t="shared" si="616"/>
        <v>Lacine7_20171117_04_00</v>
      </c>
      <c r="I1242" s="70">
        <f t="shared" si="618"/>
        <v>1</v>
      </c>
      <c r="J1242" s="77" t="str">
        <f t="shared" si="618"/>
        <v>Lactuca</v>
      </c>
      <c r="K1242" s="77" t="str">
        <f t="shared" si="618"/>
        <v>inermis</v>
      </c>
      <c r="L1242" s="78">
        <f t="shared" si="618"/>
        <v>7</v>
      </c>
      <c r="M1242" s="78">
        <f t="shared" si="618"/>
        <v>0</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2017</v>
      </c>
      <c r="B1243" s="73" t="str">
        <f t="shared" si="592"/>
        <v>Nov</v>
      </c>
      <c r="C1243" s="74">
        <f t="shared" si="615"/>
        <v>17</v>
      </c>
      <c r="D1243" s="75">
        <f t="shared" si="593"/>
        <v>4</v>
      </c>
      <c r="E1243" s="76">
        <f t="shared" si="594"/>
        <v>58</v>
      </c>
      <c r="F1243" s="80"/>
      <c r="G1243" s="83"/>
      <c r="H1243" s="69" t="str">
        <f t="shared" si="616"/>
        <v>Lacine7_20171117_04_00</v>
      </c>
      <c r="I1243" s="70">
        <f t="shared" si="618"/>
        <v>1</v>
      </c>
      <c r="J1243" s="77" t="str">
        <f t="shared" si="618"/>
        <v>Lactuca</v>
      </c>
      <c r="K1243" s="77" t="str">
        <f t="shared" si="618"/>
        <v>inermis</v>
      </c>
      <c r="L1243" s="78">
        <f t="shared" si="618"/>
        <v>7</v>
      </c>
      <c r="M1243" s="78">
        <f t="shared" si="618"/>
        <v>0</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2017</v>
      </c>
      <c r="B1244" s="73" t="str">
        <f t="shared" si="592"/>
        <v>Nov</v>
      </c>
      <c r="C1244" s="74">
        <f t="shared" si="615"/>
        <v>17</v>
      </c>
      <c r="D1244" s="75">
        <f t="shared" si="593"/>
        <v>4</v>
      </c>
      <c r="E1244" s="76">
        <f t="shared" si="594"/>
        <v>59</v>
      </c>
      <c r="F1244" s="80"/>
      <c r="G1244" s="83"/>
      <c r="H1244" s="69" t="str">
        <f t="shared" si="616"/>
        <v>Lacine7_20171117_04_00</v>
      </c>
      <c r="I1244" s="70">
        <f t="shared" si="618"/>
        <v>1</v>
      </c>
      <c r="J1244" s="77" t="str">
        <f t="shared" si="618"/>
        <v>Lactuca</v>
      </c>
      <c r="K1244" s="77" t="str">
        <f t="shared" si="618"/>
        <v>inermis</v>
      </c>
      <c r="L1244" s="78">
        <f t="shared" si="618"/>
        <v>7</v>
      </c>
      <c r="M1244" s="78">
        <f t="shared" si="618"/>
        <v>0</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2017</v>
      </c>
      <c r="B1245" s="73" t="str">
        <f t="shared" si="592"/>
        <v>Nov</v>
      </c>
      <c r="C1245" s="74">
        <f t="shared" si="615"/>
        <v>17</v>
      </c>
      <c r="D1245" s="75">
        <f t="shared" si="593"/>
        <v>5</v>
      </c>
      <c r="E1245" s="76">
        <f t="shared" si="594"/>
        <v>0</v>
      </c>
      <c r="F1245" s="80"/>
      <c r="G1245" s="83"/>
      <c r="H1245" s="69" t="str">
        <f t="shared" si="616"/>
        <v>Lacine7_20171117_05_00</v>
      </c>
      <c r="I1245" s="70">
        <f t="shared" si="618"/>
        <v>1</v>
      </c>
      <c r="J1245" s="77" t="str">
        <f t="shared" si="618"/>
        <v>Lactuca</v>
      </c>
      <c r="K1245" s="77" t="str">
        <f t="shared" si="618"/>
        <v>inermis</v>
      </c>
      <c r="L1245" s="78">
        <f t="shared" si="618"/>
        <v>7</v>
      </c>
      <c r="M1245" s="78">
        <f t="shared" si="618"/>
        <v>0</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2017</v>
      </c>
      <c r="B1246" s="73" t="str">
        <f t="shared" si="592"/>
        <v>Nov</v>
      </c>
      <c r="C1246" s="74">
        <f t="shared" si="615"/>
        <v>17</v>
      </c>
      <c r="D1246" s="75">
        <f t="shared" si="593"/>
        <v>5</v>
      </c>
      <c r="E1246" s="76">
        <f t="shared" si="594"/>
        <v>1</v>
      </c>
      <c r="F1246" s="80"/>
      <c r="G1246" s="83"/>
      <c r="H1246" s="69" t="str">
        <f t="shared" si="616"/>
        <v>Lacine7_20171117_05_00</v>
      </c>
      <c r="I1246" s="70">
        <f t="shared" si="618"/>
        <v>1</v>
      </c>
      <c r="J1246" s="77" t="str">
        <f t="shared" si="618"/>
        <v>Lactuca</v>
      </c>
      <c r="K1246" s="77" t="str">
        <f t="shared" si="618"/>
        <v>inermis</v>
      </c>
      <c r="L1246" s="78">
        <f t="shared" si="618"/>
        <v>7</v>
      </c>
      <c r="M1246" s="78">
        <f t="shared" si="618"/>
        <v>0</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2017</v>
      </c>
      <c r="B1247" s="73" t="str">
        <f t="shared" si="592"/>
        <v>Nov</v>
      </c>
      <c r="C1247" s="74">
        <f t="shared" si="615"/>
        <v>17</v>
      </c>
      <c r="D1247" s="75">
        <f t="shared" si="593"/>
        <v>5</v>
      </c>
      <c r="E1247" s="76">
        <f t="shared" si="594"/>
        <v>2</v>
      </c>
      <c r="F1247" s="80"/>
      <c r="G1247" s="83"/>
      <c r="H1247" s="69" t="str">
        <f t="shared" si="616"/>
        <v>Lacine7_20171117_05_00</v>
      </c>
      <c r="I1247" s="70">
        <f t="shared" si="618"/>
        <v>1</v>
      </c>
      <c r="J1247" s="77" t="str">
        <f t="shared" si="618"/>
        <v>Lactuca</v>
      </c>
      <c r="K1247" s="77" t="str">
        <f t="shared" si="618"/>
        <v>inermis</v>
      </c>
      <c r="L1247" s="78">
        <f t="shared" si="618"/>
        <v>7</v>
      </c>
      <c r="M1247" s="78">
        <f t="shared" si="618"/>
        <v>0</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2017</v>
      </c>
      <c r="B1248" s="73" t="str">
        <f t="shared" si="592"/>
        <v>Nov</v>
      </c>
      <c r="C1248" s="74">
        <f t="shared" si="615"/>
        <v>17</v>
      </c>
      <c r="D1248" s="75">
        <f t="shared" si="593"/>
        <v>5</v>
      </c>
      <c r="E1248" s="76">
        <f t="shared" si="594"/>
        <v>3</v>
      </c>
      <c r="F1248" s="80"/>
      <c r="G1248" s="83"/>
      <c r="H1248" s="69" t="str">
        <f t="shared" si="616"/>
        <v>Lacine7_20171117_05_00</v>
      </c>
      <c r="I1248" s="70">
        <f t="shared" si="618"/>
        <v>1</v>
      </c>
      <c r="J1248" s="77" t="str">
        <f t="shared" si="618"/>
        <v>Lactuca</v>
      </c>
      <c r="K1248" s="77" t="str">
        <f t="shared" si="618"/>
        <v>inermis</v>
      </c>
      <c r="L1248" s="78">
        <f t="shared" si="618"/>
        <v>7</v>
      </c>
      <c r="M1248" s="78">
        <f t="shared" si="618"/>
        <v>0</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2017</v>
      </c>
      <c r="B1249" s="73" t="str">
        <f t="shared" si="592"/>
        <v>Nov</v>
      </c>
      <c r="C1249" s="74">
        <f t="shared" si="615"/>
        <v>17</v>
      </c>
      <c r="D1249" s="75">
        <f t="shared" si="593"/>
        <v>5</v>
      </c>
      <c r="E1249" s="76">
        <f t="shared" si="594"/>
        <v>4</v>
      </c>
      <c r="F1249" s="80"/>
      <c r="G1249" s="83"/>
      <c r="H1249" s="69" t="str">
        <f t="shared" si="616"/>
        <v>Lacine7_20171117_05_00</v>
      </c>
      <c r="I1249" s="70">
        <f t="shared" si="618"/>
        <v>1</v>
      </c>
      <c r="J1249" s="77" t="str">
        <f t="shared" si="618"/>
        <v>Lactuca</v>
      </c>
      <c r="K1249" s="77" t="str">
        <f t="shared" si="618"/>
        <v>inermis</v>
      </c>
      <c r="L1249" s="78">
        <f t="shared" si="618"/>
        <v>7</v>
      </c>
      <c r="M1249" s="78">
        <f t="shared" si="618"/>
        <v>0</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2017</v>
      </c>
      <c r="B1250" s="73" t="str">
        <f t="shared" si="592"/>
        <v>Nov</v>
      </c>
      <c r="C1250" s="74">
        <f t="shared" si="615"/>
        <v>17</v>
      </c>
      <c r="D1250" s="75">
        <f t="shared" si="593"/>
        <v>5</v>
      </c>
      <c r="E1250" s="76">
        <f t="shared" si="594"/>
        <v>5</v>
      </c>
      <c r="F1250" s="80"/>
      <c r="G1250" s="83"/>
      <c r="H1250" s="69" t="str">
        <f t="shared" si="616"/>
        <v>Lacine7_20171117_05_00</v>
      </c>
      <c r="I1250" s="70">
        <f t="shared" si="618"/>
        <v>1</v>
      </c>
      <c r="J1250" s="77" t="str">
        <f t="shared" si="618"/>
        <v>Lactuca</v>
      </c>
      <c r="K1250" s="77" t="str">
        <f t="shared" si="618"/>
        <v>inermis</v>
      </c>
      <c r="L1250" s="78">
        <f t="shared" si="618"/>
        <v>7</v>
      </c>
      <c r="M1250" s="78">
        <f t="shared" si="618"/>
        <v>0</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2017</v>
      </c>
      <c r="B1251" s="73" t="str">
        <f t="shared" si="592"/>
        <v>Nov</v>
      </c>
      <c r="C1251" s="74">
        <f t="shared" si="615"/>
        <v>17</v>
      </c>
      <c r="D1251" s="75">
        <f t="shared" si="593"/>
        <v>5</v>
      </c>
      <c r="E1251" s="76">
        <f t="shared" si="594"/>
        <v>6</v>
      </c>
      <c r="F1251" s="80"/>
      <c r="G1251" s="83"/>
      <c r="H1251" s="69" t="str">
        <f t="shared" si="616"/>
        <v>Lacine7_20171117_05_00</v>
      </c>
      <c r="I1251" s="70">
        <f t="shared" si="618"/>
        <v>1</v>
      </c>
      <c r="J1251" s="77" t="str">
        <f t="shared" si="618"/>
        <v>Lactuca</v>
      </c>
      <c r="K1251" s="77" t="str">
        <f t="shared" si="618"/>
        <v>inermis</v>
      </c>
      <c r="L1251" s="78">
        <f t="shared" si="618"/>
        <v>7</v>
      </c>
      <c r="M1251" s="78">
        <f t="shared" si="618"/>
        <v>0</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2017</v>
      </c>
      <c r="B1252" s="73" t="str">
        <f t="shared" si="592"/>
        <v>Nov</v>
      </c>
      <c r="C1252" s="74">
        <f t="shared" si="615"/>
        <v>17</v>
      </c>
      <c r="D1252" s="75">
        <f t="shared" si="593"/>
        <v>5</v>
      </c>
      <c r="E1252" s="76">
        <f t="shared" si="594"/>
        <v>7</v>
      </c>
      <c r="F1252" s="80"/>
      <c r="G1252" s="83"/>
      <c r="H1252" s="69" t="str">
        <f t="shared" si="616"/>
        <v>Lacine7_20171117_05_00</v>
      </c>
      <c r="I1252" s="70">
        <f t="shared" si="618"/>
        <v>1</v>
      </c>
      <c r="J1252" s="77" t="str">
        <f t="shared" si="618"/>
        <v>Lactuca</v>
      </c>
      <c r="K1252" s="77" t="str">
        <f t="shared" si="618"/>
        <v>inermis</v>
      </c>
      <c r="L1252" s="78">
        <f t="shared" si="618"/>
        <v>7</v>
      </c>
      <c r="M1252" s="78">
        <f t="shared" si="618"/>
        <v>0</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2017</v>
      </c>
      <c r="B1253" s="73" t="str">
        <f t="shared" si="592"/>
        <v>Nov</v>
      </c>
      <c r="C1253" s="74">
        <f t="shared" si="615"/>
        <v>17</v>
      </c>
      <c r="D1253" s="75">
        <f t="shared" si="593"/>
        <v>5</v>
      </c>
      <c r="E1253" s="76">
        <f t="shared" si="594"/>
        <v>8</v>
      </c>
      <c r="F1253" s="80"/>
      <c r="G1253" s="83"/>
      <c r="H1253" s="69" t="str">
        <f t="shared" si="616"/>
        <v>Lacine7_20171117_05_00</v>
      </c>
      <c r="I1253" s="70">
        <f t="shared" ref="I1253:N1268" si="619">I1252</f>
        <v>1</v>
      </c>
      <c r="J1253" s="77" t="str">
        <f t="shared" si="619"/>
        <v>Lactuca</v>
      </c>
      <c r="K1253" s="77" t="str">
        <f t="shared" si="619"/>
        <v>inermis</v>
      </c>
      <c r="L1253" s="78">
        <f t="shared" si="619"/>
        <v>7</v>
      </c>
      <c r="M1253" s="78">
        <f t="shared" si="619"/>
        <v>0</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2017</v>
      </c>
      <c r="B1254" s="73" t="str">
        <f t="shared" si="592"/>
        <v>Nov</v>
      </c>
      <c r="C1254" s="74">
        <f t="shared" si="615"/>
        <v>17</v>
      </c>
      <c r="D1254" s="75">
        <f t="shared" si="593"/>
        <v>5</v>
      </c>
      <c r="E1254" s="76">
        <f t="shared" si="594"/>
        <v>9</v>
      </c>
      <c r="F1254" s="80"/>
      <c r="G1254" s="83"/>
      <c r="H1254" s="69" t="str">
        <f t="shared" si="616"/>
        <v>Lacine7_20171117_05_00</v>
      </c>
      <c r="I1254" s="70">
        <f t="shared" si="619"/>
        <v>1</v>
      </c>
      <c r="J1254" s="77" t="str">
        <f t="shared" si="619"/>
        <v>Lactuca</v>
      </c>
      <c r="K1254" s="77" t="str">
        <f t="shared" si="619"/>
        <v>inermis</v>
      </c>
      <c r="L1254" s="78">
        <f t="shared" si="619"/>
        <v>7</v>
      </c>
      <c r="M1254" s="78">
        <f t="shared" si="619"/>
        <v>0</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2017</v>
      </c>
      <c r="B1255" s="73" t="str">
        <f t="shared" si="592"/>
        <v>Nov</v>
      </c>
      <c r="C1255" s="74">
        <f t="shared" si="615"/>
        <v>17</v>
      </c>
      <c r="D1255" s="75">
        <f t="shared" si="593"/>
        <v>5</v>
      </c>
      <c r="E1255" s="76">
        <f t="shared" si="594"/>
        <v>10</v>
      </c>
      <c r="F1255" s="80"/>
      <c r="G1255" s="83"/>
      <c r="H1255" s="69" t="str">
        <f t="shared" si="616"/>
        <v>Lacine7_20171117_05_00</v>
      </c>
      <c r="I1255" s="70">
        <f t="shared" si="619"/>
        <v>1</v>
      </c>
      <c r="J1255" s="77" t="str">
        <f t="shared" si="619"/>
        <v>Lactuca</v>
      </c>
      <c r="K1255" s="77" t="str">
        <f t="shared" si="619"/>
        <v>inermis</v>
      </c>
      <c r="L1255" s="78">
        <f t="shared" si="619"/>
        <v>7</v>
      </c>
      <c r="M1255" s="78">
        <f t="shared" si="619"/>
        <v>0</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2017</v>
      </c>
      <c r="B1256" s="73" t="str">
        <f t="shared" si="592"/>
        <v>Nov</v>
      </c>
      <c r="C1256" s="74">
        <f t="shared" si="615"/>
        <v>17</v>
      </c>
      <c r="D1256" s="75">
        <f t="shared" si="593"/>
        <v>5</v>
      </c>
      <c r="E1256" s="76">
        <f t="shared" si="594"/>
        <v>11</v>
      </c>
      <c r="F1256" s="80"/>
      <c r="G1256" s="83"/>
      <c r="H1256" s="69" t="str">
        <f t="shared" si="616"/>
        <v>Lacine7_20171117_05_00</v>
      </c>
      <c r="I1256" s="70">
        <f t="shared" si="619"/>
        <v>1</v>
      </c>
      <c r="J1256" s="77" t="str">
        <f t="shared" si="619"/>
        <v>Lactuca</v>
      </c>
      <c r="K1256" s="77" t="str">
        <f t="shared" si="619"/>
        <v>inermis</v>
      </c>
      <c r="L1256" s="78">
        <f t="shared" si="619"/>
        <v>7</v>
      </c>
      <c r="M1256" s="78">
        <f t="shared" si="619"/>
        <v>0</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2017</v>
      </c>
      <c r="B1257" s="73" t="str">
        <f t="shared" si="592"/>
        <v>Nov</v>
      </c>
      <c r="C1257" s="74">
        <f t="shared" si="615"/>
        <v>17</v>
      </c>
      <c r="D1257" s="75">
        <f t="shared" si="593"/>
        <v>5</v>
      </c>
      <c r="E1257" s="76">
        <f t="shared" si="594"/>
        <v>12</v>
      </c>
      <c r="F1257" s="80"/>
      <c r="G1257" s="83"/>
      <c r="H1257" s="69" t="str">
        <f t="shared" si="616"/>
        <v>Lacine7_20171117_05_00</v>
      </c>
      <c r="I1257" s="70">
        <f t="shared" si="619"/>
        <v>1</v>
      </c>
      <c r="J1257" s="77" t="str">
        <f t="shared" si="619"/>
        <v>Lactuca</v>
      </c>
      <c r="K1257" s="77" t="str">
        <f t="shared" si="619"/>
        <v>inermis</v>
      </c>
      <c r="L1257" s="78">
        <f t="shared" si="619"/>
        <v>7</v>
      </c>
      <c r="M1257" s="78">
        <f t="shared" si="619"/>
        <v>0</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2017</v>
      </c>
      <c r="B1258" s="73" t="str">
        <f t="shared" si="592"/>
        <v>Nov</v>
      </c>
      <c r="C1258" s="74">
        <f t="shared" si="615"/>
        <v>17</v>
      </c>
      <c r="D1258" s="75">
        <f t="shared" si="593"/>
        <v>5</v>
      </c>
      <c r="E1258" s="76">
        <f t="shared" si="594"/>
        <v>13</v>
      </c>
      <c r="F1258" s="80"/>
      <c r="G1258" s="83"/>
      <c r="H1258" s="69" t="str">
        <f t="shared" si="616"/>
        <v>Lacine7_20171117_05_00</v>
      </c>
      <c r="I1258" s="70">
        <f t="shared" si="619"/>
        <v>1</v>
      </c>
      <c r="J1258" s="77" t="str">
        <f t="shared" si="619"/>
        <v>Lactuca</v>
      </c>
      <c r="K1258" s="77" t="str">
        <f t="shared" si="619"/>
        <v>inermis</v>
      </c>
      <c r="L1258" s="78">
        <f t="shared" si="619"/>
        <v>7</v>
      </c>
      <c r="M1258" s="78">
        <f t="shared" si="619"/>
        <v>0</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2017</v>
      </c>
      <c r="B1259" s="73" t="str">
        <f t="shared" si="592"/>
        <v>Nov</v>
      </c>
      <c r="C1259" s="74">
        <f t="shared" si="615"/>
        <v>17</v>
      </c>
      <c r="D1259" s="75">
        <f t="shared" si="593"/>
        <v>5</v>
      </c>
      <c r="E1259" s="76">
        <f t="shared" si="594"/>
        <v>14</v>
      </c>
      <c r="F1259" s="80"/>
      <c r="G1259" s="83"/>
      <c r="H1259" s="69" t="str">
        <f t="shared" si="616"/>
        <v>Lacine7_20171117_05_00</v>
      </c>
      <c r="I1259" s="70">
        <f t="shared" si="619"/>
        <v>1</v>
      </c>
      <c r="J1259" s="77" t="str">
        <f t="shared" si="619"/>
        <v>Lactuca</v>
      </c>
      <c r="K1259" s="77" t="str">
        <f t="shared" si="619"/>
        <v>inermis</v>
      </c>
      <c r="L1259" s="78">
        <f t="shared" si="619"/>
        <v>7</v>
      </c>
      <c r="M1259" s="78">
        <f t="shared" si="619"/>
        <v>0</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2017</v>
      </c>
      <c r="B1260" s="73" t="str">
        <f t="shared" si="592"/>
        <v>Nov</v>
      </c>
      <c r="C1260" s="74">
        <f t="shared" si="615"/>
        <v>17</v>
      </c>
      <c r="D1260" s="75">
        <f t="shared" si="593"/>
        <v>5</v>
      </c>
      <c r="E1260" s="76">
        <f t="shared" si="594"/>
        <v>15</v>
      </c>
      <c r="F1260" s="80"/>
      <c r="G1260" s="83"/>
      <c r="H1260" s="69" t="str">
        <f t="shared" si="616"/>
        <v>Lacine7_20171117_05_00</v>
      </c>
      <c r="I1260" s="70">
        <f t="shared" si="619"/>
        <v>1</v>
      </c>
      <c r="J1260" s="77" t="str">
        <f t="shared" si="619"/>
        <v>Lactuca</v>
      </c>
      <c r="K1260" s="77" t="str">
        <f t="shared" si="619"/>
        <v>inermis</v>
      </c>
      <c r="L1260" s="78">
        <f t="shared" si="619"/>
        <v>7</v>
      </c>
      <c r="M1260" s="78">
        <f t="shared" si="619"/>
        <v>0</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2017</v>
      </c>
      <c r="B1261" s="73" t="str">
        <f t="shared" si="592"/>
        <v>Nov</v>
      </c>
      <c r="C1261" s="74">
        <f t="shared" si="615"/>
        <v>17</v>
      </c>
      <c r="D1261" s="75">
        <f t="shared" si="593"/>
        <v>5</v>
      </c>
      <c r="E1261" s="76">
        <f t="shared" si="594"/>
        <v>16</v>
      </c>
      <c r="F1261" s="80"/>
      <c r="G1261" s="83"/>
      <c r="H1261" s="69" t="str">
        <f t="shared" si="616"/>
        <v>Lacine7_20171117_05_00</v>
      </c>
      <c r="I1261" s="70">
        <f t="shared" si="619"/>
        <v>1</v>
      </c>
      <c r="J1261" s="77" t="str">
        <f t="shared" si="619"/>
        <v>Lactuca</v>
      </c>
      <c r="K1261" s="77" t="str">
        <f t="shared" si="619"/>
        <v>inermis</v>
      </c>
      <c r="L1261" s="78">
        <f t="shared" si="619"/>
        <v>7</v>
      </c>
      <c r="M1261" s="78">
        <f t="shared" si="619"/>
        <v>0</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2017</v>
      </c>
      <c r="B1262" s="73" t="str">
        <f t="shared" si="592"/>
        <v>Nov</v>
      </c>
      <c r="C1262" s="74">
        <f t="shared" si="615"/>
        <v>17</v>
      </c>
      <c r="D1262" s="75">
        <f t="shared" si="593"/>
        <v>5</v>
      </c>
      <c r="E1262" s="76">
        <f t="shared" si="594"/>
        <v>17</v>
      </c>
      <c r="F1262" s="80"/>
      <c r="G1262" s="83"/>
      <c r="H1262" s="69" t="str">
        <f t="shared" si="616"/>
        <v>Lacine7_20171117_05_00</v>
      </c>
      <c r="I1262" s="70">
        <f t="shared" si="619"/>
        <v>1</v>
      </c>
      <c r="J1262" s="77" t="str">
        <f t="shared" si="619"/>
        <v>Lactuca</v>
      </c>
      <c r="K1262" s="77" t="str">
        <f t="shared" si="619"/>
        <v>inermis</v>
      </c>
      <c r="L1262" s="78">
        <f t="shared" si="619"/>
        <v>7</v>
      </c>
      <c r="M1262" s="78">
        <f t="shared" si="619"/>
        <v>0</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2017</v>
      </c>
      <c r="B1263" s="73" t="str">
        <f t="shared" si="592"/>
        <v>Nov</v>
      </c>
      <c r="C1263" s="74">
        <f t="shared" si="615"/>
        <v>17</v>
      </c>
      <c r="D1263" s="75">
        <f t="shared" si="593"/>
        <v>5</v>
      </c>
      <c r="E1263" s="76">
        <f t="shared" si="594"/>
        <v>18</v>
      </c>
      <c r="F1263" s="80"/>
      <c r="G1263" s="83"/>
      <c r="H1263" s="69" t="str">
        <f t="shared" si="616"/>
        <v>Lacine7_20171117_05_00</v>
      </c>
      <c r="I1263" s="70">
        <f t="shared" si="619"/>
        <v>1</v>
      </c>
      <c r="J1263" s="77" t="str">
        <f t="shared" si="619"/>
        <v>Lactuca</v>
      </c>
      <c r="K1263" s="77" t="str">
        <f t="shared" si="619"/>
        <v>inermis</v>
      </c>
      <c r="L1263" s="78">
        <f t="shared" si="619"/>
        <v>7</v>
      </c>
      <c r="M1263" s="78">
        <f t="shared" si="619"/>
        <v>0</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2017</v>
      </c>
      <c r="B1264" s="73" t="str">
        <f t="shared" si="592"/>
        <v>Nov</v>
      </c>
      <c r="C1264" s="74">
        <f t="shared" si="615"/>
        <v>17</v>
      </c>
      <c r="D1264" s="75">
        <f t="shared" si="593"/>
        <v>5</v>
      </c>
      <c r="E1264" s="76">
        <f t="shared" si="594"/>
        <v>19</v>
      </c>
      <c r="F1264" s="80"/>
      <c r="G1264" s="83"/>
      <c r="H1264" s="69" t="str">
        <f t="shared" si="616"/>
        <v>Lacine7_20171117_05_00</v>
      </c>
      <c r="I1264" s="70">
        <f t="shared" si="619"/>
        <v>1</v>
      </c>
      <c r="J1264" s="77" t="str">
        <f t="shared" si="619"/>
        <v>Lactuca</v>
      </c>
      <c r="K1264" s="77" t="str">
        <f t="shared" si="619"/>
        <v>inermis</v>
      </c>
      <c r="L1264" s="78">
        <f t="shared" si="619"/>
        <v>7</v>
      </c>
      <c r="M1264" s="78">
        <f t="shared" si="619"/>
        <v>0</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2017</v>
      </c>
      <c r="B1265" s="73" t="str">
        <f t="shared" si="592"/>
        <v>Nov</v>
      </c>
      <c r="C1265" s="74">
        <f t="shared" si="615"/>
        <v>17</v>
      </c>
      <c r="D1265" s="75">
        <f t="shared" si="593"/>
        <v>5</v>
      </c>
      <c r="E1265" s="76">
        <f t="shared" si="594"/>
        <v>20</v>
      </c>
      <c r="F1265" s="80"/>
      <c r="G1265" s="83"/>
      <c r="H1265" s="69" t="str">
        <f t="shared" si="616"/>
        <v>Lacine7_20171117_05_00</v>
      </c>
      <c r="I1265" s="70">
        <f t="shared" si="619"/>
        <v>1</v>
      </c>
      <c r="J1265" s="77" t="str">
        <f t="shared" si="619"/>
        <v>Lactuca</v>
      </c>
      <c r="K1265" s="77" t="str">
        <f t="shared" si="619"/>
        <v>inermis</v>
      </c>
      <c r="L1265" s="78">
        <f t="shared" si="619"/>
        <v>7</v>
      </c>
      <c r="M1265" s="78">
        <f t="shared" si="619"/>
        <v>0</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2017</v>
      </c>
      <c r="B1266" s="73" t="str">
        <f t="shared" si="592"/>
        <v>Nov</v>
      </c>
      <c r="C1266" s="74">
        <f t="shared" si="615"/>
        <v>17</v>
      </c>
      <c r="D1266" s="75">
        <f t="shared" si="593"/>
        <v>5</v>
      </c>
      <c r="E1266" s="76">
        <f t="shared" si="594"/>
        <v>21</v>
      </c>
      <c r="F1266" s="80"/>
      <c r="G1266" s="83"/>
      <c r="H1266" s="69" t="str">
        <f t="shared" si="616"/>
        <v>Lacine7_20171117_05_00</v>
      </c>
      <c r="I1266" s="70">
        <f t="shared" si="619"/>
        <v>1</v>
      </c>
      <c r="J1266" s="77" t="str">
        <f t="shared" si="619"/>
        <v>Lactuca</v>
      </c>
      <c r="K1266" s="77" t="str">
        <f t="shared" si="619"/>
        <v>inermis</v>
      </c>
      <c r="L1266" s="78">
        <f t="shared" si="619"/>
        <v>7</v>
      </c>
      <c r="M1266" s="78">
        <f t="shared" si="619"/>
        <v>0</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2017</v>
      </c>
      <c r="B1267" s="73" t="str">
        <f t="shared" si="592"/>
        <v>Nov</v>
      </c>
      <c r="C1267" s="74">
        <f t="shared" si="615"/>
        <v>17</v>
      </c>
      <c r="D1267" s="75">
        <f t="shared" si="593"/>
        <v>5</v>
      </c>
      <c r="E1267" s="76">
        <f t="shared" si="594"/>
        <v>22</v>
      </c>
      <c r="F1267" s="80"/>
      <c r="G1267" s="83"/>
      <c r="H1267" s="69" t="str">
        <f t="shared" si="616"/>
        <v>Lacine7_20171117_05_00</v>
      </c>
      <c r="I1267" s="70">
        <f t="shared" si="619"/>
        <v>1</v>
      </c>
      <c r="J1267" s="77" t="str">
        <f t="shared" si="619"/>
        <v>Lactuca</v>
      </c>
      <c r="K1267" s="77" t="str">
        <f t="shared" si="619"/>
        <v>inermis</v>
      </c>
      <c r="L1267" s="78">
        <f t="shared" si="619"/>
        <v>7</v>
      </c>
      <c r="M1267" s="78">
        <f t="shared" si="619"/>
        <v>0</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2017</v>
      </c>
      <c r="B1268" s="73" t="str">
        <f t="shared" si="592"/>
        <v>Nov</v>
      </c>
      <c r="C1268" s="74">
        <f t="shared" si="615"/>
        <v>17</v>
      </c>
      <c r="D1268" s="75">
        <f t="shared" si="593"/>
        <v>5</v>
      </c>
      <c r="E1268" s="76">
        <f t="shared" si="594"/>
        <v>23</v>
      </c>
      <c r="F1268" s="80"/>
      <c r="G1268" s="83"/>
      <c r="H1268" s="69" t="str">
        <f t="shared" si="616"/>
        <v>Lacine7_20171117_05_00</v>
      </c>
      <c r="I1268" s="70">
        <f t="shared" si="619"/>
        <v>1</v>
      </c>
      <c r="J1268" s="77" t="str">
        <f t="shared" si="619"/>
        <v>Lactuca</v>
      </c>
      <c r="K1268" s="77" t="str">
        <f t="shared" si="619"/>
        <v>inermis</v>
      </c>
      <c r="L1268" s="78">
        <f t="shared" si="619"/>
        <v>7</v>
      </c>
      <c r="M1268" s="78">
        <f t="shared" si="619"/>
        <v>0</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2017</v>
      </c>
      <c r="B1269" s="73" t="str">
        <f t="shared" si="592"/>
        <v>Nov</v>
      </c>
      <c r="C1269" s="74">
        <f t="shared" si="615"/>
        <v>17</v>
      </c>
      <c r="D1269" s="75">
        <f t="shared" si="593"/>
        <v>5</v>
      </c>
      <c r="E1269" s="76">
        <f t="shared" si="594"/>
        <v>24</v>
      </c>
      <c r="F1269" s="80"/>
      <c r="G1269" s="83"/>
      <c r="H1269" s="69" t="str">
        <f t="shared" si="616"/>
        <v>Lacine7_20171117_05_00</v>
      </c>
      <c r="I1269" s="70">
        <f t="shared" ref="I1269:N1284" si="620">I1268</f>
        <v>1</v>
      </c>
      <c r="J1269" s="77" t="str">
        <f t="shared" si="620"/>
        <v>Lactuca</v>
      </c>
      <c r="K1269" s="77" t="str">
        <f t="shared" si="620"/>
        <v>inermis</v>
      </c>
      <c r="L1269" s="78">
        <f t="shared" si="620"/>
        <v>7</v>
      </c>
      <c r="M1269" s="78">
        <f t="shared" si="620"/>
        <v>0</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2017</v>
      </c>
      <c r="B1270" s="73" t="str">
        <f t="shared" si="592"/>
        <v>Nov</v>
      </c>
      <c r="C1270" s="74">
        <f t="shared" si="615"/>
        <v>17</v>
      </c>
      <c r="D1270" s="75">
        <f t="shared" si="593"/>
        <v>5</v>
      </c>
      <c r="E1270" s="76">
        <f t="shared" si="594"/>
        <v>25</v>
      </c>
      <c r="F1270" s="80"/>
      <c r="G1270" s="83"/>
      <c r="H1270" s="69" t="str">
        <f t="shared" si="616"/>
        <v>Lacine7_20171117_05_00</v>
      </c>
      <c r="I1270" s="70">
        <f t="shared" si="620"/>
        <v>1</v>
      </c>
      <c r="J1270" s="77" t="str">
        <f t="shared" si="620"/>
        <v>Lactuca</v>
      </c>
      <c r="K1270" s="77" t="str">
        <f t="shared" si="620"/>
        <v>inermis</v>
      </c>
      <c r="L1270" s="78">
        <f t="shared" si="620"/>
        <v>7</v>
      </c>
      <c r="M1270" s="78">
        <f t="shared" si="620"/>
        <v>0</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2017</v>
      </c>
      <c r="B1271" s="73" t="str">
        <f t="shared" si="592"/>
        <v>Nov</v>
      </c>
      <c r="C1271" s="74">
        <f t="shared" si="615"/>
        <v>17</v>
      </c>
      <c r="D1271" s="75">
        <f t="shared" si="593"/>
        <v>5</v>
      </c>
      <c r="E1271" s="76">
        <f t="shared" si="594"/>
        <v>26</v>
      </c>
      <c r="F1271" s="80"/>
      <c r="G1271" s="83"/>
      <c r="H1271" s="69" t="str">
        <f t="shared" si="616"/>
        <v>Lacine7_20171117_05_00</v>
      </c>
      <c r="I1271" s="70">
        <f t="shared" si="620"/>
        <v>1</v>
      </c>
      <c r="J1271" s="77" t="str">
        <f t="shared" si="620"/>
        <v>Lactuca</v>
      </c>
      <c r="K1271" s="77" t="str">
        <f t="shared" si="620"/>
        <v>inermis</v>
      </c>
      <c r="L1271" s="78">
        <f t="shared" si="620"/>
        <v>7</v>
      </c>
      <c r="M1271" s="78">
        <f t="shared" si="620"/>
        <v>0</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2017</v>
      </c>
      <c r="B1272" s="73" t="str">
        <f t="shared" si="592"/>
        <v>Nov</v>
      </c>
      <c r="C1272" s="74">
        <f t="shared" si="615"/>
        <v>17</v>
      </c>
      <c r="D1272" s="75">
        <f t="shared" si="593"/>
        <v>5</v>
      </c>
      <c r="E1272" s="76">
        <f t="shared" si="594"/>
        <v>27</v>
      </c>
      <c r="F1272" s="80"/>
      <c r="G1272" s="83"/>
      <c r="H1272" s="69" t="str">
        <f t="shared" si="616"/>
        <v>Lacine7_20171117_05_00</v>
      </c>
      <c r="I1272" s="70">
        <f t="shared" si="620"/>
        <v>1</v>
      </c>
      <c r="J1272" s="77" t="str">
        <f t="shared" si="620"/>
        <v>Lactuca</v>
      </c>
      <c r="K1272" s="77" t="str">
        <f t="shared" si="620"/>
        <v>inermis</v>
      </c>
      <c r="L1272" s="78">
        <f t="shared" si="620"/>
        <v>7</v>
      </c>
      <c r="M1272" s="78">
        <f t="shared" si="620"/>
        <v>0</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2017</v>
      </c>
      <c r="B1273" s="73" t="str">
        <f t="shared" si="592"/>
        <v>Nov</v>
      </c>
      <c r="C1273" s="74">
        <f t="shared" si="615"/>
        <v>17</v>
      </c>
      <c r="D1273" s="75">
        <f t="shared" si="593"/>
        <v>5</v>
      </c>
      <c r="E1273" s="76">
        <f t="shared" si="594"/>
        <v>28</v>
      </c>
      <c r="F1273" s="80"/>
      <c r="G1273" s="83"/>
      <c r="H1273" s="69" t="str">
        <f t="shared" si="616"/>
        <v>Lacine7_20171117_05_00</v>
      </c>
      <c r="I1273" s="70">
        <f t="shared" si="620"/>
        <v>1</v>
      </c>
      <c r="J1273" s="77" t="str">
        <f t="shared" si="620"/>
        <v>Lactuca</v>
      </c>
      <c r="K1273" s="77" t="str">
        <f t="shared" si="620"/>
        <v>inermis</v>
      </c>
      <c r="L1273" s="78">
        <f t="shared" si="620"/>
        <v>7</v>
      </c>
      <c r="M1273" s="78">
        <f t="shared" si="620"/>
        <v>0</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2017</v>
      </c>
      <c r="B1274" s="73" t="str">
        <f t="shared" si="592"/>
        <v>Nov</v>
      </c>
      <c r="C1274" s="74">
        <f t="shared" si="615"/>
        <v>17</v>
      </c>
      <c r="D1274" s="75">
        <f t="shared" si="593"/>
        <v>5</v>
      </c>
      <c r="E1274" s="76">
        <f t="shared" si="594"/>
        <v>29</v>
      </c>
      <c r="F1274" s="80"/>
      <c r="G1274" s="83"/>
      <c r="H1274" s="69" t="str">
        <f t="shared" si="616"/>
        <v>Lacine7_20171117_05_00</v>
      </c>
      <c r="I1274" s="70">
        <f t="shared" si="620"/>
        <v>1</v>
      </c>
      <c r="J1274" s="77" t="str">
        <f t="shared" si="620"/>
        <v>Lactuca</v>
      </c>
      <c r="K1274" s="77" t="str">
        <f t="shared" si="620"/>
        <v>inermis</v>
      </c>
      <c r="L1274" s="78">
        <f t="shared" si="620"/>
        <v>7</v>
      </c>
      <c r="M1274" s="78">
        <f t="shared" si="620"/>
        <v>0</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2017</v>
      </c>
      <c r="B1275" s="73" t="str">
        <f t="shared" si="592"/>
        <v>Nov</v>
      </c>
      <c r="C1275" s="74">
        <f t="shared" si="615"/>
        <v>17</v>
      </c>
      <c r="D1275" s="75">
        <f t="shared" si="593"/>
        <v>5</v>
      </c>
      <c r="E1275" s="76">
        <f t="shared" si="594"/>
        <v>30</v>
      </c>
      <c r="F1275" s="80"/>
      <c r="G1275" s="83"/>
      <c r="H1275" s="69" t="str">
        <f t="shared" si="616"/>
        <v>Lacine7_20171117_05_00</v>
      </c>
      <c r="I1275" s="70">
        <f t="shared" si="620"/>
        <v>1</v>
      </c>
      <c r="J1275" s="77" t="str">
        <f t="shared" si="620"/>
        <v>Lactuca</v>
      </c>
      <c r="K1275" s="77" t="str">
        <f t="shared" si="620"/>
        <v>inermis</v>
      </c>
      <c r="L1275" s="78">
        <f t="shared" si="620"/>
        <v>7</v>
      </c>
      <c r="M1275" s="78">
        <f t="shared" si="620"/>
        <v>0</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2017</v>
      </c>
      <c r="B1276" s="73" t="str">
        <f t="shared" si="592"/>
        <v>Nov</v>
      </c>
      <c r="C1276" s="74">
        <f t="shared" si="615"/>
        <v>17</v>
      </c>
      <c r="D1276" s="75">
        <f t="shared" si="593"/>
        <v>5</v>
      </c>
      <c r="E1276" s="76">
        <f t="shared" si="594"/>
        <v>31</v>
      </c>
      <c r="F1276" s="80"/>
      <c r="G1276" s="83"/>
      <c r="H1276" s="69" t="str">
        <f t="shared" si="616"/>
        <v>Lacine7_20171117_05_00</v>
      </c>
      <c r="I1276" s="70">
        <f t="shared" si="620"/>
        <v>1</v>
      </c>
      <c r="J1276" s="77" t="str">
        <f t="shared" si="620"/>
        <v>Lactuca</v>
      </c>
      <c r="K1276" s="77" t="str">
        <f t="shared" si="620"/>
        <v>inermis</v>
      </c>
      <c r="L1276" s="78">
        <f t="shared" si="620"/>
        <v>7</v>
      </c>
      <c r="M1276" s="78">
        <f t="shared" si="620"/>
        <v>0</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2017</v>
      </c>
      <c r="B1277" s="73" t="str">
        <f t="shared" si="592"/>
        <v>Nov</v>
      </c>
      <c r="C1277" s="74">
        <f t="shared" si="615"/>
        <v>17</v>
      </c>
      <c r="D1277" s="75">
        <f t="shared" si="593"/>
        <v>5</v>
      </c>
      <c r="E1277" s="76">
        <f t="shared" si="594"/>
        <v>32</v>
      </c>
      <c r="F1277" s="80"/>
      <c r="G1277" s="83"/>
      <c r="H1277" s="69" t="str">
        <f t="shared" si="616"/>
        <v>Lacine7_20171117_05_00</v>
      </c>
      <c r="I1277" s="70">
        <f t="shared" si="620"/>
        <v>1</v>
      </c>
      <c r="J1277" s="77" t="str">
        <f t="shared" si="620"/>
        <v>Lactuca</v>
      </c>
      <c r="K1277" s="77" t="str">
        <f t="shared" si="620"/>
        <v>inermis</v>
      </c>
      <c r="L1277" s="78">
        <f t="shared" si="620"/>
        <v>7</v>
      </c>
      <c r="M1277" s="78">
        <f t="shared" si="620"/>
        <v>0</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2017</v>
      </c>
      <c r="B1278" s="73" t="str">
        <f t="shared" si="592"/>
        <v>Nov</v>
      </c>
      <c r="C1278" s="74">
        <f t="shared" si="615"/>
        <v>17</v>
      </c>
      <c r="D1278" s="75">
        <f t="shared" si="593"/>
        <v>5</v>
      </c>
      <c r="E1278" s="76">
        <f t="shared" si="594"/>
        <v>33</v>
      </c>
      <c r="F1278" s="80"/>
      <c r="G1278" s="83"/>
      <c r="H1278" s="69" t="str">
        <f t="shared" si="616"/>
        <v>Lacine7_20171117_05_00</v>
      </c>
      <c r="I1278" s="70">
        <f t="shared" si="620"/>
        <v>1</v>
      </c>
      <c r="J1278" s="77" t="str">
        <f t="shared" si="620"/>
        <v>Lactuca</v>
      </c>
      <c r="K1278" s="77" t="str">
        <f t="shared" si="620"/>
        <v>inermis</v>
      </c>
      <c r="L1278" s="78">
        <f t="shared" si="620"/>
        <v>7</v>
      </c>
      <c r="M1278" s="78">
        <f t="shared" si="620"/>
        <v>0</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2017</v>
      </c>
      <c r="B1279" s="73" t="str">
        <f t="shared" si="592"/>
        <v>Nov</v>
      </c>
      <c r="C1279" s="74">
        <f t="shared" si="615"/>
        <v>17</v>
      </c>
      <c r="D1279" s="75">
        <f t="shared" si="593"/>
        <v>5</v>
      </c>
      <c r="E1279" s="76">
        <f t="shared" si="594"/>
        <v>34</v>
      </c>
      <c r="F1279" s="80"/>
      <c r="G1279" s="83"/>
      <c r="H1279" s="69" t="str">
        <f t="shared" si="616"/>
        <v>Lacine7_20171117_05_00</v>
      </c>
      <c r="I1279" s="70">
        <f t="shared" si="620"/>
        <v>1</v>
      </c>
      <c r="J1279" s="77" t="str">
        <f t="shared" si="620"/>
        <v>Lactuca</v>
      </c>
      <c r="K1279" s="77" t="str">
        <f t="shared" si="620"/>
        <v>inermis</v>
      </c>
      <c r="L1279" s="78">
        <f t="shared" si="620"/>
        <v>7</v>
      </c>
      <c r="M1279" s="78">
        <f t="shared" si="620"/>
        <v>0</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2017</v>
      </c>
      <c r="B1280" s="73" t="str">
        <f t="shared" si="592"/>
        <v>Nov</v>
      </c>
      <c r="C1280" s="74">
        <f t="shared" si="615"/>
        <v>17</v>
      </c>
      <c r="D1280" s="75">
        <f t="shared" si="593"/>
        <v>5</v>
      </c>
      <c r="E1280" s="76">
        <f t="shared" si="594"/>
        <v>35</v>
      </c>
      <c r="F1280" s="80"/>
      <c r="G1280" s="83"/>
      <c r="H1280" s="69" t="str">
        <f t="shared" si="616"/>
        <v>Lacine7_20171117_05_00</v>
      </c>
      <c r="I1280" s="70">
        <f t="shared" si="620"/>
        <v>1</v>
      </c>
      <c r="J1280" s="77" t="str">
        <f t="shared" si="620"/>
        <v>Lactuca</v>
      </c>
      <c r="K1280" s="77" t="str">
        <f t="shared" si="620"/>
        <v>inermis</v>
      </c>
      <c r="L1280" s="78">
        <f t="shared" si="620"/>
        <v>7</v>
      </c>
      <c r="M1280" s="78">
        <f t="shared" si="620"/>
        <v>0</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2017</v>
      </c>
      <c r="B1281" s="73" t="str">
        <f t="shared" si="592"/>
        <v>Nov</v>
      </c>
      <c r="C1281" s="74">
        <f t="shared" si="615"/>
        <v>17</v>
      </c>
      <c r="D1281" s="75">
        <f t="shared" si="593"/>
        <v>5</v>
      </c>
      <c r="E1281" s="76">
        <f t="shared" si="594"/>
        <v>36</v>
      </c>
      <c r="F1281" s="80"/>
      <c r="G1281" s="83"/>
      <c r="H1281" s="69" t="str">
        <f t="shared" si="616"/>
        <v>Lacine7_20171117_05_00</v>
      </c>
      <c r="I1281" s="70">
        <f t="shared" si="620"/>
        <v>1</v>
      </c>
      <c r="J1281" s="77" t="str">
        <f t="shared" si="620"/>
        <v>Lactuca</v>
      </c>
      <c r="K1281" s="77" t="str">
        <f t="shared" si="620"/>
        <v>inermis</v>
      </c>
      <c r="L1281" s="78">
        <f t="shared" si="620"/>
        <v>7</v>
      </c>
      <c r="M1281" s="78">
        <f t="shared" si="620"/>
        <v>0</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2017</v>
      </c>
      <c r="B1282" s="73" t="str">
        <f t="shared" si="592"/>
        <v>Nov</v>
      </c>
      <c r="C1282" s="74">
        <f t="shared" si="615"/>
        <v>17</v>
      </c>
      <c r="D1282" s="75">
        <f t="shared" si="593"/>
        <v>5</v>
      </c>
      <c r="E1282" s="76">
        <f t="shared" si="594"/>
        <v>37</v>
      </c>
      <c r="F1282" s="80"/>
      <c r="G1282" s="83"/>
      <c r="H1282" s="69" t="str">
        <f t="shared" si="616"/>
        <v>Lacine7_20171117_05_00</v>
      </c>
      <c r="I1282" s="70">
        <f t="shared" si="620"/>
        <v>1</v>
      </c>
      <c r="J1282" s="77" t="str">
        <f t="shared" si="620"/>
        <v>Lactuca</v>
      </c>
      <c r="K1282" s="77" t="str">
        <f t="shared" si="620"/>
        <v>inermis</v>
      </c>
      <c r="L1282" s="78">
        <f t="shared" si="620"/>
        <v>7</v>
      </c>
      <c r="M1282" s="78">
        <f t="shared" si="620"/>
        <v>0</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2017</v>
      </c>
      <c r="B1283" s="73" t="str">
        <f t="shared" si="592"/>
        <v>Nov</v>
      </c>
      <c r="C1283" s="74">
        <f t="shared" si="615"/>
        <v>17</v>
      </c>
      <c r="D1283" s="75">
        <f t="shared" si="593"/>
        <v>5</v>
      </c>
      <c r="E1283" s="76">
        <f t="shared" si="594"/>
        <v>38</v>
      </c>
      <c r="F1283" s="80"/>
      <c r="G1283" s="83"/>
      <c r="H1283" s="69" t="str">
        <f t="shared" si="616"/>
        <v>Lacine7_20171117_05_00</v>
      </c>
      <c r="I1283" s="70">
        <f t="shared" si="620"/>
        <v>1</v>
      </c>
      <c r="J1283" s="77" t="str">
        <f t="shared" si="620"/>
        <v>Lactuca</v>
      </c>
      <c r="K1283" s="77" t="str">
        <f t="shared" si="620"/>
        <v>inermis</v>
      </c>
      <c r="L1283" s="78">
        <f t="shared" si="620"/>
        <v>7</v>
      </c>
      <c r="M1283" s="78">
        <f t="shared" si="620"/>
        <v>0</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2017</v>
      </c>
      <c r="B1284" s="73" t="str">
        <f t="shared" ref="B1284:B1347" si="623">IF(C1283-C1284&gt;0, TEXT(DATE(2016,(MONTH(DATEVALUE(B1283&amp;"1"))+1),1),"mmm"), B1283)</f>
        <v>Nov</v>
      </c>
      <c r="C1284" s="74">
        <f t="shared" si="615"/>
        <v>17</v>
      </c>
      <c r="D1284" s="75">
        <f t="shared" ref="D1284:D1347" si="624">IF(IF(E1283=59,D1283+1,D1283)=24,0,IF(E1283=59,D1283+1,D1283))</f>
        <v>5</v>
      </c>
      <c r="E1284" s="76">
        <f t="shared" ref="E1284:E1347" si="625">IF(E1283&lt;59,E1283+1,0)</f>
        <v>39</v>
      </c>
      <c r="F1284" s="80"/>
      <c r="G1284" s="83"/>
      <c r="H1284" s="69" t="str">
        <f t="shared" si="616"/>
        <v>Lacine7_20171117_05_00</v>
      </c>
      <c r="I1284" s="70">
        <f t="shared" si="620"/>
        <v>1</v>
      </c>
      <c r="J1284" s="77" t="str">
        <f t="shared" si="620"/>
        <v>Lactuca</v>
      </c>
      <c r="K1284" s="77" t="str">
        <f t="shared" si="620"/>
        <v>inermis</v>
      </c>
      <c r="L1284" s="78">
        <f t="shared" si="620"/>
        <v>7</v>
      </c>
      <c r="M1284" s="78">
        <f t="shared" si="620"/>
        <v>0</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2017</v>
      </c>
      <c r="B1285" s="73" t="str">
        <f t="shared" si="623"/>
        <v>Nov</v>
      </c>
      <c r="C1285" s="74">
        <f t="shared" ref="C1285:C1348" si="646">IF(AND(D1285=0, E1285=0), IF(TEXT(C1284,"dd")=TEXT(EOMONTH(DATE(A1284,MONTH(DATEVALUE(B1284&amp;"1")),C1284),0), "dd"), 1, C1284+1), C1284)</f>
        <v>17</v>
      </c>
      <c r="D1285" s="75">
        <f t="shared" si="624"/>
        <v>5</v>
      </c>
      <c r="E1285" s="76">
        <f t="shared" si="625"/>
        <v>40</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Lacine7_20171117_05_00</v>
      </c>
      <c r="I1285" s="70">
        <f t="shared" ref="I1285:N1300" si="648">I1284</f>
        <v>1</v>
      </c>
      <c r="J1285" s="77" t="str">
        <f t="shared" si="648"/>
        <v>Lactuca</v>
      </c>
      <c r="K1285" s="77" t="str">
        <f t="shared" si="648"/>
        <v>inermis</v>
      </c>
      <c r="L1285" s="78">
        <f t="shared" si="648"/>
        <v>7</v>
      </c>
      <c r="M1285" s="78">
        <f t="shared" si="648"/>
        <v>0</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2017</v>
      </c>
      <c r="B1286" s="73" t="str">
        <f t="shared" si="623"/>
        <v>Nov</v>
      </c>
      <c r="C1286" s="74">
        <f t="shared" si="646"/>
        <v>17</v>
      </c>
      <c r="D1286" s="75">
        <f t="shared" si="624"/>
        <v>5</v>
      </c>
      <c r="E1286" s="76">
        <f t="shared" si="625"/>
        <v>41</v>
      </c>
      <c r="F1286" s="80"/>
      <c r="G1286" s="83"/>
      <c r="H1286" s="69" t="str">
        <f t="shared" si="647"/>
        <v>Lacine7_20171117_05_00</v>
      </c>
      <c r="I1286" s="70">
        <f t="shared" si="648"/>
        <v>1</v>
      </c>
      <c r="J1286" s="77" t="str">
        <f t="shared" si="648"/>
        <v>Lactuca</v>
      </c>
      <c r="K1286" s="77" t="str">
        <f t="shared" si="648"/>
        <v>inermis</v>
      </c>
      <c r="L1286" s="78">
        <f t="shared" si="648"/>
        <v>7</v>
      </c>
      <c r="M1286" s="78">
        <f t="shared" si="648"/>
        <v>0</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2017</v>
      </c>
      <c r="B1287" s="73" t="str">
        <f t="shared" si="623"/>
        <v>Nov</v>
      </c>
      <c r="C1287" s="74">
        <f t="shared" si="646"/>
        <v>17</v>
      </c>
      <c r="D1287" s="75">
        <f t="shared" si="624"/>
        <v>5</v>
      </c>
      <c r="E1287" s="76">
        <f t="shared" si="625"/>
        <v>42</v>
      </c>
      <c r="F1287" s="80"/>
      <c r="G1287" s="83"/>
      <c r="H1287" s="69" t="str">
        <f t="shared" si="647"/>
        <v>Lacine7_20171117_05_00</v>
      </c>
      <c r="I1287" s="70">
        <f t="shared" si="648"/>
        <v>1</v>
      </c>
      <c r="J1287" s="77" t="str">
        <f t="shared" si="648"/>
        <v>Lactuca</v>
      </c>
      <c r="K1287" s="77" t="str">
        <f t="shared" si="648"/>
        <v>inermis</v>
      </c>
      <c r="L1287" s="78">
        <f t="shared" si="648"/>
        <v>7</v>
      </c>
      <c r="M1287" s="78">
        <f t="shared" si="648"/>
        <v>0</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2017</v>
      </c>
      <c r="B1288" s="73" t="str">
        <f t="shared" si="623"/>
        <v>Nov</v>
      </c>
      <c r="C1288" s="74">
        <f t="shared" si="646"/>
        <v>17</v>
      </c>
      <c r="D1288" s="75">
        <f t="shared" si="624"/>
        <v>5</v>
      </c>
      <c r="E1288" s="76">
        <f t="shared" si="625"/>
        <v>43</v>
      </c>
      <c r="F1288" s="80"/>
      <c r="G1288" s="83"/>
      <c r="H1288" s="69" t="str">
        <f t="shared" si="647"/>
        <v>Lacine7_20171117_05_00</v>
      </c>
      <c r="I1288" s="70">
        <f t="shared" si="648"/>
        <v>1</v>
      </c>
      <c r="J1288" s="77" t="str">
        <f t="shared" si="648"/>
        <v>Lactuca</v>
      </c>
      <c r="K1288" s="77" t="str">
        <f t="shared" si="648"/>
        <v>inermis</v>
      </c>
      <c r="L1288" s="78">
        <f t="shared" si="648"/>
        <v>7</v>
      </c>
      <c r="M1288" s="78">
        <f t="shared" si="648"/>
        <v>0</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2017</v>
      </c>
      <c r="B1289" s="73" t="str">
        <f t="shared" si="623"/>
        <v>Nov</v>
      </c>
      <c r="C1289" s="74">
        <f t="shared" si="646"/>
        <v>17</v>
      </c>
      <c r="D1289" s="75">
        <f t="shared" si="624"/>
        <v>5</v>
      </c>
      <c r="E1289" s="76">
        <f t="shared" si="625"/>
        <v>44</v>
      </c>
      <c r="F1289" s="80"/>
      <c r="G1289" s="83"/>
      <c r="H1289" s="69" t="str">
        <f t="shared" si="647"/>
        <v>Lacine7_20171117_05_00</v>
      </c>
      <c r="I1289" s="70">
        <f t="shared" si="648"/>
        <v>1</v>
      </c>
      <c r="J1289" s="77" t="str">
        <f t="shared" si="648"/>
        <v>Lactuca</v>
      </c>
      <c r="K1289" s="77" t="str">
        <f t="shared" si="648"/>
        <v>inermis</v>
      </c>
      <c r="L1289" s="78">
        <f t="shared" si="648"/>
        <v>7</v>
      </c>
      <c r="M1289" s="78">
        <f t="shared" si="648"/>
        <v>0</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2017</v>
      </c>
      <c r="B1290" s="73" t="str">
        <f t="shared" si="623"/>
        <v>Nov</v>
      </c>
      <c r="C1290" s="74">
        <f t="shared" si="646"/>
        <v>17</v>
      </c>
      <c r="D1290" s="75">
        <f t="shared" si="624"/>
        <v>5</v>
      </c>
      <c r="E1290" s="76">
        <f t="shared" si="625"/>
        <v>45</v>
      </c>
      <c r="F1290" s="80"/>
      <c r="G1290" s="83"/>
      <c r="H1290" s="69" t="str">
        <f t="shared" si="647"/>
        <v>Lacine7_20171117_05_00</v>
      </c>
      <c r="I1290" s="70">
        <f t="shared" si="648"/>
        <v>1</v>
      </c>
      <c r="J1290" s="77" t="str">
        <f t="shared" si="648"/>
        <v>Lactuca</v>
      </c>
      <c r="K1290" s="77" t="str">
        <f t="shared" si="648"/>
        <v>inermis</v>
      </c>
      <c r="L1290" s="78">
        <f t="shared" si="648"/>
        <v>7</v>
      </c>
      <c r="M1290" s="78">
        <f t="shared" si="648"/>
        <v>0</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2017</v>
      </c>
      <c r="B1291" s="73" t="str">
        <f t="shared" si="623"/>
        <v>Nov</v>
      </c>
      <c r="C1291" s="74">
        <f t="shared" si="646"/>
        <v>17</v>
      </c>
      <c r="D1291" s="75">
        <f t="shared" si="624"/>
        <v>5</v>
      </c>
      <c r="E1291" s="76">
        <f t="shared" si="625"/>
        <v>46</v>
      </c>
      <c r="F1291" s="80"/>
      <c r="G1291" s="83"/>
      <c r="H1291" s="69" t="str">
        <f t="shared" si="647"/>
        <v>Lacine7_20171117_05_00</v>
      </c>
      <c r="I1291" s="70">
        <f t="shared" si="648"/>
        <v>1</v>
      </c>
      <c r="J1291" s="77" t="str">
        <f t="shared" si="648"/>
        <v>Lactuca</v>
      </c>
      <c r="K1291" s="77" t="str">
        <f t="shared" si="648"/>
        <v>inermis</v>
      </c>
      <c r="L1291" s="78">
        <f t="shared" si="648"/>
        <v>7</v>
      </c>
      <c r="M1291" s="78">
        <f t="shared" si="648"/>
        <v>0</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2017</v>
      </c>
      <c r="B1292" s="73" t="str">
        <f t="shared" si="623"/>
        <v>Nov</v>
      </c>
      <c r="C1292" s="74">
        <f t="shared" si="646"/>
        <v>17</v>
      </c>
      <c r="D1292" s="75">
        <f t="shared" si="624"/>
        <v>5</v>
      </c>
      <c r="E1292" s="76">
        <f t="shared" si="625"/>
        <v>47</v>
      </c>
      <c r="F1292" s="80"/>
      <c r="G1292" s="83"/>
      <c r="H1292" s="69" t="str">
        <f t="shared" si="647"/>
        <v>Lacine7_20171117_05_00</v>
      </c>
      <c r="I1292" s="70">
        <f t="shared" si="648"/>
        <v>1</v>
      </c>
      <c r="J1292" s="77" t="str">
        <f t="shared" si="648"/>
        <v>Lactuca</v>
      </c>
      <c r="K1292" s="77" t="str">
        <f t="shared" si="648"/>
        <v>inermis</v>
      </c>
      <c r="L1292" s="78">
        <f t="shared" si="648"/>
        <v>7</v>
      </c>
      <c r="M1292" s="78">
        <f t="shared" si="648"/>
        <v>0</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2017</v>
      </c>
      <c r="B1293" s="73" t="str">
        <f t="shared" si="623"/>
        <v>Nov</v>
      </c>
      <c r="C1293" s="74">
        <f t="shared" si="646"/>
        <v>17</v>
      </c>
      <c r="D1293" s="75">
        <f t="shared" si="624"/>
        <v>5</v>
      </c>
      <c r="E1293" s="76">
        <f t="shared" si="625"/>
        <v>48</v>
      </c>
      <c r="F1293" s="80"/>
      <c r="G1293" s="83"/>
      <c r="H1293" s="69" t="str">
        <f t="shared" si="647"/>
        <v>Lacine7_20171117_05_00</v>
      </c>
      <c r="I1293" s="70">
        <f t="shared" si="648"/>
        <v>1</v>
      </c>
      <c r="J1293" s="77" t="str">
        <f t="shared" si="648"/>
        <v>Lactuca</v>
      </c>
      <c r="K1293" s="77" t="str">
        <f t="shared" si="648"/>
        <v>inermis</v>
      </c>
      <c r="L1293" s="78">
        <f t="shared" si="648"/>
        <v>7</v>
      </c>
      <c r="M1293" s="78">
        <f t="shared" si="648"/>
        <v>0</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2017</v>
      </c>
      <c r="B1294" s="73" t="str">
        <f t="shared" si="623"/>
        <v>Nov</v>
      </c>
      <c r="C1294" s="74">
        <f t="shared" si="646"/>
        <v>17</v>
      </c>
      <c r="D1294" s="75">
        <f t="shared" si="624"/>
        <v>5</v>
      </c>
      <c r="E1294" s="76">
        <f t="shared" si="625"/>
        <v>49</v>
      </c>
      <c r="F1294" s="80"/>
      <c r="G1294" s="83"/>
      <c r="H1294" s="69" t="str">
        <f t="shared" si="647"/>
        <v>Lacine7_20171117_05_00</v>
      </c>
      <c r="I1294" s="70">
        <f t="shared" si="648"/>
        <v>1</v>
      </c>
      <c r="J1294" s="77" t="str">
        <f t="shared" si="648"/>
        <v>Lactuca</v>
      </c>
      <c r="K1294" s="77" t="str">
        <f t="shared" si="648"/>
        <v>inermis</v>
      </c>
      <c r="L1294" s="78">
        <f t="shared" si="648"/>
        <v>7</v>
      </c>
      <c r="M1294" s="78">
        <f t="shared" si="648"/>
        <v>0</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2017</v>
      </c>
      <c r="B1295" s="73" t="str">
        <f t="shared" si="623"/>
        <v>Nov</v>
      </c>
      <c r="C1295" s="74">
        <f t="shared" si="646"/>
        <v>17</v>
      </c>
      <c r="D1295" s="75">
        <f t="shared" si="624"/>
        <v>5</v>
      </c>
      <c r="E1295" s="76">
        <f t="shared" si="625"/>
        <v>50</v>
      </c>
      <c r="F1295" s="80"/>
      <c r="G1295" s="83"/>
      <c r="H1295" s="69" t="str">
        <f t="shared" si="647"/>
        <v>Lacine7_20171117_05_00</v>
      </c>
      <c r="I1295" s="70">
        <f t="shared" si="648"/>
        <v>1</v>
      </c>
      <c r="J1295" s="77" t="str">
        <f t="shared" si="648"/>
        <v>Lactuca</v>
      </c>
      <c r="K1295" s="77" t="str">
        <f t="shared" si="648"/>
        <v>inermis</v>
      </c>
      <c r="L1295" s="78">
        <f t="shared" si="648"/>
        <v>7</v>
      </c>
      <c r="M1295" s="78">
        <f t="shared" si="648"/>
        <v>0</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2017</v>
      </c>
      <c r="B1296" s="73" t="str">
        <f t="shared" si="623"/>
        <v>Nov</v>
      </c>
      <c r="C1296" s="74">
        <f t="shared" si="646"/>
        <v>17</v>
      </c>
      <c r="D1296" s="75">
        <f t="shared" si="624"/>
        <v>5</v>
      </c>
      <c r="E1296" s="76">
        <f t="shared" si="625"/>
        <v>51</v>
      </c>
      <c r="F1296" s="80"/>
      <c r="G1296" s="83"/>
      <c r="H1296" s="69" t="str">
        <f t="shared" si="647"/>
        <v>Lacine7_20171117_05_00</v>
      </c>
      <c r="I1296" s="70">
        <f t="shared" si="648"/>
        <v>1</v>
      </c>
      <c r="J1296" s="77" t="str">
        <f t="shared" si="648"/>
        <v>Lactuca</v>
      </c>
      <c r="K1296" s="77" t="str">
        <f t="shared" si="648"/>
        <v>inermis</v>
      </c>
      <c r="L1296" s="78">
        <f t="shared" si="648"/>
        <v>7</v>
      </c>
      <c r="M1296" s="78">
        <f t="shared" si="648"/>
        <v>0</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2017</v>
      </c>
      <c r="B1297" s="73" t="str">
        <f t="shared" si="623"/>
        <v>Nov</v>
      </c>
      <c r="C1297" s="74">
        <f t="shared" si="646"/>
        <v>17</v>
      </c>
      <c r="D1297" s="75">
        <f t="shared" si="624"/>
        <v>5</v>
      </c>
      <c r="E1297" s="76">
        <f t="shared" si="625"/>
        <v>52</v>
      </c>
      <c r="F1297" s="80"/>
      <c r="G1297" s="83"/>
      <c r="H1297" s="69" t="str">
        <f t="shared" si="647"/>
        <v>Lacine7_20171117_05_00</v>
      </c>
      <c r="I1297" s="70">
        <f t="shared" si="648"/>
        <v>1</v>
      </c>
      <c r="J1297" s="77" t="str">
        <f t="shared" si="648"/>
        <v>Lactuca</v>
      </c>
      <c r="K1297" s="77" t="str">
        <f t="shared" si="648"/>
        <v>inermis</v>
      </c>
      <c r="L1297" s="78">
        <f t="shared" si="648"/>
        <v>7</v>
      </c>
      <c r="M1297" s="78">
        <f t="shared" si="648"/>
        <v>0</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2017</v>
      </c>
      <c r="B1298" s="73" t="str">
        <f t="shared" si="623"/>
        <v>Nov</v>
      </c>
      <c r="C1298" s="74">
        <f t="shared" si="646"/>
        <v>17</v>
      </c>
      <c r="D1298" s="75">
        <f t="shared" si="624"/>
        <v>5</v>
      </c>
      <c r="E1298" s="76">
        <f t="shared" si="625"/>
        <v>53</v>
      </c>
      <c r="F1298" s="80"/>
      <c r="G1298" s="83"/>
      <c r="H1298" s="69" t="str">
        <f t="shared" si="647"/>
        <v>Lacine7_20171117_05_00</v>
      </c>
      <c r="I1298" s="70">
        <f t="shared" si="648"/>
        <v>1</v>
      </c>
      <c r="J1298" s="77" t="str">
        <f t="shared" si="648"/>
        <v>Lactuca</v>
      </c>
      <c r="K1298" s="77" t="str">
        <f t="shared" si="648"/>
        <v>inermis</v>
      </c>
      <c r="L1298" s="78">
        <f t="shared" si="648"/>
        <v>7</v>
      </c>
      <c r="M1298" s="78">
        <f t="shared" si="648"/>
        <v>0</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2017</v>
      </c>
      <c r="B1299" s="73" t="str">
        <f t="shared" si="623"/>
        <v>Nov</v>
      </c>
      <c r="C1299" s="74">
        <f t="shared" si="646"/>
        <v>17</v>
      </c>
      <c r="D1299" s="75">
        <f t="shared" si="624"/>
        <v>5</v>
      </c>
      <c r="E1299" s="76">
        <f t="shared" si="625"/>
        <v>54</v>
      </c>
      <c r="F1299" s="80"/>
      <c r="G1299" s="83"/>
      <c r="H1299" s="69" t="str">
        <f t="shared" si="647"/>
        <v>Lacine7_20171117_05_00</v>
      </c>
      <c r="I1299" s="70">
        <f t="shared" si="648"/>
        <v>1</v>
      </c>
      <c r="J1299" s="77" t="str">
        <f t="shared" si="648"/>
        <v>Lactuca</v>
      </c>
      <c r="K1299" s="77" t="str">
        <f t="shared" si="648"/>
        <v>inermis</v>
      </c>
      <c r="L1299" s="78">
        <f t="shared" si="648"/>
        <v>7</v>
      </c>
      <c r="M1299" s="78">
        <f t="shared" si="648"/>
        <v>0</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2017</v>
      </c>
      <c r="B1300" s="73" t="str">
        <f t="shared" si="623"/>
        <v>Nov</v>
      </c>
      <c r="C1300" s="74">
        <f t="shared" si="646"/>
        <v>17</v>
      </c>
      <c r="D1300" s="75">
        <f t="shared" si="624"/>
        <v>5</v>
      </c>
      <c r="E1300" s="76">
        <f t="shared" si="625"/>
        <v>55</v>
      </c>
      <c r="F1300" s="80"/>
      <c r="G1300" s="83"/>
      <c r="H1300" s="69" t="str">
        <f t="shared" si="647"/>
        <v>Lacine7_20171117_05_00</v>
      </c>
      <c r="I1300" s="70">
        <f t="shared" si="648"/>
        <v>1</v>
      </c>
      <c r="J1300" s="77" t="str">
        <f t="shared" si="648"/>
        <v>Lactuca</v>
      </c>
      <c r="K1300" s="77" t="str">
        <f t="shared" si="648"/>
        <v>inermis</v>
      </c>
      <c r="L1300" s="78">
        <f t="shared" si="648"/>
        <v>7</v>
      </c>
      <c r="M1300" s="78">
        <f t="shared" si="648"/>
        <v>0</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2017</v>
      </c>
      <c r="B1301" s="73" t="str">
        <f t="shared" si="623"/>
        <v>Nov</v>
      </c>
      <c r="C1301" s="74">
        <f t="shared" si="646"/>
        <v>17</v>
      </c>
      <c r="D1301" s="75">
        <f t="shared" si="624"/>
        <v>5</v>
      </c>
      <c r="E1301" s="76">
        <f t="shared" si="625"/>
        <v>56</v>
      </c>
      <c r="F1301" s="80"/>
      <c r="G1301" s="83"/>
      <c r="H1301" s="69" t="str">
        <f t="shared" si="647"/>
        <v>Lacine7_20171117_05_00</v>
      </c>
      <c r="I1301" s="70">
        <f t="shared" ref="I1301:N1316" si="649">I1300</f>
        <v>1</v>
      </c>
      <c r="J1301" s="77" t="str">
        <f t="shared" si="649"/>
        <v>Lactuca</v>
      </c>
      <c r="K1301" s="77" t="str">
        <f t="shared" si="649"/>
        <v>inermis</v>
      </c>
      <c r="L1301" s="78">
        <f t="shared" si="649"/>
        <v>7</v>
      </c>
      <c r="M1301" s="78">
        <f t="shared" si="649"/>
        <v>0</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2017</v>
      </c>
      <c r="B1302" s="73" t="str">
        <f t="shared" si="623"/>
        <v>Nov</v>
      </c>
      <c r="C1302" s="74">
        <f t="shared" si="646"/>
        <v>17</v>
      </c>
      <c r="D1302" s="75">
        <f t="shared" si="624"/>
        <v>5</v>
      </c>
      <c r="E1302" s="76">
        <f t="shared" si="625"/>
        <v>57</v>
      </c>
      <c r="F1302" s="80"/>
      <c r="G1302" s="83"/>
      <c r="H1302" s="69" t="str">
        <f t="shared" si="647"/>
        <v>Lacine7_20171117_05_00</v>
      </c>
      <c r="I1302" s="70">
        <f t="shared" si="649"/>
        <v>1</v>
      </c>
      <c r="J1302" s="77" t="str">
        <f t="shared" si="649"/>
        <v>Lactuca</v>
      </c>
      <c r="K1302" s="77" t="str">
        <f t="shared" si="649"/>
        <v>inermis</v>
      </c>
      <c r="L1302" s="78">
        <f t="shared" si="649"/>
        <v>7</v>
      </c>
      <c r="M1302" s="78">
        <f t="shared" si="649"/>
        <v>0</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2017</v>
      </c>
      <c r="B1303" s="73" t="str">
        <f t="shared" si="623"/>
        <v>Nov</v>
      </c>
      <c r="C1303" s="74">
        <f t="shared" si="646"/>
        <v>17</v>
      </c>
      <c r="D1303" s="75">
        <f t="shared" si="624"/>
        <v>5</v>
      </c>
      <c r="E1303" s="76">
        <f t="shared" si="625"/>
        <v>58</v>
      </c>
      <c r="F1303" s="80"/>
      <c r="G1303" s="83"/>
      <c r="H1303" s="69" t="str">
        <f t="shared" si="647"/>
        <v>Lacine7_20171117_05_00</v>
      </c>
      <c r="I1303" s="70">
        <f t="shared" si="649"/>
        <v>1</v>
      </c>
      <c r="J1303" s="77" t="str">
        <f t="shared" si="649"/>
        <v>Lactuca</v>
      </c>
      <c r="K1303" s="77" t="str">
        <f t="shared" si="649"/>
        <v>inermis</v>
      </c>
      <c r="L1303" s="78">
        <f t="shared" si="649"/>
        <v>7</v>
      </c>
      <c r="M1303" s="78">
        <f t="shared" si="649"/>
        <v>0</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2017</v>
      </c>
      <c r="B1304" s="73" t="str">
        <f t="shared" si="623"/>
        <v>Nov</v>
      </c>
      <c r="C1304" s="74">
        <f t="shared" si="646"/>
        <v>17</v>
      </c>
      <c r="D1304" s="75">
        <f t="shared" si="624"/>
        <v>5</v>
      </c>
      <c r="E1304" s="76">
        <f t="shared" si="625"/>
        <v>59</v>
      </c>
      <c r="F1304" s="80"/>
      <c r="G1304" s="83"/>
      <c r="H1304" s="69" t="str">
        <f t="shared" si="647"/>
        <v>Lacine7_20171117_05_00</v>
      </c>
      <c r="I1304" s="70">
        <f t="shared" si="649"/>
        <v>1</v>
      </c>
      <c r="J1304" s="77" t="str">
        <f t="shared" si="649"/>
        <v>Lactuca</v>
      </c>
      <c r="K1304" s="77" t="str">
        <f t="shared" si="649"/>
        <v>inermis</v>
      </c>
      <c r="L1304" s="78">
        <f t="shared" si="649"/>
        <v>7</v>
      </c>
      <c r="M1304" s="78">
        <f t="shared" si="649"/>
        <v>0</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2017</v>
      </c>
      <c r="B1305" s="73" t="str">
        <f t="shared" si="623"/>
        <v>Nov</v>
      </c>
      <c r="C1305" s="74">
        <f t="shared" si="646"/>
        <v>17</v>
      </c>
      <c r="D1305" s="75">
        <f t="shared" si="624"/>
        <v>6</v>
      </c>
      <c r="E1305" s="76">
        <f t="shared" si="625"/>
        <v>0</v>
      </c>
      <c r="F1305" s="80"/>
      <c r="G1305" s="83"/>
      <c r="H1305" s="69" t="str">
        <f t="shared" si="647"/>
        <v>Lacine7_20171117_06_00</v>
      </c>
      <c r="I1305" s="70">
        <f t="shared" si="649"/>
        <v>1</v>
      </c>
      <c r="J1305" s="77" t="str">
        <f t="shared" si="649"/>
        <v>Lactuca</v>
      </c>
      <c r="K1305" s="77" t="str">
        <f t="shared" si="649"/>
        <v>inermis</v>
      </c>
      <c r="L1305" s="78">
        <f t="shared" si="649"/>
        <v>7</v>
      </c>
      <c r="M1305" s="78">
        <f t="shared" si="649"/>
        <v>0</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2017</v>
      </c>
      <c r="B1306" s="73" t="str">
        <f t="shared" si="623"/>
        <v>Nov</v>
      </c>
      <c r="C1306" s="74">
        <f t="shared" si="646"/>
        <v>17</v>
      </c>
      <c r="D1306" s="75">
        <f t="shared" si="624"/>
        <v>6</v>
      </c>
      <c r="E1306" s="76">
        <f t="shared" si="625"/>
        <v>1</v>
      </c>
      <c r="F1306" s="80"/>
      <c r="G1306" s="83"/>
      <c r="H1306" s="69" t="str">
        <f t="shared" si="647"/>
        <v>Lacine7_20171117_06_00</v>
      </c>
      <c r="I1306" s="70">
        <f t="shared" si="649"/>
        <v>1</v>
      </c>
      <c r="J1306" s="77" t="str">
        <f t="shared" si="649"/>
        <v>Lactuca</v>
      </c>
      <c r="K1306" s="77" t="str">
        <f t="shared" si="649"/>
        <v>inermis</v>
      </c>
      <c r="L1306" s="78">
        <f t="shared" si="649"/>
        <v>7</v>
      </c>
      <c r="M1306" s="78">
        <f t="shared" si="649"/>
        <v>0</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2017</v>
      </c>
      <c r="B1307" s="73" t="str">
        <f t="shared" si="623"/>
        <v>Nov</v>
      </c>
      <c r="C1307" s="74">
        <f t="shared" si="646"/>
        <v>17</v>
      </c>
      <c r="D1307" s="75">
        <f t="shared" si="624"/>
        <v>6</v>
      </c>
      <c r="E1307" s="76">
        <f t="shared" si="625"/>
        <v>2</v>
      </c>
      <c r="F1307" s="80"/>
      <c r="G1307" s="83"/>
      <c r="H1307" s="69" t="str">
        <f t="shared" si="647"/>
        <v>Lacine7_20171117_06_00</v>
      </c>
      <c r="I1307" s="70">
        <f t="shared" si="649"/>
        <v>1</v>
      </c>
      <c r="J1307" s="77" t="str">
        <f t="shared" si="649"/>
        <v>Lactuca</v>
      </c>
      <c r="K1307" s="77" t="str">
        <f t="shared" si="649"/>
        <v>inermis</v>
      </c>
      <c r="L1307" s="78">
        <f t="shared" si="649"/>
        <v>7</v>
      </c>
      <c r="M1307" s="78">
        <f t="shared" si="649"/>
        <v>0</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2017</v>
      </c>
      <c r="B1308" s="73" t="str">
        <f t="shared" si="623"/>
        <v>Nov</v>
      </c>
      <c r="C1308" s="74">
        <f t="shared" si="646"/>
        <v>17</v>
      </c>
      <c r="D1308" s="75">
        <f t="shared" si="624"/>
        <v>6</v>
      </c>
      <c r="E1308" s="76">
        <f t="shared" si="625"/>
        <v>3</v>
      </c>
      <c r="F1308" s="80"/>
      <c r="G1308" s="83"/>
      <c r="H1308" s="69" t="str">
        <f t="shared" si="647"/>
        <v>Lacine7_20171117_06_00</v>
      </c>
      <c r="I1308" s="70">
        <f t="shared" si="649"/>
        <v>1</v>
      </c>
      <c r="J1308" s="77" t="str">
        <f t="shared" si="649"/>
        <v>Lactuca</v>
      </c>
      <c r="K1308" s="77" t="str">
        <f t="shared" si="649"/>
        <v>inermis</v>
      </c>
      <c r="L1308" s="78">
        <f t="shared" si="649"/>
        <v>7</v>
      </c>
      <c r="M1308" s="78">
        <f t="shared" si="649"/>
        <v>0</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2017</v>
      </c>
      <c r="B1309" s="73" t="str">
        <f t="shared" si="623"/>
        <v>Nov</v>
      </c>
      <c r="C1309" s="74">
        <f t="shared" si="646"/>
        <v>17</v>
      </c>
      <c r="D1309" s="75">
        <f t="shared" si="624"/>
        <v>6</v>
      </c>
      <c r="E1309" s="76">
        <f t="shared" si="625"/>
        <v>4</v>
      </c>
      <c r="F1309" s="80"/>
      <c r="G1309" s="83"/>
      <c r="H1309" s="69" t="str">
        <f t="shared" si="647"/>
        <v>Lacine7_20171117_06_00</v>
      </c>
      <c r="I1309" s="70">
        <f t="shared" si="649"/>
        <v>1</v>
      </c>
      <c r="J1309" s="77" t="str">
        <f t="shared" si="649"/>
        <v>Lactuca</v>
      </c>
      <c r="K1309" s="77" t="str">
        <f t="shared" si="649"/>
        <v>inermis</v>
      </c>
      <c r="L1309" s="78">
        <f t="shared" si="649"/>
        <v>7</v>
      </c>
      <c r="M1309" s="78">
        <f t="shared" si="649"/>
        <v>0</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2017</v>
      </c>
      <c r="B1310" s="73" t="str">
        <f t="shared" si="623"/>
        <v>Nov</v>
      </c>
      <c r="C1310" s="74">
        <f t="shared" si="646"/>
        <v>17</v>
      </c>
      <c r="D1310" s="75">
        <f t="shared" si="624"/>
        <v>6</v>
      </c>
      <c r="E1310" s="76">
        <f t="shared" si="625"/>
        <v>5</v>
      </c>
      <c r="F1310" s="80"/>
      <c r="G1310" s="83"/>
      <c r="H1310" s="69" t="str">
        <f t="shared" si="647"/>
        <v>Lacine7_20171117_06_00</v>
      </c>
      <c r="I1310" s="70">
        <f t="shared" si="649"/>
        <v>1</v>
      </c>
      <c r="J1310" s="77" t="str">
        <f t="shared" si="649"/>
        <v>Lactuca</v>
      </c>
      <c r="K1310" s="77" t="str">
        <f t="shared" si="649"/>
        <v>inermis</v>
      </c>
      <c r="L1310" s="78">
        <f t="shared" si="649"/>
        <v>7</v>
      </c>
      <c r="M1310" s="78">
        <f t="shared" si="649"/>
        <v>0</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2017</v>
      </c>
      <c r="B1311" s="73" t="str">
        <f t="shared" si="623"/>
        <v>Nov</v>
      </c>
      <c r="C1311" s="74">
        <f t="shared" si="646"/>
        <v>17</v>
      </c>
      <c r="D1311" s="75">
        <f t="shared" si="624"/>
        <v>6</v>
      </c>
      <c r="E1311" s="76">
        <f t="shared" si="625"/>
        <v>6</v>
      </c>
      <c r="F1311" s="80"/>
      <c r="G1311" s="83"/>
      <c r="H1311" s="69" t="str">
        <f t="shared" si="647"/>
        <v>Lacine7_20171117_06_00</v>
      </c>
      <c r="I1311" s="70">
        <f t="shared" si="649"/>
        <v>1</v>
      </c>
      <c r="J1311" s="77" t="str">
        <f t="shared" si="649"/>
        <v>Lactuca</v>
      </c>
      <c r="K1311" s="77" t="str">
        <f t="shared" si="649"/>
        <v>inermis</v>
      </c>
      <c r="L1311" s="78">
        <f t="shared" si="649"/>
        <v>7</v>
      </c>
      <c r="M1311" s="78">
        <f t="shared" si="649"/>
        <v>0</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2017</v>
      </c>
      <c r="B1312" s="73" t="str">
        <f t="shared" si="623"/>
        <v>Nov</v>
      </c>
      <c r="C1312" s="74">
        <f t="shared" si="646"/>
        <v>17</v>
      </c>
      <c r="D1312" s="75">
        <f t="shared" si="624"/>
        <v>6</v>
      </c>
      <c r="E1312" s="76">
        <f t="shared" si="625"/>
        <v>7</v>
      </c>
      <c r="F1312" s="80"/>
      <c r="G1312" s="83"/>
      <c r="H1312" s="69" t="str">
        <f t="shared" si="647"/>
        <v>Lacine7_20171117_06_00</v>
      </c>
      <c r="I1312" s="70">
        <f t="shared" si="649"/>
        <v>1</v>
      </c>
      <c r="J1312" s="77" t="str">
        <f t="shared" si="649"/>
        <v>Lactuca</v>
      </c>
      <c r="K1312" s="77" t="str">
        <f t="shared" si="649"/>
        <v>inermis</v>
      </c>
      <c r="L1312" s="78">
        <f t="shared" si="649"/>
        <v>7</v>
      </c>
      <c r="M1312" s="78">
        <f t="shared" si="649"/>
        <v>0</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2017</v>
      </c>
      <c r="B1313" s="73" t="str">
        <f t="shared" si="623"/>
        <v>Nov</v>
      </c>
      <c r="C1313" s="74">
        <f t="shared" si="646"/>
        <v>17</v>
      </c>
      <c r="D1313" s="75">
        <f t="shared" si="624"/>
        <v>6</v>
      </c>
      <c r="E1313" s="76">
        <f t="shared" si="625"/>
        <v>8</v>
      </c>
      <c r="F1313" s="80"/>
      <c r="G1313" s="83"/>
      <c r="H1313" s="69" t="str">
        <f t="shared" si="647"/>
        <v>Lacine7_20171117_06_00</v>
      </c>
      <c r="I1313" s="70">
        <f t="shared" si="649"/>
        <v>1</v>
      </c>
      <c r="J1313" s="77" t="str">
        <f t="shared" si="649"/>
        <v>Lactuca</v>
      </c>
      <c r="K1313" s="77" t="str">
        <f t="shared" si="649"/>
        <v>inermis</v>
      </c>
      <c r="L1313" s="78">
        <f t="shared" si="649"/>
        <v>7</v>
      </c>
      <c r="M1313" s="78">
        <f t="shared" si="649"/>
        <v>0</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2017</v>
      </c>
      <c r="B1314" s="73" t="str">
        <f t="shared" si="623"/>
        <v>Nov</v>
      </c>
      <c r="C1314" s="74">
        <f t="shared" si="646"/>
        <v>17</v>
      </c>
      <c r="D1314" s="75">
        <f t="shared" si="624"/>
        <v>6</v>
      </c>
      <c r="E1314" s="76">
        <f t="shared" si="625"/>
        <v>9</v>
      </c>
      <c r="F1314" s="80"/>
      <c r="G1314" s="83"/>
      <c r="H1314" s="69" t="str">
        <f t="shared" si="647"/>
        <v>Lacine7_20171117_06_00</v>
      </c>
      <c r="I1314" s="70">
        <f t="shared" si="649"/>
        <v>1</v>
      </c>
      <c r="J1314" s="77" t="str">
        <f t="shared" si="649"/>
        <v>Lactuca</v>
      </c>
      <c r="K1314" s="77" t="str">
        <f t="shared" si="649"/>
        <v>inermis</v>
      </c>
      <c r="L1314" s="78">
        <f t="shared" si="649"/>
        <v>7</v>
      </c>
      <c r="M1314" s="78">
        <f t="shared" si="649"/>
        <v>0</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2017</v>
      </c>
      <c r="B1315" s="73" t="str">
        <f t="shared" si="623"/>
        <v>Nov</v>
      </c>
      <c r="C1315" s="74">
        <f t="shared" si="646"/>
        <v>17</v>
      </c>
      <c r="D1315" s="75">
        <f t="shared" si="624"/>
        <v>6</v>
      </c>
      <c r="E1315" s="76">
        <f t="shared" si="625"/>
        <v>10</v>
      </c>
      <c r="F1315" s="80"/>
      <c r="G1315" s="83"/>
      <c r="H1315" s="69" t="str">
        <f t="shared" si="647"/>
        <v>Lacine7_20171117_06_00</v>
      </c>
      <c r="I1315" s="70">
        <f t="shared" si="649"/>
        <v>1</v>
      </c>
      <c r="J1315" s="77" t="str">
        <f t="shared" si="649"/>
        <v>Lactuca</v>
      </c>
      <c r="K1315" s="77" t="str">
        <f t="shared" si="649"/>
        <v>inermis</v>
      </c>
      <c r="L1315" s="78">
        <f t="shared" si="649"/>
        <v>7</v>
      </c>
      <c r="M1315" s="78">
        <f t="shared" si="649"/>
        <v>0</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2017</v>
      </c>
      <c r="B1316" s="73" t="str">
        <f t="shared" si="623"/>
        <v>Nov</v>
      </c>
      <c r="C1316" s="74">
        <f t="shared" si="646"/>
        <v>17</v>
      </c>
      <c r="D1316" s="75">
        <f t="shared" si="624"/>
        <v>6</v>
      </c>
      <c r="E1316" s="76">
        <f t="shared" si="625"/>
        <v>11</v>
      </c>
      <c r="F1316" s="80"/>
      <c r="G1316" s="83"/>
      <c r="H1316" s="69" t="str">
        <f t="shared" si="647"/>
        <v>Lacine7_20171117_06_00</v>
      </c>
      <c r="I1316" s="70">
        <f t="shared" si="649"/>
        <v>1</v>
      </c>
      <c r="J1316" s="77" t="str">
        <f t="shared" si="649"/>
        <v>Lactuca</v>
      </c>
      <c r="K1316" s="77" t="str">
        <f t="shared" si="649"/>
        <v>inermis</v>
      </c>
      <c r="L1316" s="78">
        <f t="shared" si="649"/>
        <v>7</v>
      </c>
      <c r="M1316" s="78">
        <f t="shared" si="649"/>
        <v>0</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2017</v>
      </c>
      <c r="B1317" s="73" t="str">
        <f t="shared" si="623"/>
        <v>Nov</v>
      </c>
      <c r="C1317" s="74">
        <f t="shared" si="646"/>
        <v>17</v>
      </c>
      <c r="D1317" s="75">
        <f t="shared" si="624"/>
        <v>6</v>
      </c>
      <c r="E1317" s="76">
        <f t="shared" si="625"/>
        <v>12</v>
      </c>
      <c r="F1317" s="80"/>
      <c r="G1317" s="83"/>
      <c r="H1317" s="69" t="str">
        <f t="shared" si="647"/>
        <v>Lacine7_20171117_06_00</v>
      </c>
      <c r="I1317" s="70">
        <f t="shared" ref="I1317:N1332" si="650">I1316</f>
        <v>1</v>
      </c>
      <c r="J1317" s="77" t="str">
        <f t="shared" si="650"/>
        <v>Lactuca</v>
      </c>
      <c r="K1317" s="77" t="str">
        <f t="shared" si="650"/>
        <v>inermis</v>
      </c>
      <c r="L1317" s="78">
        <f t="shared" si="650"/>
        <v>7</v>
      </c>
      <c r="M1317" s="78">
        <f t="shared" si="650"/>
        <v>0</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2017</v>
      </c>
      <c r="B1318" s="73" t="str">
        <f t="shared" si="623"/>
        <v>Nov</v>
      </c>
      <c r="C1318" s="74">
        <f t="shared" si="646"/>
        <v>17</v>
      </c>
      <c r="D1318" s="75">
        <f t="shared" si="624"/>
        <v>6</v>
      </c>
      <c r="E1318" s="76">
        <f t="shared" si="625"/>
        <v>13</v>
      </c>
      <c r="F1318" s="80"/>
      <c r="G1318" s="83"/>
      <c r="H1318" s="69" t="str">
        <f t="shared" si="647"/>
        <v>Lacine7_20171117_06_00</v>
      </c>
      <c r="I1318" s="70">
        <f t="shared" si="650"/>
        <v>1</v>
      </c>
      <c r="J1318" s="77" t="str">
        <f t="shared" si="650"/>
        <v>Lactuca</v>
      </c>
      <c r="K1318" s="77" t="str">
        <f t="shared" si="650"/>
        <v>inermis</v>
      </c>
      <c r="L1318" s="78">
        <f t="shared" si="650"/>
        <v>7</v>
      </c>
      <c r="M1318" s="78">
        <f t="shared" si="650"/>
        <v>0</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2017</v>
      </c>
      <c r="B1319" s="73" t="str">
        <f t="shared" si="623"/>
        <v>Nov</v>
      </c>
      <c r="C1319" s="74">
        <f t="shared" si="646"/>
        <v>17</v>
      </c>
      <c r="D1319" s="75">
        <f t="shared" si="624"/>
        <v>6</v>
      </c>
      <c r="E1319" s="76">
        <f t="shared" si="625"/>
        <v>14</v>
      </c>
      <c r="F1319" s="80"/>
      <c r="G1319" s="83"/>
      <c r="H1319" s="69" t="str">
        <f t="shared" si="647"/>
        <v>Lacine7_20171117_06_00</v>
      </c>
      <c r="I1319" s="70">
        <f t="shared" si="650"/>
        <v>1</v>
      </c>
      <c r="J1319" s="77" t="str">
        <f t="shared" si="650"/>
        <v>Lactuca</v>
      </c>
      <c r="K1319" s="77" t="str">
        <f t="shared" si="650"/>
        <v>inermis</v>
      </c>
      <c r="L1319" s="78">
        <f t="shared" si="650"/>
        <v>7</v>
      </c>
      <c r="M1319" s="78">
        <f t="shared" si="650"/>
        <v>0</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2017</v>
      </c>
      <c r="B1320" s="73" t="str">
        <f t="shared" si="623"/>
        <v>Nov</v>
      </c>
      <c r="C1320" s="74">
        <f t="shared" si="646"/>
        <v>17</v>
      </c>
      <c r="D1320" s="75">
        <f t="shared" si="624"/>
        <v>6</v>
      </c>
      <c r="E1320" s="76">
        <f t="shared" si="625"/>
        <v>15</v>
      </c>
      <c r="F1320" s="80"/>
      <c r="G1320" s="83"/>
      <c r="H1320" s="69" t="str">
        <f t="shared" si="647"/>
        <v>Lacine7_20171117_06_00</v>
      </c>
      <c r="I1320" s="70">
        <f t="shared" si="650"/>
        <v>1</v>
      </c>
      <c r="J1320" s="77" t="str">
        <f t="shared" si="650"/>
        <v>Lactuca</v>
      </c>
      <c r="K1320" s="77" t="str">
        <f t="shared" si="650"/>
        <v>inermis</v>
      </c>
      <c r="L1320" s="78">
        <f t="shared" si="650"/>
        <v>7</v>
      </c>
      <c r="M1320" s="78">
        <f t="shared" si="650"/>
        <v>0</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2017</v>
      </c>
      <c r="B1321" s="73" t="str">
        <f t="shared" si="623"/>
        <v>Nov</v>
      </c>
      <c r="C1321" s="74">
        <f t="shared" si="646"/>
        <v>17</v>
      </c>
      <c r="D1321" s="75">
        <f t="shared" si="624"/>
        <v>6</v>
      </c>
      <c r="E1321" s="76">
        <f t="shared" si="625"/>
        <v>16</v>
      </c>
      <c r="F1321" s="80"/>
      <c r="G1321" s="83"/>
      <c r="H1321" s="69" t="str">
        <f t="shared" si="647"/>
        <v>Lacine7_20171117_06_00</v>
      </c>
      <c r="I1321" s="70">
        <f t="shared" si="650"/>
        <v>1</v>
      </c>
      <c r="J1321" s="77" t="str">
        <f t="shared" si="650"/>
        <v>Lactuca</v>
      </c>
      <c r="K1321" s="77" t="str">
        <f t="shared" si="650"/>
        <v>inermis</v>
      </c>
      <c r="L1321" s="78">
        <f t="shared" si="650"/>
        <v>7</v>
      </c>
      <c r="M1321" s="78">
        <f t="shared" si="650"/>
        <v>0</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2017</v>
      </c>
      <c r="B1322" s="73" t="str">
        <f t="shared" si="623"/>
        <v>Nov</v>
      </c>
      <c r="C1322" s="74">
        <f t="shared" si="646"/>
        <v>17</v>
      </c>
      <c r="D1322" s="75">
        <f t="shared" si="624"/>
        <v>6</v>
      </c>
      <c r="E1322" s="76">
        <f t="shared" si="625"/>
        <v>17</v>
      </c>
      <c r="F1322" s="80"/>
      <c r="G1322" s="83"/>
      <c r="H1322" s="69" t="str">
        <f t="shared" si="647"/>
        <v>Lacine7_20171117_06_00</v>
      </c>
      <c r="I1322" s="70">
        <f t="shared" si="650"/>
        <v>1</v>
      </c>
      <c r="J1322" s="77" t="str">
        <f t="shared" si="650"/>
        <v>Lactuca</v>
      </c>
      <c r="K1322" s="77" t="str">
        <f t="shared" si="650"/>
        <v>inermis</v>
      </c>
      <c r="L1322" s="78">
        <f t="shared" si="650"/>
        <v>7</v>
      </c>
      <c r="M1322" s="78">
        <f t="shared" si="650"/>
        <v>0</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2017</v>
      </c>
      <c r="B1323" s="73" t="str">
        <f t="shared" si="623"/>
        <v>Nov</v>
      </c>
      <c r="C1323" s="74">
        <f t="shared" si="646"/>
        <v>17</v>
      </c>
      <c r="D1323" s="75">
        <f t="shared" si="624"/>
        <v>6</v>
      </c>
      <c r="E1323" s="76">
        <f t="shared" si="625"/>
        <v>18</v>
      </c>
      <c r="F1323" s="80"/>
      <c r="G1323" s="83"/>
      <c r="H1323" s="69" t="str">
        <f t="shared" si="647"/>
        <v>Lacine7_20171117_06_00</v>
      </c>
      <c r="I1323" s="70">
        <f t="shared" si="650"/>
        <v>1</v>
      </c>
      <c r="J1323" s="77" t="str">
        <f t="shared" si="650"/>
        <v>Lactuca</v>
      </c>
      <c r="K1323" s="77" t="str">
        <f t="shared" si="650"/>
        <v>inermis</v>
      </c>
      <c r="L1323" s="78">
        <f t="shared" si="650"/>
        <v>7</v>
      </c>
      <c r="M1323" s="78">
        <f t="shared" si="650"/>
        <v>0</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2017</v>
      </c>
      <c r="B1324" s="73" t="str">
        <f t="shared" si="623"/>
        <v>Nov</v>
      </c>
      <c r="C1324" s="74">
        <f t="shared" si="646"/>
        <v>17</v>
      </c>
      <c r="D1324" s="75">
        <f t="shared" si="624"/>
        <v>6</v>
      </c>
      <c r="E1324" s="76">
        <f t="shared" si="625"/>
        <v>19</v>
      </c>
      <c r="F1324" s="80"/>
      <c r="G1324" s="83"/>
      <c r="H1324" s="69" t="str">
        <f t="shared" si="647"/>
        <v>Lacine7_20171117_06_00</v>
      </c>
      <c r="I1324" s="70">
        <f t="shared" si="650"/>
        <v>1</v>
      </c>
      <c r="J1324" s="77" t="str">
        <f t="shared" si="650"/>
        <v>Lactuca</v>
      </c>
      <c r="K1324" s="77" t="str">
        <f t="shared" si="650"/>
        <v>inermis</v>
      </c>
      <c r="L1324" s="78">
        <f t="shared" si="650"/>
        <v>7</v>
      </c>
      <c r="M1324" s="78">
        <f t="shared" si="650"/>
        <v>0</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2017</v>
      </c>
      <c r="B1325" s="73" t="str">
        <f t="shared" si="623"/>
        <v>Nov</v>
      </c>
      <c r="C1325" s="74">
        <f t="shared" si="646"/>
        <v>17</v>
      </c>
      <c r="D1325" s="75">
        <f t="shared" si="624"/>
        <v>6</v>
      </c>
      <c r="E1325" s="76">
        <f t="shared" si="625"/>
        <v>20</v>
      </c>
      <c r="F1325" s="80"/>
      <c r="G1325" s="83"/>
      <c r="H1325" s="69" t="str">
        <f t="shared" si="647"/>
        <v>Lacine7_20171117_06_00</v>
      </c>
      <c r="I1325" s="70">
        <f t="shared" si="650"/>
        <v>1</v>
      </c>
      <c r="J1325" s="77" t="str">
        <f t="shared" si="650"/>
        <v>Lactuca</v>
      </c>
      <c r="K1325" s="77" t="str">
        <f t="shared" si="650"/>
        <v>inermis</v>
      </c>
      <c r="L1325" s="78">
        <f t="shared" si="650"/>
        <v>7</v>
      </c>
      <c r="M1325" s="78">
        <f t="shared" si="650"/>
        <v>0</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2017</v>
      </c>
      <c r="B1326" s="73" t="str">
        <f t="shared" si="623"/>
        <v>Nov</v>
      </c>
      <c r="C1326" s="74">
        <f t="shared" si="646"/>
        <v>17</v>
      </c>
      <c r="D1326" s="75">
        <f t="shared" si="624"/>
        <v>6</v>
      </c>
      <c r="E1326" s="76">
        <f t="shared" si="625"/>
        <v>21</v>
      </c>
      <c r="F1326" s="80"/>
      <c r="G1326" s="83"/>
      <c r="H1326" s="69" t="str">
        <f t="shared" si="647"/>
        <v>Lacine7_20171117_06_00</v>
      </c>
      <c r="I1326" s="70">
        <f t="shared" si="650"/>
        <v>1</v>
      </c>
      <c r="J1326" s="77" t="str">
        <f t="shared" si="650"/>
        <v>Lactuca</v>
      </c>
      <c r="K1326" s="77" t="str">
        <f t="shared" si="650"/>
        <v>inermis</v>
      </c>
      <c r="L1326" s="78">
        <f t="shared" si="650"/>
        <v>7</v>
      </c>
      <c r="M1326" s="78">
        <f t="shared" si="650"/>
        <v>0</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2017</v>
      </c>
      <c r="B1327" s="73" t="str">
        <f t="shared" si="623"/>
        <v>Nov</v>
      </c>
      <c r="C1327" s="74">
        <f t="shared" si="646"/>
        <v>17</v>
      </c>
      <c r="D1327" s="75">
        <f t="shared" si="624"/>
        <v>6</v>
      </c>
      <c r="E1327" s="76">
        <f t="shared" si="625"/>
        <v>22</v>
      </c>
      <c r="F1327" s="80"/>
      <c r="G1327" s="83"/>
      <c r="H1327" s="69" t="str">
        <f t="shared" si="647"/>
        <v>Lacine7_20171117_06_00</v>
      </c>
      <c r="I1327" s="70">
        <f t="shared" si="650"/>
        <v>1</v>
      </c>
      <c r="J1327" s="77" t="str">
        <f t="shared" si="650"/>
        <v>Lactuca</v>
      </c>
      <c r="K1327" s="77" t="str">
        <f t="shared" si="650"/>
        <v>inermis</v>
      </c>
      <c r="L1327" s="78">
        <f t="shared" si="650"/>
        <v>7</v>
      </c>
      <c r="M1327" s="78">
        <f t="shared" si="650"/>
        <v>0</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2017</v>
      </c>
      <c r="B1328" s="73" t="str">
        <f t="shared" si="623"/>
        <v>Nov</v>
      </c>
      <c r="C1328" s="74">
        <f t="shared" si="646"/>
        <v>17</v>
      </c>
      <c r="D1328" s="75">
        <f t="shared" si="624"/>
        <v>6</v>
      </c>
      <c r="E1328" s="76">
        <f t="shared" si="625"/>
        <v>23</v>
      </c>
      <c r="F1328" s="80"/>
      <c r="G1328" s="83"/>
      <c r="H1328" s="69" t="str">
        <f t="shared" si="647"/>
        <v>Lacine7_20171117_06_00</v>
      </c>
      <c r="I1328" s="70">
        <f t="shared" si="650"/>
        <v>1</v>
      </c>
      <c r="J1328" s="77" t="str">
        <f t="shared" si="650"/>
        <v>Lactuca</v>
      </c>
      <c r="K1328" s="77" t="str">
        <f t="shared" si="650"/>
        <v>inermis</v>
      </c>
      <c r="L1328" s="78">
        <f t="shared" si="650"/>
        <v>7</v>
      </c>
      <c r="M1328" s="78">
        <f t="shared" si="650"/>
        <v>0</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2017</v>
      </c>
      <c r="B1329" s="73" t="str">
        <f t="shared" si="623"/>
        <v>Nov</v>
      </c>
      <c r="C1329" s="74">
        <f t="shared" si="646"/>
        <v>17</v>
      </c>
      <c r="D1329" s="75">
        <f t="shared" si="624"/>
        <v>6</v>
      </c>
      <c r="E1329" s="76">
        <f t="shared" si="625"/>
        <v>24</v>
      </c>
      <c r="F1329" s="80"/>
      <c r="G1329" s="83"/>
      <c r="H1329" s="69" t="str">
        <f t="shared" si="647"/>
        <v>Lacine7_20171117_06_00</v>
      </c>
      <c r="I1329" s="70">
        <f t="shared" si="650"/>
        <v>1</v>
      </c>
      <c r="J1329" s="77" t="str">
        <f t="shared" si="650"/>
        <v>Lactuca</v>
      </c>
      <c r="K1329" s="77" t="str">
        <f t="shared" si="650"/>
        <v>inermis</v>
      </c>
      <c r="L1329" s="78">
        <f t="shared" si="650"/>
        <v>7</v>
      </c>
      <c r="M1329" s="78">
        <f t="shared" si="650"/>
        <v>0</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2017</v>
      </c>
      <c r="B1330" s="73" t="str">
        <f t="shared" si="623"/>
        <v>Nov</v>
      </c>
      <c r="C1330" s="74">
        <f t="shared" si="646"/>
        <v>17</v>
      </c>
      <c r="D1330" s="75">
        <f t="shared" si="624"/>
        <v>6</v>
      </c>
      <c r="E1330" s="76">
        <f t="shared" si="625"/>
        <v>25</v>
      </c>
      <c r="F1330" s="80"/>
      <c r="G1330" s="83"/>
      <c r="H1330" s="69" t="str">
        <f t="shared" si="647"/>
        <v>Lacine7_20171117_06_00</v>
      </c>
      <c r="I1330" s="70">
        <f t="shared" si="650"/>
        <v>1</v>
      </c>
      <c r="J1330" s="77" t="str">
        <f t="shared" si="650"/>
        <v>Lactuca</v>
      </c>
      <c r="K1330" s="77" t="str">
        <f t="shared" si="650"/>
        <v>inermis</v>
      </c>
      <c r="L1330" s="78">
        <f t="shared" si="650"/>
        <v>7</v>
      </c>
      <c r="M1330" s="78">
        <f t="shared" si="650"/>
        <v>0</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2017</v>
      </c>
      <c r="B1331" s="73" t="str">
        <f t="shared" si="623"/>
        <v>Nov</v>
      </c>
      <c r="C1331" s="74">
        <f t="shared" si="646"/>
        <v>17</v>
      </c>
      <c r="D1331" s="75">
        <f t="shared" si="624"/>
        <v>6</v>
      </c>
      <c r="E1331" s="76">
        <f t="shared" si="625"/>
        <v>26</v>
      </c>
      <c r="F1331" s="80"/>
      <c r="G1331" s="83"/>
      <c r="H1331" s="69" t="str">
        <f t="shared" si="647"/>
        <v>Lacine7_20171117_06_00</v>
      </c>
      <c r="I1331" s="70">
        <f t="shared" si="650"/>
        <v>1</v>
      </c>
      <c r="J1331" s="77" t="str">
        <f t="shared" si="650"/>
        <v>Lactuca</v>
      </c>
      <c r="K1331" s="77" t="str">
        <f t="shared" si="650"/>
        <v>inermis</v>
      </c>
      <c r="L1331" s="78">
        <f t="shared" si="650"/>
        <v>7</v>
      </c>
      <c r="M1331" s="78">
        <f t="shared" si="650"/>
        <v>0</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2017</v>
      </c>
      <c r="B1332" s="73" t="str">
        <f t="shared" si="623"/>
        <v>Nov</v>
      </c>
      <c r="C1332" s="74">
        <f t="shared" si="646"/>
        <v>17</v>
      </c>
      <c r="D1332" s="75">
        <f t="shared" si="624"/>
        <v>6</v>
      </c>
      <c r="E1332" s="76">
        <f t="shared" si="625"/>
        <v>27</v>
      </c>
      <c r="F1332" s="80"/>
      <c r="G1332" s="83"/>
      <c r="H1332" s="69" t="str">
        <f t="shared" si="647"/>
        <v>Lacine7_20171117_06_00</v>
      </c>
      <c r="I1332" s="70">
        <f t="shared" si="650"/>
        <v>1</v>
      </c>
      <c r="J1332" s="77" t="str">
        <f t="shared" si="650"/>
        <v>Lactuca</v>
      </c>
      <c r="K1332" s="77" t="str">
        <f t="shared" si="650"/>
        <v>inermis</v>
      </c>
      <c r="L1332" s="78">
        <f t="shared" si="650"/>
        <v>7</v>
      </c>
      <c r="M1332" s="78">
        <f t="shared" si="650"/>
        <v>0</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2017</v>
      </c>
      <c r="B1333" s="73" t="str">
        <f t="shared" si="623"/>
        <v>Nov</v>
      </c>
      <c r="C1333" s="74">
        <f t="shared" si="646"/>
        <v>17</v>
      </c>
      <c r="D1333" s="75">
        <f t="shared" si="624"/>
        <v>6</v>
      </c>
      <c r="E1333" s="76">
        <f t="shared" si="625"/>
        <v>28</v>
      </c>
      <c r="F1333" s="80"/>
      <c r="G1333" s="83"/>
      <c r="H1333" s="69" t="str">
        <f t="shared" si="647"/>
        <v>Lacine7_20171117_06_00</v>
      </c>
      <c r="I1333" s="70">
        <f t="shared" ref="I1333:N1348" si="651">I1332</f>
        <v>1</v>
      </c>
      <c r="J1333" s="77" t="str">
        <f t="shared" si="651"/>
        <v>Lactuca</v>
      </c>
      <c r="K1333" s="77" t="str">
        <f t="shared" si="651"/>
        <v>inermis</v>
      </c>
      <c r="L1333" s="78">
        <f t="shared" si="651"/>
        <v>7</v>
      </c>
      <c r="M1333" s="78">
        <f t="shared" si="651"/>
        <v>0</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2017</v>
      </c>
      <c r="B1334" s="73" t="str">
        <f t="shared" si="623"/>
        <v>Nov</v>
      </c>
      <c r="C1334" s="74">
        <f t="shared" si="646"/>
        <v>17</v>
      </c>
      <c r="D1334" s="75">
        <f t="shared" si="624"/>
        <v>6</v>
      </c>
      <c r="E1334" s="76">
        <f t="shared" si="625"/>
        <v>29</v>
      </c>
      <c r="F1334" s="80"/>
      <c r="G1334" s="83"/>
      <c r="H1334" s="69" t="str">
        <f t="shared" si="647"/>
        <v>Lacine7_20171117_06_00</v>
      </c>
      <c r="I1334" s="70">
        <f t="shared" si="651"/>
        <v>1</v>
      </c>
      <c r="J1334" s="77" t="str">
        <f t="shared" si="651"/>
        <v>Lactuca</v>
      </c>
      <c r="K1334" s="77" t="str">
        <f t="shared" si="651"/>
        <v>inermis</v>
      </c>
      <c r="L1334" s="78">
        <f t="shared" si="651"/>
        <v>7</v>
      </c>
      <c r="M1334" s="78">
        <f t="shared" si="651"/>
        <v>0</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hidden="1" x14ac:dyDescent="0.35">
      <c r="A1335" s="73">
        <f t="shared" si="622"/>
        <v>2017</v>
      </c>
      <c r="B1335" s="73" t="str">
        <f t="shared" si="623"/>
        <v>Nov</v>
      </c>
      <c r="C1335" s="74">
        <f t="shared" si="646"/>
        <v>17</v>
      </c>
      <c r="D1335" s="75">
        <f t="shared" si="624"/>
        <v>6</v>
      </c>
      <c r="E1335" s="76">
        <f t="shared" si="625"/>
        <v>30</v>
      </c>
      <c r="F1335" s="80"/>
      <c r="G1335" s="83"/>
      <c r="H1335" s="69" t="str">
        <f t="shared" si="647"/>
        <v>Lacine7_20171117_06_00</v>
      </c>
      <c r="I1335" s="70">
        <f t="shared" si="651"/>
        <v>1</v>
      </c>
      <c r="J1335" s="77" t="str">
        <f t="shared" si="651"/>
        <v>Lactuca</v>
      </c>
      <c r="K1335" s="77" t="str">
        <f t="shared" si="651"/>
        <v>inermis</v>
      </c>
      <c r="L1335" s="78">
        <f t="shared" si="651"/>
        <v>7</v>
      </c>
      <c r="M1335" s="78">
        <f t="shared" si="651"/>
        <v>0</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2017</v>
      </c>
      <c r="B1336" s="73" t="str">
        <f t="shared" si="623"/>
        <v>Nov</v>
      </c>
      <c r="C1336" s="74">
        <f t="shared" si="646"/>
        <v>17</v>
      </c>
      <c r="D1336" s="75">
        <f t="shared" si="624"/>
        <v>6</v>
      </c>
      <c r="E1336" s="76">
        <f t="shared" si="625"/>
        <v>31</v>
      </c>
      <c r="F1336" s="80"/>
      <c r="G1336" s="83"/>
      <c r="H1336" s="69" t="str">
        <f t="shared" si="647"/>
        <v>Lacine7_20171117_06_00</v>
      </c>
      <c r="I1336" s="70">
        <f t="shared" si="651"/>
        <v>1</v>
      </c>
      <c r="J1336" s="77" t="str">
        <f t="shared" si="651"/>
        <v>Lactuca</v>
      </c>
      <c r="K1336" s="77" t="str">
        <f t="shared" si="651"/>
        <v>inermis</v>
      </c>
      <c r="L1336" s="78">
        <f t="shared" si="651"/>
        <v>7</v>
      </c>
      <c r="M1336" s="78">
        <f t="shared" si="651"/>
        <v>0</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2017</v>
      </c>
      <c r="B1337" s="73" t="str">
        <f t="shared" si="623"/>
        <v>Nov</v>
      </c>
      <c r="C1337" s="74">
        <f t="shared" si="646"/>
        <v>17</v>
      </c>
      <c r="D1337" s="75">
        <f t="shared" si="624"/>
        <v>6</v>
      </c>
      <c r="E1337" s="76">
        <f t="shared" si="625"/>
        <v>32</v>
      </c>
      <c r="F1337" s="80"/>
      <c r="G1337" s="83"/>
      <c r="H1337" s="69" t="str">
        <f t="shared" si="647"/>
        <v>Lacine7_20171117_06_00</v>
      </c>
      <c r="I1337" s="70">
        <f t="shared" si="651"/>
        <v>1</v>
      </c>
      <c r="J1337" s="77" t="str">
        <f t="shared" si="651"/>
        <v>Lactuca</v>
      </c>
      <c r="K1337" s="77" t="str">
        <f t="shared" si="651"/>
        <v>inermis</v>
      </c>
      <c r="L1337" s="78">
        <f t="shared" si="651"/>
        <v>7</v>
      </c>
      <c r="M1337" s="78">
        <f t="shared" si="651"/>
        <v>0</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2017</v>
      </c>
      <c r="B1338" s="73" t="str">
        <f t="shared" si="623"/>
        <v>Nov</v>
      </c>
      <c r="C1338" s="74">
        <f t="shared" si="646"/>
        <v>17</v>
      </c>
      <c r="D1338" s="75">
        <f t="shared" si="624"/>
        <v>6</v>
      </c>
      <c r="E1338" s="76">
        <f t="shared" si="625"/>
        <v>33</v>
      </c>
      <c r="F1338" s="80"/>
      <c r="G1338" s="83"/>
      <c r="H1338" s="69" t="str">
        <f t="shared" si="647"/>
        <v>Lacine7_20171117_06_00</v>
      </c>
      <c r="I1338" s="70">
        <f t="shared" si="651"/>
        <v>1</v>
      </c>
      <c r="J1338" s="77" t="str">
        <f t="shared" si="651"/>
        <v>Lactuca</v>
      </c>
      <c r="K1338" s="77" t="str">
        <f t="shared" si="651"/>
        <v>inermis</v>
      </c>
      <c r="L1338" s="78">
        <f t="shared" si="651"/>
        <v>7</v>
      </c>
      <c r="M1338" s="78">
        <f t="shared" si="651"/>
        <v>0</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2017</v>
      </c>
      <c r="B1339" s="73" t="str">
        <f t="shared" si="623"/>
        <v>Nov</v>
      </c>
      <c r="C1339" s="74">
        <f t="shared" si="646"/>
        <v>17</v>
      </c>
      <c r="D1339" s="75">
        <f t="shared" si="624"/>
        <v>6</v>
      </c>
      <c r="E1339" s="76">
        <f t="shared" si="625"/>
        <v>34</v>
      </c>
      <c r="F1339" s="80"/>
      <c r="G1339" s="83"/>
      <c r="H1339" s="69" t="str">
        <f t="shared" si="647"/>
        <v>Lacine7_20171117_06_00</v>
      </c>
      <c r="I1339" s="70">
        <f t="shared" si="651"/>
        <v>1</v>
      </c>
      <c r="J1339" s="77" t="str">
        <f t="shared" si="651"/>
        <v>Lactuca</v>
      </c>
      <c r="K1339" s="77" t="str">
        <f t="shared" si="651"/>
        <v>inermis</v>
      </c>
      <c r="L1339" s="78">
        <f t="shared" si="651"/>
        <v>7</v>
      </c>
      <c r="M1339" s="78">
        <f t="shared" si="651"/>
        <v>0</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2017</v>
      </c>
      <c r="B1340" s="73" t="str">
        <f t="shared" si="623"/>
        <v>Nov</v>
      </c>
      <c r="C1340" s="74">
        <f t="shared" si="646"/>
        <v>17</v>
      </c>
      <c r="D1340" s="75">
        <f t="shared" si="624"/>
        <v>6</v>
      </c>
      <c r="E1340" s="76">
        <f t="shared" si="625"/>
        <v>35</v>
      </c>
      <c r="F1340" s="80"/>
      <c r="G1340" s="83"/>
      <c r="H1340" s="69" t="str">
        <f t="shared" si="647"/>
        <v>Lacine7_20171117_06_00</v>
      </c>
      <c r="I1340" s="70">
        <f t="shared" si="651"/>
        <v>1</v>
      </c>
      <c r="J1340" s="77" t="str">
        <f t="shared" si="651"/>
        <v>Lactuca</v>
      </c>
      <c r="K1340" s="77" t="str">
        <f t="shared" si="651"/>
        <v>inermis</v>
      </c>
      <c r="L1340" s="78">
        <f t="shared" si="651"/>
        <v>7</v>
      </c>
      <c r="M1340" s="78">
        <f t="shared" si="651"/>
        <v>0</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2017</v>
      </c>
      <c r="B1341" s="73" t="str">
        <f t="shared" si="623"/>
        <v>Nov</v>
      </c>
      <c r="C1341" s="74">
        <f t="shared" si="646"/>
        <v>17</v>
      </c>
      <c r="D1341" s="75">
        <f t="shared" si="624"/>
        <v>6</v>
      </c>
      <c r="E1341" s="76">
        <f t="shared" si="625"/>
        <v>36</v>
      </c>
      <c r="F1341" s="80"/>
      <c r="G1341" s="83"/>
      <c r="H1341" s="69" t="str">
        <f t="shared" si="647"/>
        <v>Lacine7_20171117_06_00</v>
      </c>
      <c r="I1341" s="70">
        <f t="shared" si="651"/>
        <v>1</v>
      </c>
      <c r="J1341" s="77" t="str">
        <f t="shared" si="651"/>
        <v>Lactuca</v>
      </c>
      <c r="K1341" s="77" t="str">
        <f t="shared" si="651"/>
        <v>inermis</v>
      </c>
      <c r="L1341" s="78">
        <f t="shared" si="651"/>
        <v>7</v>
      </c>
      <c r="M1341" s="78">
        <f t="shared" si="651"/>
        <v>0</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2017</v>
      </c>
      <c r="B1342" s="73" t="str">
        <f t="shared" si="623"/>
        <v>Nov</v>
      </c>
      <c r="C1342" s="74">
        <f t="shared" si="646"/>
        <v>17</v>
      </c>
      <c r="D1342" s="75">
        <f t="shared" si="624"/>
        <v>6</v>
      </c>
      <c r="E1342" s="76">
        <f t="shared" si="625"/>
        <v>37</v>
      </c>
      <c r="F1342" s="80"/>
      <c r="G1342" s="83"/>
      <c r="H1342" s="69" t="str">
        <f t="shared" si="647"/>
        <v>Lacine7_20171117_06_00</v>
      </c>
      <c r="I1342" s="70">
        <f t="shared" si="651"/>
        <v>1</v>
      </c>
      <c r="J1342" s="77" t="str">
        <f t="shared" si="651"/>
        <v>Lactuca</v>
      </c>
      <c r="K1342" s="77" t="str">
        <f t="shared" si="651"/>
        <v>inermis</v>
      </c>
      <c r="L1342" s="78">
        <f t="shared" si="651"/>
        <v>7</v>
      </c>
      <c r="M1342" s="78">
        <f t="shared" si="651"/>
        <v>0</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2017</v>
      </c>
      <c r="B1343" s="73" t="str">
        <f t="shared" si="623"/>
        <v>Nov</v>
      </c>
      <c r="C1343" s="74">
        <f t="shared" si="646"/>
        <v>17</v>
      </c>
      <c r="D1343" s="75">
        <f t="shared" si="624"/>
        <v>6</v>
      </c>
      <c r="E1343" s="76">
        <f t="shared" si="625"/>
        <v>38</v>
      </c>
      <c r="F1343" s="80"/>
      <c r="G1343" s="83"/>
      <c r="H1343" s="69" t="str">
        <f t="shared" si="647"/>
        <v>Lacine7_20171117_06_00</v>
      </c>
      <c r="I1343" s="70">
        <f t="shared" si="651"/>
        <v>1</v>
      </c>
      <c r="J1343" s="77" t="str">
        <f t="shared" si="651"/>
        <v>Lactuca</v>
      </c>
      <c r="K1343" s="77" t="str">
        <f t="shared" si="651"/>
        <v>inermis</v>
      </c>
      <c r="L1343" s="78">
        <f t="shared" si="651"/>
        <v>7</v>
      </c>
      <c r="M1343" s="78">
        <f t="shared" si="651"/>
        <v>0</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2017</v>
      </c>
      <c r="B1344" s="73" t="str">
        <f t="shared" si="623"/>
        <v>Nov</v>
      </c>
      <c r="C1344" s="74">
        <f t="shared" si="646"/>
        <v>17</v>
      </c>
      <c r="D1344" s="75">
        <f t="shared" si="624"/>
        <v>6</v>
      </c>
      <c r="E1344" s="76">
        <f t="shared" si="625"/>
        <v>39</v>
      </c>
      <c r="F1344" s="80"/>
      <c r="G1344" s="83"/>
      <c r="H1344" s="69" t="str">
        <f t="shared" si="647"/>
        <v>Lacine7_20171117_06_00</v>
      </c>
      <c r="I1344" s="70">
        <f t="shared" si="651"/>
        <v>1</v>
      </c>
      <c r="J1344" s="77" t="str">
        <f t="shared" si="651"/>
        <v>Lactuca</v>
      </c>
      <c r="K1344" s="77" t="str">
        <f t="shared" si="651"/>
        <v>inermis</v>
      </c>
      <c r="L1344" s="78">
        <f t="shared" si="651"/>
        <v>7</v>
      </c>
      <c r="M1344" s="78">
        <f t="shared" si="651"/>
        <v>0</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2017</v>
      </c>
      <c r="B1345" s="73" t="str">
        <f t="shared" si="623"/>
        <v>Nov</v>
      </c>
      <c r="C1345" s="74">
        <f t="shared" si="646"/>
        <v>17</v>
      </c>
      <c r="D1345" s="75">
        <f t="shared" si="624"/>
        <v>6</v>
      </c>
      <c r="E1345" s="76">
        <f t="shared" si="625"/>
        <v>40</v>
      </c>
      <c r="F1345" s="80"/>
      <c r="G1345" s="83"/>
      <c r="H1345" s="69" t="str">
        <f t="shared" si="647"/>
        <v>Lacine7_20171117_06_00</v>
      </c>
      <c r="I1345" s="70">
        <f t="shared" si="651"/>
        <v>1</v>
      </c>
      <c r="J1345" s="77" t="str">
        <f t="shared" si="651"/>
        <v>Lactuca</v>
      </c>
      <c r="K1345" s="77" t="str">
        <f t="shared" si="651"/>
        <v>inermis</v>
      </c>
      <c r="L1345" s="78">
        <f t="shared" si="651"/>
        <v>7</v>
      </c>
      <c r="M1345" s="78">
        <f t="shared" si="651"/>
        <v>0</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2017</v>
      </c>
      <c r="B1346" s="73" t="str">
        <f t="shared" si="623"/>
        <v>Nov</v>
      </c>
      <c r="C1346" s="74">
        <f t="shared" si="646"/>
        <v>17</v>
      </c>
      <c r="D1346" s="75">
        <f t="shared" si="624"/>
        <v>6</v>
      </c>
      <c r="E1346" s="76">
        <f t="shared" si="625"/>
        <v>41</v>
      </c>
      <c r="F1346" s="80"/>
      <c r="G1346" s="83"/>
      <c r="H1346" s="69" t="str">
        <f t="shared" si="647"/>
        <v>Lacine7_20171117_06_00</v>
      </c>
      <c r="I1346" s="70">
        <f t="shared" si="651"/>
        <v>1</v>
      </c>
      <c r="J1346" s="77" t="str">
        <f t="shared" si="651"/>
        <v>Lactuca</v>
      </c>
      <c r="K1346" s="77" t="str">
        <f t="shared" si="651"/>
        <v>inermis</v>
      </c>
      <c r="L1346" s="78">
        <f t="shared" si="651"/>
        <v>7</v>
      </c>
      <c r="M1346" s="78">
        <f t="shared" si="651"/>
        <v>0</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2017</v>
      </c>
      <c r="B1347" s="73" t="str">
        <f t="shared" si="623"/>
        <v>Nov</v>
      </c>
      <c r="C1347" s="74">
        <f t="shared" si="646"/>
        <v>17</v>
      </c>
      <c r="D1347" s="75">
        <f t="shared" si="624"/>
        <v>6</v>
      </c>
      <c r="E1347" s="76">
        <f t="shared" si="625"/>
        <v>42</v>
      </c>
      <c r="F1347" s="80"/>
      <c r="G1347" s="83"/>
      <c r="H1347" s="69" t="str">
        <f t="shared" si="647"/>
        <v>Lacine7_20171117_06_00</v>
      </c>
      <c r="I1347" s="70">
        <f t="shared" si="651"/>
        <v>1</v>
      </c>
      <c r="J1347" s="77" t="str">
        <f t="shared" si="651"/>
        <v>Lactuca</v>
      </c>
      <c r="K1347" s="77" t="str">
        <f t="shared" si="651"/>
        <v>inermis</v>
      </c>
      <c r="L1347" s="78">
        <f t="shared" si="651"/>
        <v>7</v>
      </c>
      <c r="M1347" s="78">
        <f t="shared" si="651"/>
        <v>0</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2017</v>
      </c>
      <c r="B1348" s="73" t="str">
        <f t="shared" ref="B1348:B1411" si="654">IF(C1347-C1348&gt;0, TEXT(DATE(2016,(MONTH(DATEVALUE(B1347&amp;"1"))+1),1),"mmm"), B1347)</f>
        <v>Nov</v>
      </c>
      <c r="C1348" s="74">
        <f t="shared" si="646"/>
        <v>17</v>
      </c>
      <c r="D1348" s="75">
        <f t="shared" ref="D1348:D1411" si="655">IF(IF(E1347=59,D1347+1,D1347)=24,0,IF(E1347=59,D1347+1,D1347))</f>
        <v>6</v>
      </c>
      <c r="E1348" s="76">
        <f t="shared" ref="E1348:E1411" si="656">IF(E1347&lt;59,E1347+1,0)</f>
        <v>43</v>
      </c>
      <c r="F1348" s="80"/>
      <c r="G1348" s="83"/>
      <c r="H1348" s="69" t="str">
        <f t="shared" si="647"/>
        <v>Lacine7_20171117_06_00</v>
      </c>
      <c r="I1348" s="70">
        <f t="shared" si="651"/>
        <v>1</v>
      </c>
      <c r="J1348" s="77" t="str">
        <f t="shared" si="651"/>
        <v>Lactuca</v>
      </c>
      <c r="K1348" s="77" t="str">
        <f t="shared" si="651"/>
        <v>inermis</v>
      </c>
      <c r="L1348" s="78">
        <f t="shared" si="651"/>
        <v>7</v>
      </c>
      <c r="M1348" s="78">
        <f t="shared" si="651"/>
        <v>0</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2017</v>
      </c>
      <c r="B1349" s="73" t="str">
        <f t="shared" si="654"/>
        <v>Nov</v>
      </c>
      <c r="C1349" s="74">
        <f t="shared" ref="C1349:C1412" si="677">IF(AND(D1349=0, E1349=0), IF(TEXT(C1348,"dd")=TEXT(EOMONTH(DATE(A1348,MONTH(DATEVALUE(B1348&amp;"1")),C1348),0), "dd"), 1, C1348+1), C1348)</f>
        <v>17</v>
      </c>
      <c r="D1349" s="75">
        <f t="shared" si="655"/>
        <v>6</v>
      </c>
      <c r="E1349" s="76">
        <f t="shared" si="656"/>
        <v>44</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Lacine7_20171117_06_00</v>
      </c>
      <c r="I1349" s="70">
        <f t="shared" ref="I1349:N1364" si="679">I1348</f>
        <v>1</v>
      </c>
      <c r="J1349" s="77" t="str">
        <f t="shared" si="679"/>
        <v>Lactuca</v>
      </c>
      <c r="K1349" s="77" t="str">
        <f t="shared" si="679"/>
        <v>inermis</v>
      </c>
      <c r="L1349" s="78">
        <f t="shared" si="679"/>
        <v>7</v>
      </c>
      <c r="M1349" s="78">
        <f t="shared" si="679"/>
        <v>0</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hidden="1" x14ac:dyDescent="0.35">
      <c r="A1350" s="73">
        <f t="shared" si="653"/>
        <v>2017</v>
      </c>
      <c r="B1350" s="73" t="str">
        <f t="shared" si="654"/>
        <v>Nov</v>
      </c>
      <c r="C1350" s="74">
        <f t="shared" si="677"/>
        <v>17</v>
      </c>
      <c r="D1350" s="75">
        <f t="shared" si="655"/>
        <v>6</v>
      </c>
      <c r="E1350" s="76">
        <f t="shared" si="656"/>
        <v>45</v>
      </c>
      <c r="F1350" s="80"/>
      <c r="G1350" s="83"/>
      <c r="H1350" s="69" t="str">
        <f t="shared" si="678"/>
        <v>Lacine7_20171117_06_00</v>
      </c>
      <c r="I1350" s="70">
        <f t="shared" si="679"/>
        <v>1</v>
      </c>
      <c r="J1350" s="77" t="str">
        <f t="shared" si="679"/>
        <v>Lactuca</v>
      </c>
      <c r="K1350" s="77" t="str">
        <f t="shared" si="679"/>
        <v>inermis</v>
      </c>
      <c r="L1350" s="78">
        <f t="shared" si="679"/>
        <v>7</v>
      </c>
      <c r="M1350" s="78">
        <f t="shared" si="679"/>
        <v>0</v>
      </c>
      <c r="N1350" s="72">
        <f t="shared" si="679"/>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65"/>
        <v/>
      </c>
      <c r="AH1350" s="57" t="str">
        <f t="shared" si="666"/>
        <v/>
      </c>
      <c r="AI1350" s="56"/>
      <c r="AJ1350" s="57" t="str">
        <f t="shared" si="667"/>
        <v/>
      </c>
      <c r="AK1350" s="56"/>
      <c r="AL1350" s="57" t="str">
        <f t="shared" si="668"/>
        <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t="str">
        <f t="shared" si="673"/>
        <v/>
      </c>
      <c r="AZ1350" s="62" t="str">
        <f t="shared" si="674"/>
        <v/>
      </c>
      <c r="BA1350" s="61" t="str">
        <f t="shared" si="675"/>
        <v/>
      </c>
      <c r="BB1350" s="62" t="str">
        <f t="shared" si="676"/>
        <v/>
      </c>
    </row>
    <row r="1351" spans="1:54" s="3" customFormat="1" hidden="1" x14ac:dyDescent="0.35">
      <c r="A1351" s="73">
        <f t="shared" si="653"/>
        <v>2017</v>
      </c>
      <c r="B1351" s="73" t="str">
        <f t="shared" si="654"/>
        <v>Nov</v>
      </c>
      <c r="C1351" s="74">
        <f t="shared" si="677"/>
        <v>17</v>
      </c>
      <c r="D1351" s="75">
        <f t="shared" si="655"/>
        <v>6</v>
      </c>
      <c r="E1351" s="76">
        <f t="shared" si="656"/>
        <v>46</v>
      </c>
      <c r="F1351" s="80"/>
      <c r="G1351" s="83"/>
      <c r="H1351" s="69" t="str">
        <f t="shared" si="678"/>
        <v>Lacine7_20171117_06_00</v>
      </c>
      <c r="I1351" s="70">
        <f t="shared" si="679"/>
        <v>1</v>
      </c>
      <c r="J1351" s="77" t="str">
        <f t="shared" si="679"/>
        <v>Lactuca</v>
      </c>
      <c r="K1351" s="77" t="str">
        <f t="shared" si="679"/>
        <v>inermis</v>
      </c>
      <c r="L1351" s="78">
        <f t="shared" si="679"/>
        <v>7</v>
      </c>
      <c r="M1351" s="78">
        <f t="shared" si="679"/>
        <v>0</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2017</v>
      </c>
      <c r="B1352" s="73" t="str">
        <f t="shared" si="654"/>
        <v>Nov</v>
      </c>
      <c r="C1352" s="74">
        <f t="shared" si="677"/>
        <v>17</v>
      </c>
      <c r="D1352" s="75">
        <f t="shared" si="655"/>
        <v>6</v>
      </c>
      <c r="E1352" s="76">
        <f t="shared" si="656"/>
        <v>47</v>
      </c>
      <c r="F1352" s="80"/>
      <c r="G1352" s="83"/>
      <c r="H1352" s="69" t="str">
        <f t="shared" si="678"/>
        <v>Lacine7_20171117_06_00</v>
      </c>
      <c r="I1352" s="70">
        <f t="shared" si="679"/>
        <v>1</v>
      </c>
      <c r="J1352" s="77" t="str">
        <f t="shared" si="679"/>
        <v>Lactuca</v>
      </c>
      <c r="K1352" s="77" t="str">
        <f t="shared" si="679"/>
        <v>inermis</v>
      </c>
      <c r="L1352" s="78">
        <f t="shared" si="679"/>
        <v>7</v>
      </c>
      <c r="M1352" s="78">
        <f t="shared" si="679"/>
        <v>0</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2017</v>
      </c>
      <c r="B1353" s="73" t="str">
        <f t="shared" si="654"/>
        <v>Nov</v>
      </c>
      <c r="C1353" s="74">
        <f t="shared" si="677"/>
        <v>17</v>
      </c>
      <c r="D1353" s="75">
        <f t="shared" si="655"/>
        <v>6</v>
      </c>
      <c r="E1353" s="76">
        <f t="shared" si="656"/>
        <v>48</v>
      </c>
      <c r="F1353" s="80"/>
      <c r="G1353" s="83"/>
      <c r="H1353" s="69" t="str">
        <f t="shared" si="678"/>
        <v>Lacine7_20171117_06_00</v>
      </c>
      <c r="I1353" s="70">
        <f t="shared" si="679"/>
        <v>1</v>
      </c>
      <c r="J1353" s="77" t="str">
        <f t="shared" si="679"/>
        <v>Lactuca</v>
      </c>
      <c r="K1353" s="77" t="str">
        <f t="shared" si="679"/>
        <v>inermis</v>
      </c>
      <c r="L1353" s="78">
        <f t="shared" si="679"/>
        <v>7</v>
      </c>
      <c r="M1353" s="78">
        <f t="shared" si="679"/>
        <v>0</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2017</v>
      </c>
      <c r="B1354" s="73" t="str">
        <f t="shared" si="654"/>
        <v>Nov</v>
      </c>
      <c r="C1354" s="74">
        <f t="shared" si="677"/>
        <v>17</v>
      </c>
      <c r="D1354" s="75">
        <f t="shared" si="655"/>
        <v>6</v>
      </c>
      <c r="E1354" s="76">
        <f t="shared" si="656"/>
        <v>49</v>
      </c>
      <c r="F1354" s="80"/>
      <c r="G1354" s="83"/>
      <c r="H1354" s="69" t="str">
        <f t="shared" si="678"/>
        <v>Lacine7_20171117_06_00</v>
      </c>
      <c r="I1354" s="70">
        <f t="shared" si="679"/>
        <v>1</v>
      </c>
      <c r="J1354" s="77" t="str">
        <f t="shared" si="679"/>
        <v>Lactuca</v>
      </c>
      <c r="K1354" s="77" t="str">
        <f t="shared" si="679"/>
        <v>inermis</v>
      </c>
      <c r="L1354" s="78">
        <f t="shared" si="679"/>
        <v>7</v>
      </c>
      <c r="M1354" s="78">
        <f t="shared" si="679"/>
        <v>0</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2017</v>
      </c>
      <c r="B1355" s="73" t="str">
        <f t="shared" si="654"/>
        <v>Nov</v>
      </c>
      <c r="C1355" s="74">
        <f t="shared" si="677"/>
        <v>17</v>
      </c>
      <c r="D1355" s="75">
        <f t="shared" si="655"/>
        <v>6</v>
      </c>
      <c r="E1355" s="76">
        <f t="shared" si="656"/>
        <v>50</v>
      </c>
      <c r="F1355" s="80"/>
      <c r="G1355" s="83"/>
      <c r="H1355" s="69" t="str">
        <f t="shared" si="678"/>
        <v>Lacine7_20171117_06_00</v>
      </c>
      <c r="I1355" s="70">
        <f t="shared" si="679"/>
        <v>1</v>
      </c>
      <c r="J1355" s="77" t="str">
        <f t="shared" si="679"/>
        <v>Lactuca</v>
      </c>
      <c r="K1355" s="77" t="str">
        <f t="shared" si="679"/>
        <v>inermis</v>
      </c>
      <c r="L1355" s="78">
        <f t="shared" si="679"/>
        <v>7</v>
      </c>
      <c r="M1355" s="78">
        <f t="shared" si="679"/>
        <v>0</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2017</v>
      </c>
      <c r="B1356" s="73" t="str">
        <f t="shared" si="654"/>
        <v>Nov</v>
      </c>
      <c r="C1356" s="74">
        <f t="shared" si="677"/>
        <v>17</v>
      </c>
      <c r="D1356" s="75">
        <f t="shared" si="655"/>
        <v>6</v>
      </c>
      <c r="E1356" s="76">
        <f t="shared" si="656"/>
        <v>51</v>
      </c>
      <c r="F1356" s="80"/>
      <c r="G1356" s="83"/>
      <c r="H1356" s="69" t="str">
        <f t="shared" si="678"/>
        <v>Lacine7_20171117_06_00</v>
      </c>
      <c r="I1356" s="70">
        <f t="shared" si="679"/>
        <v>1</v>
      </c>
      <c r="J1356" s="77" t="str">
        <f t="shared" si="679"/>
        <v>Lactuca</v>
      </c>
      <c r="K1356" s="77" t="str">
        <f t="shared" si="679"/>
        <v>inermis</v>
      </c>
      <c r="L1356" s="78">
        <f t="shared" si="679"/>
        <v>7</v>
      </c>
      <c r="M1356" s="78">
        <f t="shared" si="679"/>
        <v>0</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2017</v>
      </c>
      <c r="B1357" s="73" t="str">
        <f t="shared" si="654"/>
        <v>Nov</v>
      </c>
      <c r="C1357" s="74">
        <f t="shared" si="677"/>
        <v>17</v>
      </c>
      <c r="D1357" s="75">
        <f t="shared" si="655"/>
        <v>6</v>
      </c>
      <c r="E1357" s="76">
        <f t="shared" si="656"/>
        <v>52</v>
      </c>
      <c r="F1357" s="80"/>
      <c r="G1357" s="83"/>
      <c r="H1357" s="69" t="str">
        <f t="shared" si="678"/>
        <v>Lacine7_20171117_06_00</v>
      </c>
      <c r="I1357" s="70">
        <f t="shared" si="679"/>
        <v>1</v>
      </c>
      <c r="J1357" s="77" t="str">
        <f t="shared" si="679"/>
        <v>Lactuca</v>
      </c>
      <c r="K1357" s="77" t="str">
        <f t="shared" si="679"/>
        <v>inermis</v>
      </c>
      <c r="L1357" s="78">
        <f t="shared" si="679"/>
        <v>7</v>
      </c>
      <c r="M1357" s="78">
        <f t="shared" si="679"/>
        <v>0</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2017</v>
      </c>
      <c r="B1358" s="73" t="str">
        <f t="shared" si="654"/>
        <v>Nov</v>
      </c>
      <c r="C1358" s="74">
        <f t="shared" si="677"/>
        <v>17</v>
      </c>
      <c r="D1358" s="75">
        <f t="shared" si="655"/>
        <v>6</v>
      </c>
      <c r="E1358" s="76">
        <f t="shared" si="656"/>
        <v>53</v>
      </c>
      <c r="F1358" s="80"/>
      <c r="G1358" s="83"/>
      <c r="H1358" s="69" t="str">
        <f t="shared" si="678"/>
        <v>Lacine7_20171117_06_00</v>
      </c>
      <c r="I1358" s="70">
        <f t="shared" si="679"/>
        <v>1</v>
      </c>
      <c r="J1358" s="77" t="str">
        <f t="shared" si="679"/>
        <v>Lactuca</v>
      </c>
      <c r="K1358" s="77" t="str">
        <f t="shared" si="679"/>
        <v>inermis</v>
      </c>
      <c r="L1358" s="78">
        <f t="shared" si="679"/>
        <v>7</v>
      </c>
      <c r="M1358" s="78">
        <f t="shared" si="679"/>
        <v>0</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2017</v>
      </c>
      <c r="B1359" s="73" t="str">
        <f t="shared" si="654"/>
        <v>Nov</v>
      </c>
      <c r="C1359" s="74">
        <f t="shared" si="677"/>
        <v>17</v>
      </c>
      <c r="D1359" s="75">
        <f t="shared" si="655"/>
        <v>6</v>
      </c>
      <c r="E1359" s="76">
        <f t="shared" si="656"/>
        <v>54</v>
      </c>
      <c r="F1359" s="80"/>
      <c r="G1359" s="83"/>
      <c r="H1359" s="69" t="str">
        <f t="shared" si="678"/>
        <v>Lacine7_20171117_06_00</v>
      </c>
      <c r="I1359" s="70">
        <f t="shared" si="679"/>
        <v>1</v>
      </c>
      <c r="J1359" s="77" t="str">
        <f t="shared" si="679"/>
        <v>Lactuca</v>
      </c>
      <c r="K1359" s="77" t="str">
        <f t="shared" si="679"/>
        <v>inermis</v>
      </c>
      <c r="L1359" s="78">
        <f t="shared" si="679"/>
        <v>7</v>
      </c>
      <c r="M1359" s="78">
        <f t="shared" si="679"/>
        <v>0</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2017</v>
      </c>
      <c r="B1360" s="73" t="str">
        <f t="shared" si="654"/>
        <v>Nov</v>
      </c>
      <c r="C1360" s="74">
        <f t="shared" si="677"/>
        <v>17</v>
      </c>
      <c r="D1360" s="75">
        <f t="shared" si="655"/>
        <v>6</v>
      </c>
      <c r="E1360" s="76">
        <f t="shared" si="656"/>
        <v>55</v>
      </c>
      <c r="F1360" s="80"/>
      <c r="G1360" s="83"/>
      <c r="H1360" s="69" t="str">
        <f t="shared" si="678"/>
        <v>Lacine7_20171117_06_00</v>
      </c>
      <c r="I1360" s="70">
        <f t="shared" si="679"/>
        <v>1</v>
      </c>
      <c r="J1360" s="77" t="str">
        <f t="shared" si="679"/>
        <v>Lactuca</v>
      </c>
      <c r="K1360" s="77" t="str">
        <f t="shared" si="679"/>
        <v>inermis</v>
      </c>
      <c r="L1360" s="78">
        <f t="shared" si="679"/>
        <v>7</v>
      </c>
      <c r="M1360" s="78">
        <f t="shared" si="679"/>
        <v>0</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hidden="1" x14ac:dyDescent="0.35">
      <c r="A1361" s="73">
        <f t="shared" si="653"/>
        <v>2017</v>
      </c>
      <c r="B1361" s="73" t="str">
        <f t="shared" si="654"/>
        <v>Nov</v>
      </c>
      <c r="C1361" s="74">
        <f t="shared" si="677"/>
        <v>17</v>
      </c>
      <c r="D1361" s="75">
        <f t="shared" si="655"/>
        <v>6</v>
      </c>
      <c r="E1361" s="76">
        <f t="shared" si="656"/>
        <v>56</v>
      </c>
      <c r="F1361" s="80"/>
      <c r="G1361" s="83"/>
      <c r="H1361" s="69" t="str">
        <f t="shared" si="678"/>
        <v>Lacine7_20171117_06_00</v>
      </c>
      <c r="I1361" s="70">
        <f t="shared" si="679"/>
        <v>1</v>
      </c>
      <c r="J1361" s="77" t="str">
        <f t="shared" si="679"/>
        <v>Lactuca</v>
      </c>
      <c r="K1361" s="77" t="str">
        <f t="shared" si="679"/>
        <v>inermis</v>
      </c>
      <c r="L1361" s="78">
        <f t="shared" si="679"/>
        <v>7</v>
      </c>
      <c r="M1361" s="78">
        <f t="shared" si="679"/>
        <v>0</v>
      </c>
      <c r="N1361" s="72">
        <f t="shared" si="679"/>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65"/>
        <v/>
      </c>
      <c r="AH1361" s="57" t="str">
        <f t="shared" si="666"/>
        <v/>
      </c>
      <c r="AI1361" s="56"/>
      <c r="AJ1361" s="57" t="str">
        <f t="shared" si="667"/>
        <v/>
      </c>
      <c r="AK1361" s="56"/>
      <c r="AL1361" s="57" t="str">
        <f t="shared" si="668"/>
        <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t="str">
        <f t="shared" si="673"/>
        <v/>
      </c>
      <c r="AZ1361" s="62" t="str">
        <f t="shared" si="674"/>
        <v/>
      </c>
      <c r="BA1361" s="61" t="str">
        <f t="shared" si="675"/>
        <v/>
      </c>
      <c r="BB1361" s="62" t="str">
        <f t="shared" si="676"/>
        <v/>
      </c>
    </row>
    <row r="1362" spans="1:54" s="3" customFormat="1" hidden="1" x14ac:dyDescent="0.35">
      <c r="A1362" s="73">
        <f t="shared" si="653"/>
        <v>2017</v>
      </c>
      <c r="B1362" s="73" t="str">
        <f t="shared" si="654"/>
        <v>Nov</v>
      </c>
      <c r="C1362" s="74">
        <f t="shared" si="677"/>
        <v>17</v>
      </c>
      <c r="D1362" s="75">
        <f t="shared" si="655"/>
        <v>6</v>
      </c>
      <c r="E1362" s="76">
        <f t="shared" si="656"/>
        <v>57</v>
      </c>
      <c r="F1362" s="80"/>
      <c r="G1362" s="83"/>
      <c r="H1362" s="69" t="str">
        <f t="shared" si="678"/>
        <v>Lacine7_20171117_06_00</v>
      </c>
      <c r="I1362" s="70">
        <f t="shared" si="679"/>
        <v>1</v>
      </c>
      <c r="J1362" s="77" t="str">
        <f t="shared" si="679"/>
        <v>Lactuca</v>
      </c>
      <c r="K1362" s="77" t="str">
        <f t="shared" si="679"/>
        <v>inermis</v>
      </c>
      <c r="L1362" s="78">
        <f t="shared" si="679"/>
        <v>7</v>
      </c>
      <c r="M1362" s="78">
        <f t="shared" si="679"/>
        <v>0</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hidden="1" x14ac:dyDescent="0.35">
      <c r="A1363" s="73">
        <f t="shared" si="653"/>
        <v>2017</v>
      </c>
      <c r="B1363" s="73" t="str">
        <f t="shared" si="654"/>
        <v>Nov</v>
      </c>
      <c r="C1363" s="74">
        <f t="shared" si="677"/>
        <v>17</v>
      </c>
      <c r="D1363" s="75">
        <f t="shared" si="655"/>
        <v>6</v>
      </c>
      <c r="E1363" s="76">
        <f t="shared" si="656"/>
        <v>58</v>
      </c>
      <c r="F1363" s="80"/>
      <c r="G1363" s="83"/>
      <c r="H1363" s="69" t="str">
        <f t="shared" si="678"/>
        <v>Lacine7_20171117_06_00</v>
      </c>
      <c r="I1363" s="70">
        <f t="shared" si="679"/>
        <v>1</v>
      </c>
      <c r="J1363" s="77" t="str">
        <f t="shared" si="679"/>
        <v>Lactuca</v>
      </c>
      <c r="K1363" s="77" t="str">
        <f t="shared" si="679"/>
        <v>inermis</v>
      </c>
      <c r="L1363" s="78">
        <f t="shared" si="679"/>
        <v>7</v>
      </c>
      <c r="M1363" s="78">
        <f t="shared" si="679"/>
        <v>0</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2017</v>
      </c>
      <c r="B1364" s="73" t="str">
        <f t="shared" si="654"/>
        <v>Nov</v>
      </c>
      <c r="C1364" s="74">
        <f t="shared" si="677"/>
        <v>17</v>
      </c>
      <c r="D1364" s="75">
        <f t="shared" si="655"/>
        <v>6</v>
      </c>
      <c r="E1364" s="76">
        <f t="shared" si="656"/>
        <v>59</v>
      </c>
      <c r="F1364" s="80"/>
      <c r="G1364" s="83"/>
      <c r="H1364" s="69" t="str">
        <f t="shared" si="678"/>
        <v>Lacine7_20171117_06_00</v>
      </c>
      <c r="I1364" s="70">
        <f t="shared" si="679"/>
        <v>1</v>
      </c>
      <c r="J1364" s="77" t="str">
        <f t="shared" si="679"/>
        <v>Lactuca</v>
      </c>
      <c r="K1364" s="77" t="str">
        <f t="shared" si="679"/>
        <v>inermis</v>
      </c>
      <c r="L1364" s="78">
        <f t="shared" si="679"/>
        <v>7</v>
      </c>
      <c r="M1364" s="78">
        <f t="shared" si="679"/>
        <v>0</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2017</v>
      </c>
      <c r="B1365" s="73" t="str">
        <f t="shared" si="654"/>
        <v>Nov</v>
      </c>
      <c r="C1365" s="74">
        <f t="shared" si="677"/>
        <v>17</v>
      </c>
      <c r="D1365" s="75">
        <f t="shared" si="655"/>
        <v>7</v>
      </c>
      <c r="E1365" s="76">
        <f t="shared" si="656"/>
        <v>0</v>
      </c>
      <c r="F1365" s="80"/>
      <c r="G1365" s="83"/>
      <c r="H1365" s="69" t="str">
        <f t="shared" si="678"/>
        <v>Lacine7_20171117_07_00</v>
      </c>
      <c r="I1365" s="70">
        <f t="shared" ref="I1365:N1380" si="680">I1364</f>
        <v>1</v>
      </c>
      <c r="J1365" s="77" t="str">
        <f t="shared" si="680"/>
        <v>Lactuca</v>
      </c>
      <c r="K1365" s="77" t="str">
        <f t="shared" si="680"/>
        <v>inermis</v>
      </c>
      <c r="L1365" s="78">
        <f t="shared" si="680"/>
        <v>7</v>
      </c>
      <c r="M1365" s="78">
        <f t="shared" si="680"/>
        <v>0</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2017</v>
      </c>
      <c r="B1366" s="73" t="str">
        <f t="shared" si="654"/>
        <v>Nov</v>
      </c>
      <c r="C1366" s="74">
        <f t="shared" si="677"/>
        <v>17</v>
      </c>
      <c r="D1366" s="75">
        <f t="shared" si="655"/>
        <v>7</v>
      </c>
      <c r="E1366" s="76">
        <f t="shared" si="656"/>
        <v>1</v>
      </c>
      <c r="F1366" s="80"/>
      <c r="G1366" s="83"/>
      <c r="H1366" s="69" t="str">
        <f t="shared" si="678"/>
        <v>Lacine7_20171117_07_00</v>
      </c>
      <c r="I1366" s="70">
        <f t="shared" si="680"/>
        <v>1</v>
      </c>
      <c r="J1366" s="77" t="str">
        <f t="shared" si="680"/>
        <v>Lactuca</v>
      </c>
      <c r="K1366" s="77" t="str">
        <f t="shared" si="680"/>
        <v>inermis</v>
      </c>
      <c r="L1366" s="78">
        <f t="shared" si="680"/>
        <v>7</v>
      </c>
      <c r="M1366" s="78">
        <f t="shared" si="680"/>
        <v>0</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2017</v>
      </c>
      <c r="B1367" s="73" t="str">
        <f t="shared" si="654"/>
        <v>Nov</v>
      </c>
      <c r="C1367" s="74">
        <f t="shared" si="677"/>
        <v>17</v>
      </c>
      <c r="D1367" s="75">
        <f t="shared" si="655"/>
        <v>7</v>
      </c>
      <c r="E1367" s="76">
        <f t="shared" si="656"/>
        <v>2</v>
      </c>
      <c r="F1367" s="80"/>
      <c r="G1367" s="83"/>
      <c r="H1367" s="69" t="str">
        <f t="shared" si="678"/>
        <v>Lacine7_20171117_07_00</v>
      </c>
      <c r="I1367" s="70">
        <f t="shared" si="680"/>
        <v>1</v>
      </c>
      <c r="J1367" s="77" t="str">
        <f t="shared" si="680"/>
        <v>Lactuca</v>
      </c>
      <c r="K1367" s="77" t="str">
        <f t="shared" si="680"/>
        <v>inermis</v>
      </c>
      <c r="L1367" s="78">
        <f t="shared" si="680"/>
        <v>7</v>
      </c>
      <c r="M1367" s="78">
        <f t="shared" si="680"/>
        <v>0</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2017</v>
      </c>
      <c r="B1368" s="73" t="str">
        <f t="shared" si="654"/>
        <v>Nov</v>
      </c>
      <c r="C1368" s="74">
        <f t="shared" si="677"/>
        <v>17</v>
      </c>
      <c r="D1368" s="75">
        <f t="shared" si="655"/>
        <v>7</v>
      </c>
      <c r="E1368" s="76">
        <f t="shared" si="656"/>
        <v>3</v>
      </c>
      <c r="F1368" s="80"/>
      <c r="G1368" s="83"/>
      <c r="H1368" s="69" t="str">
        <f t="shared" si="678"/>
        <v>Lacine7_20171117_07_00</v>
      </c>
      <c r="I1368" s="70">
        <f t="shared" si="680"/>
        <v>1</v>
      </c>
      <c r="J1368" s="77" t="str">
        <f t="shared" si="680"/>
        <v>Lactuca</v>
      </c>
      <c r="K1368" s="77" t="str">
        <f t="shared" si="680"/>
        <v>inermis</v>
      </c>
      <c r="L1368" s="78">
        <f t="shared" si="680"/>
        <v>7</v>
      </c>
      <c r="M1368" s="78">
        <f t="shared" si="680"/>
        <v>0</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2017</v>
      </c>
      <c r="B1369" s="73" t="str">
        <f t="shared" si="654"/>
        <v>Nov</v>
      </c>
      <c r="C1369" s="74">
        <f t="shared" si="677"/>
        <v>17</v>
      </c>
      <c r="D1369" s="75">
        <f t="shared" si="655"/>
        <v>7</v>
      </c>
      <c r="E1369" s="76">
        <f t="shared" si="656"/>
        <v>4</v>
      </c>
      <c r="F1369" s="80"/>
      <c r="G1369" s="83"/>
      <c r="H1369" s="69" t="str">
        <f t="shared" si="678"/>
        <v>Lacine7_20171117_07_00</v>
      </c>
      <c r="I1369" s="70">
        <f t="shared" si="680"/>
        <v>1</v>
      </c>
      <c r="J1369" s="77" t="str">
        <f t="shared" si="680"/>
        <v>Lactuca</v>
      </c>
      <c r="K1369" s="77" t="str">
        <f t="shared" si="680"/>
        <v>inermis</v>
      </c>
      <c r="L1369" s="78">
        <f t="shared" si="680"/>
        <v>7</v>
      </c>
      <c r="M1369" s="78">
        <f t="shared" si="680"/>
        <v>0</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2017</v>
      </c>
      <c r="B1370" s="73" t="str">
        <f t="shared" si="654"/>
        <v>Nov</v>
      </c>
      <c r="C1370" s="74">
        <f t="shared" si="677"/>
        <v>17</v>
      </c>
      <c r="D1370" s="75">
        <f t="shared" si="655"/>
        <v>7</v>
      </c>
      <c r="E1370" s="76">
        <f t="shared" si="656"/>
        <v>5</v>
      </c>
      <c r="F1370" s="80"/>
      <c r="G1370" s="83"/>
      <c r="H1370" s="69" t="str">
        <f t="shared" si="678"/>
        <v>Lacine7_20171117_07_00</v>
      </c>
      <c r="I1370" s="70">
        <f t="shared" si="680"/>
        <v>1</v>
      </c>
      <c r="J1370" s="77" t="str">
        <f t="shared" si="680"/>
        <v>Lactuca</v>
      </c>
      <c r="K1370" s="77" t="str">
        <f t="shared" si="680"/>
        <v>inermis</v>
      </c>
      <c r="L1370" s="78">
        <f t="shared" si="680"/>
        <v>7</v>
      </c>
      <c r="M1370" s="78">
        <f t="shared" si="680"/>
        <v>0</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hidden="1" x14ac:dyDescent="0.35">
      <c r="A1371" s="73">
        <f t="shared" si="653"/>
        <v>2017</v>
      </c>
      <c r="B1371" s="73" t="str">
        <f t="shared" si="654"/>
        <v>Nov</v>
      </c>
      <c r="C1371" s="74">
        <f t="shared" si="677"/>
        <v>17</v>
      </c>
      <c r="D1371" s="75">
        <f t="shared" si="655"/>
        <v>7</v>
      </c>
      <c r="E1371" s="76">
        <f t="shared" si="656"/>
        <v>6</v>
      </c>
      <c r="F1371" s="80"/>
      <c r="G1371" s="83"/>
      <c r="H1371" s="69" t="str">
        <f t="shared" si="678"/>
        <v>Lacine7_20171117_07_00</v>
      </c>
      <c r="I1371" s="70">
        <f t="shared" si="680"/>
        <v>1</v>
      </c>
      <c r="J1371" s="77" t="str">
        <f t="shared" si="680"/>
        <v>Lactuca</v>
      </c>
      <c r="K1371" s="77" t="str">
        <f t="shared" si="680"/>
        <v>inermis</v>
      </c>
      <c r="L1371" s="78">
        <f t="shared" si="680"/>
        <v>7</v>
      </c>
      <c r="M1371" s="78">
        <f t="shared" si="680"/>
        <v>0</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2017</v>
      </c>
      <c r="B1372" s="73" t="str">
        <f t="shared" si="654"/>
        <v>Nov</v>
      </c>
      <c r="C1372" s="74">
        <f t="shared" si="677"/>
        <v>17</v>
      </c>
      <c r="D1372" s="75">
        <f t="shared" si="655"/>
        <v>7</v>
      </c>
      <c r="E1372" s="76">
        <f t="shared" si="656"/>
        <v>7</v>
      </c>
      <c r="F1372" s="80"/>
      <c r="G1372" s="83"/>
      <c r="H1372" s="69" t="str">
        <f t="shared" si="678"/>
        <v>Lacine7_20171117_07_00</v>
      </c>
      <c r="I1372" s="70">
        <f t="shared" si="680"/>
        <v>1</v>
      </c>
      <c r="J1372" s="77" t="str">
        <f t="shared" si="680"/>
        <v>Lactuca</v>
      </c>
      <c r="K1372" s="77" t="str">
        <f t="shared" si="680"/>
        <v>inermis</v>
      </c>
      <c r="L1372" s="78">
        <f t="shared" si="680"/>
        <v>7</v>
      </c>
      <c r="M1372" s="78">
        <f t="shared" si="680"/>
        <v>0</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2017</v>
      </c>
      <c r="B1373" s="73" t="str">
        <f t="shared" si="654"/>
        <v>Nov</v>
      </c>
      <c r="C1373" s="74">
        <f t="shared" si="677"/>
        <v>17</v>
      </c>
      <c r="D1373" s="75">
        <f t="shared" si="655"/>
        <v>7</v>
      </c>
      <c r="E1373" s="76">
        <f t="shared" si="656"/>
        <v>8</v>
      </c>
      <c r="F1373" s="80"/>
      <c r="G1373" s="83"/>
      <c r="H1373" s="69" t="str">
        <f t="shared" si="678"/>
        <v>Lacine7_20171117_07_00</v>
      </c>
      <c r="I1373" s="70">
        <f t="shared" si="680"/>
        <v>1</v>
      </c>
      <c r="J1373" s="77" t="str">
        <f t="shared" si="680"/>
        <v>Lactuca</v>
      </c>
      <c r="K1373" s="77" t="str">
        <f t="shared" si="680"/>
        <v>inermis</v>
      </c>
      <c r="L1373" s="78">
        <f t="shared" si="680"/>
        <v>7</v>
      </c>
      <c r="M1373" s="78">
        <f t="shared" si="680"/>
        <v>0</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2017</v>
      </c>
      <c r="B1374" s="73" t="str">
        <f t="shared" si="654"/>
        <v>Nov</v>
      </c>
      <c r="C1374" s="74">
        <f t="shared" si="677"/>
        <v>17</v>
      </c>
      <c r="D1374" s="75">
        <f t="shared" si="655"/>
        <v>7</v>
      </c>
      <c r="E1374" s="76">
        <f t="shared" si="656"/>
        <v>9</v>
      </c>
      <c r="F1374" s="80"/>
      <c r="G1374" s="83"/>
      <c r="H1374" s="69" t="str">
        <f t="shared" si="678"/>
        <v>Lacine7_20171117_07_00</v>
      </c>
      <c r="I1374" s="70">
        <f t="shared" si="680"/>
        <v>1</v>
      </c>
      <c r="J1374" s="77" t="str">
        <f t="shared" si="680"/>
        <v>Lactuca</v>
      </c>
      <c r="K1374" s="77" t="str">
        <f t="shared" si="680"/>
        <v>inermis</v>
      </c>
      <c r="L1374" s="78">
        <f t="shared" si="680"/>
        <v>7</v>
      </c>
      <c r="M1374" s="78">
        <f t="shared" si="680"/>
        <v>0</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hidden="1" x14ac:dyDescent="0.35">
      <c r="A1375" s="73">
        <f t="shared" si="653"/>
        <v>2017</v>
      </c>
      <c r="B1375" s="73" t="str">
        <f t="shared" si="654"/>
        <v>Nov</v>
      </c>
      <c r="C1375" s="74">
        <f t="shared" si="677"/>
        <v>17</v>
      </c>
      <c r="D1375" s="75">
        <f t="shared" si="655"/>
        <v>7</v>
      </c>
      <c r="E1375" s="76">
        <f t="shared" si="656"/>
        <v>10</v>
      </c>
      <c r="F1375" s="80"/>
      <c r="G1375" s="83"/>
      <c r="H1375" s="69" t="str">
        <f t="shared" si="678"/>
        <v>Lacine7_20171117_07_00</v>
      </c>
      <c r="I1375" s="70">
        <f t="shared" si="680"/>
        <v>1</v>
      </c>
      <c r="J1375" s="77" t="str">
        <f t="shared" si="680"/>
        <v>Lactuca</v>
      </c>
      <c r="K1375" s="77" t="str">
        <f t="shared" si="680"/>
        <v>inermis</v>
      </c>
      <c r="L1375" s="78">
        <f t="shared" si="680"/>
        <v>7</v>
      </c>
      <c r="M1375" s="78">
        <f t="shared" si="680"/>
        <v>0</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2017</v>
      </c>
      <c r="B1376" s="73" t="str">
        <f t="shared" si="654"/>
        <v>Nov</v>
      </c>
      <c r="C1376" s="74">
        <f t="shared" si="677"/>
        <v>17</v>
      </c>
      <c r="D1376" s="75">
        <f t="shared" si="655"/>
        <v>7</v>
      </c>
      <c r="E1376" s="76">
        <f t="shared" si="656"/>
        <v>11</v>
      </c>
      <c r="F1376" s="80"/>
      <c r="G1376" s="83"/>
      <c r="H1376" s="69" t="str">
        <f t="shared" si="678"/>
        <v>Lacine7_20171117_07_00</v>
      </c>
      <c r="I1376" s="70">
        <f t="shared" si="680"/>
        <v>1</v>
      </c>
      <c r="J1376" s="77" t="str">
        <f t="shared" si="680"/>
        <v>Lactuca</v>
      </c>
      <c r="K1376" s="77" t="str">
        <f t="shared" si="680"/>
        <v>inermis</v>
      </c>
      <c r="L1376" s="78">
        <f t="shared" si="680"/>
        <v>7</v>
      </c>
      <c r="M1376" s="78">
        <f t="shared" si="680"/>
        <v>0</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2017</v>
      </c>
      <c r="B1377" s="73" t="str">
        <f t="shared" si="654"/>
        <v>Nov</v>
      </c>
      <c r="C1377" s="74">
        <f t="shared" si="677"/>
        <v>17</v>
      </c>
      <c r="D1377" s="75">
        <f t="shared" si="655"/>
        <v>7</v>
      </c>
      <c r="E1377" s="76">
        <f t="shared" si="656"/>
        <v>12</v>
      </c>
      <c r="F1377" s="80"/>
      <c r="G1377" s="83"/>
      <c r="H1377" s="69" t="str">
        <f t="shared" si="678"/>
        <v>Lacine7_20171117_07_00</v>
      </c>
      <c r="I1377" s="70">
        <f t="shared" si="680"/>
        <v>1</v>
      </c>
      <c r="J1377" s="77" t="str">
        <f t="shared" si="680"/>
        <v>Lactuca</v>
      </c>
      <c r="K1377" s="77" t="str">
        <f t="shared" si="680"/>
        <v>inermis</v>
      </c>
      <c r="L1377" s="78">
        <f t="shared" si="680"/>
        <v>7</v>
      </c>
      <c r="M1377" s="78">
        <f t="shared" si="680"/>
        <v>0</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2017</v>
      </c>
      <c r="B1378" s="73" t="str">
        <f t="shared" si="654"/>
        <v>Nov</v>
      </c>
      <c r="C1378" s="74">
        <f t="shared" si="677"/>
        <v>17</v>
      </c>
      <c r="D1378" s="75">
        <f t="shared" si="655"/>
        <v>7</v>
      </c>
      <c r="E1378" s="76">
        <f t="shared" si="656"/>
        <v>13</v>
      </c>
      <c r="F1378" s="80"/>
      <c r="G1378" s="83"/>
      <c r="H1378" s="69" t="str">
        <f t="shared" si="678"/>
        <v>Lacine7_20171117_07_00</v>
      </c>
      <c r="I1378" s="70">
        <f t="shared" si="680"/>
        <v>1</v>
      </c>
      <c r="J1378" s="77" t="str">
        <f t="shared" si="680"/>
        <v>Lactuca</v>
      </c>
      <c r="K1378" s="77" t="str">
        <f t="shared" si="680"/>
        <v>inermis</v>
      </c>
      <c r="L1378" s="78">
        <f t="shared" si="680"/>
        <v>7</v>
      </c>
      <c r="M1378" s="78">
        <f t="shared" si="680"/>
        <v>0</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2017</v>
      </c>
      <c r="B1379" s="73" t="str">
        <f t="shared" si="654"/>
        <v>Nov</v>
      </c>
      <c r="C1379" s="74">
        <f t="shared" si="677"/>
        <v>17</v>
      </c>
      <c r="D1379" s="75">
        <f t="shared" si="655"/>
        <v>7</v>
      </c>
      <c r="E1379" s="76">
        <f t="shared" si="656"/>
        <v>14</v>
      </c>
      <c r="F1379" s="80"/>
      <c r="G1379" s="83"/>
      <c r="H1379" s="69" t="str">
        <f t="shared" si="678"/>
        <v>Lacine7_20171117_07_00</v>
      </c>
      <c r="I1379" s="70">
        <f t="shared" si="680"/>
        <v>1</v>
      </c>
      <c r="J1379" s="77" t="str">
        <f t="shared" si="680"/>
        <v>Lactuca</v>
      </c>
      <c r="K1379" s="77" t="str">
        <f t="shared" si="680"/>
        <v>inermis</v>
      </c>
      <c r="L1379" s="78">
        <f t="shared" si="680"/>
        <v>7</v>
      </c>
      <c r="M1379" s="78">
        <f t="shared" si="680"/>
        <v>0</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2017</v>
      </c>
      <c r="B1380" s="73" t="str">
        <f t="shared" si="654"/>
        <v>Nov</v>
      </c>
      <c r="C1380" s="74">
        <f t="shared" si="677"/>
        <v>17</v>
      </c>
      <c r="D1380" s="75">
        <f t="shared" si="655"/>
        <v>7</v>
      </c>
      <c r="E1380" s="76">
        <f t="shared" si="656"/>
        <v>15</v>
      </c>
      <c r="F1380" s="80"/>
      <c r="G1380" s="83"/>
      <c r="H1380" s="69" t="str">
        <f t="shared" si="678"/>
        <v>Lacine7_20171117_07_00</v>
      </c>
      <c r="I1380" s="70">
        <f t="shared" si="680"/>
        <v>1</v>
      </c>
      <c r="J1380" s="77" t="str">
        <f t="shared" si="680"/>
        <v>Lactuca</v>
      </c>
      <c r="K1380" s="77" t="str">
        <f t="shared" si="680"/>
        <v>inermis</v>
      </c>
      <c r="L1380" s="78">
        <f t="shared" si="680"/>
        <v>7</v>
      </c>
      <c r="M1380" s="78">
        <f t="shared" si="680"/>
        <v>0</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2017</v>
      </c>
      <c r="B1381" s="73" t="str">
        <f t="shared" si="654"/>
        <v>Nov</v>
      </c>
      <c r="C1381" s="74">
        <f t="shared" si="677"/>
        <v>17</v>
      </c>
      <c r="D1381" s="75">
        <f t="shared" si="655"/>
        <v>7</v>
      </c>
      <c r="E1381" s="76">
        <f t="shared" si="656"/>
        <v>16</v>
      </c>
      <c r="F1381" s="80"/>
      <c r="G1381" s="83"/>
      <c r="H1381" s="69" t="str">
        <f t="shared" si="678"/>
        <v>Lacine7_20171117_07_00</v>
      </c>
      <c r="I1381" s="70">
        <f t="shared" ref="I1381:N1396" si="681">I1380</f>
        <v>1</v>
      </c>
      <c r="J1381" s="77" t="str">
        <f t="shared" si="681"/>
        <v>Lactuca</v>
      </c>
      <c r="K1381" s="77" t="str">
        <f t="shared" si="681"/>
        <v>inermis</v>
      </c>
      <c r="L1381" s="78">
        <f t="shared" si="681"/>
        <v>7</v>
      </c>
      <c r="M1381" s="78">
        <f t="shared" si="681"/>
        <v>0</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2017</v>
      </c>
      <c r="B1382" s="73" t="str">
        <f t="shared" si="654"/>
        <v>Nov</v>
      </c>
      <c r="C1382" s="74">
        <f t="shared" si="677"/>
        <v>17</v>
      </c>
      <c r="D1382" s="75">
        <f t="shared" si="655"/>
        <v>7</v>
      </c>
      <c r="E1382" s="76">
        <f t="shared" si="656"/>
        <v>17</v>
      </c>
      <c r="F1382" s="80"/>
      <c r="G1382" s="83"/>
      <c r="H1382" s="69" t="str">
        <f t="shared" si="678"/>
        <v>Lacine7_20171117_07_00</v>
      </c>
      <c r="I1382" s="70">
        <f t="shared" si="681"/>
        <v>1</v>
      </c>
      <c r="J1382" s="77" t="str">
        <f t="shared" si="681"/>
        <v>Lactuca</v>
      </c>
      <c r="K1382" s="77" t="str">
        <f t="shared" si="681"/>
        <v>inermis</v>
      </c>
      <c r="L1382" s="78">
        <f t="shared" si="681"/>
        <v>7</v>
      </c>
      <c r="M1382" s="78">
        <f t="shared" si="681"/>
        <v>0</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2017</v>
      </c>
      <c r="B1383" s="73" t="str">
        <f t="shared" si="654"/>
        <v>Nov</v>
      </c>
      <c r="C1383" s="74">
        <f t="shared" si="677"/>
        <v>17</v>
      </c>
      <c r="D1383" s="75">
        <f t="shared" si="655"/>
        <v>7</v>
      </c>
      <c r="E1383" s="76">
        <f t="shared" si="656"/>
        <v>18</v>
      </c>
      <c r="F1383" s="80"/>
      <c r="G1383" s="83"/>
      <c r="H1383" s="69" t="str">
        <f t="shared" si="678"/>
        <v>Lacine7_20171117_07_00</v>
      </c>
      <c r="I1383" s="70">
        <f t="shared" si="681"/>
        <v>1</v>
      </c>
      <c r="J1383" s="77" t="str">
        <f t="shared" si="681"/>
        <v>Lactuca</v>
      </c>
      <c r="K1383" s="77" t="str">
        <f t="shared" si="681"/>
        <v>inermis</v>
      </c>
      <c r="L1383" s="78">
        <f t="shared" si="681"/>
        <v>7</v>
      </c>
      <c r="M1383" s="78">
        <f t="shared" si="681"/>
        <v>0</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2017</v>
      </c>
      <c r="B1384" s="73" t="str">
        <f t="shared" si="654"/>
        <v>Nov</v>
      </c>
      <c r="C1384" s="74">
        <f t="shared" si="677"/>
        <v>17</v>
      </c>
      <c r="D1384" s="75">
        <f t="shared" si="655"/>
        <v>7</v>
      </c>
      <c r="E1384" s="76">
        <f t="shared" si="656"/>
        <v>19</v>
      </c>
      <c r="F1384" s="80"/>
      <c r="G1384" s="83"/>
      <c r="H1384" s="69" t="str">
        <f t="shared" si="678"/>
        <v>Lacine7_20171117_07_00</v>
      </c>
      <c r="I1384" s="70">
        <f t="shared" si="681"/>
        <v>1</v>
      </c>
      <c r="J1384" s="77" t="str">
        <f t="shared" si="681"/>
        <v>Lactuca</v>
      </c>
      <c r="K1384" s="77" t="str">
        <f t="shared" si="681"/>
        <v>inermis</v>
      </c>
      <c r="L1384" s="78">
        <f t="shared" si="681"/>
        <v>7</v>
      </c>
      <c r="M1384" s="78">
        <f t="shared" si="681"/>
        <v>0</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2017</v>
      </c>
      <c r="B1385" s="73" t="str">
        <f t="shared" si="654"/>
        <v>Nov</v>
      </c>
      <c r="C1385" s="74">
        <f t="shared" si="677"/>
        <v>17</v>
      </c>
      <c r="D1385" s="75">
        <f t="shared" si="655"/>
        <v>7</v>
      </c>
      <c r="E1385" s="76">
        <f t="shared" si="656"/>
        <v>20</v>
      </c>
      <c r="F1385" s="80"/>
      <c r="G1385" s="83"/>
      <c r="H1385" s="69" t="str">
        <f t="shared" si="678"/>
        <v>Lacine7_20171117_07_00</v>
      </c>
      <c r="I1385" s="70">
        <f t="shared" si="681"/>
        <v>1</v>
      </c>
      <c r="J1385" s="77" t="str">
        <f t="shared" si="681"/>
        <v>Lactuca</v>
      </c>
      <c r="K1385" s="77" t="str">
        <f t="shared" si="681"/>
        <v>inermis</v>
      </c>
      <c r="L1385" s="78">
        <f t="shared" si="681"/>
        <v>7</v>
      </c>
      <c r="M1385" s="78">
        <f t="shared" si="681"/>
        <v>0</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2017</v>
      </c>
      <c r="B1386" s="73" t="str">
        <f t="shared" si="654"/>
        <v>Nov</v>
      </c>
      <c r="C1386" s="74">
        <f t="shared" si="677"/>
        <v>17</v>
      </c>
      <c r="D1386" s="75">
        <f t="shared" si="655"/>
        <v>7</v>
      </c>
      <c r="E1386" s="76">
        <f t="shared" si="656"/>
        <v>21</v>
      </c>
      <c r="F1386" s="80"/>
      <c r="G1386" s="83"/>
      <c r="H1386" s="69" t="str">
        <f t="shared" si="678"/>
        <v>Lacine7_20171117_07_00</v>
      </c>
      <c r="I1386" s="70">
        <f t="shared" si="681"/>
        <v>1</v>
      </c>
      <c r="J1386" s="77" t="str">
        <f t="shared" si="681"/>
        <v>Lactuca</v>
      </c>
      <c r="K1386" s="77" t="str">
        <f t="shared" si="681"/>
        <v>inermis</v>
      </c>
      <c r="L1386" s="78">
        <f t="shared" si="681"/>
        <v>7</v>
      </c>
      <c r="M1386" s="78">
        <f t="shared" si="681"/>
        <v>0</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2017</v>
      </c>
      <c r="B1387" s="73" t="str">
        <f t="shared" si="654"/>
        <v>Nov</v>
      </c>
      <c r="C1387" s="74">
        <f t="shared" si="677"/>
        <v>17</v>
      </c>
      <c r="D1387" s="75">
        <f t="shared" si="655"/>
        <v>7</v>
      </c>
      <c r="E1387" s="76">
        <f t="shared" si="656"/>
        <v>22</v>
      </c>
      <c r="F1387" s="80"/>
      <c r="G1387" s="83"/>
      <c r="H1387" s="69" t="str">
        <f t="shared" si="678"/>
        <v>Lacine7_20171117_07_00</v>
      </c>
      <c r="I1387" s="70">
        <f t="shared" si="681"/>
        <v>1</v>
      </c>
      <c r="J1387" s="77" t="str">
        <f t="shared" si="681"/>
        <v>Lactuca</v>
      </c>
      <c r="K1387" s="77" t="str">
        <f t="shared" si="681"/>
        <v>inermis</v>
      </c>
      <c r="L1387" s="78">
        <f t="shared" si="681"/>
        <v>7</v>
      </c>
      <c r="M1387" s="78">
        <f t="shared" si="681"/>
        <v>0</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2017</v>
      </c>
      <c r="B1388" s="73" t="str">
        <f t="shared" si="654"/>
        <v>Nov</v>
      </c>
      <c r="C1388" s="74">
        <f t="shared" si="677"/>
        <v>17</v>
      </c>
      <c r="D1388" s="75">
        <f t="shared" si="655"/>
        <v>7</v>
      </c>
      <c r="E1388" s="76">
        <f t="shared" si="656"/>
        <v>23</v>
      </c>
      <c r="F1388" s="80"/>
      <c r="G1388" s="83"/>
      <c r="H1388" s="69" t="str">
        <f t="shared" si="678"/>
        <v>Lacine7_20171117_07_00</v>
      </c>
      <c r="I1388" s="70">
        <f t="shared" si="681"/>
        <v>1</v>
      </c>
      <c r="J1388" s="77" t="str">
        <f t="shared" si="681"/>
        <v>Lactuca</v>
      </c>
      <c r="K1388" s="77" t="str">
        <f t="shared" si="681"/>
        <v>inermis</v>
      </c>
      <c r="L1388" s="78">
        <f t="shared" si="681"/>
        <v>7</v>
      </c>
      <c r="M1388" s="78">
        <f t="shared" si="681"/>
        <v>0</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2017</v>
      </c>
      <c r="B1389" s="73" t="str">
        <f t="shared" si="654"/>
        <v>Nov</v>
      </c>
      <c r="C1389" s="74">
        <f t="shared" si="677"/>
        <v>17</v>
      </c>
      <c r="D1389" s="75">
        <f t="shared" si="655"/>
        <v>7</v>
      </c>
      <c r="E1389" s="76">
        <f t="shared" si="656"/>
        <v>24</v>
      </c>
      <c r="F1389" s="80"/>
      <c r="G1389" s="83"/>
      <c r="H1389" s="69" t="str">
        <f t="shared" si="678"/>
        <v>Lacine7_20171117_07_00</v>
      </c>
      <c r="I1389" s="70">
        <f t="shared" si="681"/>
        <v>1</v>
      </c>
      <c r="J1389" s="77" t="str">
        <f t="shared" si="681"/>
        <v>Lactuca</v>
      </c>
      <c r="K1389" s="77" t="str">
        <f t="shared" si="681"/>
        <v>inermis</v>
      </c>
      <c r="L1389" s="78">
        <f t="shared" si="681"/>
        <v>7</v>
      </c>
      <c r="M1389" s="78">
        <f t="shared" si="681"/>
        <v>0</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hidden="1" x14ac:dyDescent="0.35">
      <c r="A1390" s="73">
        <f t="shared" si="653"/>
        <v>2017</v>
      </c>
      <c r="B1390" s="73" t="str">
        <f t="shared" si="654"/>
        <v>Nov</v>
      </c>
      <c r="C1390" s="74">
        <f t="shared" si="677"/>
        <v>17</v>
      </c>
      <c r="D1390" s="75">
        <f t="shared" si="655"/>
        <v>7</v>
      </c>
      <c r="E1390" s="76">
        <f t="shared" si="656"/>
        <v>25</v>
      </c>
      <c r="F1390" s="80"/>
      <c r="G1390" s="83"/>
      <c r="H1390" s="69" t="str">
        <f t="shared" si="678"/>
        <v>Lacine7_20171117_07_00</v>
      </c>
      <c r="I1390" s="70">
        <f t="shared" si="681"/>
        <v>1</v>
      </c>
      <c r="J1390" s="77" t="str">
        <f t="shared" si="681"/>
        <v>Lactuca</v>
      </c>
      <c r="K1390" s="77" t="str">
        <f t="shared" si="681"/>
        <v>inermis</v>
      </c>
      <c r="L1390" s="78">
        <f t="shared" si="681"/>
        <v>7</v>
      </c>
      <c r="M1390" s="78">
        <f t="shared" si="681"/>
        <v>0</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hidden="1" x14ac:dyDescent="0.35">
      <c r="A1391" s="73">
        <f t="shared" si="653"/>
        <v>2017</v>
      </c>
      <c r="B1391" s="73" t="str">
        <f t="shared" si="654"/>
        <v>Nov</v>
      </c>
      <c r="C1391" s="74">
        <f t="shared" si="677"/>
        <v>17</v>
      </c>
      <c r="D1391" s="75">
        <f t="shared" si="655"/>
        <v>7</v>
      </c>
      <c r="E1391" s="76">
        <f t="shared" si="656"/>
        <v>26</v>
      </c>
      <c r="F1391" s="80"/>
      <c r="G1391" s="83"/>
      <c r="H1391" s="69" t="str">
        <f t="shared" si="678"/>
        <v>Lacine7_20171117_07_00</v>
      </c>
      <c r="I1391" s="70">
        <f t="shared" si="681"/>
        <v>1</v>
      </c>
      <c r="J1391" s="77" t="str">
        <f t="shared" si="681"/>
        <v>Lactuca</v>
      </c>
      <c r="K1391" s="77" t="str">
        <f t="shared" si="681"/>
        <v>inermis</v>
      </c>
      <c r="L1391" s="78">
        <f t="shared" si="681"/>
        <v>7</v>
      </c>
      <c r="M1391" s="78">
        <f t="shared" si="681"/>
        <v>0</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64"/>
        <v/>
      </c>
      <c r="AE1391" s="55"/>
      <c r="AF1391" s="55"/>
      <c r="AG1391" s="56" t="str">
        <f t="shared" si="665"/>
        <v/>
      </c>
      <c r="AH1391" s="57" t="str">
        <f t="shared" si="666"/>
        <v/>
      </c>
      <c r="AI1391" s="56"/>
      <c r="AJ1391" s="57" t="str">
        <f t="shared" si="667"/>
        <v/>
      </c>
      <c r="AK1391" s="56"/>
      <c r="AL1391" s="57" t="str">
        <f t="shared" si="668"/>
        <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t="str">
        <f t="shared" si="673"/>
        <v/>
      </c>
      <c r="AZ1391" s="62" t="str">
        <f t="shared" si="674"/>
        <v/>
      </c>
      <c r="BA1391" s="61" t="str">
        <f t="shared" si="675"/>
        <v/>
      </c>
      <c r="BB1391" s="62" t="str">
        <f t="shared" si="676"/>
        <v/>
      </c>
    </row>
    <row r="1392" spans="1:54" s="3" customFormat="1" hidden="1" x14ac:dyDescent="0.35">
      <c r="A1392" s="73">
        <f t="shared" si="653"/>
        <v>2017</v>
      </c>
      <c r="B1392" s="73" t="str">
        <f t="shared" si="654"/>
        <v>Nov</v>
      </c>
      <c r="C1392" s="74">
        <f t="shared" si="677"/>
        <v>17</v>
      </c>
      <c r="D1392" s="75">
        <f t="shared" si="655"/>
        <v>7</v>
      </c>
      <c r="E1392" s="76">
        <f t="shared" si="656"/>
        <v>27</v>
      </c>
      <c r="F1392" s="80"/>
      <c r="G1392" s="83"/>
      <c r="H1392" s="69" t="str">
        <f t="shared" si="678"/>
        <v>Lacine7_20171117_07_00</v>
      </c>
      <c r="I1392" s="70">
        <f t="shared" si="681"/>
        <v>1</v>
      </c>
      <c r="J1392" s="77" t="str">
        <f t="shared" si="681"/>
        <v>Lactuca</v>
      </c>
      <c r="K1392" s="77" t="str">
        <f t="shared" si="681"/>
        <v>inermis</v>
      </c>
      <c r="L1392" s="78">
        <f t="shared" si="681"/>
        <v>7</v>
      </c>
      <c r="M1392" s="78">
        <f t="shared" si="681"/>
        <v>0</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hidden="1" x14ac:dyDescent="0.35">
      <c r="A1393" s="73">
        <f t="shared" si="653"/>
        <v>2017</v>
      </c>
      <c r="B1393" s="73" t="str">
        <f t="shared" si="654"/>
        <v>Nov</v>
      </c>
      <c r="C1393" s="74">
        <f t="shared" si="677"/>
        <v>17</v>
      </c>
      <c r="D1393" s="75">
        <f t="shared" si="655"/>
        <v>7</v>
      </c>
      <c r="E1393" s="76">
        <f t="shared" si="656"/>
        <v>28</v>
      </c>
      <c r="F1393" s="80"/>
      <c r="G1393" s="83"/>
      <c r="H1393" s="69" t="str">
        <f t="shared" si="678"/>
        <v>Lacine7_20171117_07_00</v>
      </c>
      <c r="I1393" s="70">
        <f t="shared" si="681"/>
        <v>1</v>
      </c>
      <c r="J1393" s="77" t="str">
        <f t="shared" si="681"/>
        <v>Lactuca</v>
      </c>
      <c r="K1393" s="77" t="str">
        <f t="shared" si="681"/>
        <v>inermis</v>
      </c>
      <c r="L1393" s="78">
        <f t="shared" si="681"/>
        <v>7</v>
      </c>
      <c r="M1393" s="78">
        <f t="shared" si="681"/>
        <v>0</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hidden="1" x14ac:dyDescent="0.35">
      <c r="A1394" s="73">
        <f t="shared" si="653"/>
        <v>2017</v>
      </c>
      <c r="B1394" s="73" t="str">
        <f t="shared" si="654"/>
        <v>Nov</v>
      </c>
      <c r="C1394" s="74">
        <f t="shared" si="677"/>
        <v>17</v>
      </c>
      <c r="D1394" s="75">
        <f t="shared" si="655"/>
        <v>7</v>
      </c>
      <c r="E1394" s="76">
        <f t="shared" si="656"/>
        <v>29</v>
      </c>
      <c r="F1394" s="80"/>
      <c r="G1394" s="83"/>
      <c r="H1394" s="69" t="str">
        <f t="shared" si="678"/>
        <v>Lacine7_20171117_07_00</v>
      </c>
      <c r="I1394" s="70">
        <f t="shared" si="681"/>
        <v>1</v>
      </c>
      <c r="J1394" s="77" t="str">
        <f t="shared" si="681"/>
        <v>Lactuca</v>
      </c>
      <c r="K1394" s="77" t="str">
        <f t="shared" si="681"/>
        <v>inermis</v>
      </c>
      <c r="L1394" s="78">
        <f t="shared" si="681"/>
        <v>7</v>
      </c>
      <c r="M1394" s="78">
        <f t="shared" si="681"/>
        <v>0</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hidden="1" x14ac:dyDescent="0.35">
      <c r="A1395" s="73">
        <f t="shared" si="653"/>
        <v>2017</v>
      </c>
      <c r="B1395" s="73" t="str">
        <f t="shared" si="654"/>
        <v>Nov</v>
      </c>
      <c r="C1395" s="74">
        <f t="shared" si="677"/>
        <v>17</v>
      </c>
      <c r="D1395" s="75">
        <f t="shared" si="655"/>
        <v>7</v>
      </c>
      <c r="E1395" s="76">
        <f t="shared" si="656"/>
        <v>30</v>
      </c>
      <c r="F1395" s="80"/>
      <c r="G1395" s="83"/>
      <c r="H1395" s="69" t="str">
        <f t="shared" si="678"/>
        <v>Lacine7_20171117_07_00</v>
      </c>
      <c r="I1395" s="70">
        <f t="shared" si="681"/>
        <v>1</v>
      </c>
      <c r="J1395" s="77" t="str">
        <f t="shared" si="681"/>
        <v>Lactuca</v>
      </c>
      <c r="K1395" s="77" t="str">
        <f t="shared" si="681"/>
        <v>inermis</v>
      </c>
      <c r="L1395" s="78">
        <f t="shared" si="681"/>
        <v>7</v>
      </c>
      <c r="M1395" s="78">
        <f t="shared" si="681"/>
        <v>0</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2017</v>
      </c>
      <c r="B1396" s="73" t="str">
        <f t="shared" si="654"/>
        <v>Nov</v>
      </c>
      <c r="C1396" s="74">
        <f t="shared" si="677"/>
        <v>17</v>
      </c>
      <c r="D1396" s="75">
        <f t="shared" si="655"/>
        <v>7</v>
      </c>
      <c r="E1396" s="76">
        <f t="shared" si="656"/>
        <v>31</v>
      </c>
      <c r="F1396" s="80"/>
      <c r="G1396" s="83"/>
      <c r="H1396" s="69" t="str">
        <f t="shared" si="678"/>
        <v>Lacine7_20171117_07_00</v>
      </c>
      <c r="I1396" s="70">
        <f t="shared" si="681"/>
        <v>1</v>
      </c>
      <c r="J1396" s="77" t="str">
        <f t="shared" si="681"/>
        <v>Lactuca</v>
      </c>
      <c r="K1396" s="77" t="str">
        <f t="shared" si="681"/>
        <v>inermis</v>
      </c>
      <c r="L1396" s="78">
        <f t="shared" si="681"/>
        <v>7</v>
      </c>
      <c r="M1396" s="78">
        <f t="shared" si="681"/>
        <v>0</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hidden="1" x14ac:dyDescent="0.35">
      <c r="A1397" s="73">
        <f t="shared" si="653"/>
        <v>2017</v>
      </c>
      <c r="B1397" s="73" t="str">
        <f t="shared" si="654"/>
        <v>Nov</v>
      </c>
      <c r="C1397" s="74">
        <f t="shared" si="677"/>
        <v>17</v>
      </c>
      <c r="D1397" s="75">
        <f t="shared" si="655"/>
        <v>7</v>
      </c>
      <c r="E1397" s="76">
        <f t="shared" si="656"/>
        <v>32</v>
      </c>
      <c r="F1397" s="80"/>
      <c r="G1397" s="83"/>
      <c r="H1397" s="69" t="str">
        <f t="shared" si="678"/>
        <v>Lacine7_20171117_07_00</v>
      </c>
      <c r="I1397" s="70">
        <f t="shared" ref="I1397:N1412" si="682">I1396</f>
        <v>1</v>
      </c>
      <c r="J1397" s="77" t="str">
        <f t="shared" si="682"/>
        <v>Lactuca</v>
      </c>
      <c r="K1397" s="77" t="str">
        <f t="shared" si="682"/>
        <v>inermis</v>
      </c>
      <c r="L1397" s="78">
        <f t="shared" si="682"/>
        <v>7</v>
      </c>
      <c r="M1397" s="78">
        <f t="shared" si="682"/>
        <v>0</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64"/>
        <v/>
      </c>
      <c r="AE1397" s="55"/>
      <c r="AF1397" s="55"/>
      <c r="AG1397" s="56" t="str">
        <f t="shared" si="665"/>
        <v/>
      </c>
      <c r="AH1397" s="57" t="str">
        <f t="shared" si="666"/>
        <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t="str">
        <f t="shared" si="673"/>
        <v/>
      </c>
      <c r="AZ1397" s="62" t="str">
        <f t="shared" si="674"/>
        <v/>
      </c>
      <c r="BA1397" s="61" t="str">
        <f t="shared" si="675"/>
        <v/>
      </c>
      <c r="BB1397" s="62" t="str">
        <f t="shared" si="676"/>
        <v/>
      </c>
    </row>
    <row r="1398" spans="1:54" s="3" customFormat="1" hidden="1" x14ac:dyDescent="0.35">
      <c r="A1398" s="73">
        <f t="shared" si="653"/>
        <v>2017</v>
      </c>
      <c r="B1398" s="73" t="str">
        <f t="shared" si="654"/>
        <v>Nov</v>
      </c>
      <c r="C1398" s="74">
        <f t="shared" si="677"/>
        <v>17</v>
      </c>
      <c r="D1398" s="75">
        <f t="shared" si="655"/>
        <v>7</v>
      </c>
      <c r="E1398" s="76">
        <f t="shared" si="656"/>
        <v>33</v>
      </c>
      <c r="F1398" s="80"/>
      <c r="G1398" s="83"/>
      <c r="H1398" s="69" t="str">
        <f t="shared" si="678"/>
        <v>Lacine7_20171117_07_00</v>
      </c>
      <c r="I1398" s="70">
        <f t="shared" si="682"/>
        <v>1</v>
      </c>
      <c r="J1398" s="77" t="str">
        <f t="shared" si="682"/>
        <v>Lactuca</v>
      </c>
      <c r="K1398" s="77" t="str">
        <f t="shared" si="682"/>
        <v>inermis</v>
      </c>
      <c r="L1398" s="78">
        <f t="shared" si="682"/>
        <v>7</v>
      </c>
      <c r="M1398" s="78">
        <f t="shared" si="682"/>
        <v>0</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2017</v>
      </c>
      <c r="B1399" s="73" t="str">
        <f t="shared" si="654"/>
        <v>Nov</v>
      </c>
      <c r="C1399" s="74">
        <f t="shared" si="677"/>
        <v>17</v>
      </c>
      <c r="D1399" s="75">
        <f t="shared" si="655"/>
        <v>7</v>
      </c>
      <c r="E1399" s="76">
        <f t="shared" si="656"/>
        <v>34</v>
      </c>
      <c r="F1399" s="80"/>
      <c r="G1399" s="83"/>
      <c r="H1399" s="69" t="str">
        <f t="shared" si="678"/>
        <v>Lacine7_20171117_07_00</v>
      </c>
      <c r="I1399" s="70">
        <f t="shared" si="682"/>
        <v>1</v>
      </c>
      <c r="J1399" s="77" t="str">
        <f t="shared" si="682"/>
        <v>Lactuca</v>
      </c>
      <c r="K1399" s="77" t="str">
        <f t="shared" si="682"/>
        <v>inermis</v>
      </c>
      <c r="L1399" s="78">
        <f t="shared" si="682"/>
        <v>7</v>
      </c>
      <c r="M1399" s="78">
        <f t="shared" si="682"/>
        <v>0</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2017</v>
      </c>
      <c r="B1400" s="73" t="str">
        <f t="shared" si="654"/>
        <v>Nov</v>
      </c>
      <c r="C1400" s="74">
        <f t="shared" si="677"/>
        <v>17</v>
      </c>
      <c r="D1400" s="75">
        <f t="shared" si="655"/>
        <v>7</v>
      </c>
      <c r="E1400" s="76">
        <f t="shared" si="656"/>
        <v>35</v>
      </c>
      <c r="F1400" s="80"/>
      <c r="G1400" s="83"/>
      <c r="H1400" s="69" t="str">
        <f t="shared" si="678"/>
        <v>Lacine7_20171117_07_00</v>
      </c>
      <c r="I1400" s="70">
        <f t="shared" si="682"/>
        <v>1</v>
      </c>
      <c r="J1400" s="77" t="str">
        <f t="shared" si="682"/>
        <v>Lactuca</v>
      </c>
      <c r="K1400" s="77" t="str">
        <f t="shared" si="682"/>
        <v>inermis</v>
      </c>
      <c r="L1400" s="78">
        <f t="shared" si="682"/>
        <v>7</v>
      </c>
      <c r="M1400" s="78">
        <f t="shared" si="682"/>
        <v>0</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2017</v>
      </c>
      <c r="B1401" s="73" t="str">
        <f t="shared" si="654"/>
        <v>Nov</v>
      </c>
      <c r="C1401" s="74">
        <f t="shared" si="677"/>
        <v>17</v>
      </c>
      <c r="D1401" s="75">
        <f t="shared" si="655"/>
        <v>7</v>
      </c>
      <c r="E1401" s="76">
        <f t="shared" si="656"/>
        <v>36</v>
      </c>
      <c r="F1401" s="80"/>
      <c r="G1401" s="83"/>
      <c r="H1401" s="69" t="str">
        <f t="shared" si="678"/>
        <v>Lacine7_20171117_07_00</v>
      </c>
      <c r="I1401" s="70">
        <f t="shared" si="682"/>
        <v>1</v>
      </c>
      <c r="J1401" s="77" t="str">
        <f t="shared" si="682"/>
        <v>Lactuca</v>
      </c>
      <c r="K1401" s="77" t="str">
        <f t="shared" si="682"/>
        <v>inermis</v>
      </c>
      <c r="L1401" s="78">
        <f t="shared" si="682"/>
        <v>7</v>
      </c>
      <c r="M1401" s="78">
        <f t="shared" si="682"/>
        <v>0</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2017</v>
      </c>
      <c r="B1402" s="73" t="str">
        <f t="shared" si="654"/>
        <v>Nov</v>
      </c>
      <c r="C1402" s="74">
        <f t="shared" si="677"/>
        <v>17</v>
      </c>
      <c r="D1402" s="75">
        <f t="shared" si="655"/>
        <v>7</v>
      </c>
      <c r="E1402" s="76">
        <f t="shared" si="656"/>
        <v>37</v>
      </c>
      <c r="F1402" s="80"/>
      <c r="G1402" s="83"/>
      <c r="H1402" s="69" t="str">
        <f t="shared" si="678"/>
        <v>Lacine7_20171117_07_00</v>
      </c>
      <c r="I1402" s="70">
        <f t="shared" si="682"/>
        <v>1</v>
      </c>
      <c r="J1402" s="77" t="str">
        <f t="shared" si="682"/>
        <v>Lactuca</v>
      </c>
      <c r="K1402" s="77" t="str">
        <f t="shared" si="682"/>
        <v>inermis</v>
      </c>
      <c r="L1402" s="78">
        <f t="shared" si="682"/>
        <v>7</v>
      </c>
      <c r="M1402" s="78">
        <f t="shared" si="682"/>
        <v>0</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2017</v>
      </c>
      <c r="B1403" s="73" t="str">
        <f t="shared" si="654"/>
        <v>Nov</v>
      </c>
      <c r="C1403" s="74">
        <f t="shared" si="677"/>
        <v>17</v>
      </c>
      <c r="D1403" s="75">
        <f t="shared" si="655"/>
        <v>7</v>
      </c>
      <c r="E1403" s="76">
        <f t="shared" si="656"/>
        <v>38</v>
      </c>
      <c r="F1403" s="80"/>
      <c r="G1403" s="83"/>
      <c r="H1403" s="69" t="str">
        <f t="shared" si="678"/>
        <v>Lacine7_20171117_07_00</v>
      </c>
      <c r="I1403" s="70">
        <f t="shared" si="682"/>
        <v>1</v>
      </c>
      <c r="J1403" s="77" t="str">
        <f t="shared" si="682"/>
        <v>Lactuca</v>
      </c>
      <c r="K1403" s="77" t="str">
        <f t="shared" si="682"/>
        <v>inermis</v>
      </c>
      <c r="L1403" s="78">
        <f t="shared" si="682"/>
        <v>7</v>
      </c>
      <c r="M1403" s="78">
        <f t="shared" si="682"/>
        <v>0</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2017</v>
      </c>
      <c r="B1404" s="73" t="str">
        <f t="shared" si="654"/>
        <v>Nov</v>
      </c>
      <c r="C1404" s="74">
        <f t="shared" si="677"/>
        <v>17</v>
      </c>
      <c r="D1404" s="75">
        <f t="shared" si="655"/>
        <v>7</v>
      </c>
      <c r="E1404" s="76">
        <f t="shared" si="656"/>
        <v>39</v>
      </c>
      <c r="F1404" s="80"/>
      <c r="G1404" s="83"/>
      <c r="H1404" s="69" t="str">
        <f t="shared" si="678"/>
        <v>Lacine7_20171117_07_00</v>
      </c>
      <c r="I1404" s="70">
        <f t="shared" si="682"/>
        <v>1</v>
      </c>
      <c r="J1404" s="77" t="str">
        <f t="shared" si="682"/>
        <v>Lactuca</v>
      </c>
      <c r="K1404" s="77" t="str">
        <f t="shared" si="682"/>
        <v>inermis</v>
      </c>
      <c r="L1404" s="78">
        <f t="shared" si="682"/>
        <v>7</v>
      </c>
      <c r="M1404" s="78">
        <f t="shared" si="682"/>
        <v>0</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2017</v>
      </c>
      <c r="B1405" s="73" t="str">
        <f t="shared" si="654"/>
        <v>Nov</v>
      </c>
      <c r="C1405" s="74">
        <f t="shared" si="677"/>
        <v>17</v>
      </c>
      <c r="D1405" s="75">
        <f t="shared" si="655"/>
        <v>7</v>
      </c>
      <c r="E1405" s="76">
        <f t="shared" si="656"/>
        <v>40</v>
      </c>
      <c r="F1405" s="80"/>
      <c r="G1405" s="83"/>
      <c r="H1405" s="69" t="str">
        <f t="shared" si="678"/>
        <v>Lacine7_20171117_07_00</v>
      </c>
      <c r="I1405" s="70">
        <f t="shared" si="682"/>
        <v>1</v>
      </c>
      <c r="J1405" s="77" t="str">
        <f t="shared" si="682"/>
        <v>Lactuca</v>
      </c>
      <c r="K1405" s="77" t="str">
        <f t="shared" si="682"/>
        <v>inermis</v>
      </c>
      <c r="L1405" s="78">
        <f t="shared" si="682"/>
        <v>7</v>
      </c>
      <c r="M1405" s="78">
        <f t="shared" si="682"/>
        <v>0</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2017</v>
      </c>
      <c r="B1406" s="73" t="str">
        <f t="shared" si="654"/>
        <v>Nov</v>
      </c>
      <c r="C1406" s="74">
        <f t="shared" si="677"/>
        <v>17</v>
      </c>
      <c r="D1406" s="75">
        <f t="shared" si="655"/>
        <v>7</v>
      </c>
      <c r="E1406" s="76">
        <f t="shared" si="656"/>
        <v>41</v>
      </c>
      <c r="F1406" s="80"/>
      <c r="G1406" s="83"/>
      <c r="H1406" s="69" t="str">
        <f t="shared" si="678"/>
        <v>Lacine7_20171117_07_00</v>
      </c>
      <c r="I1406" s="70">
        <f t="shared" si="682"/>
        <v>1</v>
      </c>
      <c r="J1406" s="77" t="str">
        <f t="shared" si="682"/>
        <v>Lactuca</v>
      </c>
      <c r="K1406" s="77" t="str">
        <f t="shared" si="682"/>
        <v>inermis</v>
      </c>
      <c r="L1406" s="78">
        <f t="shared" si="682"/>
        <v>7</v>
      </c>
      <c r="M1406" s="78">
        <f t="shared" si="682"/>
        <v>0</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2017</v>
      </c>
      <c r="B1407" s="73" t="str">
        <f t="shared" si="654"/>
        <v>Nov</v>
      </c>
      <c r="C1407" s="74">
        <f t="shared" si="677"/>
        <v>17</v>
      </c>
      <c r="D1407" s="75">
        <f t="shared" si="655"/>
        <v>7</v>
      </c>
      <c r="E1407" s="76">
        <f t="shared" si="656"/>
        <v>42</v>
      </c>
      <c r="F1407" s="80"/>
      <c r="G1407" s="83"/>
      <c r="H1407" s="69" t="str">
        <f t="shared" si="678"/>
        <v>Lacine7_20171117_07_00</v>
      </c>
      <c r="I1407" s="70">
        <f t="shared" si="682"/>
        <v>1</v>
      </c>
      <c r="J1407" s="77" t="str">
        <f t="shared" si="682"/>
        <v>Lactuca</v>
      </c>
      <c r="K1407" s="77" t="str">
        <f t="shared" si="682"/>
        <v>inermis</v>
      </c>
      <c r="L1407" s="78">
        <f t="shared" si="682"/>
        <v>7</v>
      </c>
      <c r="M1407" s="78">
        <f t="shared" si="682"/>
        <v>0</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2017</v>
      </c>
      <c r="B1408" s="73" t="str">
        <f t="shared" si="654"/>
        <v>Nov</v>
      </c>
      <c r="C1408" s="74">
        <f t="shared" si="677"/>
        <v>17</v>
      </c>
      <c r="D1408" s="75">
        <f t="shared" si="655"/>
        <v>7</v>
      </c>
      <c r="E1408" s="76">
        <f t="shared" si="656"/>
        <v>43</v>
      </c>
      <c r="F1408" s="80"/>
      <c r="G1408" s="83"/>
      <c r="H1408" s="69" t="str">
        <f t="shared" si="678"/>
        <v>Lacine7_20171117_07_00</v>
      </c>
      <c r="I1408" s="70">
        <f t="shared" si="682"/>
        <v>1</v>
      </c>
      <c r="J1408" s="77" t="str">
        <f t="shared" si="682"/>
        <v>Lactuca</v>
      </c>
      <c r="K1408" s="77" t="str">
        <f t="shared" si="682"/>
        <v>inermis</v>
      </c>
      <c r="L1408" s="78">
        <f t="shared" si="682"/>
        <v>7</v>
      </c>
      <c r="M1408" s="78">
        <f t="shared" si="682"/>
        <v>0</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2017</v>
      </c>
      <c r="B1409" s="73" t="str">
        <f t="shared" si="654"/>
        <v>Nov</v>
      </c>
      <c r="C1409" s="74">
        <f t="shared" si="677"/>
        <v>17</v>
      </c>
      <c r="D1409" s="75">
        <f t="shared" si="655"/>
        <v>7</v>
      </c>
      <c r="E1409" s="76">
        <f t="shared" si="656"/>
        <v>44</v>
      </c>
      <c r="F1409" s="80"/>
      <c r="G1409" s="83"/>
      <c r="H1409" s="69" t="str">
        <f t="shared" si="678"/>
        <v>Lacine7_20171117_07_00</v>
      </c>
      <c r="I1409" s="70">
        <f t="shared" si="682"/>
        <v>1</v>
      </c>
      <c r="J1409" s="77" t="str">
        <f t="shared" si="682"/>
        <v>Lactuca</v>
      </c>
      <c r="K1409" s="77" t="str">
        <f t="shared" si="682"/>
        <v>inermis</v>
      </c>
      <c r="L1409" s="78">
        <f t="shared" si="682"/>
        <v>7</v>
      </c>
      <c r="M1409" s="78">
        <f t="shared" si="682"/>
        <v>0</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2017</v>
      </c>
      <c r="B1410" s="73" t="str">
        <f t="shared" si="654"/>
        <v>Nov</v>
      </c>
      <c r="C1410" s="74">
        <f t="shared" si="677"/>
        <v>17</v>
      </c>
      <c r="D1410" s="75">
        <f t="shared" si="655"/>
        <v>7</v>
      </c>
      <c r="E1410" s="76">
        <f t="shared" si="656"/>
        <v>45</v>
      </c>
      <c r="F1410" s="80"/>
      <c r="G1410" s="83"/>
      <c r="H1410" s="69" t="str">
        <f t="shared" si="678"/>
        <v>Lacine7_20171117_07_00</v>
      </c>
      <c r="I1410" s="70">
        <f t="shared" si="682"/>
        <v>1</v>
      </c>
      <c r="J1410" s="77" t="str">
        <f t="shared" si="682"/>
        <v>Lactuca</v>
      </c>
      <c r="K1410" s="77" t="str">
        <f t="shared" si="682"/>
        <v>inermis</v>
      </c>
      <c r="L1410" s="78">
        <f t="shared" si="682"/>
        <v>7</v>
      </c>
      <c r="M1410" s="78">
        <f t="shared" si="682"/>
        <v>0</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2017</v>
      </c>
      <c r="B1411" s="73" t="str">
        <f t="shared" si="654"/>
        <v>Nov</v>
      </c>
      <c r="C1411" s="74">
        <f t="shared" si="677"/>
        <v>17</v>
      </c>
      <c r="D1411" s="75">
        <f t="shared" si="655"/>
        <v>7</v>
      </c>
      <c r="E1411" s="76">
        <f t="shared" si="656"/>
        <v>46</v>
      </c>
      <c r="F1411" s="80"/>
      <c r="G1411" s="83"/>
      <c r="H1411" s="69" t="str">
        <f t="shared" si="678"/>
        <v>Lacine7_20171117_07_00</v>
      </c>
      <c r="I1411" s="70">
        <f t="shared" si="682"/>
        <v>1</v>
      </c>
      <c r="J1411" s="77" t="str">
        <f t="shared" si="682"/>
        <v>Lactuca</v>
      </c>
      <c r="K1411" s="77" t="str">
        <f t="shared" si="682"/>
        <v>inermis</v>
      </c>
      <c r="L1411" s="78">
        <f t="shared" si="682"/>
        <v>7</v>
      </c>
      <c r="M1411" s="78">
        <f t="shared" si="682"/>
        <v>0</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2017</v>
      </c>
      <c r="B1412" s="73" t="str">
        <f t="shared" ref="B1412:B1417" si="685">IF(C1411-C1412&gt;0, TEXT(DATE(2016,(MONTH(DATEVALUE(B1411&amp;"1"))+1),1),"mmm"), B1411)</f>
        <v>Nov</v>
      </c>
      <c r="C1412" s="74">
        <f t="shared" si="677"/>
        <v>17</v>
      </c>
      <c r="D1412" s="75">
        <f t="shared" ref="D1412:D1417" si="686">IF(IF(E1411=59,D1411+1,D1411)=24,0,IF(E1411=59,D1411+1,D1411))</f>
        <v>7</v>
      </c>
      <c r="E1412" s="76">
        <f t="shared" ref="E1412:E1417" si="687">IF(E1411&lt;59,E1411+1,0)</f>
        <v>47</v>
      </c>
      <c r="F1412" s="80"/>
      <c r="G1412" s="83"/>
      <c r="H1412" s="69" t="str">
        <f t="shared" si="678"/>
        <v>Lacine7_20171117_07_00</v>
      </c>
      <c r="I1412" s="70">
        <f t="shared" si="682"/>
        <v>1</v>
      </c>
      <c r="J1412" s="77" t="str">
        <f t="shared" si="682"/>
        <v>Lactuca</v>
      </c>
      <c r="K1412" s="77" t="str">
        <f t="shared" si="682"/>
        <v>inermis</v>
      </c>
      <c r="L1412" s="78">
        <f t="shared" si="682"/>
        <v>7</v>
      </c>
      <c r="M1412" s="78">
        <f t="shared" si="682"/>
        <v>0</v>
      </c>
      <c r="N1412" s="72">
        <f t="shared" si="682"/>
        <v>0</v>
      </c>
      <c r="O1412" s="45"/>
      <c r="P1412" s="46" t="str">
        <f t="shared" ref="P1412:P1442" si="688">IF(F1412="","",1)</f>
        <v/>
      </c>
      <c r="Q1412" s="47" t="str">
        <f t="shared" ref="Q1412:Q1442" si="689">TEXT(IF(P1412=1,CONCATENATE($D1412,":",$E1412,":",(LEFT($F1412,2))),""),"hh:mm:ss")</f>
        <v/>
      </c>
      <c r="R1412" s="48" t="e">
        <f t="shared" ref="R1412:R1442" si="690">TEXT(Q1412-TIME(0,RIGHT($H1412,2),$G$9)+(Q1412&gt;TIME(0,RIGHT($H1412,2),$G$9)),"mm:ss")</f>
        <v>#VALUE!</v>
      </c>
      <c r="S1412" s="49" t="e">
        <f t="shared" si="683"/>
        <v>#VALUE!</v>
      </c>
      <c r="T1412" s="48" t="str">
        <f t="shared" ref="T1412:T1442" si="691">TEXT(IF(P1412=1,D1412,""),"00")</f>
        <v/>
      </c>
      <c r="U1412" s="50"/>
      <c r="V1412" s="51"/>
      <c r="W1412" s="52" t="e">
        <f t="shared" ref="W1412:W1442"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2" si="693">IF(AA1412&lt;&gt;0,"NA","")</f>
        <v>#N/A</v>
      </c>
      <c r="AC1412" s="54" t="e">
        <f t="shared" ref="AC1412:AC1442" si="694">IF(SUM(AH1412,AJ1412,AL1412,AN1412,AP1412,AR1412,AT1412)=S1412,,"")</f>
        <v>#VALUE!</v>
      </c>
      <c r="AD1412" s="55" t="str">
        <f t="shared" ref="AD1412:AD1442" si="695">IF(P1412=1,1,"")</f>
        <v/>
      </c>
      <c r="AE1412" s="55"/>
      <c r="AF1412" s="55"/>
      <c r="AG1412" s="56" t="str">
        <f t="shared" ref="AG1412:AG1442" si="696">IF(OR(X1412="Something small"),1,"")</f>
        <v/>
      </c>
      <c r="AH1412" s="57" t="str">
        <f t="shared" ref="AH1412:AH1442" si="697">IF(AG1412=1,$S1412,"")</f>
        <v/>
      </c>
      <c r="AI1412" s="56"/>
      <c r="AJ1412" s="57" t="str">
        <f t="shared" ref="AJ1412:AJ1442" si="698">IF(AI1412=1,$S1412,"")</f>
        <v/>
      </c>
      <c r="AK1412" s="56"/>
      <c r="AL1412" s="57" t="str">
        <f t="shared" ref="AL1412:AL1442" si="699">IF(AK1412=1,$S1412,"")</f>
        <v/>
      </c>
      <c r="AM1412" s="56"/>
      <c r="AN1412" s="57" t="str">
        <f t="shared" ref="AN1412:AN1442" si="700">IF(AM1412=1,$S1412,"")</f>
        <v/>
      </c>
      <c r="AO1412" s="56"/>
      <c r="AP1412" s="57" t="str">
        <f t="shared" ref="AP1412:AP1442" si="701">IF(AO1412=1,$S1412,"")</f>
        <v/>
      </c>
      <c r="AQ1412" s="56"/>
      <c r="AR1412" s="57" t="str">
        <f t="shared" ref="AR1412:AR1442" si="702">IF(AQ1412=1,$S1412,"")</f>
        <v/>
      </c>
      <c r="AS1412" s="56"/>
      <c r="AT1412" s="57" t="str">
        <f t="shared" ref="AT1412:AT1442" si="703">IF(AS1412=1,$S1412,"")</f>
        <v/>
      </c>
      <c r="AU1412" s="58"/>
      <c r="AV1412" s="59"/>
      <c r="AW1412" s="59"/>
      <c r="AX1412" s="60"/>
      <c r="AY1412" s="61" t="str">
        <f t="shared" ref="AY1412:AY1442" si="704">IF(P1412=1,0,"")</f>
        <v/>
      </c>
      <c r="AZ1412" s="62" t="str">
        <f t="shared" ref="AZ1412:AZ1442" si="705">IF(AY1412=1,AD1412,"")</f>
        <v/>
      </c>
      <c r="BA1412" s="61" t="str">
        <f t="shared" ref="BA1412:BA1442" si="706">IF(P1412=1,0,"")</f>
        <v/>
      </c>
      <c r="BB1412" s="62" t="str">
        <f t="shared" ref="BB1412:BB1442" si="707">IF(BA1412=1,AD1412,"")</f>
        <v/>
      </c>
    </row>
    <row r="1413" spans="1:54" s="3" customFormat="1" hidden="1" x14ac:dyDescent="0.35">
      <c r="A1413" s="73">
        <f t="shared" si="684"/>
        <v>2017</v>
      </c>
      <c r="B1413" s="73" t="str">
        <f t="shared" si="685"/>
        <v>Nov</v>
      </c>
      <c r="C1413" s="74">
        <f t="shared" ref="C1413:C1442" si="708">IF(AND(D1413=0, E1413=0), IF(TEXT(C1412,"dd")=TEXT(EOMONTH(DATE(A1412,MONTH(DATEVALUE(B1412&amp;"1")),C1412),0), "dd"), 1, C1412+1), C1412)</f>
        <v>17</v>
      </c>
      <c r="D1413" s="75">
        <f t="shared" si="686"/>
        <v>7</v>
      </c>
      <c r="E1413" s="76">
        <f t="shared" si="687"/>
        <v>48</v>
      </c>
      <c r="F1413" s="80"/>
      <c r="G1413" s="83"/>
      <c r="H1413" s="69" t="str">
        <f t="shared" ref="H1413:H1442"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Lacine7_20171117_07_00</v>
      </c>
      <c r="I1413" s="70">
        <f t="shared" ref="I1413:N1428" si="710">I1412</f>
        <v>1</v>
      </c>
      <c r="J1413" s="77" t="str">
        <f t="shared" si="710"/>
        <v>Lactuca</v>
      </c>
      <c r="K1413" s="77" t="str">
        <f t="shared" si="710"/>
        <v>inermis</v>
      </c>
      <c r="L1413" s="78">
        <f t="shared" si="710"/>
        <v>7</v>
      </c>
      <c r="M1413" s="78">
        <f t="shared" si="710"/>
        <v>0</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2017</v>
      </c>
      <c r="B1414" s="73" t="str">
        <f t="shared" si="685"/>
        <v>Nov</v>
      </c>
      <c r="C1414" s="74">
        <f t="shared" si="708"/>
        <v>17</v>
      </c>
      <c r="D1414" s="75">
        <f t="shared" si="686"/>
        <v>7</v>
      </c>
      <c r="E1414" s="76">
        <f t="shared" si="687"/>
        <v>49</v>
      </c>
      <c r="F1414" s="80"/>
      <c r="G1414" s="83"/>
      <c r="H1414" s="69" t="str">
        <f t="shared" si="709"/>
        <v>Lacine7_20171117_07_00</v>
      </c>
      <c r="I1414" s="70">
        <f t="shared" si="710"/>
        <v>1</v>
      </c>
      <c r="J1414" s="77" t="str">
        <f t="shared" si="710"/>
        <v>Lactuca</v>
      </c>
      <c r="K1414" s="77" t="str">
        <f t="shared" si="710"/>
        <v>inermis</v>
      </c>
      <c r="L1414" s="78">
        <f t="shared" si="710"/>
        <v>7</v>
      </c>
      <c r="M1414" s="78">
        <v>1</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2017</v>
      </c>
      <c r="B1415" s="73" t="str">
        <f t="shared" si="685"/>
        <v>Nov</v>
      </c>
      <c r="C1415" s="74">
        <f t="shared" si="708"/>
        <v>17</v>
      </c>
      <c r="D1415" s="75">
        <f t="shared" si="686"/>
        <v>7</v>
      </c>
      <c r="E1415" s="76">
        <f t="shared" si="687"/>
        <v>50</v>
      </c>
      <c r="F1415" s="80"/>
      <c r="G1415" s="83"/>
      <c r="H1415" s="69" t="str">
        <f t="shared" si="709"/>
        <v>Lacine7_20171117_07_00</v>
      </c>
      <c r="I1415" s="70">
        <f t="shared" si="710"/>
        <v>1</v>
      </c>
      <c r="J1415" s="77" t="str">
        <f t="shared" si="710"/>
        <v>Lactuca</v>
      </c>
      <c r="K1415" s="77" t="str">
        <f t="shared" si="710"/>
        <v>inermis</v>
      </c>
      <c r="L1415" s="78">
        <f t="shared" si="710"/>
        <v>7</v>
      </c>
      <c r="M1415" s="78">
        <f t="shared" si="710"/>
        <v>1</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2017</v>
      </c>
      <c r="B1416" s="73" t="str">
        <f t="shared" si="685"/>
        <v>Nov</v>
      </c>
      <c r="C1416" s="74">
        <f t="shared" si="708"/>
        <v>17</v>
      </c>
      <c r="D1416" s="75">
        <f t="shared" si="686"/>
        <v>7</v>
      </c>
      <c r="E1416" s="76">
        <f t="shared" si="687"/>
        <v>51</v>
      </c>
      <c r="F1416" s="80"/>
      <c r="G1416" s="83"/>
      <c r="H1416" s="69" t="str">
        <f t="shared" si="709"/>
        <v>Lacine7_20171117_07_00</v>
      </c>
      <c r="I1416" s="70">
        <f t="shared" si="710"/>
        <v>1</v>
      </c>
      <c r="J1416" s="77" t="str">
        <f t="shared" si="710"/>
        <v>Lactuca</v>
      </c>
      <c r="K1416" s="77" t="str">
        <f t="shared" si="710"/>
        <v>inermis</v>
      </c>
      <c r="L1416" s="78">
        <f t="shared" si="710"/>
        <v>7</v>
      </c>
      <c r="M1416" s="78">
        <f t="shared" si="710"/>
        <v>1</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2017</v>
      </c>
      <c r="B1417" s="73" t="str">
        <f t="shared" si="685"/>
        <v>Nov</v>
      </c>
      <c r="C1417" s="74">
        <f t="shared" si="708"/>
        <v>17</v>
      </c>
      <c r="D1417" s="75">
        <f t="shared" si="686"/>
        <v>7</v>
      </c>
      <c r="E1417" s="76">
        <f t="shared" si="687"/>
        <v>52</v>
      </c>
      <c r="F1417" s="80"/>
      <c r="G1417" s="83"/>
      <c r="H1417" s="69" t="str">
        <f t="shared" si="709"/>
        <v>Lacine7_20171117_07_00</v>
      </c>
      <c r="I1417" s="70">
        <f t="shared" si="710"/>
        <v>1</v>
      </c>
      <c r="J1417" s="77" t="str">
        <f t="shared" si="710"/>
        <v>Lactuca</v>
      </c>
      <c r="K1417" s="77" t="str">
        <f t="shared" si="710"/>
        <v>inermis</v>
      </c>
      <c r="L1417" s="78">
        <f t="shared" si="710"/>
        <v>7</v>
      </c>
      <c r="M1417" s="78">
        <f t="shared" si="710"/>
        <v>1</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2017</v>
      </c>
      <c r="B1418" s="73" t="str">
        <f>IF(C1417-C1418&gt;0, TEXT(DATE(2016,(MONTH(DATEVALUE(B1417&amp;"1"))+1),1),"mmm"), B1417)</f>
        <v>Nov</v>
      </c>
      <c r="C1418" s="74">
        <f t="shared" si="708"/>
        <v>17</v>
      </c>
      <c r="D1418" s="75">
        <f>IF(IF(E1417=59,D1417+1,D1417)=24,0,IF(E1417=59,D1417+1,D1417))</f>
        <v>7</v>
      </c>
      <c r="E1418" s="76">
        <f>IF(E1417&lt;59,E1417+1,0)</f>
        <v>53</v>
      </c>
      <c r="F1418" s="80"/>
      <c r="G1418" s="83"/>
      <c r="H1418" s="69" t="str">
        <f t="shared" si="709"/>
        <v>Lacine7_20171117_07_00</v>
      </c>
      <c r="I1418" s="70">
        <f t="shared" si="710"/>
        <v>1</v>
      </c>
      <c r="J1418" s="77" t="str">
        <f>J1417</f>
        <v>Lactuca</v>
      </c>
      <c r="K1418" s="77" t="str">
        <f>K1417</f>
        <v>inermis</v>
      </c>
      <c r="L1418" s="78">
        <f>L1417</f>
        <v>7</v>
      </c>
      <c r="M1418" s="78">
        <f t="shared" si="710"/>
        <v>1</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2017</v>
      </c>
      <c r="B1419" s="73" t="str">
        <f t="shared" ref="B1419:B1424" si="712">IF(C1418-C1419&gt;0, TEXT(DATE(2016,(MONTH(DATEVALUE(B1418&amp;"1"))+1),1),"mmm"), B1418)</f>
        <v>Nov</v>
      </c>
      <c r="C1419" s="74">
        <f t="shared" si="708"/>
        <v>17</v>
      </c>
      <c r="D1419" s="75">
        <f t="shared" ref="D1419:D1424" si="713">IF(IF(E1418=59,D1418+1,D1418)=24,0,IF(E1418=59,D1418+1,D1418))</f>
        <v>7</v>
      </c>
      <c r="E1419" s="76">
        <f t="shared" ref="E1419:E1424" si="714">IF(E1418&lt;59,E1418+1,0)</f>
        <v>54</v>
      </c>
      <c r="F1419" s="80"/>
      <c r="G1419" s="83"/>
      <c r="H1419" s="69" t="str">
        <f t="shared" si="709"/>
        <v>Lacine7_20171117_07_00</v>
      </c>
      <c r="I1419" s="70">
        <f t="shared" si="710"/>
        <v>1</v>
      </c>
      <c r="J1419" s="77" t="str">
        <f t="shared" si="710"/>
        <v>Lactuca</v>
      </c>
      <c r="K1419" s="77" t="str">
        <f t="shared" si="710"/>
        <v>inermis</v>
      </c>
      <c r="L1419" s="78">
        <f t="shared" si="710"/>
        <v>7</v>
      </c>
      <c r="M1419" s="78">
        <f t="shared" si="710"/>
        <v>1</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2017</v>
      </c>
      <c r="B1420" s="73" t="str">
        <f t="shared" si="712"/>
        <v>Nov</v>
      </c>
      <c r="C1420" s="74">
        <f t="shared" si="708"/>
        <v>17</v>
      </c>
      <c r="D1420" s="75">
        <f t="shared" si="713"/>
        <v>7</v>
      </c>
      <c r="E1420" s="76">
        <f t="shared" si="714"/>
        <v>55</v>
      </c>
      <c r="F1420" s="80"/>
      <c r="G1420" s="83"/>
      <c r="H1420" s="69" t="str">
        <f t="shared" si="709"/>
        <v>Lacine7_20171117_07_00</v>
      </c>
      <c r="I1420" s="70">
        <f t="shared" si="710"/>
        <v>1</v>
      </c>
      <c r="J1420" s="77" t="str">
        <f t="shared" si="710"/>
        <v>Lactuca</v>
      </c>
      <c r="K1420" s="77" t="str">
        <f t="shared" si="710"/>
        <v>inermis</v>
      </c>
      <c r="L1420" s="78">
        <f t="shared" si="710"/>
        <v>7</v>
      </c>
      <c r="M1420" s="78">
        <f t="shared" si="710"/>
        <v>1</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hidden="1" x14ac:dyDescent="0.35">
      <c r="A1421" s="73">
        <f t="shared" si="711"/>
        <v>2017</v>
      </c>
      <c r="B1421" s="73" t="str">
        <f t="shared" si="712"/>
        <v>Nov</v>
      </c>
      <c r="C1421" s="74">
        <f t="shared" si="708"/>
        <v>17</v>
      </c>
      <c r="D1421" s="75">
        <f t="shared" si="713"/>
        <v>7</v>
      </c>
      <c r="E1421" s="76">
        <f t="shared" si="714"/>
        <v>56</v>
      </c>
      <c r="F1421" s="80"/>
      <c r="G1421" s="83"/>
      <c r="H1421" s="69" t="str">
        <f t="shared" si="709"/>
        <v>Lacine7_20171117_07_00</v>
      </c>
      <c r="I1421" s="70">
        <f t="shared" si="710"/>
        <v>1</v>
      </c>
      <c r="J1421" s="77" t="str">
        <f t="shared" si="710"/>
        <v>Lactuca</v>
      </c>
      <c r="K1421" s="77" t="str">
        <f t="shared" si="710"/>
        <v>inermis</v>
      </c>
      <c r="L1421" s="78">
        <f t="shared" si="710"/>
        <v>7</v>
      </c>
      <c r="M1421" s="78">
        <f t="shared" si="710"/>
        <v>1</v>
      </c>
      <c r="N1421" s="72">
        <f t="shared" si="710"/>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695"/>
        <v/>
      </c>
      <c r="AE1421" s="55"/>
      <c r="AF1421" s="55"/>
      <c r="AG1421" s="56" t="str">
        <f t="shared" si="696"/>
        <v/>
      </c>
      <c r="AH1421" s="57" t="str">
        <f t="shared" si="697"/>
        <v/>
      </c>
      <c r="AI1421" s="56"/>
      <c r="AJ1421" s="57" t="str">
        <f t="shared" si="698"/>
        <v/>
      </c>
      <c r="AK1421" s="56"/>
      <c r="AL1421" s="57" t="str">
        <f t="shared" si="699"/>
        <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t="str">
        <f t="shared" si="704"/>
        <v/>
      </c>
      <c r="AZ1421" s="62" t="str">
        <f t="shared" si="705"/>
        <v/>
      </c>
      <c r="BA1421" s="61" t="str">
        <f t="shared" si="706"/>
        <v/>
      </c>
      <c r="BB1421" s="62" t="str">
        <f t="shared" si="707"/>
        <v/>
      </c>
    </row>
    <row r="1422" spans="1:54" s="3" customFormat="1" hidden="1" x14ac:dyDescent="0.35">
      <c r="A1422" s="73">
        <f t="shared" si="711"/>
        <v>2017</v>
      </c>
      <c r="B1422" s="73" t="str">
        <f t="shared" si="712"/>
        <v>Nov</v>
      </c>
      <c r="C1422" s="74">
        <f t="shared" si="708"/>
        <v>17</v>
      </c>
      <c r="D1422" s="75">
        <f t="shared" si="713"/>
        <v>7</v>
      </c>
      <c r="E1422" s="76">
        <f t="shared" si="714"/>
        <v>57</v>
      </c>
      <c r="F1422" s="80"/>
      <c r="G1422" s="83"/>
      <c r="H1422" s="69" t="str">
        <f t="shared" si="709"/>
        <v>Lacine7_20171117_07_00</v>
      </c>
      <c r="I1422" s="70">
        <f t="shared" si="710"/>
        <v>1</v>
      </c>
      <c r="J1422" s="77" t="str">
        <f t="shared" si="710"/>
        <v>Lactuca</v>
      </c>
      <c r="K1422" s="77" t="str">
        <f t="shared" si="710"/>
        <v>inermis</v>
      </c>
      <c r="L1422" s="78">
        <f t="shared" si="710"/>
        <v>7</v>
      </c>
      <c r="M1422" s="78">
        <f t="shared" si="710"/>
        <v>1</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2017</v>
      </c>
      <c r="B1423" s="73" t="str">
        <f t="shared" si="712"/>
        <v>Nov</v>
      </c>
      <c r="C1423" s="74">
        <f t="shared" si="708"/>
        <v>17</v>
      </c>
      <c r="D1423" s="75">
        <f t="shared" si="713"/>
        <v>7</v>
      </c>
      <c r="E1423" s="76">
        <f t="shared" si="714"/>
        <v>58</v>
      </c>
      <c r="F1423" s="80"/>
      <c r="G1423" s="83"/>
      <c r="H1423" s="69" t="str">
        <f t="shared" si="709"/>
        <v>Lacine7_20171117_07_00</v>
      </c>
      <c r="I1423" s="70">
        <f t="shared" si="710"/>
        <v>1</v>
      </c>
      <c r="J1423" s="77" t="str">
        <f t="shared" si="710"/>
        <v>Lactuca</v>
      </c>
      <c r="K1423" s="77" t="str">
        <f t="shared" si="710"/>
        <v>inermis</v>
      </c>
      <c r="L1423" s="78">
        <f t="shared" si="710"/>
        <v>7</v>
      </c>
      <c r="M1423" s="78">
        <f t="shared" si="710"/>
        <v>1</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2017</v>
      </c>
      <c r="B1424" s="73" t="str">
        <f t="shared" si="712"/>
        <v>Nov</v>
      </c>
      <c r="C1424" s="74">
        <f t="shared" si="708"/>
        <v>17</v>
      </c>
      <c r="D1424" s="75">
        <f t="shared" si="713"/>
        <v>7</v>
      </c>
      <c r="E1424" s="76">
        <f t="shared" si="714"/>
        <v>59</v>
      </c>
      <c r="F1424" s="80"/>
      <c r="G1424" s="83"/>
      <c r="H1424" s="69" t="str">
        <f t="shared" si="709"/>
        <v>Lacine7_20171117_07_00</v>
      </c>
      <c r="I1424" s="70">
        <f t="shared" si="710"/>
        <v>1</v>
      </c>
      <c r="J1424" s="77" t="str">
        <f t="shared" si="710"/>
        <v>Lactuca</v>
      </c>
      <c r="K1424" s="77" t="str">
        <f t="shared" si="710"/>
        <v>inermis</v>
      </c>
      <c r="L1424" s="78">
        <f t="shared" si="710"/>
        <v>7</v>
      </c>
      <c r="M1424" s="78">
        <f t="shared" si="710"/>
        <v>1</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2017</v>
      </c>
      <c r="B1425" s="73" t="str">
        <f>IF(C1424-C1425&gt;0, TEXT(DATE(2016,(MONTH(DATEVALUE(B1424&amp;"1"))+1),1),"mmm"), B1424)</f>
        <v>Nov</v>
      </c>
      <c r="C1425" s="74">
        <f t="shared" si="708"/>
        <v>17</v>
      </c>
      <c r="D1425" s="75">
        <f>IF(IF(E1424=59,D1424+1,D1424)=24,0,IF(E1424=59,D1424+1,D1424))</f>
        <v>8</v>
      </c>
      <c r="E1425" s="76">
        <f>IF(E1424&lt;59,E1424+1,0)</f>
        <v>0</v>
      </c>
      <c r="F1425" s="80"/>
      <c r="G1425" s="83"/>
      <c r="H1425" s="69" t="str">
        <f t="shared" si="709"/>
        <v>Lacine7_20171117_08_00</v>
      </c>
      <c r="I1425" s="70">
        <f t="shared" si="710"/>
        <v>1</v>
      </c>
      <c r="J1425" s="77" t="str">
        <f>J1424</f>
        <v>Lactuca</v>
      </c>
      <c r="K1425" s="77" t="str">
        <f>K1424</f>
        <v>inermis</v>
      </c>
      <c r="L1425" s="78">
        <f>L1424</f>
        <v>7</v>
      </c>
      <c r="M1425" s="78">
        <f t="shared" si="710"/>
        <v>1</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42" si="715">A1425</f>
        <v>2017</v>
      </c>
      <c r="B1426" s="73" t="str">
        <f t="shared" ref="B1426:B1442" si="716">IF(C1425-C1426&gt;0, TEXT(DATE(2016,(MONTH(DATEVALUE(B1425&amp;"1"))+1),1),"mmm"), B1425)</f>
        <v>Nov</v>
      </c>
      <c r="C1426" s="74">
        <f t="shared" si="708"/>
        <v>17</v>
      </c>
      <c r="D1426" s="75">
        <f t="shared" ref="D1426:D1442" si="717">IF(IF(E1425=59,D1425+1,D1425)=24,0,IF(E1425=59,D1425+1,D1425))</f>
        <v>8</v>
      </c>
      <c r="E1426" s="76">
        <f t="shared" ref="E1426:E1442" si="718">IF(E1425&lt;59,E1425+1,0)</f>
        <v>1</v>
      </c>
      <c r="F1426" s="80"/>
      <c r="G1426" s="83"/>
      <c r="H1426" s="69" t="str">
        <f t="shared" si="709"/>
        <v>Lacine7_20171117_08_00</v>
      </c>
      <c r="I1426" s="70">
        <f t="shared" si="710"/>
        <v>1</v>
      </c>
      <c r="J1426" s="77" t="str">
        <f t="shared" si="710"/>
        <v>Lactuca</v>
      </c>
      <c r="K1426" s="77" t="str">
        <f t="shared" si="710"/>
        <v>inermis</v>
      </c>
      <c r="L1426" s="78">
        <f t="shared" si="710"/>
        <v>7</v>
      </c>
      <c r="M1426" s="78">
        <f t="shared" si="710"/>
        <v>1</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2017</v>
      </c>
      <c r="B1427" s="73" t="str">
        <f t="shared" si="716"/>
        <v>Nov</v>
      </c>
      <c r="C1427" s="74">
        <f t="shared" si="708"/>
        <v>17</v>
      </c>
      <c r="D1427" s="75">
        <f t="shared" si="717"/>
        <v>8</v>
      </c>
      <c r="E1427" s="76">
        <f t="shared" si="718"/>
        <v>2</v>
      </c>
      <c r="F1427" s="80"/>
      <c r="G1427" s="83"/>
      <c r="H1427" s="69" t="str">
        <f t="shared" si="709"/>
        <v>Lacine7_20171117_08_00</v>
      </c>
      <c r="I1427" s="70">
        <f t="shared" si="710"/>
        <v>1</v>
      </c>
      <c r="J1427" s="77" t="str">
        <f t="shared" si="710"/>
        <v>Lactuca</v>
      </c>
      <c r="K1427" s="77" t="str">
        <f t="shared" si="710"/>
        <v>inermis</v>
      </c>
      <c r="L1427" s="78">
        <f t="shared" si="710"/>
        <v>7</v>
      </c>
      <c r="M1427" s="78">
        <f t="shared" si="710"/>
        <v>1</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2017</v>
      </c>
      <c r="B1428" s="73" t="str">
        <f t="shared" si="716"/>
        <v>Nov</v>
      </c>
      <c r="C1428" s="74">
        <f t="shared" si="708"/>
        <v>17</v>
      </c>
      <c r="D1428" s="75">
        <f t="shared" si="717"/>
        <v>8</v>
      </c>
      <c r="E1428" s="76">
        <f t="shared" si="718"/>
        <v>3</v>
      </c>
      <c r="F1428" s="80"/>
      <c r="G1428" s="83"/>
      <c r="H1428" s="69" t="str">
        <f t="shared" si="709"/>
        <v>Lacine7_20171117_08_00</v>
      </c>
      <c r="I1428" s="70">
        <f t="shared" si="710"/>
        <v>1</v>
      </c>
      <c r="J1428" s="77" t="str">
        <f t="shared" si="710"/>
        <v>Lactuca</v>
      </c>
      <c r="K1428" s="77" t="str">
        <f t="shared" si="710"/>
        <v>inermis</v>
      </c>
      <c r="L1428" s="78">
        <f t="shared" si="710"/>
        <v>7</v>
      </c>
      <c r="M1428" s="78">
        <f t="shared" si="710"/>
        <v>1</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2017</v>
      </c>
      <c r="B1429" s="73" t="str">
        <f t="shared" si="716"/>
        <v>Nov</v>
      </c>
      <c r="C1429" s="74">
        <f t="shared" si="708"/>
        <v>17</v>
      </c>
      <c r="D1429" s="75">
        <f t="shared" si="717"/>
        <v>8</v>
      </c>
      <c r="E1429" s="76">
        <f t="shared" si="718"/>
        <v>4</v>
      </c>
      <c r="F1429" s="80"/>
      <c r="G1429" s="83"/>
      <c r="H1429" s="69" t="str">
        <f t="shared" si="709"/>
        <v>Lacine7_20171117_08_00</v>
      </c>
      <c r="I1429" s="70">
        <f t="shared" ref="I1429:N1442" si="719">I1428</f>
        <v>1</v>
      </c>
      <c r="J1429" s="77" t="str">
        <f t="shared" si="719"/>
        <v>Lactuca</v>
      </c>
      <c r="K1429" s="77" t="str">
        <f t="shared" si="719"/>
        <v>inermis</v>
      </c>
      <c r="L1429" s="78">
        <f t="shared" si="719"/>
        <v>7</v>
      </c>
      <c r="M1429" s="78">
        <f t="shared" si="719"/>
        <v>1</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2017</v>
      </c>
      <c r="B1430" s="73" t="str">
        <f t="shared" si="716"/>
        <v>Nov</v>
      </c>
      <c r="C1430" s="74">
        <f t="shared" si="708"/>
        <v>17</v>
      </c>
      <c r="D1430" s="75">
        <f t="shared" si="717"/>
        <v>8</v>
      </c>
      <c r="E1430" s="76">
        <f t="shared" si="718"/>
        <v>5</v>
      </c>
      <c r="F1430" s="80"/>
      <c r="G1430" s="83"/>
      <c r="H1430" s="69" t="str">
        <f t="shared" si="709"/>
        <v>Lacine7_20171117_08_00</v>
      </c>
      <c r="I1430" s="70">
        <f t="shared" si="719"/>
        <v>1</v>
      </c>
      <c r="J1430" s="77" t="str">
        <f t="shared" si="719"/>
        <v>Lactuca</v>
      </c>
      <c r="K1430" s="77" t="str">
        <f t="shared" si="719"/>
        <v>inermis</v>
      </c>
      <c r="L1430" s="78">
        <f t="shared" si="719"/>
        <v>7</v>
      </c>
      <c r="M1430" s="78">
        <f t="shared" si="719"/>
        <v>1</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2017</v>
      </c>
      <c r="B1431" s="73" t="str">
        <f t="shared" si="716"/>
        <v>Nov</v>
      </c>
      <c r="C1431" s="74">
        <f t="shared" si="708"/>
        <v>17</v>
      </c>
      <c r="D1431" s="75">
        <f t="shared" si="717"/>
        <v>8</v>
      </c>
      <c r="E1431" s="76">
        <f t="shared" si="718"/>
        <v>6</v>
      </c>
      <c r="F1431" s="80"/>
      <c r="G1431" s="83"/>
      <c r="H1431" s="69" t="str">
        <f t="shared" si="709"/>
        <v>Lacine7_20171117_08_00</v>
      </c>
      <c r="I1431" s="70">
        <f t="shared" si="719"/>
        <v>1</v>
      </c>
      <c r="J1431" s="77" t="str">
        <f t="shared" si="719"/>
        <v>Lactuca</v>
      </c>
      <c r="K1431" s="77" t="str">
        <f t="shared" si="719"/>
        <v>inermis</v>
      </c>
      <c r="L1431" s="78">
        <f t="shared" si="719"/>
        <v>7</v>
      </c>
      <c r="M1431" s="78">
        <f t="shared" si="719"/>
        <v>1</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2017</v>
      </c>
      <c r="B1432" s="73" t="str">
        <f t="shared" si="716"/>
        <v>Nov</v>
      </c>
      <c r="C1432" s="74">
        <f t="shared" si="708"/>
        <v>17</v>
      </c>
      <c r="D1432" s="75">
        <f t="shared" si="717"/>
        <v>8</v>
      </c>
      <c r="E1432" s="76">
        <f t="shared" si="718"/>
        <v>7</v>
      </c>
      <c r="F1432" s="80"/>
      <c r="G1432" s="83"/>
      <c r="H1432" s="69" t="str">
        <f t="shared" si="709"/>
        <v>Lacine7_20171117_08_00</v>
      </c>
      <c r="I1432" s="70">
        <f t="shared" si="719"/>
        <v>1</v>
      </c>
      <c r="J1432" s="77" t="str">
        <f t="shared" si="719"/>
        <v>Lactuca</v>
      </c>
      <c r="K1432" s="77" t="str">
        <f t="shared" si="719"/>
        <v>inermis</v>
      </c>
      <c r="L1432" s="78">
        <f t="shared" si="719"/>
        <v>7</v>
      </c>
      <c r="M1432" s="78">
        <f t="shared" si="719"/>
        <v>1</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2017</v>
      </c>
      <c r="B1433" s="73" t="str">
        <f t="shared" si="716"/>
        <v>Nov</v>
      </c>
      <c r="C1433" s="74">
        <f t="shared" si="708"/>
        <v>17</v>
      </c>
      <c r="D1433" s="75">
        <f t="shared" si="717"/>
        <v>8</v>
      </c>
      <c r="E1433" s="76">
        <f t="shared" si="718"/>
        <v>8</v>
      </c>
      <c r="F1433" s="80"/>
      <c r="G1433" s="83"/>
      <c r="H1433" s="69" t="str">
        <f t="shared" si="709"/>
        <v>Lacine7_20171117_08_00</v>
      </c>
      <c r="I1433" s="70">
        <f t="shared" si="719"/>
        <v>1</v>
      </c>
      <c r="J1433" s="77" t="str">
        <f t="shared" si="719"/>
        <v>Lactuca</v>
      </c>
      <c r="K1433" s="77" t="str">
        <f t="shared" si="719"/>
        <v>inermis</v>
      </c>
      <c r="L1433" s="78">
        <f t="shared" si="719"/>
        <v>7</v>
      </c>
      <c r="M1433" s="78">
        <f t="shared" si="719"/>
        <v>1</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2017</v>
      </c>
      <c r="B1434" s="73" t="str">
        <f t="shared" si="716"/>
        <v>Nov</v>
      </c>
      <c r="C1434" s="74">
        <f t="shared" si="708"/>
        <v>17</v>
      </c>
      <c r="D1434" s="75">
        <f t="shared" si="717"/>
        <v>8</v>
      </c>
      <c r="E1434" s="76">
        <f t="shared" si="718"/>
        <v>9</v>
      </c>
      <c r="F1434" s="80"/>
      <c r="G1434" s="83"/>
      <c r="H1434" s="69" t="str">
        <f t="shared" si="709"/>
        <v>Lacine7_20171117_08_00</v>
      </c>
      <c r="I1434" s="70">
        <f t="shared" si="719"/>
        <v>1</v>
      </c>
      <c r="J1434" s="77" t="str">
        <f t="shared" si="719"/>
        <v>Lactuca</v>
      </c>
      <c r="K1434" s="77" t="str">
        <f t="shared" si="719"/>
        <v>inermis</v>
      </c>
      <c r="L1434" s="78">
        <f t="shared" si="719"/>
        <v>7</v>
      </c>
      <c r="M1434" s="78">
        <f t="shared" si="719"/>
        <v>1</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2017</v>
      </c>
      <c r="B1435" s="73" t="str">
        <f t="shared" si="716"/>
        <v>Nov</v>
      </c>
      <c r="C1435" s="74">
        <f t="shared" si="708"/>
        <v>17</v>
      </c>
      <c r="D1435" s="75">
        <f t="shared" si="717"/>
        <v>8</v>
      </c>
      <c r="E1435" s="76">
        <f t="shared" si="718"/>
        <v>10</v>
      </c>
      <c r="F1435" s="80"/>
      <c r="G1435" s="83"/>
      <c r="H1435" s="69" t="str">
        <f t="shared" si="709"/>
        <v>Lacine7_20171117_08_00</v>
      </c>
      <c r="I1435" s="70">
        <f t="shared" si="719"/>
        <v>1</v>
      </c>
      <c r="J1435" s="77" t="str">
        <f t="shared" si="719"/>
        <v>Lactuca</v>
      </c>
      <c r="K1435" s="77" t="str">
        <f t="shared" si="719"/>
        <v>inermis</v>
      </c>
      <c r="L1435" s="78">
        <f t="shared" si="719"/>
        <v>7</v>
      </c>
      <c r="M1435" s="78">
        <f t="shared" si="719"/>
        <v>1</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2017</v>
      </c>
      <c r="B1436" s="73" t="str">
        <f t="shared" si="716"/>
        <v>Nov</v>
      </c>
      <c r="C1436" s="74">
        <f t="shared" si="708"/>
        <v>17</v>
      </c>
      <c r="D1436" s="75">
        <f t="shared" si="717"/>
        <v>8</v>
      </c>
      <c r="E1436" s="76">
        <f t="shared" si="718"/>
        <v>11</v>
      </c>
      <c r="F1436" s="80"/>
      <c r="G1436" s="83"/>
      <c r="H1436" s="69" t="str">
        <f t="shared" si="709"/>
        <v>Lacine7_20171117_08_00</v>
      </c>
      <c r="I1436" s="70">
        <f t="shared" si="719"/>
        <v>1</v>
      </c>
      <c r="J1436" s="77" t="str">
        <f t="shared" si="719"/>
        <v>Lactuca</v>
      </c>
      <c r="K1436" s="77" t="str">
        <f t="shared" si="719"/>
        <v>inermis</v>
      </c>
      <c r="L1436" s="78">
        <f t="shared" si="719"/>
        <v>7</v>
      </c>
      <c r="M1436" s="78">
        <f t="shared" si="719"/>
        <v>1</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2017</v>
      </c>
      <c r="B1437" s="73" t="str">
        <f t="shared" si="716"/>
        <v>Nov</v>
      </c>
      <c r="C1437" s="74">
        <f t="shared" si="708"/>
        <v>17</v>
      </c>
      <c r="D1437" s="75">
        <f t="shared" si="717"/>
        <v>8</v>
      </c>
      <c r="E1437" s="76">
        <f t="shared" si="718"/>
        <v>12</v>
      </c>
      <c r="F1437" s="80"/>
      <c r="G1437" s="83"/>
      <c r="H1437" s="69" t="str">
        <f t="shared" si="709"/>
        <v>Lacine7_20171117_08_00</v>
      </c>
      <c r="I1437" s="70">
        <f t="shared" si="719"/>
        <v>1</v>
      </c>
      <c r="J1437" s="77" t="str">
        <f t="shared" si="719"/>
        <v>Lactuca</v>
      </c>
      <c r="K1437" s="77" t="str">
        <f t="shared" si="719"/>
        <v>inermis</v>
      </c>
      <c r="L1437" s="78">
        <f t="shared" si="719"/>
        <v>7</v>
      </c>
      <c r="M1437" s="78">
        <f t="shared" si="719"/>
        <v>1</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2017</v>
      </c>
      <c r="B1438" s="73" t="str">
        <f t="shared" si="716"/>
        <v>Nov</v>
      </c>
      <c r="C1438" s="74">
        <f t="shared" si="708"/>
        <v>17</v>
      </c>
      <c r="D1438" s="75">
        <f t="shared" si="717"/>
        <v>8</v>
      </c>
      <c r="E1438" s="76">
        <f t="shared" si="718"/>
        <v>13</v>
      </c>
      <c r="F1438" s="80"/>
      <c r="G1438" s="83"/>
      <c r="H1438" s="69" t="str">
        <f t="shared" si="709"/>
        <v>Lacine7_20171117_08_00</v>
      </c>
      <c r="I1438" s="70">
        <f t="shared" si="719"/>
        <v>1</v>
      </c>
      <c r="J1438" s="77" t="str">
        <f t="shared" si="719"/>
        <v>Lactuca</v>
      </c>
      <c r="K1438" s="77" t="str">
        <f t="shared" si="719"/>
        <v>inermis</v>
      </c>
      <c r="L1438" s="78">
        <f t="shared" si="719"/>
        <v>7</v>
      </c>
      <c r="M1438" s="78">
        <f t="shared" si="719"/>
        <v>1</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hidden="1" x14ac:dyDescent="0.35">
      <c r="A1439" s="73">
        <f t="shared" si="715"/>
        <v>2017</v>
      </c>
      <c r="B1439" s="73" t="str">
        <f t="shared" si="716"/>
        <v>Nov</v>
      </c>
      <c r="C1439" s="74">
        <f t="shared" si="708"/>
        <v>17</v>
      </c>
      <c r="D1439" s="75">
        <f t="shared" si="717"/>
        <v>8</v>
      </c>
      <c r="E1439" s="76">
        <f t="shared" si="718"/>
        <v>14</v>
      </c>
      <c r="F1439" s="80"/>
      <c r="G1439" s="83"/>
      <c r="H1439" s="69" t="str">
        <f t="shared" si="709"/>
        <v>Lacine7_20171117_08_00</v>
      </c>
      <c r="I1439" s="70">
        <f t="shared" si="719"/>
        <v>1</v>
      </c>
      <c r="J1439" s="77" t="str">
        <f t="shared" si="719"/>
        <v>Lactuca</v>
      </c>
      <c r="K1439" s="77" t="str">
        <f t="shared" si="719"/>
        <v>inermis</v>
      </c>
      <c r="L1439" s="78">
        <f t="shared" si="719"/>
        <v>7</v>
      </c>
      <c r="M1439" s="78">
        <f t="shared" si="719"/>
        <v>1</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695"/>
        <v/>
      </c>
      <c r="AE1439" s="55"/>
      <c r="AF1439" s="55"/>
      <c r="AG1439" s="56" t="str">
        <f t="shared" si="696"/>
        <v/>
      </c>
      <c r="AH1439" s="57" t="str">
        <f t="shared" si="697"/>
        <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t="str">
        <f t="shared" si="704"/>
        <v/>
      </c>
      <c r="AZ1439" s="62" t="str">
        <f t="shared" si="705"/>
        <v/>
      </c>
      <c r="BA1439" s="61" t="str">
        <f t="shared" si="706"/>
        <v/>
      </c>
      <c r="BB1439" s="62" t="str">
        <f t="shared" si="707"/>
        <v/>
      </c>
    </row>
    <row r="1440" spans="1:54" s="3" customFormat="1" hidden="1" x14ac:dyDescent="0.35">
      <c r="A1440" s="73">
        <f t="shared" si="715"/>
        <v>2017</v>
      </c>
      <c r="B1440" s="73" t="str">
        <f t="shared" si="716"/>
        <v>Nov</v>
      </c>
      <c r="C1440" s="74">
        <f t="shared" si="708"/>
        <v>17</v>
      </c>
      <c r="D1440" s="75">
        <f t="shared" si="717"/>
        <v>8</v>
      </c>
      <c r="E1440" s="76">
        <f t="shared" si="718"/>
        <v>15</v>
      </c>
      <c r="F1440" s="80"/>
      <c r="G1440" s="83"/>
      <c r="H1440" s="69" t="str">
        <f t="shared" si="709"/>
        <v>Lacine7_20171117_08_00</v>
      </c>
      <c r="I1440" s="70">
        <f t="shared" si="719"/>
        <v>1</v>
      </c>
      <c r="J1440" s="77" t="str">
        <f t="shared" si="719"/>
        <v>Lactuca</v>
      </c>
      <c r="K1440" s="77" t="str">
        <f t="shared" si="719"/>
        <v>inermis</v>
      </c>
      <c r="L1440" s="78">
        <f t="shared" si="719"/>
        <v>7</v>
      </c>
      <c r="M1440" s="78">
        <f t="shared" si="719"/>
        <v>1</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2017</v>
      </c>
      <c r="B1441" s="73" t="str">
        <f t="shared" si="716"/>
        <v>Nov</v>
      </c>
      <c r="C1441" s="74">
        <f t="shared" si="708"/>
        <v>17</v>
      </c>
      <c r="D1441" s="75">
        <f t="shared" si="717"/>
        <v>8</v>
      </c>
      <c r="E1441" s="76">
        <f t="shared" si="718"/>
        <v>16</v>
      </c>
      <c r="F1441" s="80"/>
      <c r="G1441" s="83"/>
      <c r="H1441" s="69" t="str">
        <f t="shared" si="709"/>
        <v>Lacine7_20171117_08_00</v>
      </c>
      <c r="I1441" s="70">
        <f t="shared" si="719"/>
        <v>1</v>
      </c>
      <c r="J1441" s="77" t="str">
        <f t="shared" si="719"/>
        <v>Lactuca</v>
      </c>
      <c r="K1441" s="77" t="str">
        <f t="shared" si="719"/>
        <v>inermis</v>
      </c>
      <c r="L1441" s="78">
        <f t="shared" si="719"/>
        <v>7</v>
      </c>
      <c r="M1441" s="78">
        <f t="shared" si="719"/>
        <v>1</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t="15" hidden="1" thickBot="1" x14ac:dyDescent="0.4">
      <c r="A1442" s="86">
        <f t="shared" si="715"/>
        <v>2017</v>
      </c>
      <c r="B1442" s="86" t="str">
        <f t="shared" si="716"/>
        <v>Nov</v>
      </c>
      <c r="C1442" s="87">
        <f t="shared" si="708"/>
        <v>17</v>
      </c>
      <c r="D1442" s="88">
        <f t="shared" si="717"/>
        <v>8</v>
      </c>
      <c r="E1442" s="89">
        <f t="shared" si="718"/>
        <v>17</v>
      </c>
      <c r="F1442" s="90"/>
      <c r="G1442" s="91"/>
      <c r="H1442" s="69" t="str">
        <f t="shared" si="709"/>
        <v>Lacine7_20171117_08_00</v>
      </c>
      <c r="I1442" s="92">
        <f t="shared" si="719"/>
        <v>1</v>
      </c>
      <c r="J1442" s="93" t="str">
        <f t="shared" si="719"/>
        <v>Lactuca</v>
      </c>
      <c r="K1442" s="93" t="str">
        <f t="shared" si="719"/>
        <v>inermis</v>
      </c>
      <c r="L1442" s="94">
        <f t="shared" si="719"/>
        <v>7</v>
      </c>
      <c r="M1442" s="94">
        <f t="shared" si="719"/>
        <v>1</v>
      </c>
      <c r="N1442" s="95">
        <f t="shared" si="719"/>
        <v>0</v>
      </c>
      <c r="O1442" s="96"/>
      <c r="P1442" s="97" t="str">
        <f t="shared" si="688"/>
        <v/>
      </c>
      <c r="Q1442" s="98" t="str">
        <f t="shared" si="689"/>
        <v/>
      </c>
      <c r="R1442" s="99" t="e">
        <f t="shared" si="690"/>
        <v>#VALUE!</v>
      </c>
      <c r="S1442" s="99" t="e">
        <f>IF(T1442&lt;D1442, (T1442*3600+U1442*60+V1442)+((23*3600+59*60+60)-(D1442*3600+E1442*60+LEFT(F1442,2))), (T1442*3600+U1442*60+V1442)-(D1442*3600+E1442*60+LEFT(F1442,2)))</f>
        <v>#VALUE!</v>
      </c>
      <c r="T1442" s="99" t="str">
        <f t="shared" si="691"/>
        <v/>
      </c>
      <c r="U1442" s="100"/>
      <c r="V1442" s="101"/>
      <c r="W1442" s="102" t="e">
        <f t="shared" si="692"/>
        <v>#VALUE!</v>
      </c>
      <c r="X1442" s="103"/>
      <c r="Y1442" s="124"/>
      <c r="Z1442" s="124"/>
      <c r="AA1442" s="48" t="e">
        <f>INDEX(VISITORS[INSECT ORDER], MATCH(X1442,VISITORS[NAME USED],0))</f>
        <v>#N/A</v>
      </c>
      <c r="AB1442" s="99" t="e">
        <f t="shared" si="693"/>
        <v>#N/A</v>
      </c>
      <c r="AC1442" s="104" t="e">
        <f t="shared" si="694"/>
        <v>#VALUE!</v>
      </c>
      <c r="AD1442" s="105" t="str">
        <f t="shared" si="695"/>
        <v/>
      </c>
      <c r="AE1442" s="105"/>
      <c r="AF1442" s="105"/>
      <c r="AG1442" s="106" t="str">
        <f t="shared" si="696"/>
        <v/>
      </c>
      <c r="AH1442" s="107" t="str">
        <f t="shared" si="697"/>
        <v/>
      </c>
      <c r="AI1442" s="106"/>
      <c r="AJ1442" s="107" t="str">
        <f t="shared" si="698"/>
        <v/>
      </c>
      <c r="AK1442" s="106"/>
      <c r="AL1442" s="107" t="str">
        <f t="shared" si="699"/>
        <v/>
      </c>
      <c r="AM1442" s="106"/>
      <c r="AN1442" s="107" t="str">
        <f t="shared" si="700"/>
        <v/>
      </c>
      <c r="AO1442" s="106"/>
      <c r="AP1442" s="107" t="str">
        <f t="shared" si="701"/>
        <v/>
      </c>
      <c r="AQ1442" s="106"/>
      <c r="AR1442" s="107" t="str">
        <f t="shared" si="702"/>
        <v/>
      </c>
      <c r="AS1442" s="106"/>
      <c r="AT1442" s="107" t="str">
        <f t="shared" si="703"/>
        <v/>
      </c>
      <c r="AU1442" s="108"/>
      <c r="AV1442" s="109"/>
      <c r="AW1442" s="109"/>
      <c r="AX1442" s="110"/>
      <c r="AY1442" s="111" t="str">
        <f t="shared" si="704"/>
        <v/>
      </c>
      <c r="AZ1442" s="112" t="str">
        <f t="shared" si="705"/>
        <v/>
      </c>
      <c r="BA1442" s="111" t="str">
        <f t="shared" si="706"/>
        <v/>
      </c>
      <c r="BB1442" s="112" t="str">
        <f t="shared" si="707"/>
        <v/>
      </c>
    </row>
    <row r="1443" spans="1:54" x14ac:dyDescent="0.35">
      <c r="C1443"/>
    </row>
    <row r="1444" spans="1:54" x14ac:dyDescent="0.35">
      <c r="C1444"/>
    </row>
    <row r="1445" spans="1:54" x14ac:dyDescent="0.35">
      <c r="C1445"/>
    </row>
    <row r="1446" spans="1:54"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3:AT1048576 AS3:AS1442" name="Visitor behaviour 2_1"/>
    <protectedRange sqref="AU1:AX1048576 AT3:AT1442 AD1:AR1048576" name="Visitor behaviour_1"/>
    <protectedRange sqref="P1:P2 P1443:P1048576" name="Visitor arrival_1"/>
    <protectedRange sqref="W1443:W1048576" name="Time of Departure"/>
    <protectedRange sqref="AA3:AA1048576" name="Visitor ID_2"/>
    <protectedRange sqref="AY1:AZ1 BB1:BB1417 AY2:BA1417 AY1418:BB1048576" name="Visitor behaviour_1_1"/>
  </protectedRanges>
  <autoFilter ref="A2:BB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X1:AY1 AK2:BB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2023-09-12T05:26:15Z</dcterms:modified>
</cp:coreProperties>
</file>